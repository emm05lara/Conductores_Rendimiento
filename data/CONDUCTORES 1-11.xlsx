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namedSheetViews/namedSheetView2.xml" ContentType="application/vnd.ms-excel.namedsheetview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GRAFICO_CONDUCTORES/data/"/>
    </mc:Choice>
  </mc:AlternateContent>
  <xr:revisionPtr revIDLastSave="1419" documentId="13_ncr:1_{BD56ECA5-2208-4B46-9B5F-616B364B5588}" xr6:coauthVersionLast="47" xr6:coauthVersionMax="47" xr10:uidLastSave="{01974055-A269-4594-A5DE-03AE5BC7107F}"/>
  <bookViews>
    <workbookView xWindow="-108" yWindow="-108" windowWidth="23256" windowHeight="12456" activeTab="3" xr2:uid="{C16BEADB-3CE4-471F-895A-D0A90AE96AFF}"/>
  </bookViews>
  <sheets>
    <sheet name="UBER 2025" sheetId="4" r:id="rId1"/>
    <sheet name="UBER 2026" sheetId="5" r:id="rId2"/>
    <sheet name="CONDUCTORES" sheetId="1" r:id="rId3"/>
    <sheet name="BASE DATOS" sheetId="6" r:id="rId4"/>
    <sheet name="TABLAS BARRAS " sheetId="7" r:id="rId5"/>
    <sheet name="CTRL AUTOS" sheetId="2" state="hidden" r:id="rId6"/>
    <sheet name="Hoja1" sheetId="3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3" hidden="1">'BASE DATOS'!$A$1:$K$2103</definedName>
    <definedName name="_xlnm._FilterDatabase" localSheetId="5" hidden="1">'CTRL AUTOS'!$A$1:$C$621</definedName>
    <definedName name="_xlnm._FilterDatabase" localSheetId="0" hidden="1">'UBER 2025'!$A$2:$AD$1355</definedName>
    <definedName name="_xlnm._FilterDatabase" localSheetId="1" hidden="1">'UBER 2026'!$A$1:$AR$750</definedName>
    <definedName name="_xlnm.Print_Area" localSheetId="1">'UBER 2026'!$A$1:$AE$349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50" i="5" l="1"/>
  <c r="Q750" i="5"/>
  <c r="O750" i="5"/>
  <c r="W750" i="5" s="1"/>
  <c r="O749" i="5"/>
  <c r="Z748" i="5"/>
  <c r="Q748" i="5"/>
  <c r="O748" i="5"/>
  <c r="M747" i="5"/>
  <c r="O747" i="5" s="1"/>
  <c r="O746" i="5"/>
  <c r="M746" i="5"/>
  <c r="O745" i="5"/>
  <c r="W745" i="5" s="1"/>
  <c r="Y745" i="5" s="1"/>
  <c r="AA745" i="5" s="1"/>
  <c r="P744" i="5"/>
  <c r="O744" i="5"/>
  <c r="W744" i="5" s="1"/>
  <c r="Y744" i="5" s="1"/>
  <c r="AA744" i="5" s="1"/>
  <c r="O743" i="5"/>
  <c r="W743" i="5" s="1"/>
  <c r="Z742" i="5"/>
  <c r="P742" i="5"/>
  <c r="O742" i="5"/>
  <c r="O741" i="5"/>
  <c r="W741" i="5" s="1"/>
  <c r="O740" i="5"/>
  <c r="W740" i="5" s="1"/>
  <c r="M739" i="5"/>
  <c r="O739" i="5" s="1"/>
  <c r="O738" i="5"/>
  <c r="W738" i="5" s="1"/>
  <c r="Y738" i="5" s="1"/>
  <c r="AA738" i="5" s="1"/>
  <c r="D738" i="5"/>
  <c r="C738" i="5"/>
  <c r="O737" i="5"/>
  <c r="W737" i="5" s="1"/>
  <c r="Y737" i="5" s="1"/>
  <c r="AA737" i="5" s="1"/>
  <c r="Z736" i="5"/>
  <c r="Q736" i="5"/>
  <c r="O736" i="5"/>
  <c r="W736" i="5" s="1"/>
  <c r="Y736" i="5" s="1"/>
  <c r="AA736" i="5" s="1"/>
  <c r="O735" i="5"/>
  <c r="O734" i="5"/>
  <c r="O733" i="5"/>
  <c r="Z732" i="5"/>
  <c r="O732" i="5"/>
  <c r="Q731" i="5"/>
  <c r="O731" i="5"/>
  <c r="P730" i="5"/>
  <c r="O730" i="5"/>
  <c r="W730" i="5" s="1"/>
  <c r="O729" i="5"/>
  <c r="W729" i="5" s="1"/>
  <c r="X729" i="5" s="1"/>
  <c r="D729" i="5"/>
  <c r="O728" i="5"/>
  <c r="W728" i="5" s="1"/>
  <c r="Y728" i="5" s="1"/>
  <c r="AA728" i="5" s="1"/>
  <c r="D728" i="5"/>
  <c r="C728" i="5"/>
  <c r="Z727" i="5"/>
  <c r="Q727" i="5"/>
  <c r="O727" i="5"/>
  <c r="D727" i="5"/>
  <c r="C727" i="5"/>
  <c r="O726" i="5"/>
  <c r="W726" i="5" s="1"/>
  <c r="Y726" i="5" s="1"/>
  <c r="AA726" i="5" s="1"/>
  <c r="O725" i="5"/>
  <c r="W725" i="5" s="1"/>
  <c r="Y725" i="5" s="1"/>
  <c r="AA725" i="5" s="1"/>
  <c r="D725" i="5"/>
  <c r="Z724" i="5"/>
  <c r="O724" i="5"/>
  <c r="W724" i="5" s="1"/>
  <c r="Q723" i="5"/>
  <c r="O723" i="5"/>
  <c r="M722" i="5"/>
  <c r="O722" i="5" s="1"/>
  <c r="Q721" i="5"/>
  <c r="O721" i="5"/>
  <c r="W721" i="5" s="1"/>
  <c r="Y721" i="5" s="1"/>
  <c r="AA721" i="5" s="1"/>
  <c r="R720" i="5"/>
  <c r="O720" i="5"/>
  <c r="O719" i="5"/>
  <c r="W719" i="5" s="1"/>
  <c r="Y719" i="5" s="1"/>
  <c r="AA719" i="5" s="1"/>
  <c r="Z718" i="5"/>
  <c r="Q718" i="5"/>
  <c r="P718" i="5"/>
  <c r="M718" i="5"/>
  <c r="O718" i="5" s="1"/>
  <c r="Z717" i="5"/>
  <c r="P717" i="5"/>
  <c r="M717" i="5"/>
  <c r="O717" i="5" s="1"/>
  <c r="W717" i="5" s="1"/>
  <c r="U716" i="5"/>
  <c r="O716" i="5"/>
  <c r="O715" i="5"/>
  <c r="O714" i="5"/>
  <c r="O713" i="5"/>
  <c r="P712" i="5"/>
  <c r="O712" i="5"/>
  <c r="W712" i="5" s="1"/>
  <c r="O711" i="5"/>
  <c r="W711" i="5" s="1"/>
  <c r="O710" i="5"/>
  <c r="W710" i="5" s="1"/>
  <c r="O709" i="5"/>
  <c r="W709" i="5" s="1"/>
  <c r="Q708" i="5"/>
  <c r="O708" i="5"/>
  <c r="O707" i="5"/>
  <c r="W707" i="5" s="1"/>
  <c r="Y707" i="5" s="1"/>
  <c r="AA707" i="5" s="1"/>
  <c r="O706" i="5"/>
  <c r="W706" i="5" s="1"/>
  <c r="Z705" i="5"/>
  <c r="Q705" i="5"/>
  <c r="M705" i="5"/>
  <c r="O705" i="5" s="1"/>
  <c r="W705" i="5" s="1"/>
  <c r="X705" i="5" s="1"/>
  <c r="K704" i="5"/>
  <c r="O704" i="5" s="1"/>
  <c r="O703" i="5"/>
  <c r="W703" i="5" s="1"/>
  <c r="Y703" i="5" s="1"/>
  <c r="AA703" i="5" s="1"/>
  <c r="O702" i="5"/>
  <c r="O701" i="5"/>
  <c r="W701" i="5" s="1"/>
  <c r="O700" i="5"/>
  <c r="O699" i="5"/>
  <c r="O698" i="5"/>
  <c r="O697" i="5"/>
  <c r="W697" i="5" s="1"/>
  <c r="Y697" i="5" s="1"/>
  <c r="AA697" i="5" s="1"/>
  <c r="Q696" i="5"/>
  <c r="O696" i="5"/>
  <c r="O695" i="5"/>
  <c r="W695" i="5" s="1"/>
  <c r="Q694" i="5"/>
  <c r="P694" i="5"/>
  <c r="O694" i="5"/>
  <c r="Z693" i="5"/>
  <c r="P693" i="5"/>
  <c r="O693" i="5"/>
  <c r="W693" i="5" s="1"/>
  <c r="Y693" i="5" s="1"/>
  <c r="AA693" i="5" s="1"/>
  <c r="P692" i="5"/>
  <c r="O692" i="5"/>
  <c r="O691" i="5"/>
  <c r="P690" i="5"/>
  <c r="O690" i="5"/>
  <c r="W690" i="5" s="1"/>
  <c r="O689" i="5"/>
  <c r="W689" i="5" s="1"/>
  <c r="O688" i="5"/>
  <c r="W688" i="5" s="1"/>
  <c r="Z687" i="5"/>
  <c r="O687" i="5"/>
  <c r="W687" i="5" s="1"/>
  <c r="Y687" i="5" s="1"/>
  <c r="Z686" i="5"/>
  <c r="O686" i="5"/>
  <c r="W686" i="5" s="1"/>
  <c r="Q685" i="5"/>
  <c r="O685" i="5"/>
  <c r="W685" i="5" s="1"/>
  <c r="X685" i="5" s="1"/>
  <c r="F685" i="5"/>
  <c r="E685" i="5"/>
  <c r="O684" i="5"/>
  <c r="F684" i="5"/>
  <c r="E684" i="5"/>
  <c r="O683" i="5"/>
  <c r="W683" i="5" s="1"/>
  <c r="M682" i="5"/>
  <c r="O682" i="5" s="1"/>
  <c r="O681" i="5"/>
  <c r="W681" i="5" s="1"/>
  <c r="O680" i="5"/>
  <c r="W680" i="5" s="1"/>
  <c r="X680" i="5" s="1"/>
  <c r="M680" i="5"/>
  <c r="O679" i="5"/>
  <c r="W679" i="5" s="1"/>
  <c r="Y679" i="5" s="1"/>
  <c r="AA679" i="5" s="1"/>
  <c r="F679" i="5"/>
  <c r="E679" i="5"/>
  <c r="Z678" i="5"/>
  <c r="Q678" i="5"/>
  <c r="O678" i="5"/>
  <c r="F678" i="5"/>
  <c r="E678" i="5"/>
  <c r="Q677" i="5"/>
  <c r="O677" i="5"/>
  <c r="W677" i="5" s="1"/>
  <c r="Y677" i="5" s="1"/>
  <c r="AA677" i="5" s="1"/>
  <c r="F677" i="5"/>
  <c r="E677" i="5"/>
  <c r="Q676" i="5"/>
  <c r="O676" i="5"/>
  <c r="W676" i="5" s="1"/>
  <c r="F676" i="5"/>
  <c r="E676" i="5"/>
  <c r="Z675" i="5"/>
  <c r="P675" i="5"/>
  <c r="O675" i="5"/>
  <c r="M675" i="5"/>
  <c r="F675" i="5"/>
  <c r="E675" i="5"/>
  <c r="P674" i="5"/>
  <c r="O674" i="5"/>
  <c r="W674" i="5" s="1"/>
  <c r="F674" i="5"/>
  <c r="E674" i="5"/>
  <c r="O673" i="5"/>
  <c r="W673" i="5" s="1"/>
  <c r="X673" i="5" s="1"/>
  <c r="F673" i="5"/>
  <c r="E673" i="5"/>
  <c r="O672" i="5"/>
  <c r="W672" i="5" s="1"/>
  <c r="Y672" i="5" s="1"/>
  <c r="AA672" i="5" s="1"/>
  <c r="F672" i="5"/>
  <c r="E672" i="5"/>
  <c r="O671" i="5"/>
  <c r="W671" i="5" s="1"/>
  <c r="F671" i="5"/>
  <c r="E671" i="5"/>
  <c r="O670" i="5"/>
  <c r="W670" i="5" s="1"/>
  <c r="O669" i="5"/>
  <c r="F669" i="5"/>
  <c r="E669" i="5"/>
  <c r="O668" i="5"/>
  <c r="W668" i="5" s="1"/>
  <c r="F668" i="5"/>
  <c r="E668" i="5"/>
  <c r="O667" i="5"/>
  <c r="W667" i="5" s="1"/>
  <c r="Y667" i="5" s="1"/>
  <c r="AA667" i="5" s="1"/>
  <c r="F667" i="5"/>
  <c r="E667" i="5"/>
  <c r="Q666" i="5"/>
  <c r="P666" i="5"/>
  <c r="O666" i="5"/>
  <c r="F666" i="5"/>
  <c r="E666" i="5"/>
  <c r="P665" i="5"/>
  <c r="O665" i="5"/>
  <c r="W665" i="5" s="1"/>
  <c r="Y665" i="5" s="1"/>
  <c r="AA665" i="5" s="1"/>
  <c r="F665" i="5"/>
  <c r="E665" i="5"/>
  <c r="P664" i="5"/>
  <c r="O664" i="5"/>
  <c r="W664" i="5" s="1"/>
  <c r="F664" i="5"/>
  <c r="E664" i="5"/>
  <c r="O663" i="5"/>
  <c r="W663" i="5" s="1"/>
  <c r="Y663" i="5" s="1"/>
  <c r="AA663" i="5" s="1"/>
  <c r="F663" i="5"/>
  <c r="E663" i="5"/>
  <c r="Q662" i="5"/>
  <c r="P662" i="5"/>
  <c r="M662" i="5"/>
  <c r="O662" i="5" s="1"/>
  <c r="F662" i="5"/>
  <c r="E662" i="5"/>
  <c r="Z661" i="5"/>
  <c r="Q661" i="5"/>
  <c r="O661" i="5"/>
  <c r="F661" i="5"/>
  <c r="E661" i="5"/>
  <c r="Q660" i="5"/>
  <c r="O660" i="5"/>
  <c r="W660" i="5" s="1"/>
  <c r="F660" i="5"/>
  <c r="E660" i="5"/>
  <c r="O659" i="5"/>
  <c r="W659" i="5" s="1"/>
  <c r="Y659" i="5" s="1"/>
  <c r="AA659" i="5" s="1"/>
  <c r="F659" i="5"/>
  <c r="E659" i="5"/>
  <c r="Q658" i="5"/>
  <c r="P658" i="5"/>
  <c r="O658" i="5"/>
  <c r="F658" i="5"/>
  <c r="E658" i="5"/>
  <c r="Q657" i="5"/>
  <c r="P657" i="5"/>
  <c r="O657" i="5"/>
  <c r="F657" i="5"/>
  <c r="E657" i="5"/>
  <c r="M656" i="5"/>
  <c r="O656" i="5" s="1"/>
  <c r="F656" i="5"/>
  <c r="E656" i="5"/>
  <c r="Z655" i="5"/>
  <c r="O655" i="5"/>
  <c r="W655" i="5" s="1"/>
  <c r="F655" i="5"/>
  <c r="E655" i="5"/>
  <c r="O654" i="5"/>
  <c r="F654" i="5"/>
  <c r="E654" i="5"/>
  <c r="M653" i="5"/>
  <c r="O653" i="5" s="1"/>
  <c r="F653" i="5"/>
  <c r="E653" i="5"/>
  <c r="O652" i="5"/>
  <c r="W652" i="5" s="1"/>
  <c r="M652" i="5"/>
  <c r="F652" i="5"/>
  <c r="E652" i="5"/>
  <c r="W651" i="5"/>
  <c r="Y651" i="5" s="1"/>
  <c r="AA651" i="5" s="1"/>
  <c r="O651" i="5"/>
  <c r="F651" i="5"/>
  <c r="E651" i="5"/>
  <c r="P650" i="5"/>
  <c r="O650" i="5"/>
  <c r="W650" i="5" s="1"/>
  <c r="Y650" i="5" s="1"/>
  <c r="AA650" i="5" s="1"/>
  <c r="F650" i="5"/>
  <c r="E650" i="5"/>
  <c r="Z649" i="5"/>
  <c r="Q649" i="5"/>
  <c r="O649" i="5"/>
  <c r="F649" i="5"/>
  <c r="E649" i="5"/>
  <c r="Q648" i="5"/>
  <c r="P648" i="5"/>
  <c r="O648" i="5"/>
  <c r="F648" i="5"/>
  <c r="E648" i="5"/>
  <c r="P647" i="5"/>
  <c r="M647" i="5"/>
  <c r="O647" i="5" s="1"/>
  <c r="F647" i="5"/>
  <c r="E647" i="5"/>
  <c r="O646" i="5"/>
  <c r="W646" i="5" s="1"/>
  <c r="F646" i="5"/>
  <c r="E646" i="5"/>
  <c r="Z645" i="5"/>
  <c r="Q645" i="5"/>
  <c r="M645" i="5"/>
  <c r="O645" i="5" s="1"/>
  <c r="F645" i="5"/>
  <c r="E645" i="5"/>
  <c r="O644" i="5"/>
  <c r="F644" i="5"/>
  <c r="E644" i="5"/>
  <c r="O643" i="5"/>
  <c r="W643" i="5" s="1"/>
  <c r="X643" i="5" s="1"/>
  <c r="F643" i="5"/>
  <c r="E643" i="5"/>
  <c r="Q642" i="5"/>
  <c r="O642" i="5"/>
  <c r="F642" i="5"/>
  <c r="E642" i="5"/>
  <c r="O641" i="5"/>
  <c r="W641" i="5" s="1"/>
  <c r="X641" i="5" s="1"/>
  <c r="F641" i="5"/>
  <c r="E641" i="5"/>
  <c r="P640" i="5"/>
  <c r="O640" i="5"/>
  <c r="F640" i="5"/>
  <c r="E640" i="5"/>
  <c r="O639" i="5"/>
  <c r="W639" i="5" s="1"/>
  <c r="Y639" i="5" s="1"/>
  <c r="AA639" i="5" s="1"/>
  <c r="F639" i="5"/>
  <c r="E639" i="5"/>
  <c r="P638" i="5"/>
  <c r="O638" i="5"/>
  <c r="F638" i="5"/>
  <c r="E638" i="5"/>
  <c r="M637" i="5"/>
  <c r="O637" i="5" s="1"/>
  <c r="W637" i="5" s="1"/>
  <c r="F637" i="5"/>
  <c r="E637" i="5"/>
  <c r="O636" i="5"/>
  <c r="F636" i="5"/>
  <c r="E636" i="5"/>
  <c r="P635" i="5"/>
  <c r="O635" i="5"/>
  <c r="F635" i="5"/>
  <c r="E635" i="5"/>
  <c r="O634" i="5"/>
  <c r="W634" i="5" s="1"/>
  <c r="X634" i="5" s="1"/>
  <c r="F634" i="5"/>
  <c r="E634" i="5"/>
  <c r="O633" i="5"/>
  <c r="Z632" i="5"/>
  <c r="Q632" i="5"/>
  <c r="O632" i="5"/>
  <c r="W632" i="5" s="1"/>
  <c r="M632" i="5"/>
  <c r="Z631" i="5"/>
  <c r="Q631" i="5"/>
  <c r="M631" i="5"/>
  <c r="O631" i="5" s="1"/>
  <c r="Q630" i="5"/>
  <c r="P630" i="5"/>
  <c r="J630" i="5"/>
  <c r="O630" i="5" s="1"/>
  <c r="O629" i="5"/>
  <c r="W629" i="5" s="1"/>
  <c r="Z628" i="5"/>
  <c r="M628" i="5"/>
  <c r="O628" i="5" s="1"/>
  <c r="Z627" i="5"/>
  <c r="Q627" i="5"/>
  <c r="O627" i="5"/>
  <c r="W627" i="5" s="1"/>
  <c r="O626" i="5"/>
  <c r="M626" i="5"/>
  <c r="O625" i="5"/>
  <c r="W625" i="5" s="1"/>
  <c r="P624" i="5"/>
  <c r="O624" i="5"/>
  <c r="W624" i="5" s="1"/>
  <c r="Z623" i="5"/>
  <c r="Q623" i="5"/>
  <c r="O623" i="5"/>
  <c r="O622" i="5"/>
  <c r="W622" i="5" s="1"/>
  <c r="O621" i="5"/>
  <c r="W621" i="5" s="1"/>
  <c r="O620" i="5"/>
  <c r="W620" i="5" s="1"/>
  <c r="P619" i="5"/>
  <c r="O619" i="5"/>
  <c r="P618" i="5"/>
  <c r="O618" i="5"/>
  <c r="W618" i="5" s="1"/>
  <c r="Y618" i="5" s="1"/>
  <c r="AA618" i="5" s="1"/>
  <c r="F618" i="5"/>
  <c r="E618" i="5"/>
  <c r="O617" i="5"/>
  <c r="W617" i="5" s="1"/>
  <c r="Y617" i="5" s="1"/>
  <c r="AA617" i="5" s="1"/>
  <c r="F617" i="5"/>
  <c r="E617" i="5"/>
  <c r="O616" i="5"/>
  <c r="W616" i="5" s="1"/>
  <c r="F616" i="5"/>
  <c r="E616" i="5"/>
  <c r="O615" i="5"/>
  <c r="W615" i="5" s="1"/>
  <c r="Y615" i="5" s="1"/>
  <c r="AA615" i="5" s="1"/>
  <c r="O614" i="5"/>
  <c r="F614" i="5"/>
  <c r="E614" i="5"/>
  <c r="O613" i="5"/>
  <c r="O612" i="5"/>
  <c r="W612" i="5" s="1"/>
  <c r="Y612" i="5" s="1"/>
  <c r="AA612" i="5" s="1"/>
  <c r="O611" i="5"/>
  <c r="F611" i="5"/>
  <c r="E611" i="5"/>
  <c r="Q610" i="5"/>
  <c r="O610" i="5"/>
  <c r="F610" i="5"/>
  <c r="E610" i="5"/>
  <c r="M609" i="5"/>
  <c r="O609" i="5" s="1"/>
  <c r="F609" i="5"/>
  <c r="E609" i="5"/>
  <c r="O608" i="5"/>
  <c r="W608" i="5" s="1"/>
  <c r="F608" i="5"/>
  <c r="E608" i="5"/>
  <c r="M607" i="5"/>
  <c r="O607" i="5" s="1"/>
  <c r="F607" i="5"/>
  <c r="E607" i="5"/>
  <c r="O606" i="5"/>
  <c r="W606" i="5" s="1"/>
  <c r="X606" i="5" s="1"/>
  <c r="F606" i="5"/>
  <c r="E606" i="5"/>
  <c r="O605" i="5"/>
  <c r="F605" i="5"/>
  <c r="E605" i="5"/>
  <c r="O604" i="5"/>
  <c r="W604" i="5" s="1"/>
  <c r="F604" i="5"/>
  <c r="E604" i="5"/>
  <c r="O603" i="5"/>
  <c r="O602" i="5"/>
  <c r="W602" i="5" s="1"/>
  <c r="Y602" i="5" s="1"/>
  <c r="AA602" i="5" s="1"/>
  <c r="F602" i="5"/>
  <c r="E602" i="5"/>
  <c r="O601" i="5"/>
  <c r="W601" i="5" s="1"/>
  <c r="Y601" i="5" s="1"/>
  <c r="AA601" i="5" s="1"/>
  <c r="F601" i="5"/>
  <c r="E601" i="5"/>
  <c r="O600" i="5"/>
  <c r="W600" i="5" s="1"/>
  <c r="F600" i="5"/>
  <c r="E600" i="5"/>
  <c r="Z599" i="5"/>
  <c r="Q599" i="5"/>
  <c r="O599" i="5"/>
  <c r="F599" i="5"/>
  <c r="E599" i="5"/>
  <c r="Z598" i="5"/>
  <c r="P598" i="5"/>
  <c r="O598" i="5"/>
  <c r="W598" i="5" s="1"/>
  <c r="F598" i="5"/>
  <c r="E598" i="5"/>
  <c r="P597" i="5"/>
  <c r="O597" i="5"/>
  <c r="W597" i="5" s="1"/>
  <c r="Y597" i="5" s="1"/>
  <c r="AA597" i="5" s="1"/>
  <c r="F597" i="5"/>
  <c r="E597" i="5"/>
  <c r="Z596" i="5"/>
  <c r="O596" i="5"/>
  <c r="W596" i="5" s="1"/>
  <c r="F596" i="5"/>
  <c r="E596" i="5"/>
  <c r="M595" i="5"/>
  <c r="O595" i="5" s="1"/>
  <c r="F595" i="5"/>
  <c r="E595" i="5"/>
  <c r="P594" i="5"/>
  <c r="O594" i="5"/>
  <c r="F594" i="5"/>
  <c r="E594" i="5"/>
  <c r="W593" i="5"/>
  <c r="Y593" i="5" s="1"/>
  <c r="AA593" i="5" s="1"/>
  <c r="Q593" i="5"/>
  <c r="O593" i="5"/>
  <c r="F593" i="5"/>
  <c r="E593" i="5"/>
  <c r="O592" i="5"/>
  <c r="W592" i="5" s="1"/>
  <c r="Y592" i="5" s="1"/>
  <c r="AA592" i="5" s="1"/>
  <c r="F592" i="5"/>
  <c r="E592" i="5"/>
  <c r="Q591" i="5"/>
  <c r="O591" i="5"/>
  <c r="F591" i="5"/>
  <c r="E591" i="5"/>
  <c r="Q590" i="5"/>
  <c r="O590" i="5"/>
  <c r="F590" i="5"/>
  <c r="E590" i="5"/>
  <c r="O589" i="5"/>
  <c r="W589" i="5" s="1"/>
  <c r="M589" i="5"/>
  <c r="F589" i="5"/>
  <c r="E589" i="5"/>
  <c r="O588" i="5"/>
  <c r="W588" i="5" s="1"/>
  <c r="F588" i="5"/>
  <c r="E588" i="5"/>
  <c r="O587" i="5"/>
  <c r="W587" i="5" s="1"/>
  <c r="Y587" i="5" s="1"/>
  <c r="AA587" i="5" s="1"/>
  <c r="F587" i="5"/>
  <c r="E587" i="5"/>
  <c r="O586" i="5"/>
  <c r="W586" i="5" s="1"/>
  <c r="Y586" i="5" s="1"/>
  <c r="AA586" i="5" s="1"/>
  <c r="F586" i="5"/>
  <c r="E586" i="5"/>
  <c r="Q585" i="5"/>
  <c r="M585" i="5"/>
  <c r="O585" i="5" s="1"/>
  <c r="W585" i="5" s="1"/>
  <c r="F585" i="5"/>
  <c r="E585" i="5"/>
  <c r="O584" i="5"/>
  <c r="F584" i="5"/>
  <c r="E584" i="5"/>
  <c r="O583" i="5"/>
  <c r="W583" i="5" s="1"/>
  <c r="F583" i="5"/>
  <c r="E583" i="5"/>
  <c r="Q582" i="5"/>
  <c r="O582" i="5"/>
  <c r="F582" i="5"/>
  <c r="E582" i="5"/>
  <c r="O581" i="5"/>
  <c r="F581" i="5"/>
  <c r="E581" i="5"/>
  <c r="P580" i="5"/>
  <c r="O580" i="5"/>
  <c r="F580" i="5"/>
  <c r="E580" i="5"/>
  <c r="O579" i="5"/>
  <c r="W579" i="5" s="1"/>
  <c r="Y579" i="5" s="1"/>
  <c r="AA579" i="5" s="1"/>
  <c r="F579" i="5"/>
  <c r="E579" i="5"/>
  <c r="O578" i="5"/>
  <c r="W578" i="5" s="1"/>
  <c r="F578" i="5"/>
  <c r="E578" i="5"/>
  <c r="Z577" i="5"/>
  <c r="M577" i="5"/>
  <c r="O577" i="5" s="1"/>
  <c r="W577" i="5" s="1"/>
  <c r="F577" i="5"/>
  <c r="E577" i="5"/>
  <c r="O576" i="5"/>
  <c r="W576" i="5" s="1"/>
  <c r="F576" i="5"/>
  <c r="E576" i="5"/>
  <c r="O575" i="5"/>
  <c r="W575" i="5" s="1"/>
  <c r="F575" i="5"/>
  <c r="E575" i="5"/>
  <c r="O574" i="5"/>
  <c r="W574" i="5" s="1"/>
  <c r="Y574" i="5" s="1"/>
  <c r="AA574" i="5" s="1"/>
  <c r="F574" i="5"/>
  <c r="E574" i="5"/>
  <c r="O573" i="5"/>
  <c r="W573" i="5" s="1"/>
  <c r="F573" i="5"/>
  <c r="E573" i="5"/>
  <c r="O572" i="5"/>
  <c r="W572" i="5" s="1"/>
  <c r="F572" i="5"/>
  <c r="E572" i="5"/>
  <c r="O571" i="5"/>
  <c r="F571" i="5"/>
  <c r="E571" i="5"/>
  <c r="O570" i="5"/>
  <c r="W570" i="5" s="1"/>
  <c r="F570" i="5"/>
  <c r="E570" i="5"/>
  <c r="O569" i="5"/>
  <c r="W569" i="5" s="1"/>
  <c r="F569" i="5"/>
  <c r="E569" i="5"/>
  <c r="O568" i="5"/>
  <c r="W568" i="5" s="1"/>
  <c r="Y568" i="5" s="1"/>
  <c r="AA568" i="5" s="1"/>
  <c r="F568" i="5"/>
  <c r="E568" i="5"/>
  <c r="O567" i="5"/>
  <c r="W567" i="5" s="1"/>
  <c r="F567" i="5"/>
  <c r="E567" i="5"/>
  <c r="O566" i="5"/>
  <c r="W566" i="5" s="1"/>
  <c r="F566" i="5"/>
  <c r="E566" i="5"/>
  <c r="Z565" i="5"/>
  <c r="P565" i="5"/>
  <c r="O565" i="5"/>
  <c r="F565" i="5"/>
  <c r="E565" i="5"/>
  <c r="Q564" i="5"/>
  <c r="M564" i="5"/>
  <c r="O564" i="5" s="1"/>
  <c r="W564" i="5" s="1"/>
  <c r="Y564" i="5" s="1"/>
  <c r="AA564" i="5" s="1"/>
  <c r="F564" i="5"/>
  <c r="E564" i="5"/>
  <c r="Z563" i="5"/>
  <c r="M563" i="5"/>
  <c r="O563" i="5" s="1"/>
  <c r="F563" i="5"/>
  <c r="E563" i="5"/>
  <c r="Q562" i="5"/>
  <c r="O562" i="5"/>
  <c r="W562" i="5" s="1"/>
  <c r="Y562" i="5" s="1"/>
  <c r="AA562" i="5" s="1"/>
  <c r="D562" i="5"/>
  <c r="O561" i="5"/>
  <c r="M560" i="5"/>
  <c r="O560" i="5" s="1"/>
  <c r="O559" i="5"/>
  <c r="W559" i="5" s="1"/>
  <c r="M558" i="5"/>
  <c r="O558" i="5" s="1"/>
  <c r="O557" i="5"/>
  <c r="W557" i="5" s="1"/>
  <c r="Y557" i="5" s="1"/>
  <c r="AA557" i="5" s="1"/>
  <c r="O556" i="5"/>
  <c r="Z555" i="5"/>
  <c r="Q555" i="5"/>
  <c r="O555" i="5"/>
  <c r="W555" i="5" s="1"/>
  <c r="X555" i="5" s="1"/>
  <c r="O554" i="5"/>
  <c r="W554" i="5" s="1"/>
  <c r="O553" i="5"/>
  <c r="W553" i="5" s="1"/>
  <c r="P552" i="5"/>
  <c r="O552" i="5"/>
  <c r="W552" i="5" s="1"/>
  <c r="Y552" i="5" s="1"/>
  <c r="AA552" i="5" s="1"/>
  <c r="P551" i="5"/>
  <c r="O551" i="5"/>
  <c r="F551" i="5"/>
  <c r="E551" i="5"/>
  <c r="I550" i="5"/>
  <c r="O550" i="5" s="1"/>
  <c r="W550" i="5" s="1"/>
  <c r="I549" i="5"/>
  <c r="O549" i="5" s="1"/>
  <c r="I548" i="5"/>
  <c r="O548" i="5" s="1"/>
  <c r="W548" i="5" s="1"/>
  <c r="F548" i="5"/>
  <c r="E548" i="5"/>
  <c r="P547" i="5"/>
  <c r="O547" i="5"/>
  <c r="W547" i="5" s="1"/>
  <c r="O546" i="5"/>
  <c r="O545" i="5"/>
  <c r="W545" i="5" s="1"/>
  <c r="F545" i="5"/>
  <c r="E545" i="5"/>
  <c r="O544" i="5"/>
  <c r="O543" i="5"/>
  <c r="W543" i="5" s="1"/>
  <c r="O542" i="5"/>
  <c r="F542" i="5"/>
  <c r="E542" i="5"/>
  <c r="O541" i="5"/>
  <c r="W541" i="5" s="1"/>
  <c r="F541" i="5"/>
  <c r="E541" i="5"/>
  <c r="O540" i="5"/>
  <c r="W540" i="5" s="1"/>
  <c r="F540" i="5"/>
  <c r="E540" i="5"/>
  <c r="P539" i="5"/>
  <c r="O539" i="5"/>
  <c r="F539" i="5"/>
  <c r="E539" i="5"/>
  <c r="Q538" i="5"/>
  <c r="P538" i="5"/>
  <c r="O538" i="5"/>
  <c r="F538" i="5"/>
  <c r="E538" i="5"/>
  <c r="O537" i="5"/>
  <c r="W537" i="5" s="1"/>
  <c r="Y537" i="5" s="1"/>
  <c r="AA537" i="5" s="1"/>
  <c r="F537" i="5"/>
  <c r="E537" i="5"/>
  <c r="O536" i="5"/>
  <c r="W536" i="5" s="1"/>
  <c r="F536" i="5"/>
  <c r="E536" i="5"/>
  <c r="O535" i="5"/>
  <c r="W535" i="5" s="1"/>
  <c r="Y535" i="5" s="1"/>
  <c r="AA535" i="5" s="1"/>
  <c r="F535" i="5"/>
  <c r="E535" i="5"/>
  <c r="O534" i="5"/>
  <c r="W534" i="5" s="1"/>
  <c r="Y534" i="5" s="1"/>
  <c r="AA534" i="5" s="1"/>
  <c r="P533" i="5"/>
  <c r="O533" i="5"/>
  <c r="F533" i="5"/>
  <c r="E533" i="5"/>
  <c r="P532" i="5"/>
  <c r="O532" i="5"/>
  <c r="F532" i="5"/>
  <c r="E532" i="5"/>
  <c r="O531" i="5"/>
  <c r="W531" i="5" s="1"/>
  <c r="Y531" i="5" s="1"/>
  <c r="AA531" i="5" s="1"/>
  <c r="F531" i="5"/>
  <c r="E531" i="5"/>
  <c r="O530" i="5"/>
  <c r="W530" i="5" s="1"/>
  <c r="F530" i="5"/>
  <c r="E530" i="5"/>
  <c r="Z529" i="5"/>
  <c r="Q529" i="5"/>
  <c r="P529" i="5"/>
  <c r="O529" i="5"/>
  <c r="F529" i="5"/>
  <c r="E529" i="5"/>
  <c r="O528" i="5"/>
  <c r="F528" i="5"/>
  <c r="E528" i="5"/>
  <c r="O527" i="5"/>
  <c r="F527" i="5"/>
  <c r="E527" i="5"/>
  <c r="P526" i="5"/>
  <c r="O526" i="5"/>
  <c r="F526" i="5"/>
  <c r="E526" i="5"/>
  <c r="O525" i="5"/>
  <c r="W525" i="5" s="1"/>
  <c r="Y525" i="5" s="1"/>
  <c r="AA525" i="5" s="1"/>
  <c r="F525" i="5"/>
  <c r="E525" i="5"/>
  <c r="W524" i="5"/>
  <c r="Q524" i="5"/>
  <c r="O524" i="5"/>
  <c r="F524" i="5"/>
  <c r="E524" i="5"/>
  <c r="O523" i="5"/>
  <c r="W523" i="5" s="1"/>
  <c r="Y523" i="5" s="1"/>
  <c r="AA523" i="5" s="1"/>
  <c r="F523" i="5"/>
  <c r="E523" i="5"/>
  <c r="O522" i="5"/>
  <c r="F522" i="5"/>
  <c r="E522" i="5"/>
  <c r="Q521" i="5"/>
  <c r="O521" i="5"/>
  <c r="W521" i="5" s="1"/>
  <c r="F521" i="5"/>
  <c r="E521" i="5"/>
  <c r="P520" i="5"/>
  <c r="O520" i="5"/>
  <c r="W520" i="5" s="1"/>
  <c r="X520" i="5" s="1"/>
  <c r="F520" i="5"/>
  <c r="E520" i="5"/>
  <c r="O519" i="5"/>
  <c r="F519" i="5"/>
  <c r="E519" i="5"/>
  <c r="O518" i="5"/>
  <c r="F518" i="5"/>
  <c r="E518" i="5"/>
  <c r="O517" i="5"/>
  <c r="F517" i="5"/>
  <c r="E517" i="5"/>
  <c r="Q516" i="5"/>
  <c r="O516" i="5"/>
  <c r="F516" i="5"/>
  <c r="E516" i="5"/>
  <c r="O515" i="5"/>
  <c r="W515" i="5" s="1"/>
  <c r="F515" i="5"/>
  <c r="E515" i="5"/>
  <c r="O514" i="5"/>
  <c r="W514" i="5" s="1"/>
  <c r="F514" i="5"/>
  <c r="E514" i="5"/>
  <c r="O513" i="5"/>
  <c r="W513" i="5" s="1"/>
  <c r="F513" i="5"/>
  <c r="E513" i="5"/>
  <c r="Q512" i="5"/>
  <c r="O512" i="5"/>
  <c r="F512" i="5"/>
  <c r="E512" i="5"/>
  <c r="Q511" i="5"/>
  <c r="O511" i="5"/>
  <c r="F511" i="5"/>
  <c r="E511" i="5"/>
  <c r="O510" i="5"/>
  <c r="F510" i="5"/>
  <c r="E510" i="5"/>
  <c r="O509" i="5"/>
  <c r="W509" i="5" s="1"/>
  <c r="F509" i="5"/>
  <c r="E509" i="5"/>
  <c r="O508" i="5"/>
  <c r="W508" i="5" s="1"/>
  <c r="F508" i="5"/>
  <c r="E508" i="5"/>
  <c r="O507" i="5"/>
  <c r="F507" i="5"/>
  <c r="E507" i="5"/>
  <c r="P506" i="5"/>
  <c r="O506" i="5"/>
  <c r="F506" i="5"/>
  <c r="E506" i="5"/>
  <c r="P505" i="5"/>
  <c r="O505" i="5"/>
  <c r="F505" i="5"/>
  <c r="E505" i="5"/>
  <c r="O504" i="5"/>
  <c r="W504" i="5" s="1"/>
  <c r="F504" i="5"/>
  <c r="E504" i="5"/>
  <c r="O503" i="5"/>
  <c r="W503" i="5" s="1"/>
  <c r="F503" i="5"/>
  <c r="E503" i="5"/>
  <c r="O502" i="5"/>
  <c r="W502" i="5" s="1"/>
  <c r="F502" i="5"/>
  <c r="E502" i="5"/>
  <c r="O501" i="5"/>
  <c r="F501" i="5"/>
  <c r="E501" i="5"/>
  <c r="O500" i="5"/>
  <c r="W500" i="5" s="1"/>
  <c r="Y500" i="5" s="1"/>
  <c r="AA500" i="5" s="1"/>
  <c r="F500" i="5"/>
  <c r="E500" i="5"/>
  <c r="O499" i="5"/>
  <c r="F499" i="5"/>
  <c r="E499" i="5"/>
  <c r="O498" i="5"/>
  <c r="F498" i="5"/>
  <c r="E498" i="5"/>
  <c r="D498" i="5"/>
  <c r="O497" i="5"/>
  <c r="W497" i="5" s="1"/>
  <c r="Y497" i="5" s="1"/>
  <c r="AA497" i="5" s="1"/>
  <c r="F497" i="5"/>
  <c r="E497" i="5"/>
  <c r="O496" i="5"/>
  <c r="W496" i="5" s="1"/>
  <c r="Y496" i="5" s="1"/>
  <c r="AA496" i="5" s="1"/>
  <c r="F496" i="5"/>
  <c r="E496" i="5"/>
  <c r="O495" i="5"/>
  <c r="W495" i="5" s="1"/>
  <c r="F495" i="5"/>
  <c r="E495" i="5"/>
  <c r="O494" i="5"/>
  <c r="W494" i="5" s="1"/>
  <c r="Y494" i="5" s="1"/>
  <c r="AA494" i="5" s="1"/>
  <c r="F494" i="5"/>
  <c r="E494" i="5"/>
  <c r="O493" i="5"/>
  <c r="W493" i="5" s="1"/>
  <c r="F493" i="5"/>
  <c r="E493" i="5"/>
  <c r="P492" i="5"/>
  <c r="O492" i="5"/>
  <c r="F492" i="5"/>
  <c r="E492" i="5"/>
  <c r="Q491" i="5"/>
  <c r="O491" i="5"/>
  <c r="W491" i="5" s="1"/>
  <c r="X491" i="5" s="1"/>
  <c r="F491" i="5"/>
  <c r="E491" i="5"/>
  <c r="O490" i="5"/>
  <c r="F490" i="5"/>
  <c r="E490" i="5"/>
  <c r="O489" i="5"/>
  <c r="W489" i="5" s="1"/>
  <c r="X489" i="5" s="1"/>
  <c r="D489" i="5"/>
  <c r="O488" i="5"/>
  <c r="W488" i="5" s="1"/>
  <c r="O487" i="5"/>
  <c r="W487" i="5" s="1"/>
  <c r="P486" i="5"/>
  <c r="O486" i="5"/>
  <c r="W486" i="5" s="1"/>
  <c r="Z485" i="5"/>
  <c r="Q485" i="5"/>
  <c r="P485" i="5"/>
  <c r="O485" i="5"/>
  <c r="W485" i="5" s="1"/>
  <c r="Y485" i="5" s="1"/>
  <c r="AA485" i="5" s="1"/>
  <c r="P484" i="5"/>
  <c r="O484" i="5"/>
  <c r="W484" i="5" s="1"/>
  <c r="Y484" i="5" s="1"/>
  <c r="AA484" i="5" s="1"/>
  <c r="P483" i="5"/>
  <c r="O483" i="5"/>
  <c r="P482" i="5"/>
  <c r="O482" i="5"/>
  <c r="W482" i="5" s="1"/>
  <c r="P481" i="5"/>
  <c r="O481" i="5"/>
  <c r="P480" i="5"/>
  <c r="O480" i="5"/>
  <c r="P479" i="5"/>
  <c r="O479" i="5"/>
  <c r="W479" i="5" s="1"/>
  <c r="Y479" i="5" s="1"/>
  <c r="AA479" i="5" s="1"/>
  <c r="Z478" i="5"/>
  <c r="P478" i="5"/>
  <c r="O478" i="5"/>
  <c r="N477" i="5"/>
  <c r="M477" i="5"/>
  <c r="L477" i="5"/>
  <c r="J477" i="5"/>
  <c r="I477" i="5"/>
  <c r="N476" i="5"/>
  <c r="M476" i="5"/>
  <c r="L476" i="5"/>
  <c r="J476" i="5"/>
  <c r="I476" i="5"/>
  <c r="N475" i="5"/>
  <c r="L475" i="5"/>
  <c r="J475" i="5"/>
  <c r="I475" i="5"/>
  <c r="N474" i="5"/>
  <c r="L474" i="5"/>
  <c r="J474" i="5"/>
  <c r="I474" i="5"/>
  <c r="P473" i="5"/>
  <c r="N473" i="5"/>
  <c r="M473" i="5"/>
  <c r="L473" i="5"/>
  <c r="J473" i="5"/>
  <c r="I473" i="5"/>
  <c r="F473" i="5"/>
  <c r="E473" i="5"/>
  <c r="O472" i="5"/>
  <c r="W472" i="5" s="1"/>
  <c r="Z471" i="5"/>
  <c r="Q471" i="5"/>
  <c r="O471" i="5"/>
  <c r="W471" i="5" s="1"/>
  <c r="Y471" i="5" s="1"/>
  <c r="AA471" i="5" s="1"/>
  <c r="F471" i="5"/>
  <c r="E471" i="5"/>
  <c r="O470" i="5"/>
  <c r="W470" i="5" s="1"/>
  <c r="F470" i="5"/>
  <c r="E470" i="5"/>
  <c r="Z469" i="5"/>
  <c r="O469" i="5"/>
  <c r="W469" i="5" s="1"/>
  <c r="Y469" i="5" s="1"/>
  <c r="AA469" i="5" s="1"/>
  <c r="F469" i="5"/>
  <c r="E469" i="5"/>
  <c r="M468" i="5"/>
  <c r="O468" i="5" s="1"/>
  <c r="F468" i="5"/>
  <c r="E468" i="5"/>
  <c r="O467" i="5"/>
  <c r="F467" i="5"/>
  <c r="E467" i="5"/>
  <c r="O466" i="5"/>
  <c r="W466" i="5" s="1"/>
  <c r="F466" i="5"/>
  <c r="E466" i="5"/>
  <c r="O465" i="5"/>
  <c r="W465" i="5" s="1"/>
  <c r="Y465" i="5" s="1"/>
  <c r="AA465" i="5" s="1"/>
  <c r="F465" i="5"/>
  <c r="E465" i="5"/>
  <c r="R464" i="5"/>
  <c r="Q464" i="5"/>
  <c r="P464" i="5"/>
  <c r="O464" i="5"/>
  <c r="F464" i="5"/>
  <c r="E464" i="5"/>
  <c r="O463" i="5"/>
  <c r="W463" i="5" s="1"/>
  <c r="Y463" i="5" s="1"/>
  <c r="AA463" i="5" s="1"/>
  <c r="F463" i="5"/>
  <c r="E463" i="5"/>
  <c r="O462" i="5"/>
  <c r="W462" i="5" s="1"/>
  <c r="Y462" i="5" s="1"/>
  <c r="AA462" i="5" s="1"/>
  <c r="O461" i="5"/>
  <c r="W461" i="5" s="1"/>
  <c r="Y461" i="5" s="1"/>
  <c r="AA461" i="5" s="1"/>
  <c r="F461" i="5"/>
  <c r="E461" i="5"/>
  <c r="O460" i="5"/>
  <c r="W460" i="5" s="1"/>
  <c r="F460" i="5"/>
  <c r="E460" i="5"/>
  <c r="O459" i="5"/>
  <c r="F459" i="5"/>
  <c r="E459" i="5"/>
  <c r="Z458" i="5"/>
  <c r="Q458" i="5"/>
  <c r="O458" i="5"/>
  <c r="F458" i="5"/>
  <c r="E458" i="5"/>
  <c r="O457" i="5"/>
  <c r="W457" i="5" s="1"/>
  <c r="Y457" i="5" s="1"/>
  <c r="AA457" i="5" s="1"/>
  <c r="F457" i="5"/>
  <c r="E457" i="5"/>
  <c r="O456" i="5"/>
  <c r="W456" i="5" s="1"/>
  <c r="Y456" i="5" s="1"/>
  <c r="AA456" i="5" s="1"/>
  <c r="F456" i="5"/>
  <c r="E456" i="5"/>
  <c r="O455" i="5"/>
  <c r="F455" i="5"/>
  <c r="E455" i="5"/>
  <c r="Z454" i="5"/>
  <c r="O454" i="5"/>
  <c r="F454" i="5"/>
  <c r="E454" i="5"/>
  <c r="Z453" i="5"/>
  <c r="O453" i="5"/>
  <c r="W453" i="5" s="1"/>
  <c r="F453" i="5"/>
  <c r="E453" i="5"/>
  <c r="O452" i="5"/>
  <c r="M452" i="5"/>
  <c r="F452" i="5"/>
  <c r="E452" i="5"/>
  <c r="P451" i="5"/>
  <c r="O451" i="5"/>
  <c r="F451" i="5"/>
  <c r="E451" i="5"/>
  <c r="O450" i="5"/>
  <c r="W450" i="5" s="1"/>
  <c r="Y450" i="5" s="1"/>
  <c r="AA450" i="5" s="1"/>
  <c r="F450" i="5"/>
  <c r="E450" i="5"/>
  <c r="O449" i="5"/>
  <c r="W449" i="5" s="1"/>
  <c r="F449" i="5"/>
  <c r="E449" i="5"/>
  <c r="O448" i="5"/>
  <c r="F448" i="5"/>
  <c r="E448" i="5"/>
  <c r="Z447" i="5"/>
  <c r="O447" i="5"/>
  <c r="F447" i="5"/>
  <c r="E447" i="5"/>
  <c r="O446" i="5"/>
  <c r="W446" i="5" s="1"/>
  <c r="F446" i="5"/>
  <c r="E446" i="5"/>
  <c r="O445" i="5"/>
  <c r="W445" i="5" s="1"/>
  <c r="Y445" i="5" s="1"/>
  <c r="AA445" i="5" s="1"/>
  <c r="F445" i="5"/>
  <c r="E445" i="5"/>
  <c r="Q444" i="5"/>
  <c r="O444" i="5"/>
  <c r="F444" i="5"/>
  <c r="E444" i="5"/>
  <c r="Q443" i="5"/>
  <c r="O443" i="5"/>
  <c r="W443" i="5" s="1"/>
  <c r="M443" i="5"/>
  <c r="F443" i="5"/>
  <c r="E443" i="5"/>
  <c r="O442" i="5"/>
  <c r="W442" i="5" s="1"/>
  <c r="Y442" i="5" s="1"/>
  <c r="AA442" i="5" s="1"/>
  <c r="F442" i="5"/>
  <c r="E442" i="5"/>
  <c r="Q441" i="5"/>
  <c r="O441" i="5"/>
  <c r="F441" i="5"/>
  <c r="E441" i="5"/>
  <c r="O440" i="5"/>
  <c r="F440" i="5"/>
  <c r="E440" i="5"/>
  <c r="Z439" i="5"/>
  <c r="O439" i="5"/>
  <c r="W439" i="5" s="1"/>
  <c r="F439" i="5"/>
  <c r="E439" i="5"/>
  <c r="O438" i="5"/>
  <c r="F438" i="5"/>
  <c r="E438" i="5"/>
  <c r="O437" i="5"/>
  <c r="W437" i="5" s="1"/>
  <c r="Y437" i="5" s="1"/>
  <c r="AA437" i="5" s="1"/>
  <c r="F437" i="5"/>
  <c r="E437" i="5"/>
  <c r="O436" i="5"/>
  <c r="W436" i="5" s="1"/>
  <c r="F436" i="5"/>
  <c r="E436" i="5"/>
  <c r="O435" i="5"/>
  <c r="F435" i="5"/>
  <c r="E435" i="5"/>
  <c r="Z434" i="5"/>
  <c r="Q434" i="5"/>
  <c r="O434" i="5"/>
  <c r="M434" i="5"/>
  <c r="F434" i="5"/>
  <c r="E434" i="5"/>
  <c r="O433" i="5"/>
  <c r="M433" i="5"/>
  <c r="F433" i="5"/>
  <c r="E433" i="5"/>
  <c r="O432" i="5"/>
  <c r="W432" i="5" s="1"/>
  <c r="F432" i="5"/>
  <c r="E432" i="5"/>
  <c r="O431" i="5"/>
  <c r="F431" i="5"/>
  <c r="E431" i="5"/>
  <c r="O430" i="5"/>
  <c r="W430" i="5" s="1"/>
  <c r="Y430" i="5" s="1"/>
  <c r="AA430" i="5" s="1"/>
  <c r="F430" i="5"/>
  <c r="E430" i="5"/>
  <c r="O429" i="5"/>
  <c r="W429" i="5" s="1"/>
  <c r="F429" i="5"/>
  <c r="E429" i="5"/>
  <c r="O428" i="5"/>
  <c r="F428" i="5"/>
  <c r="E428" i="5"/>
  <c r="O427" i="5"/>
  <c r="W427" i="5" s="1"/>
  <c r="Y427" i="5" s="1"/>
  <c r="AA427" i="5" s="1"/>
  <c r="F427" i="5"/>
  <c r="E427" i="5"/>
  <c r="O426" i="5"/>
  <c r="W426" i="5" s="1"/>
  <c r="F426" i="5"/>
  <c r="E426" i="5"/>
  <c r="O425" i="5"/>
  <c r="F425" i="5"/>
  <c r="E425" i="5"/>
  <c r="D425" i="5"/>
  <c r="O424" i="5"/>
  <c r="F424" i="5"/>
  <c r="E424" i="5"/>
  <c r="O423" i="5"/>
  <c r="W423" i="5" s="1"/>
  <c r="F423" i="5"/>
  <c r="E423" i="5"/>
  <c r="O422" i="5"/>
  <c r="W422" i="5" s="1"/>
  <c r="F422" i="5"/>
  <c r="E422" i="5"/>
  <c r="O421" i="5"/>
  <c r="F421" i="5"/>
  <c r="E421" i="5"/>
  <c r="O420" i="5"/>
  <c r="W420" i="5" s="1"/>
  <c r="F420" i="5"/>
  <c r="E420" i="5"/>
  <c r="P419" i="5"/>
  <c r="O419" i="5"/>
  <c r="F419" i="5"/>
  <c r="E419" i="5"/>
  <c r="O418" i="5"/>
  <c r="F418" i="5"/>
  <c r="E418" i="5"/>
  <c r="Q417" i="5"/>
  <c r="O417" i="5"/>
  <c r="F417" i="5"/>
  <c r="E417" i="5"/>
  <c r="Q416" i="5"/>
  <c r="O416" i="5"/>
  <c r="W416" i="5" s="1"/>
  <c r="X416" i="5" s="1"/>
  <c r="F416" i="5"/>
  <c r="E416" i="5"/>
  <c r="P415" i="5"/>
  <c r="J415" i="5"/>
  <c r="O415" i="5" s="1"/>
  <c r="D415" i="5"/>
  <c r="P414" i="5"/>
  <c r="O414" i="5"/>
  <c r="D414" i="5"/>
  <c r="P413" i="5"/>
  <c r="O413" i="5"/>
  <c r="F413" i="5"/>
  <c r="E413" i="5"/>
  <c r="T412" i="5"/>
  <c r="R412" i="5"/>
  <c r="P412" i="5"/>
  <c r="M412" i="5"/>
  <c r="O412" i="5" s="1"/>
  <c r="D412" i="5"/>
  <c r="O411" i="5"/>
  <c r="W411" i="5" s="1"/>
  <c r="O410" i="5"/>
  <c r="F410" i="5"/>
  <c r="E410" i="5"/>
  <c r="Z409" i="5"/>
  <c r="U409" i="5"/>
  <c r="O409" i="5"/>
  <c r="W409" i="5" s="1"/>
  <c r="F409" i="5"/>
  <c r="E409" i="5"/>
  <c r="O408" i="5"/>
  <c r="W408" i="5" s="1"/>
  <c r="F408" i="5"/>
  <c r="E408" i="5"/>
  <c r="O407" i="5"/>
  <c r="F407" i="5"/>
  <c r="E407" i="5"/>
  <c r="O406" i="5"/>
  <c r="W406" i="5" s="1"/>
  <c r="F406" i="5"/>
  <c r="E406" i="5"/>
  <c r="O405" i="5"/>
  <c r="W405" i="5" s="1"/>
  <c r="F405" i="5"/>
  <c r="E405" i="5"/>
  <c r="O404" i="5"/>
  <c r="F404" i="5"/>
  <c r="E404" i="5"/>
  <c r="O403" i="5"/>
  <c r="W403" i="5" s="1"/>
  <c r="F403" i="5"/>
  <c r="E403" i="5"/>
  <c r="O402" i="5"/>
  <c r="W402" i="5" s="1"/>
  <c r="X402" i="5" s="1"/>
  <c r="F402" i="5"/>
  <c r="E402" i="5"/>
  <c r="Q401" i="5"/>
  <c r="P401" i="5"/>
  <c r="O401" i="5"/>
  <c r="F401" i="5"/>
  <c r="E401" i="5"/>
  <c r="O400" i="5"/>
  <c r="F400" i="5"/>
  <c r="E400" i="5"/>
  <c r="O399" i="5"/>
  <c r="W399" i="5" s="1"/>
  <c r="X399" i="5" s="1"/>
  <c r="O398" i="5"/>
  <c r="F398" i="5"/>
  <c r="E398" i="5"/>
  <c r="O397" i="5"/>
  <c r="W397" i="5" s="1"/>
  <c r="F397" i="5"/>
  <c r="E397" i="5"/>
  <c r="O396" i="5"/>
  <c r="W396" i="5" s="1"/>
  <c r="X396" i="5" s="1"/>
  <c r="F396" i="5"/>
  <c r="E396" i="5"/>
  <c r="O395" i="5"/>
  <c r="F395" i="5"/>
  <c r="E395" i="5"/>
  <c r="O394" i="5"/>
  <c r="W394" i="5" s="1"/>
  <c r="F394" i="5"/>
  <c r="E394" i="5"/>
  <c r="O393" i="5"/>
  <c r="W393" i="5" s="1"/>
  <c r="X393" i="5" s="1"/>
  <c r="F393" i="5"/>
  <c r="E393" i="5"/>
  <c r="O392" i="5"/>
  <c r="F392" i="5"/>
  <c r="E392" i="5"/>
  <c r="O391" i="5"/>
  <c r="W391" i="5" s="1"/>
  <c r="F391" i="5"/>
  <c r="E391" i="5"/>
  <c r="Z390" i="5"/>
  <c r="O390" i="5"/>
  <c r="W390" i="5" s="1"/>
  <c r="Y390" i="5" s="1"/>
  <c r="F390" i="5"/>
  <c r="E390" i="5"/>
  <c r="Z389" i="5"/>
  <c r="O389" i="5"/>
  <c r="W389" i="5" s="1"/>
  <c r="F389" i="5"/>
  <c r="E389" i="5"/>
  <c r="O388" i="5"/>
  <c r="F388" i="5"/>
  <c r="E388" i="5"/>
  <c r="O387" i="5"/>
  <c r="W387" i="5" s="1"/>
  <c r="X387" i="5" s="1"/>
  <c r="F387" i="5"/>
  <c r="E387" i="5"/>
  <c r="O386" i="5"/>
  <c r="W386" i="5" s="1"/>
  <c r="F386" i="5"/>
  <c r="E386" i="5"/>
  <c r="O385" i="5"/>
  <c r="F385" i="5"/>
  <c r="E385" i="5"/>
  <c r="O384" i="5"/>
  <c r="W384" i="5" s="1"/>
  <c r="X384" i="5" s="1"/>
  <c r="F384" i="5"/>
  <c r="E384" i="5"/>
  <c r="O383" i="5"/>
  <c r="W383" i="5" s="1"/>
  <c r="F383" i="5"/>
  <c r="E383" i="5"/>
  <c r="O382" i="5"/>
  <c r="F382" i="5"/>
  <c r="E382" i="5"/>
  <c r="O381" i="5"/>
  <c r="W381" i="5" s="1"/>
  <c r="X381" i="5" s="1"/>
  <c r="F381" i="5"/>
  <c r="E381" i="5"/>
  <c r="O380" i="5"/>
  <c r="W380" i="5" s="1"/>
  <c r="F380" i="5"/>
  <c r="E380" i="5"/>
  <c r="O379" i="5"/>
  <c r="F379" i="5"/>
  <c r="E379" i="5"/>
  <c r="O378" i="5"/>
  <c r="W378" i="5" s="1"/>
  <c r="X378" i="5" s="1"/>
  <c r="F378" i="5"/>
  <c r="E378" i="5"/>
  <c r="O377" i="5"/>
  <c r="W377" i="5" s="1"/>
  <c r="F377" i="5"/>
  <c r="E377" i="5"/>
  <c r="O376" i="5"/>
  <c r="F376" i="5"/>
  <c r="E376" i="5"/>
  <c r="Z375" i="5"/>
  <c r="O375" i="5"/>
  <c r="W375" i="5" s="1"/>
  <c r="F375" i="5"/>
  <c r="E375" i="5"/>
  <c r="O374" i="5"/>
  <c r="W374" i="5" s="1"/>
  <c r="X374" i="5" s="1"/>
  <c r="F374" i="5"/>
  <c r="E374" i="5"/>
  <c r="O373" i="5"/>
  <c r="F373" i="5"/>
  <c r="E373" i="5"/>
  <c r="O372" i="5"/>
  <c r="W372" i="5" s="1"/>
  <c r="F372" i="5"/>
  <c r="E372" i="5"/>
  <c r="O371" i="5"/>
  <c r="W371" i="5" s="1"/>
  <c r="Y371" i="5" s="1"/>
  <c r="AA371" i="5" s="1"/>
  <c r="F371" i="5"/>
  <c r="E371" i="5"/>
  <c r="Z370" i="5"/>
  <c r="Q370" i="5"/>
  <c r="W370" i="5" s="1"/>
  <c r="O370" i="5"/>
  <c r="F370" i="5"/>
  <c r="E370" i="5"/>
  <c r="O369" i="5"/>
  <c r="W369" i="5" s="1"/>
  <c r="Y369" i="5" s="1"/>
  <c r="AA369" i="5" s="1"/>
  <c r="F369" i="5"/>
  <c r="E369" i="5"/>
  <c r="O368" i="5"/>
  <c r="W368" i="5" s="1"/>
  <c r="F368" i="5"/>
  <c r="E368" i="5"/>
  <c r="U367" i="5"/>
  <c r="O367" i="5"/>
  <c r="W367" i="5" s="1"/>
  <c r="X367" i="5" s="1"/>
  <c r="F367" i="5"/>
  <c r="E367" i="5"/>
  <c r="O366" i="5"/>
  <c r="F366" i="5"/>
  <c r="E366" i="5"/>
  <c r="O365" i="5"/>
  <c r="W365" i="5" s="1"/>
  <c r="X365" i="5" s="1"/>
  <c r="F365" i="5"/>
  <c r="E365" i="5"/>
  <c r="O364" i="5"/>
  <c r="W364" i="5" s="1"/>
  <c r="F364" i="5"/>
  <c r="E364" i="5"/>
  <c r="O363" i="5"/>
  <c r="F363" i="5"/>
  <c r="E363" i="5"/>
  <c r="O362" i="5"/>
  <c r="W362" i="5" s="1"/>
  <c r="X362" i="5" s="1"/>
  <c r="F362" i="5"/>
  <c r="E362" i="5"/>
  <c r="O361" i="5"/>
  <c r="W361" i="5" s="1"/>
  <c r="Y361" i="5" s="1"/>
  <c r="AA361" i="5" s="1"/>
  <c r="F361" i="5"/>
  <c r="E361" i="5"/>
  <c r="O360" i="5"/>
  <c r="F360" i="5"/>
  <c r="E360" i="5"/>
  <c r="O359" i="5"/>
  <c r="W359" i="5" s="1"/>
  <c r="X359" i="5" s="1"/>
  <c r="F359" i="5"/>
  <c r="E359" i="5"/>
  <c r="O358" i="5"/>
  <c r="W358" i="5" s="1"/>
  <c r="Y358" i="5" s="1"/>
  <c r="AA358" i="5" s="1"/>
  <c r="F358" i="5"/>
  <c r="E358" i="5"/>
  <c r="P357" i="5"/>
  <c r="O357" i="5"/>
  <c r="F357" i="5"/>
  <c r="E357" i="5"/>
  <c r="P356" i="5"/>
  <c r="O356" i="5"/>
  <c r="F356" i="5"/>
  <c r="E356" i="5"/>
  <c r="P355" i="5"/>
  <c r="O355" i="5"/>
  <c r="W355" i="5" s="1"/>
  <c r="X355" i="5" s="1"/>
  <c r="F355" i="5"/>
  <c r="E355" i="5"/>
  <c r="P354" i="5"/>
  <c r="O354" i="5"/>
  <c r="W354" i="5" s="1"/>
  <c r="Y354" i="5" s="1"/>
  <c r="AA354" i="5" s="1"/>
  <c r="F354" i="5"/>
  <c r="E354" i="5"/>
  <c r="P353" i="5"/>
  <c r="O353" i="5"/>
  <c r="F353" i="5"/>
  <c r="E353" i="5"/>
  <c r="O352" i="5"/>
  <c r="O351" i="5"/>
  <c r="W351" i="5" s="1"/>
  <c r="X351" i="5" s="1"/>
  <c r="E351" i="5"/>
  <c r="P350" i="5"/>
  <c r="O350" i="5"/>
  <c r="W350" i="5" s="1"/>
  <c r="F350" i="5"/>
  <c r="E350" i="5"/>
  <c r="Z349" i="5"/>
  <c r="M349" i="5"/>
  <c r="O349" i="5" s="1"/>
  <c r="W349" i="5" s="1"/>
  <c r="X349" i="5" s="1"/>
  <c r="F349" i="5"/>
  <c r="E349" i="5"/>
  <c r="O348" i="5"/>
  <c r="W348" i="5" s="1"/>
  <c r="Y348" i="5" s="1"/>
  <c r="AA348" i="5" s="1"/>
  <c r="F348" i="5"/>
  <c r="E348" i="5"/>
  <c r="Z347" i="5"/>
  <c r="O347" i="5"/>
  <c r="F347" i="5"/>
  <c r="E347" i="5"/>
  <c r="O346" i="5"/>
  <c r="O345" i="5"/>
  <c r="W345" i="5" s="1"/>
  <c r="F345" i="5"/>
  <c r="E345" i="5"/>
  <c r="O344" i="5"/>
  <c r="F344" i="5"/>
  <c r="E344" i="5"/>
  <c r="M343" i="5"/>
  <c r="O343" i="5" s="1"/>
  <c r="W343" i="5" s="1"/>
  <c r="X343" i="5" s="1"/>
  <c r="F343" i="5"/>
  <c r="E343" i="5"/>
  <c r="O342" i="5"/>
  <c r="W342" i="5" s="1"/>
  <c r="Y342" i="5" s="1"/>
  <c r="AA342" i="5" s="1"/>
  <c r="F342" i="5"/>
  <c r="E342" i="5"/>
  <c r="O341" i="5"/>
  <c r="W341" i="5" s="1"/>
  <c r="Y341" i="5" s="1"/>
  <c r="AA341" i="5" s="1"/>
  <c r="F341" i="5"/>
  <c r="E341" i="5"/>
  <c r="O340" i="5"/>
  <c r="F340" i="5"/>
  <c r="E340" i="5"/>
  <c r="O339" i="5"/>
  <c r="W339" i="5" s="1"/>
  <c r="Y339" i="5" s="1"/>
  <c r="AA339" i="5" s="1"/>
  <c r="F339" i="5"/>
  <c r="E339" i="5"/>
  <c r="O338" i="5"/>
  <c r="W338" i="5" s="1"/>
  <c r="O337" i="5"/>
  <c r="W337" i="5" s="1"/>
  <c r="Y337" i="5" s="1"/>
  <c r="AA337" i="5" s="1"/>
  <c r="F337" i="5"/>
  <c r="E337" i="5"/>
  <c r="O336" i="5"/>
  <c r="W336" i="5" s="1"/>
  <c r="Y336" i="5" s="1"/>
  <c r="AA336" i="5" s="1"/>
  <c r="M336" i="5"/>
  <c r="F336" i="5"/>
  <c r="E336" i="5"/>
  <c r="O335" i="5"/>
  <c r="W335" i="5" s="1"/>
  <c r="Y335" i="5" s="1"/>
  <c r="AA335" i="5" s="1"/>
  <c r="F335" i="5"/>
  <c r="E335" i="5"/>
  <c r="Z334" i="5"/>
  <c r="Q334" i="5"/>
  <c r="O334" i="5"/>
  <c r="F334" i="5"/>
  <c r="E334" i="5"/>
  <c r="O333" i="5"/>
  <c r="W333" i="5" s="1"/>
  <c r="F333" i="5"/>
  <c r="E333" i="5"/>
  <c r="M332" i="5"/>
  <c r="O332" i="5" s="1"/>
  <c r="F332" i="5"/>
  <c r="E332" i="5"/>
  <c r="O331" i="5"/>
  <c r="F331" i="5"/>
  <c r="E331" i="5"/>
  <c r="Z330" i="5"/>
  <c r="O330" i="5"/>
  <c r="W330" i="5" s="1"/>
  <c r="F330" i="5"/>
  <c r="E330" i="5"/>
  <c r="Z329" i="5"/>
  <c r="Q329" i="5"/>
  <c r="O329" i="5"/>
  <c r="W329" i="5" s="1"/>
  <c r="Z328" i="5"/>
  <c r="O328" i="5"/>
  <c r="F328" i="5"/>
  <c r="E328" i="5"/>
  <c r="O327" i="5"/>
  <c r="F327" i="5"/>
  <c r="E327" i="5"/>
  <c r="O326" i="5"/>
  <c r="W326" i="5" s="1"/>
  <c r="F326" i="5"/>
  <c r="E326" i="5"/>
  <c r="O325" i="5"/>
  <c r="F325" i="5"/>
  <c r="E325" i="5"/>
  <c r="O324" i="5"/>
  <c r="F324" i="5"/>
  <c r="E324" i="5"/>
  <c r="Q323" i="5"/>
  <c r="O323" i="5"/>
  <c r="F323" i="5"/>
  <c r="E323" i="5"/>
  <c r="M322" i="5"/>
  <c r="O322" i="5" s="1"/>
  <c r="F322" i="5"/>
  <c r="E322" i="5"/>
  <c r="Z321" i="5"/>
  <c r="Q321" i="5"/>
  <c r="O321" i="5"/>
  <c r="F321" i="5"/>
  <c r="E321" i="5"/>
  <c r="Q320" i="5"/>
  <c r="O320" i="5"/>
  <c r="F320" i="5"/>
  <c r="E320" i="5"/>
  <c r="O319" i="5"/>
  <c r="W319" i="5" s="1"/>
  <c r="F319" i="5"/>
  <c r="E319" i="5"/>
  <c r="O318" i="5"/>
  <c r="W318" i="5" s="1"/>
  <c r="E318" i="5"/>
  <c r="O317" i="5"/>
  <c r="F317" i="5"/>
  <c r="E317" i="5"/>
  <c r="O316" i="5"/>
  <c r="W316" i="5" s="1"/>
  <c r="F316" i="5"/>
  <c r="E316" i="5"/>
  <c r="O315" i="5"/>
  <c r="F315" i="5"/>
  <c r="E315" i="5"/>
  <c r="Z314" i="5"/>
  <c r="Q314" i="5"/>
  <c r="O314" i="5"/>
  <c r="F314" i="5"/>
  <c r="E314" i="5"/>
  <c r="O313" i="5"/>
  <c r="F313" i="5"/>
  <c r="E313" i="5"/>
  <c r="M312" i="5"/>
  <c r="O312" i="5" s="1"/>
  <c r="W312" i="5" s="1"/>
  <c r="Y312" i="5" s="1"/>
  <c r="AA312" i="5" s="1"/>
  <c r="F312" i="5"/>
  <c r="E312" i="5"/>
  <c r="O311" i="5"/>
  <c r="W311" i="5" s="1"/>
  <c r="Y311" i="5" s="1"/>
  <c r="AA311" i="5" s="1"/>
  <c r="F311" i="5"/>
  <c r="E311" i="5"/>
  <c r="Z310" i="5"/>
  <c r="Q310" i="5"/>
  <c r="O310" i="5"/>
  <c r="F310" i="5"/>
  <c r="E310" i="5"/>
  <c r="O309" i="5"/>
  <c r="W309" i="5" s="1"/>
  <c r="F309" i="5"/>
  <c r="E309" i="5"/>
  <c r="O308" i="5"/>
  <c r="W308" i="5" s="1"/>
  <c r="F308" i="5"/>
  <c r="E308" i="5"/>
  <c r="Q307" i="5"/>
  <c r="O307" i="5"/>
  <c r="F307" i="5"/>
  <c r="E307" i="5"/>
  <c r="P306" i="5"/>
  <c r="O306" i="5"/>
  <c r="F306" i="5"/>
  <c r="E306" i="5"/>
  <c r="O305" i="5"/>
  <c r="W305" i="5" s="1"/>
  <c r="F305" i="5"/>
  <c r="E305" i="5"/>
  <c r="Q304" i="5"/>
  <c r="O304" i="5"/>
  <c r="F304" i="5"/>
  <c r="E304" i="5"/>
  <c r="O303" i="5"/>
  <c r="F303" i="5"/>
  <c r="E303" i="5"/>
  <c r="M302" i="5"/>
  <c r="O302" i="5" s="1"/>
  <c r="F302" i="5"/>
  <c r="E302" i="5"/>
  <c r="O301" i="5"/>
  <c r="W301" i="5" s="1"/>
  <c r="F301" i="5"/>
  <c r="E301" i="5"/>
  <c r="O300" i="5"/>
  <c r="F300" i="5"/>
  <c r="E300" i="5"/>
  <c r="O299" i="5"/>
  <c r="W299" i="5" s="1"/>
  <c r="F299" i="5"/>
  <c r="E299" i="5"/>
  <c r="P298" i="5"/>
  <c r="O298" i="5"/>
  <c r="F298" i="5"/>
  <c r="E298" i="5"/>
  <c r="R297" i="5"/>
  <c r="P297" i="5"/>
  <c r="O297" i="5"/>
  <c r="F297" i="5"/>
  <c r="E297" i="5"/>
  <c r="P296" i="5"/>
  <c r="O296" i="5"/>
  <c r="F296" i="5"/>
  <c r="E296" i="5"/>
  <c r="Z295" i="5"/>
  <c r="P295" i="5"/>
  <c r="M295" i="5"/>
  <c r="O295" i="5" s="1"/>
  <c r="W295" i="5" s="1"/>
  <c r="F295" i="5"/>
  <c r="E295" i="5"/>
  <c r="P294" i="5"/>
  <c r="O294" i="5"/>
  <c r="F294" i="5"/>
  <c r="E294" i="5"/>
  <c r="P293" i="5"/>
  <c r="O293" i="5"/>
  <c r="W293" i="5" s="1"/>
  <c r="M293" i="5"/>
  <c r="F293" i="5"/>
  <c r="E293" i="5"/>
  <c r="R292" i="5"/>
  <c r="P292" i="5"/>
  <c r="O292" i="5"/>
  <c r="F292" i="5"/>
  <c r="E292" i="5"/>
  <c r="Q291" i="5"/>
  <c r="P291" i="5"/>
  <c r="O291" i="5"/>
  <c r="W291" i="5" s="1"/>
  <c r="Y291" i="5" s="1"/>
  <c r="AA291" i="5" s="1"/>
  <c r="F291" i="5"/>
  <c r="E291" i="5"/>
  <c r="Z290" i="5"/>
  <c r="R290" i="5"/>
  <c r="P290" i="5"/>
  <c r="O290" i="5"/>
  <c r="F290" i="5"/>
  <c r="E290" i="5"/>
  <c r="O289" i="5"/>
  <c r="W289" i="5" s="1"/>
  <c r="O288" i="5"/>
  <c r="F288" i="5"/>
  <c r="E288" i="5"/>
  <c r="P287" i="5"/>
  <c r="O287" i="5"/>
  <c r="F287" i="5"/>
  <c r="E287" i="5"/>
  <c r="R286" i="5"/>
  <c r="P286" i="5"/>
  <c r="O286" i="5"/>
  <c r="F286" i="5"/>
  <c r="E286" i="5"/>
  <c r="R285" i="5"/>
  <c r="P285" i="5"/>
  <c r="O285" i="5"/>
  <c r="W285" i="5" s="1"/>
  <c r="F285" i="5"/>
  <c r="E285" i="5"/>
  <c r="P284" i="5"/>
  <c r="O284" i="5"/>
  <c r="F284" i="5"/>
  <c r="E284" i="5"/>
  <c r="T283" i="5"/>
  <c r="O283" i="5"/>
  <c r="F283" i="5"/>
  <c r="E283" i="5"/>
  <c r="O282" i="5"/>
  <c r="W282" i="5" s="1"/>
  <c r="F282" i="5"/>
  <c r="E282" i="5"/>
  <c r="Q281" i="5"/>
  <c r="O281" i="5"/>
  <c r="W281" i="5" s="1"/>
  <c r="F281" i="5"/>
  <c r="E281" i="5"/>
  <c r="O280" i="5"/>
  <c r="F280" i="5"/>
  <c r="E280" i="5"/>
  <c r="T279" i="5"/>
  <c r="O279" i="5"/>
  <c r="F279" i="5"/>
  <c r="E279" i="5"/>
  <c r="O278" i="5"/>
  <c r="W278" i="5" s="1"/>
  <c r="F278" i="5"/>
  <c r="E278" i="5"/>
  <c r="Q277" i="5"/>
  <c r="O277" i="5"/>
  <c r="F277" i="5"/>
  <c r="E277" i="5"/>
  <c r="T276" i="5"/>
  <c r="O276" i="5"/>
  <c r="F276" i="5"/>
  <c r="E276" i="5"/>
  <c r="O275" i="5"/>
  <c r="W275" i="5" s="1"/>
  <c r="F275" i="5"/>
  <c r="E275" i="5"/>
  <c r="O274" i="5"/>
  <c r="W274" i="5" s="1"/>
  <c r="F274" i="5"/>
  <c r="E274" i="5"/>
  <c r="O273" i="5"/>
  <c r="F273" i="5"/>
  <c r="E273" i="5"/>
  <c r="O272" i="5"/>
  <c r="W272" i="5" s="1"/>
  <c r="F272" i="5"/>
  <c r="E272" i="5"/>
  <c r="O271" i="5"/>
  <c r="W271" i="5" s="1"/>
  <c r="F271" i="5"/>
  <c r="E271" i="5"/>
  <c r="Z270" i="5"/>
  <c r="Q270" i="5"/>
  <c r="O270" i="5"/>
  <c r="F270" i="5"/>
  <c r="E270" i="5"/>
  <c r="O269" i="5"/>
  <c r="W269" i="5" s="1"/>
  <c r="Y269" i="5" s="1"/>
  <c r="AA269" i="5" s="1"/>
  <c r="F269" i="5"/>
  <c r="E269" i="5"/>
  <c r="O268" i="5"/>
  <c r="W268" i="5" s="1"/>
  <c r="F268" i="5"/>
  <c r="E268" i="5"/>
  <c r="O267" i="5"/>
  <c r="W267" i="5" s="1"/>
  <c r="Y267" i="5" s="1"/>
  <c r="AA267" i="5" s="1"/>
  <c r="F267" i="5"/>
  <c r="E267" i="5"/>
  <c r="O266" i="5"/>
  <c r="W266" i="5" s="1"/>
  <c r="Y266" i="5" s="1"/>
  <c r="AA266" i="5" s="1"/>
  <c r="F266" i="5"/>
  <c r="E266" i="5"/>
  <c r="Q265" i="5"/>
  <c r="O265" i="5"/>
  <c r="F265" i="5"/>
  <c r="E265" i="5"/>
  <c r="O264" i="5"/>
  <c r="F264" i="5"/>
  <c r="E264" i="5"/>
  <c r="P263" i="5"/>
  <c r="O263" i="5"/>
  <c r="F263" i="5"/>
  <c r="E263" i="5"/>
  <c r="Z262" i="5"/>
  <c r="P262" i="5"/>
  <c r="O262" i="5"/>
  <c r="F262" i="5"/>
  <c r="E262" i="5"/>
  <c r="O261" i="5"/>
  <c r="W261" i="5" s="1"/>
  <c r="E261" i="5"/>
  <c r="Z260" i="5"/>
  <c r="O260" i="5"/>
  <c r="W260" i="5" s="1"/>
  <c r="Y260" i="5" s="1"/>
  <c r="AA260" i="5" s="1"/>
  <c r="F260" i="5"/>
  <c r="E260" i="5"/>
  <c r="R259" i="5"/>
  <c r="P259" i="5"/>
  <c r="O259" i="5"/>
  <c r="F259" i="5"/>
  <c r="E259" i="5"/>
  <c r="O258" i="5"/>
  <c r="W258" i="5" s="1"/>
  <c r="Y258" i="5" s="1"/>
  <c r="AA258" i="5" s="1"/>
  <c r="F258" i="5"/>
  <c r="E258" i="5"/>
  <c r="T257" i="5"/>
  <c r="O257" i="5"/>
  <c r="F257" i="5"/>
  <c r="E257" i="5"/>
  <c r="O256" i="5"/>
  <c r="F256" i="5"/>
  <c r="E256" i="5"/>
  <c r="Z255" i="5"/>
  <c r="O255" i="5"/>
  <c r="W255" i="5" s="1"/>
  <c r="Y255" i="5" s="1"/>
  <c r="AA255" i="5" s="1"/>
  <c r="F255" i="5"/>
  <c r="E255" i="5"/>
  <c r="O254" i="5"/>
  <c r="F254" i="5"/>
  <c r="E254" i="5"/>
  <c r="O253" i="5"/>
  <c r="W253" i="5" s="1"/>
  <c r="F253" i="5"/>
  <c r="E253" i="5"/>
  <c r="O252" i="5"/>
  <c r="W252" i="5" s="1"/>
  <c r="F252" i="5"/>
  <c r="E252" i="5"/>
  <c r="O251" i="5"/>
  <c r="W251" i="5" s="1"/>
  <c r="F251" i="5"/>
  <c r="E251" i="5"/>
  <c r="Q250" i="5"/>
  <c r="O250" i="5"/>
  <c r="F250" i="5"/>
  <c r="E250" i="5"/>
  <c r="T249" i="5"/>
  <c r="O249" i="5"/>
  <c r="F249" i="5"/>
  <c r="E249" i="5"/>
  <c r="O248" i="5"/>
  <c r="W248" i="5" s="1"/>
  <c r="Y248" i="5" s="1"/>
  <c r="AA248" i="5" s="1"/>
  <c r="F248" i="5"/>
  <c r="E248" i="5"/>
  <c r="Q247" i="5"/>
  <c r="O247" i="5"/>
  <c r="W247" i="5" s="1"/>
  <c r="O246" i="5"/>
  <c r="F246" i="5"/>
  <c r="E246" i="5"/>
  <c r="O245" i="5"/>
  <c r="W245" i="5" s="1"/>
  <c r="F245" i="5"/>
  <c r="E245" i="5"/>
  <c r="O244" i="5"/>
  <c r="F244" i="5"/>
  <c r="E244" i="5"/>
  <c r="O243" i="5"/>
  <c r="F243" i="5"/>
  <c r="E243" i="5"/>
  <c r="O242" i="5"/>
  <c r="W242" i="5" s="1"/>
  <c r="F242" i="5"/>
  <c r="E242" i="5"/>
  <c r="Z241" i="5"/>
  <c r="O241" i="5"/>
  <c r="W241" i="5" s="1"/>
  <c r="F241" i="5"/>
  <c r="E241" i="5"/>
  <c r="O240" i="5"/>
  <c r="F240" i="5"/>
  <c r="E240" i="5"/>
  <c r="O239" i="5"/>
  <c r="W239" i="5" s="1"/>
  <c r="Y239" i="5" s="1"/>
  <c r="AA239" i="5" s="1"/>
  <c r="O238" i="5"/>
  <c r="W238" i="5" s="1"/>
  <c r="F238" i="5"/>
  <c r="E238" i="5"/>
  <c r="P237" i="5"/>
  <c r="O237" i="5"/>
  <c r="F237" i="5"/>
  <c r="E237" i="5"/>
  <c r="Z236" i="5"/>
  <c r="T236" i="5"/>
  <c r="Q236" i="5"/>
  <c r="O236" i="5"/>
  <c r="F236" i="5"/>
  <c r="E236" i="5"/>
  <c r="O235" i="5"/>
  <c r="W235" i="5" s="1"/>
  <c r="F235" i="5"/>
  <c r="E235" i="5"/>
  <c r="O234" i="5"/>
  <c r="W234" i="5" s="1"/>
  <c r="F234" i="5"/>
  <c r="E234" i="5"/>
  <c r="P233" i="5"/>
  <c r="O233" i="5"/>
  <c r="F233" i="5"/>
  <c r="E233" i="5"/>
  <c r="P232" i="5"/>
  <c r="O232" i="5"/>
  <c r="F232" i="5"/>
  <c r="E232" i="5"/>
  <c r="T231" i="5"/>
  <c r="O231" i="5"/>
  <c r="Q230" i="5"/>
  <c r="O230" i="5"/>
  <c r="F230" i="5"/>
  <c r="E230" i="5"/>
  <c r="O229" i="5"/>
  <c r="W229" i="5" s="1"/>
  <c r="F229" i="5"/>
  <c r="E229" i="5"/>
  <c r="O228" i="5"/>
  <c r="W228" i="5" s="1"/>
  <c r="X228" i="5" s="1"/>
  <c r="F228" i="5"/>
  <c r="E228" i="5"/>
  <c r="O227" i="5"/>
  <c r="F227" i="5"/>
  <c r="E227" i="5"/>
  <c r="O226" i="5"/>
  <c r="W226" i="5" s="1"/>
  <c r="F226" i="5"/>
  <c r="E226" i="5"/>
  <c r="O225" i="5"/>
  <c r="W225" i="5" s="1"/>
  <c r="X225" i="5" s="1"/>
  <c r="F225" i="5"/>
  <c r="E225" i="5"/>
  <c r="O224" i="5"/>
  <c r="F224" i="5"/>
  <c r="E224" i="5"/>
  <c r="Z223" i="5"/>
  <c r="R223" i="5"/>
  <c r="P223" i="5"/>
  <c r="O223" i="5"/>
  <c r="F223" i="5"/>
  <c r="E223" i="5"/>
  <c r="P222" i="5"/>
  <c r="O222" i="5"/>
  <c r="W222" i="5" s="1"/>
  <c r="F222" i="5"/>
  <c r="E222" i="5"/>
  <c r="O221" i="5"/>
  <c r="W221" i="5" s="1"/>
  <c r="F221" i="5"/>
  <c r="E221" i="5"/>
  <c r="P220" i="5"/>
  <c r="O220" i="5"/>
  <c r="F220" i="5"/>
  <c r="E220" i="5"/>
  <c r="O219" i="5"/>
  <c r="F219" i="5"/>
  <c r="E219" i="5"/>
  <c r="O218" i="5"/>
  <c r="W218" i="5" s="1"/>
  <c r="Y218" i="5" s="1"/>
  <c r="AA218" i="5" s="1"/>
  <c r="F218" i="5"/>
  <c r="E218" i="5"/>
  <c r="W217" i="5"/>
  <c r="R217" i="5"/>
  <c r="P217" i="5"/>
  <c r="O217" i="5"/>
  <c r="F217" i="5"/>
  <c r="E217" i="5"/>
  <c r="Z216" i="5"/>
  <c r="O216" i="5"/>
  <c r="F216" i="5"/>
  <c r="E216" i="5"/>
  <c r="O215" i="5"/>
  <c r="W215" i="5" s="1"/>
  <c r="Y215" i="5" s="1"/>
  <c r="AA215" i="5" s="1"/>
  <c r="F215" i="5"/>
  <c r="E215" i="5"/>
  <c r="M214" i="5"/>
  <c r="O214" i="5" s="1"/>
  <c r="F214" i="5"/>
  <c r="E214" i="5"/>
  <c r="O213" i="5"/>
  <c r="W213" i="5" s="1"/>
  <c r="F213" i="5"/>
  <c r="E213" i="5"/>
  <c r="Z212" i="5"/>
  <c r="Q212" i="5"/>
  <c r="M212" i="5"/>
  <c r="O212" i="5" s="1"/>
  <c r="F212" i="5"/>
  <c r="E212" i="5"/>
  <c r="O211" i="5"/>
  <c r="W211" i="5" s="1"/>
  <c r="Y211" i="5" s="1"/>
  <c r="AA211" i="5" s="1"/>
  <c r="F211" i="5"/>
  <c r="E211" i="5"/>
  <c r="Q210" i="5"/>
  <c r="O210" i="5"/>
  <c r="W210" i="5" s="1"/>
  <c r="Y210" i="5" s="1"/>
  <c r="AA210" i="5" s="1"/>
  <c r="F210" i="5"/>
  <c r="E210" i="5"/>
  <c r="O209" i="5"/>
  <c r="W209" i="5" s="1"/>
  <c r="F209" i="5"/>
  <c r="E209" i="5"/>
  <c r="Q208" i="5"/>
  <c r="O208" i="5"/>
  <c r="F208" i="5"/>
  <c r="E208" i="5"/>
  <c r="P207" i="5"/>
  <c r="O207" i="5"/>
  <c r="W207" i="5" s="1"/>
  <c r="X207" i="5" s="1"/>
  <c r="F207" i="5"/>
  <c r="E207" i="5"/>
  <c r="O206" i="5"/>
  <c r="W206" i="5" s="1"/>
  <c r="Y206" i="5" s="1"/>
  <c r="AA206" i="5" s="1"/>
  <c r="F206" i="5"/>
  <c r="E206" i="5"/>
  <c r="P205" i="5"/>
  <c r="O205" i="5"/>
  <c r="F205" i="5"/>
  <c r="E205" i="5"/>
  <c r="P204" i="5"/>
  <c r="O204" i="5"/>
  <c r="W204" i="5" s="1"/>
  <c r="F204" i="5"/>
  <c r="E204" i="5"/>
  <c r="Z203" i="5"/>
  <c r="Q203" i="5"/>
  <c r="O203" i="5"/>
  <c r="W203" i="5" s="1"/>
  <c r="X203" i="5" s="1"/>
  <c r="F203" i="5"/>
  <c r="E203" i="5"/>
  <c r="O202" i="5"/>
  <c r="E202" i="5"/>
  <c r="O201" i="5"/>
  <c r="F201" i="5"/>
  <c r="E201" i="5"/>
  <c r="J200" i="5"/>
  <c r="O200" i="5" s="1"/>
  <c r="W200" i="5" s="1"/>
  <c r="Y200" i="5" s="1"/>
  <c r="AA200" i="5" s="1"/>
  <c r="F200" i="5"/>
  <c r="E200" i="5"/>
  <c r="M199" i="5"/>
  <c r="O199" i="5" s="1"/>
  <c r="F199" i="5"/>
  <c r="E199" i="5"/>
  <c r="O198" i="5"/>
  <c r="F198" i="5"/>
  <c r="E198" i="5"/>
  <c r="O197" i="5"/>
  <c r="W197" i="5" s="1"/>
  <c r="F197" i="5"/>
  <c r="E197" i="5"/>
  <c r="O196" i="5"/>
  <c r="W196" i="5" s="1"/>
  <c r="F196" i="5"/>
  <c r="E196" i="5"/>
  <c r="P195" i="5"/>
  <c r="O195" i="5"/>
  <c r="F195" i="5"/>
  <c r="E195" i="5"/>
  <c r="P194" i="5"/>
  <c r="O194" i="5"/>
  <c r="F194" i="5"/>
  <c r="E194" i="5"/>
  <c r="O193" i="5"/>
  <c r="W193" i="5" s="1"/>
  <c r="Y193" i="5" s="1"/>
  <c r="AA193" i="5" s="1"/>
  <c r="F193" i="5"/>
  <c r="E193" i="5"/>
  <c r="Q192" i="5"/>
  <c r="O192" i="5"/>
  <c r="W192" i="5" s="1"/>
  <c r="Y192" i="5" s="1"/>
  <c r="AA192" i="5" s="1"/>
  <c r="F192" i="5"/>
  <c r="E192" i="5"/>
  <c r="O191" i="5"/>
  <c r="W191" i="5" s="1"/>
  <c r="F191" i="5"/>
  <c r="E191" i="5"/>
  <c r="O190" i="5"/>
  <c r="W190" i="5" s="1"/>
  <c r="X190" i="5" s="1"/>
  <c r="F190" i="5"/>
  <c r="E190" i="5"/>
  <c r="O189" i="5"/>
  <c r="W189" i="5" s="1"/>
  <c r="X189" i="5" s="1"/>
  <c r="F189" i="5"/>
  <c r="E189" i="5"/>
  <c r="Q188" i="5"/>
  <c r="O188" i="5"/>
  <c r="F188" i="5"/>
  <c r="E188" i="5"/>
  <c r="P187" i="5"/>
  <c r="O187" i="5"/>
  <c r="W187" i="5" s="1"/>
  <c r="Y187" i="5" s="1"/>
  <c r="AA187" i="5" s="1"/>
  <c r="F187" i="5"/>
  <c r="E187" i="5"/>
  <c r="P186" i="5"/>
  <c r="O186" i="5"/>
  <c r="W186" i="5" s="1"/>
  <c r="Y186" i="5" s="1"/>
  <c r="AA186" i="5" s="1"/>
  <c r="Q185" i="5"/>
  <c r="P185" i="5"/>
  <c r="O185" i="5"/>
  <c r="F185" i="5"/>
  <c r="E185" i="5"/>
  <c r="P184" i="5"/>
  <c r="M184" i="5"/>
  <c r="O184" i="5" s="1"/>
  <c r="F184" i="5"/>
  <c r="E184" i="5"/>
  <c r="Q183" i="5"/>
  <c r="P183" i="5"/>
  <c r="O183" i="5"/>
  <c r="E183" i="5"/>
  <c r="O182" i="5"/>
  <c r="F182" i="5"/>
  <c r="E182" i="5"/>
  <c r="P181" i="5"/>
  <c r="O181" i="5"/>
  <c r="W181" i="5" s="1"/>
  <c r="X181" i="5" s="1"/>
  <c r="F181" i="5"/>
  <c r="E181" i="5"/>
  <c r="P180" i="5"/>
  <c r="O180" i="5"/>
  <c r="E180" i="5"/>
  <c r="O179" i="5"/>
  <c r="F179" i="5"/>
  <c r="E179" i="5"/>
  <c r="Z178" i="5"/>
  <c r="O178" i="5"/>
  <c r="W178" i="5" s="1"/>
  <c r="F178" i="5"/>
  <c r="E178" i="5"/>
  <c r="O177" i="5"/>
  <c r="W177" i="5" s="1"/>
  <c r="Y177" i="5" s="1"/>
  <c r="AA177" i="5" s="1"/>
  <c r="F177" i="5"/>
  <c r="E177" i="5"/>
  <c r="O176" i="5"/>
  <c r="W176" i="5" s="1"/>
  <c r="Y176" i="5" s="1"/>
  <c r="AA176" i="5" s="1"/>
  <c r="O175" i="5"/>
  <c r="W175" i="5" s="1"/>
  <c r="F175" i="5"/>
  <c r="E175" i="5"/>
  <c r="P174" i="5"/>
  <c r="O174" i="5"/>
  <c r="W174" i="5" s="1"/>
  <c r="F174" i="5"/>
  <c r="E174" i="5"/>
  <c r="Q173" i="5"/>
  <c r="O173" i="5"/>
  <c r="W173" i="5" s="1"/>
  <c r="Y173" i="5" s="1"/>
  <c r="AA173" i="5" s="1"/>
  <c r="F173" i="5"/>
  <c r="E173" i="5"/>
  <c r="O172" i="5"/>
  <c r="W172" i="5" s="1"/>
  <c r="Y172" i="5" s="1"/>
  <c r="AA172" i="5" s="1"/>
  <c r="F172" i="5"/>
  <c r="E172" i="5"/>
  <c r="Q171" i="5"/>
  <c r="P171" i="5"/>
  <c r="O171" i="5"/>
  <c r="F171" i="5"/>
  <c r="E171" i="5"/>
  <c r="M170" i="5"/>
  <c r="O170" i="5" s="1"/>
  <c r="F170" i="5"/>
  <c r="E170" i="5"/>
  <c r="O169" i="5"/>
  <c r="W169" i="5" s="1"/>
  <c r="Y169" i="5" s="1"/>
  <c r="AA169" i="5" s="1"/>
  <c r="F169" i="5"/>
  <c r="E169" i="5"/>
  <c r="O168" i="5"/>
  <c r="W168" i="5" s="1"/>
  <c r="O167" i="5"/>
  <c r="W167" i="5" s="1"/>
  <c r="F167" i="5"/>
  <c r="E167" i="5"/>
  <c r="P166" i="5"/>
  <c r="O166" i="5"/>
  <c r="F166" i="5"/>
  <c r="E166" i="5"/>
  <c r="P165" i="5"/>
  <c r="O165" i="5"/>
  <c r="F165" i="5"/>
  <c r="E165" i="5"/>
  <c r="P164" i="5"/>
  <c r="O164" i="5"/>
  <c r="F164" i="5"/>
  <c r="E164" i="5"/>
  <c r="O163" i="5"/>
  <c r="W163" i="5" s="1"/>
  <c r="F163" i="5"/>
  <c r="E163" i="5"/>
  <c r="P162" i="5"/>
  <c r="O162" i="5"/>
  <c r="W162" i="5" s="1"/>
  <c r="Y162" i="5" s="1"/>
  <c r="AA162" i="5" s="1"/>
  <c r="F162" i="5"/>
  <c r="E162" i="5"/>
  <c r="P161" i="5"/>
  <c r="J161" i="5"/>
  <c r="O161" i="5" s="1"/>
  <c r="F161" i="5"/>
  <c r="E161" i="5"/>
  <c r="R160" i="5"/>
  <c r="P160" i="5"/>
  <c r="O160" i="5"/>
  <c r="F160" i="5"/>
  <c r="E160" i="5"/>
  <c r="R159" i="5"/>
  <c r="P159" i="5"/>
  <c r="O159" i="5"/>
  <c r="F159" i="5"/>
  <c r="E159" i="5"/>
  <c r="Z158" i="5"/>
  <c r="O158" i="5"/>
  <c r="W158" i="5" s="1"/>
  <c r="F158" i="5"/>
  <c r="E158" i="5"/>
  <c r="P157" i="5"/>
  <c r="O157" i="5"/>
  <c r="W157" i="5" s="1"/>
  <c r="Y157" i="5" s="1"/>
  <c r="AA157" i="5" s="1"/>
  <c r="F157" i="5"/>
  <c r="E157" i="5"/>
  <c r="O156" i="5"/>
  <c r="W156" i="5" s="1"/>
  <c r="Y156" i="5" s="1"/>
  <c r="AA156" i="5" s="1"/>
  <c r="F156" i="5"/>
  <c r="E156" i="5"/>
  <c r="N155" i="5"/>
  <c r="O155" i="5" s="1"/>
  <c r="E155" i="5"/>
  <c r="O154" i="5"/>
  <c r="W154" i="5" s="1"/>
  <c r="X154" i="5" s="1"/>
  <c r="F154" i="5"/>
  <c r="E154" i="5"/>
  <c r="O153" i="5"/>
  <c r="W153" i="5" s="1"/>
  <c r="Y153" i="5" s="1"/>
  <c r="AA153" i="5" s="1"/>
  <c r="F153" i="5"/>
  <c r="E153" i="5"/>
  <c r="O152" i="5"/>
  <c r="W152" i="5" s="1"/>
  <c r="E152" i="5"/>
  <c r="Q151" i="5"/>
  <c r="O151" i="5"/>
  <c r="W151" i="5" s="1"/>
  <c r="Y151" i="5" s="1"/>
  <c r="AA151" i="5" s="1"/>
  <c r="F151" i="5"/>
  <c r="E151" i="5"/>
  <c r="Q150" i="5"/>
  <c r="O150" i="5"/>
  <c r="F150" i="5"/>
  <c r="E150" i="5"/>
  <c r="O149" i="5"/>
  <c r="F149" i="5"/>
  <c r="E149" i="5"/>
  <c r="O148" i="5"/>
  <c r="W148" i="5" s="1"/>
  <c r="F148" i="5"/>
  <c r="E148" i="5"/>
  <c r="O147" i="5"/>
  <c r="F147" i="5"/>
  <c r="E147" i="5"/>
  <c r="O146" i="5"/>
  <c r="F146" i="5"/>
  <c r="E146" i="5"/>
  <c r="P145" i="5"/>
  <c r="O145" i="5"/>
  <c r="F145" i="5"/>
  <c r="E145" i="5"/>
  <c r="P144" i="5"/>
  <c r="O144" i="5"/>
  <c r="W144" i="5" s="1"/>
  <c r="F144" i="5"/>
  <c r="E144" i="5"/>
  <c r="Q143" i="5"/>
  <c r="O143" i="5"/>
  <c r="F143" i="5"/>
  <c r="E143" i="5"/>
  <c r="Q142" i="5"/>
  <c r="O142" i="5"/>
  <c r="F142" i="5"/>
  <c r="E142" i="5"/>
  <c r="Q141" i="5"/>
  <c r="O141" i="5"/>
  <c r="W141" i="5" s="1"/>
  <c r="F141" i="5"/>
  <c r="E141" i="5"/>
  <c r="O140" i="5"/>
  <c r="W140" i="5" s="1"/>
  <c r="F140" i="5"/>
  <c r="E140" i="5"/>
  <c r="O139" i="5"/>
  <c r="W139" i="5" s="1"/>
  <c r="F139" i="5"/>
  <c r="E139" i="5"/>
  <c r="Q138" i="5"/>
  <c r="O138" i="5"/>
  <c r="W138" i="5" s="1"/>
  <c r="Y138" i="5" s="1"/>
  <c r="AA138" i="5" s="1"/>
  <c r="F138" i="5"/>
  <c r="E138" i="5"/>
  <c r="O137" i="5"/>
  <c r="W137" i="5" s="1"/>
  <c r="Y137" i="5" s="1"/>
  <c r="AA137" i="5" s="1"/>
  <c r="F137" i="5"/>
  <c r="E137" i="5"/>
  <c r="O136" i="5"/>
  <c r="O135" i="5"/>
  <c r="W135" i="5" s="1"/>
  <c r="F135" i="5"/>
  <c r="E135" i="5"/>
  <c r="O134" i="5"/>
  <c r="F134" i="5"/>
  <c r="E134" i="5"/>
  <c r="Z133" i="5"/>
  <c r="Q133" i="5"/>
  <c r="N133" i="5"/>
  <c r="O133" i="5" s="1"/>
  <c r="F133" i="5"/>
  <c r="E133" i="5"/>
  <c r="Q132" i="5"/>
  <c r="N132" i="5"/>
  <c r="O132" i="5" s="1"/>
  <c r="F132" i="5"/>
  <c r="E132" i="5"/>
  <c r="Q131" i="5"/>
  <c r="O131" i="5"/>
  <c r="F131" i="5"/>
  <c r="E131" i="5"/>
  <c r="O130" i="5"/>
  <c r="W130" i="5" s="1"/>
  <c r="Y130" i="5" s="1"/>
  <c r="AA130" i="5" s="1"/>
  <c r="F130" i="5"/>
  <c r="E130" i="5"/>
  <c r="O129" i="5"/>
  <c r="F129" i="5"/>
  <c r="E129" i="5"/>
  <c r="Q128" i="5"/>
  <c r="N128" i="5"/>
  <c r="O128" i="5" s="1"/>
  <c r="F128" i="5"/>
  <c r="E128" i="5"/>
  <c r="O127" i="5"/>
  <c r="W127" i="5" s="1"/>
  <c r="F127" i="5"/>
  <c r="E127" i="5"/>
  <c r="N126" i="5"/>
  <c r="O126" i="5" s="1"/>
  <c r="F126" i="5"/>
  <c r="E126" i="5"/>
  <c r="O125" i="5"/>
  <c r="W125" i="5" s="1"/>
  <c r="Y125" i="5" s="1"/>
  <c r="AA125" i="5" s="1"/>
  <c r="F125" i="5"/>
  <c r="E125" i="5"/>
  <c r="Q124" i="5"/>
  <c r="O124" i="5"/>
  <c r="W124" i="5" s="1"/>
  <c r="Y124" i="5" s="1"/>
  <c r="AA124" i="5" s="1"/>
  <c r="F124" i="5"/>
  <c r="E124" i="5"/>
  <c r="Q123" i="5"/>
  <c r="N123" i="5"/>
  <c r="O123" i="5" s="1"/>
  <c r="F123" i="5"/>
  <c r="E123" i="5"/>
  <c r="O122" i="5"/>
  <c r="F122" i="5"/>
  <c r="E122" i="5"/>
  <c r="Z121" i="5"/>
  <c r="Q121" i="5"/>
  <c r="P121" i="5"/>
  <c r="N121" i="5"/>
  <c r="O121" i="5" s="1"/>
  <c r="F121" i="5"/>
  <c r="E121" i="5"/>
  <c r="O120" i="5"/>
  <c r="W120" i="5" s="1"/>
  <c r="F120" i="5"/>
  <c r="E120" i="5"/>
  <c r="O119" i="5"/>
  <c r="W119" i="5" s="1"/>
  <c r="F119" i="5"/>
  <c r="E119" i="5"/>
  <c r="O118" i="5"/>
  <c r="F118" i="5"/>
  <c r="E118" i="5"/>
  <c r="Q117" i="5"/>
  <c r="P117" i="5"/>
  <c r="O117" i="5"/>
  <c r="F117" i="5"/>
  <c r="E117" i="5"/>
  <c r="P116" i="5"/>
  <c r="O116" i="5"/>
  <c r="W116" i="5" s="1"/>
  <c r="F116" i="5"/>
  <c r="E116" i="5"/>
  <c r="Q115" i="5"/>
  <c r="P115" i="5"/>
  <c r="O115" i="5"/>
  <c r="W115" i="5" s="1"/>
  <c r="N115" i="5"/>
  <c r="F115" i="5"/>
  <c r="E115" i="5"/>
  <c r="P114" i="5"/>
  <c r="O114" i="5"/>
  <c r="W114" i="5" s="1"/>
  <c r="Y114" i="5" s="1"/>
  <c r="AA114" i="5" s="1"/>
  <c r="F114" i="5"/>
  <c r="E114" i="5"/>
  <c r="P113" i="5"/>
  <c r="O113" i="5"/>
  <c r="F113" i="5"/>
  <c r="E113" i="5"/>
  <c r="P112" i="5"/>
  <c r="O112" i="5"/>
  <c r="F112" i="5"/>
  <c r="E112" i="5"/>
  <c r="O111" i="5"/>
  <c r="W111" i="5" s="1"/>
  <c r="X111" i="5" s="1"/>
  <c r="F111" i="5"/>
  <c r="E111" i="5"/>
  <c r="N110" i="5"/>
  <c r="O110" i="5" s="1"/>
  <c r="W110" i="5" s="1"/>
  <c r="F110" i="5"/>
  <c r="E110" i="5"/>
  <c r="Q109" i="5"/>
  <c r="O109" i="5"/>
  <c r="F109" i="5"/>
  <c r="E109" i="5"/>
  <c r="Z108" i="5"/>
  <c r="Q108" i="5"/>
  <c r="J108" i="5"/>
  <c r="O108" i="5" s="1"/>
  <c r="F108" i="5"/>
  <c r="E108" i="5"/>
  <c r="O107" i="5"/>
  <c r="W107" i="5" s="1"/>
  <c r="Y107" i="5" s="1"/>
  <c r="AA107" i="5" s="1"/>
  <c r="F107" i="5"/>
  <c r="E107" i="5"/>
  <c r="Q106" i="5"/>
  <c r="O106" i="5"/>
  <c r="F106" i="5"/>
  <c r="E106" i="5"/>
  <c r="Z105" i="5"/>
  <c r="Q105" i="5"/>
  <c r="O105" i="5"/>
  <c r="F105" i="5"/>
  <c r="E105" i="5"/>
  <c r="O104" i="5"/>
  <c r="W104" i="5" s="1"/>
  <c r="Y104" i="5" s="1"/>
  <c r="AA104" i="5" s="1"/>
  <c r="F104" i="5"/>
  <c r="E104" i="5"/>
  <c r="R103" i="5"/>
  <c r="O103" i="5"/>
  <c r="W103" i="5" s="1"/>
  <c r="X103" i="5" s="1"/>
  <c r="P102" i="5"/>
  <c r="O102" i="5"/>
  <c r="P101" i="5"/>
  <c r="O101" i="5"/>
  <c r="W101" i="5" s="1"/>
  <c r="P100" i="5"/>
  <c r="O100" i="5"/>
  <c r="W100" i="5" s="1"/>
  <c r="E100" i="5"/>
  <c r="O99" i="5"/>
  <c r="W99" i="5" s="1"/>
  <c r="Y99" i="5" s="1"/>
  <c r="AA99" i="5" s="1"/>
  <c r="F99" i="5"/>
  <c r="E99" i="5"/>
  <c r="O98" i="5"/>
  <c r="W98" i="5" s="1"/>
  <c r="E98" i="5"/>
  <c r="Q97" i="5"/>
  <c r="O97" i="5"/>
  <c r="F97" i="5"/>
  <c r="E97" i="5"/>
  <c r="Q96" i="5"/>
  <c r="P96" i="5"/>
  <c r="O96" i="5"/>
  <c r="E96" i="5"/>
  <c r="O95" i="5"/>
  <c r="F95" i="5"/>
  <c r="E95" i="5"/>
  <c r="O94" i="5"/>
  <c r="W94" i="5" s="1"/>
  <c r="Y94" i="5" s="1"/>
  <c r="AA94" i="5" s="1"/>
  <c r="E94" i="5"/>
  <c r="Q93" i="5"/>
  <c r="O93" i="5"/>
  <c r="F93" i="5"/>
  <c r="E93" i="5"/>
  <c r="O92" i="5"/>
  <c r="F92" i="5"/>
  <c r="E92" i="5"/>
  <c r="P91" i="5"/>
  <c r="O91" i="5"/>
  <c r="F91" i="5"/>
  <c r="E91" i="5"/>
  <c r="W90" i="5"/>
  <c r="Y90" i="5" s="1"/>
  <c r="AA90" i="5" s="1"/>
  <c r="O90" i="5"/>
  <c r="F90" i="5"/>
  <c r="E90" i="5"/>
  <c r="O89" i="5"/>
  <c r="W89" i="5" s="1"/>
  <c r="Y89" i="5" s="1"/>
  <c r="AA89" i="5" s="1"/>
  <c r="F89" i="5"/>
  <c r="E89" i="5"/>
  <c r="O88" i="5"/>
  <c r="W88" i="5" s="1"/>
  <c r="F88" i="5"/>
  <c r="E88" i="5"/>
  <c r="O87" i="5"/>
  <c r="W87" i="5" s="1"/>
  <c r="X87" i="5" s="1"/>
  <c r="F87" i="5"/>
  <c r="E87" i="5"/>
  <c r="O86" i="5"/>
  <c r="W86" i="5" s="1"/>
  <c r="F86" i="5"/>
  <c r="E86" i="5"/>
  <c r="O85" i="5"/>
  <c r="W85" i="5" s="1"/>
  <c r="F85" i="5"/>
  <c r="E85" i="5"/>
  <c r="O84" i="5"/>
  <c r="W84" i="5" s="1"/>
  <c r="F84" i="5"/>
  <c r="E84" i="5"/>
  <c r="P83" i="5"/>
  <c r="O83" i="5"/>
  <c r="F83" i="5"/>
  <c r="E83" i="5"/>
  <c r="O82" i="5"/>
  <c r="W82" i="5" s="1"/>
  <c r="F82" i="5"/>
  <c r="E82" i="5"/>
  <c r="O81" i="5"/>
  <c r="F81" i="5"/>
  <c r="E81" i="5"/>
  <c r="O80" i="5"/>
  <c r="F80" i="5"/>
  <c r="E80" i="5"/>
  <c r="O79" i="5"/>
  <c r="W79" i="5" s="1"/>
  <c r="F79" i="5"/>
  <c r="E79" i="5"/>
  <c r="O78" i="5"/>
  <c r="F78" i="5"/>
  <c r="E78" i="5"/>
  <c r="Q77" i="5"/>
  <c r="O77" i="5"/>
  <c r="W77" i="5" s="1"/>
  <c r="F77" i="5"/>
  <c r="E77" i="5"/>
  <c r="Z76" i="5"/>
  <c r="Q76" i="5"/>
  <c r="O76" i="5"/>
  <c r="F76" i="5"/>
  <c r="E76" i="5"/>
  <c r="Q75" i="5"/>
  <c r="O75" i="5"/>
  <c r="W75" i="5" s="1"/>
  <c r="X75" i="5" s="1"/>
  <c r="F75" i="5"/>
  <c r="E75" i="5"/>
  <c r="O74" i="5"/>
  <c r="F74" i="5"/>
  <c r="E74" i="5"/>
  <c r="O73" i="5"/>
  <c r="F73" i="5"/>
  <c r="E73" i="5"/>
  <c r="Q72" i="5"/>
  <c r="O72" i="5"/>
  <c r="W72" i="5" s="1"/>
  <c r="F72" i="5"/>
  <c r="E72" i="5"/>
  <c r="O71" i="5"/>
  <c r="W71" i="5" s="1"/>
  <c r="F71" i="5"/>
  <c r="E71" i="5"/>
  <c r="O70" i="5"/>
  <c r="F70" i="5"/>
  <c r="E70" i="5"/>
  <c r="O69" i="5"/>
  <c r="W69" i="5" s="1"/>
  <c r="Y69" i="5" s="1"/>
  <c r="AA69" i="5" s="1"/>
  <c r="F69" i="5"/>
  <c r="E69" i="5"/>
  <c r="O68" i="5"/>
  <c r="W68" i="5" s="1"/>
  <c r="X68" i="5" s="1"/>
  <c r="F68" i="5"/>
  <c r="E68" i="5"/>
  <c r="O67" i="5"/>
  <c r="F67" i="5"/>
  <c r="E67" i="5"/>
  <c r="O66" i="5"/>
  <c r="W66" i="5" s="1"/>
  <c r="Y66" i="5" s="1"/>
  <c r="AA66" i="5" s="1"/>
  <c r="F66" i="5"/>
  <c r="E66" i="5"/>
  <c r="Z65" i="5"/>
  <c r="Q65" i="5"/>
  <c r="P65" i="5"/>
  <c r="O65" i="5"/>
  <c r="F65" i="5"/>
  <c r="E65" i="5"/>
  <c r="O64" i="5"/>
  <c r="F64" i="5"/>
  <c r="E64" i="5"/>
  <c r="P63" i="5"/>
  <c r="O63" i="5"/>
  <c r="P62" i="5"/>
  <c r="O62" i="5"/>
  <c r="F62" i="5"/>
  <c r="E62" i="5"/>
  <c r="Q61" i="5"/>
  <c r="O61" i="5"/>
  <c r="F61" i="5"/>
  <c r="E61" i="5"/>
  <c r="O60" i="5"/>
  <c r="W60" i="5" s="1"/>
  <c r="F60" i="5"/>
  <c r="E60" i="5"/>
  <c r="R59" i="5"/>
  <c r="P59" i="5"/>
  <c r="O59" i="5"/>
  <c r="F59" i="5"/>
  <c r="E59" i="5"/>
  <c r="R58" i="5"/>
  <c r="P58" i="5"/>
  <c r="O58" i="5"/>
  <c r="W58" i="5" s="1"/>
  <c r="F58" i="5"/>
  <c r="E58" i="5"/>
  <c r="R57" i="5"/>
  <c r="P57" i="5"/>
  <c r="O57" i="5"/>
  <c r="F57" i="5"/>
  <c r="E57" i="5"/>
  <c r="P56" i="5"/>
  <c r="O56" i="5"/>
  <c r="W56" i="5" s="1"/>
  <c r="F56" i="5"/>
  <c r="E56" i="5"/>
  <c r="R55" i="5"/>
  <c r="P55" i="5"/>
  <c r="O55" i="5"/>
  <c r="F55" i="5"/>
  <c r="E55" i="5"/>
  <c r="O54" i="5"/>
  <c r="W54" i="5" s="1"/>
  <c r="F54" i="5"/>
  <c r="E54" i="5"/>
  <c r="O53" i="5"/>
  <c r="W53" i="5" s="1"/>
  <c r="F53" i="5"/>
  <c r="E53" i="5"/>
  <c r="Z52" i="5"/>
  <c r="Q52" i="5"/>
  <c r="O52" i="5"/>
  <c r="W52" i="5" s="1"/>
  <c r="F52" i="5"/>
  <c r="E52" i="5"/>
  <c r="O51" i="5"/>
  <c r="W51" i="5" s="1"/>
  <c r="X51" i="5" s="1"/>
  <c r="F51" i="5"/>
  <c r="E51" i="5"/>
  <c r="Q50" i="5"/>
  <c r="O50" i="5"/>
  <c r="F50" i="5"/>
  <c r="E50" i="5"/>
  <c r="O49" i="5"/>
  <c r="F49" i="5"/>
  <c r="E49" i="5"/>
  <c r="O48" i="5"/>
  <c r="W48" i="5" s="1"/>
  <c r="X48" i="5" s="1"/>
  <c r="E48" i="5"/>
  <c r="P47" i="5"/>
  <c r="O47" i="5"/>
  <c r="W47" i="5" s="1"/>
  <c r="F47" i="5"/>
  <c r="E47" i="5"/>
  <c r="O46" i="5"/>
  <c r="F46" i="5"/>
  <c r="E46" i="5"/>
  <c r="O45" i="5"/>
  <c r="W45" i="5" s="1"/>
  <c r="E45" i="5"/>
  <c r="O44" i="5"/>
  <c r="W44" i="5" s="1"/>
  <c r="F44" i="5"/>
  <c r="E44" i="5"/>
  <c r="O43" i="5"/>
  <c r="W43" i="5" s="1"/>
  <c r="Y43" i="5" s="1"/>
  <c r="AA43" i="5" s="1"/>
  <c r="F43" i="5"/>
  <c r="E43" i="5"/>
  <c r="O42" i="5"/>
  <c r="W42" i="5" s="1"/>
  <c r="Y42" i="5" s="1"/>
  <c r="AA42" i="5" s="1"/>
  <c r="F42" i="5"/>
  <c r="E42" i="5"/>
  <c r="O41" i="5"/>
  <c r="E41" i="5"/>
  <c r="Z40" i="5"/>
  <c r="W40" i="5"/>
  <c r="Y40" i="5" s="1"/>
  <c r="AA40" i="5" s="1"/>
  <c r="O40" i="5"/>
  <c r="F40" i="5"/>
  <c r="E40" i="5"/>
  <c r="O39" i="5"/>
  <c r="W39" i="5" s="1"/>
  <c r="Y39" i="5" s="1"/>
  <c r="AA39" i="5" s="1"/>
  <c r="F39" i="5"/>
  <c r="E39" i="5"/>
  <c r="O38" i="5"/>
  <c r="W38" i="5" s="1"/>
  <c r="E38" i="5"/>
  <c r="O37" i="5"/>
  <c r="W37" i="5" s="1"/>
  <c r="Y37" i="5" s="1"/>
  <c r="AA37" i="5" s="1"/>
  <c r="F37" i="5"/>
  <c r="E37" i="5"/>
  <c r="O36" i="5"/>
  <c r="F36" i="5"/>
  <c r="E36" i="5"/>
  <c r="O35" i="5"/>
  <c r="W35" i="5" s="1"/>
  <c r="F35" i="5"/>
  <c r="E35" i="5"/>
  <c r="O34" i="5"/>
  <c r="W34" i="5" s="1"/>
  <c r="Y34" i="5" s="1"/>
  <c r="AA34" i="5" s="1"/>
  <c r="F34" i="5"/>
  <c r="E34" i="5"/>
  <c r="O33" i="5"/>
  <c r="F33" i="5"/>
  <c r="E33" i="5"/>
  <c r="O32" i="5"/>
  <c r="W32" i="5" s="1"/>
  <c r="F32" i="5"/>
  <c r="E32" i="5"/>
  <c r="O31" i="5"/>
  <c r="W31" i="5" s="1"/>
  <c r="Y31" i="5" s="1"/>
  <c r="AA31" i="5" s="1"/>
  <c r="E31" i="5"/>
  <c r="O30" i="5"/>
  <c r="W30" i="5" s="1"/>
  <c r="F30" i="5"/>
  <c r="E30" i="5"/>
  <c r="O29" i="5"/>
  <c r="W29" i="5" s="1"/>
  <c r="F29" i="5"/>
  <c r="E29" i="5"/>
  <c r="O28" i="5"/>
  <c r="F28" i="5"/>
  <c r="E28" i="5"/>
  <c r="O27" i="5"/>
  <c r="W27" i="5" s="1"/>
  <c r="F27" i="5"/>
  <c r="E27" i="5"/>
  <c r="O26" i="5"/>
  <c r="W26" i="5" s="1"/>
  <c r="F26" i="5"/>
  <c r="E26" i="5"/>
  <c r="P25" i="5"/>
  <c r="O25" i="5"/>
  <c r="F25" i="5"/>
  <c r="E25" i="5"/>
  <c r="O24" i="5"/>
  <c r="F24" i="5"/>
  <c r="E24" i="5"/>
  <c r="Z23" i="5"/>
  <c r="O23" i="5"/>
  <c r="W23" i="5" s="1"/>
  <c r="Y23" i="5" s="1"/>
  <c r="AA23" i="5" s="1"/>
  <c r="F23" i="5"/>
  <c r="E23" i="5"/>
  <c r="O22" i="5"/>
  <c r="W22" i="5" s="1"/>
  <c r="F22" i="5"/>
  <c r="E22" i="5"/>
  <c r="O21" i="5"/>
  <c r="W21" i="5" s="1"/>
  <c r="Y21" i="5" s="1"/>
  <c r="AA21" i="5" s="1"/>
  <c r="F21" i="5"/>
  <c r="E21" i="5"/>
  <c r="O20" i="5"/>
  <c r="W20" i="5" s="1"/>
  <c r="Y20" i="5" s="1"/>
  <c r="AA20" i="5" s="1"/>
  <c r="F20" i="5"/>
  <c r="E20" i="5"/>
  <c r="O19" i="5"/>
  <c r="W19" i="5" s="1"/>
  <c r="F19" i="5"/>
  <c r="E19" i="5"/>
  <c r="O18" i="5"/>
  <c r="W18" i="5" s="1"/>
  <c r="F18" i="5"/>
  <c r="E18" i="5"/>
  <c r="P17" i="5"/>
  <c r="O17" i="5"/>
  <c r="W17" i="5" s="1"/>
  <c r="Y17" i="5" s="1"/>
  <c r="AA17" i="5" s="1"/>
  <c r="F17" i="5"/>
  <c r="E17" i="5"/>
  <c r="O16" i="5"/>
  <c r="W16" i="5" s="1"/>
  <c r="F16" i="5"/>
  <c r="E16" i="5"/>
  <c r="O15" i="5"/>
  <c r="W15" i="5" s="1"/>
  <c r="Y15" i="5" s="1"/>
  <c r="AA15" i="5" s="1"/>
  <c r="F15" i="5"/>
  <c r="E15" i="5"/>
  <c r="O14" i="5"/>
  <c r="W14" i="5" s="1"/>
  <c r="F14" i="5"/>
  <c r="E14" i="5"/>
  <c r="Z13" i="5"/>
  <c r="O13" i="5"/>
  <c r="W13" i="5" s="1"/>
  <c r="Y13" i="5" s="1"/>
  <c r="AA13" i="5" s="1"/>
  <c r="F13" i="5"/>
  <c r="E13" i="5"/>
  <c r="Z12" i="5"/>
  <c r="O12" i="5"/>
  <c r="W12" i="5" s="1"/>
  <c r="Y12" i="5" s="1"/>
  <c r="AA12" i="5" s="1"/>
  <c r="F12" i="5"/>
  <c r="E12" i="5"/>
  <c r="O11" i="5"/>
  <c r="F11" i="5"/>
  <c r="E11" i="5"/>
  <c r="O10" i="5"/>
  <c r="W10" i="5" s="1"/>
  <c r="F10" i="5"/>
  <c r="E10" i="5"/>
  <c r="O9" i="5"/>
  <c r="W9" i="5" s="1"/>
  <c r="Y9" i="5" s="1"/>
  <c r="AA9" i="5" s="1"/>
  <c r="F9" i="5"/>
  <c r="E9" i="5"/>
  <c r="Z8" i="5"/>
  <c r="O8" i="5"/>
  <c r="F8" i="5"/>
  <c r="E8" i="5"/>
  <c r="O7" i="5"/>
  <c r="W7" i="5" s="1"/>
  <c r="Y7" i="5" s="1"/>
  <c r="AA7" i="5" s="1"/>
  <c r="F7" i="5"/>
  <c r="E7" i="5"/>
  <c r="O6" i="5"/>
  <c r="W6" i="5" s="1"/>
  <c r="F6" i="5"/>
  <c r="E6" i="5"/>
  <c r="Z5" i="5"/>
  <c r="O5" i="5"/>
  <c r="W5" i="5" s="1"/>
  <c r="Y5" i="5" s="1"/>
  <c r="AA5" i="5" s="1"/>
  <c r="F5" i="5"/>
  <c r="E5" i="5"/>
  <c r="O4" i="5"/>
  <c r="W4" i="5" s="1"/>
  <c r="O3" i="5"/>
  <c r="W3" i="5" s="1"/>
  <c r="Y3" i="5" s="1"/>
  <c r="AA3" i="5" s="1"/>
  <c r="F3" i="5"/>
  <c r="E3" i="5"/>
  <c r="Z2" i="5"/>
  <c r="O2" i="5"/>
  <c r="F2" i="5"/>
  <c r="E2" i="5"/>
  <c r="Y374" i="5" l="1"/>
  <c r="AA374" i="5" s="1"/>
  <c r="W231" i="5"/>
  <c r="X231" i="5" s="1"/>
  <c r="W257" i="5"/>
  <c r="Y257" i="5" s="1"/>
  <c r="AA257" i="5" s="1"/>
  <c r="X162" i="5"/>
  <c r="AB162" i="5" s="1"/>
  <c r="W208" i="5"/>
  <c r="Y208" i="5" s="1"/>
  <c r="AA208" i="5" s="1"/>
  <c r="W250" i="5"/>
  <c r="W188" i="5"/>
  <c r="Y188" i="5" s="1"/>
  <c r="AA188" i="5" s="1"/>
  <c r="Y555" i="5"/>
  <c r="AA555" i="5" s="1"/>
  <c r="W580" i="5"/>
  <c r="W262" i="5"/>
  <c r="X172" i="5"/>
  <c r="AB172" i="5" s="1"/>
  <c r="W412" i="5"/>
  <c r="Y412" i="5" s="1"/>
  <c r="AA412" i="5" s="1"/>
  <c r="W143" i="5"/>
  <c r="X137" i="5"/>
  <c r="AB137" i="5" s="1"/>
  <c r="W716" i="5"/>
  <c r="Y716" i="5" s="1"/>
  <c r="AA716" i="5" s="1"/>
  <c r="W692" i="5"/>
  <c r="Y692" i="5" s="1"/>
  <c r="AA692" i="5" s="1"/>
  <c r="W306" i="5"/>
  <c r="Y306" i="5" s="1"/>
  <c r="AA306" i="5" s="1"/>
  <c r="X94" i="5"/>
  <c r="W57" i="5"/>
  <c r="O476" i="5"/>
  <c r="Y101" i="5"/>
  <c r="X101" i="5"/>
  <c r="AB101" i="5" s="1"/>
  <c r="X98" i="5"/>
  <c r="Y98" i="5"/>
  <c r="AA98" i="5" s="1"/>
  <c r="X84" i="5"/>
  <c r="Y84" i="5"/>
  <c r="AA84" i="5" s="1"/>
  <c r="O473" i="5"/>
  <c r="Y680" i="5"/>
  <c r="AA680" i="5" s="1"/>
  <c r="W96" i="5"/>
  <c r="Y96" i="5" s="1"/>
  <c r="AA96" i="5" s="1"/>
  <c r="X463" i="5"/>
  <c r="W492" i="5"/>
  <c r="X492" i="5" s="1"/>
  <c r="AB492" i="5" s="1"/>
  <c r="X687" i="5"/>
  <c r="AB374" i="5"/>
  <c r="W76" i="5"/>
  <c r="Y76" i="5" s="1"/>
  <c r="AA76" i="5" s="1"/>
  <c r="X187" i="5"/>
  <c r="X371" i="5"/>
  <c r="AB371" i="5" s="1"/>
  <c r="W62" i="5"/>
  <c r="X62" i="5" s="1"/>
  <c r="W131" i="5"/>
  <c r="Y131" i="5" s="1"/>
  <c r="AA131" i="5" s="1"/>
  <c r="W233" i="5"/>
  <c r="Y233" i="5" s="1"/>
  <c r="AA233" i="5" s="1"/>
  <c r="W511" i="5"/>
  <c r="X511" i="5" s="1"/>
  <c r="W694" i="5"/>
  <c r="X694" i="5" s="1"/>
  <c r="W223" i="5"/>
  <c r="Y378" i="5"/>
  <c r="AA378" i="5" s="1"/>
  <c r="W298" i="5"/>
  <c r="W419" i="5"/>
  <c r="O474" i="5"/>
  <c r="W474" i="5" s="1"/>
  <c r="W648" i="5"/>
  <c r="Y673" i="5"/>
  <c r="AA673" i="5" s="1"/>
  <c r="AB673" i="5" s="1"/>
  <c r="X39" i="5"/>
  <c r="X40" i="5"/>
  <c r="Y87" i="5"/>
  <c r="AA87" i="5" s="1"/>
  <c r="W480" i="5"/>
  <c r="Y399" i="5"/>
  <c r="AA399" i="5" s="1"/>
  <c r="AB399" i="5" s="1"/>
  <c r="X186" i="5"/>
  <c r="AB186" i="5" s="1"/>
  <c r="W481" i="5"/>
  <c r="Y481" i="5" s="1"/>
  <c r="AA481" i="5" s="1"/>
  <c r="W279" i="5"/>
  <c r="Y279" i="5" s="1"/>
  <c r="AA279" i="5" s="1"/>
  <c r="W551" i="5"/>
  <c r="Y551" i="5" s="1"/>
  <c r="AA551" i="5" s="1"/>
  <c r="W623" i="5"/>
  <c r="Y623" i="5" s="1"/>
  <c r="AA623" i="5" s="1"/>
  <c r="W731" i="5"/>
  <c r="X71" i="5"/>
  <c r="Y71" i="5"/>
  <c r="AA71" i="5" s="1"/>
  <c r="Y330" i="5"/>
  <c r="AA330" i="5" s="1"/>
  <c r="X330" i="5"/>
  <c r="Y38" i="5"/>
  <c r="AA38" i="5" s="1"/>
  <c r="X38" i="5"/>
  <c r="AB38" i="5" s="1"/>
  <c r="X45" i="5"/>
  <c r="Y45" i="5"/>
  <c r="AA45" i="5" s="1"/>
  <c r="AB45" i="5" s="1"/>
  <c r="X88" i="5"/>
  <c r="Y88" i="5"/>
  <c r="AA88" i="5" s="1"/>
  <c r="X235" i="5"/>
  <c r="Y235" i="5"/>
  <c r="AA235" i="5" s="1"/>
  <c r="Y566" i="5"/>
  <c r="AA566" i="5" s="1"/>
  <c r="X566" i="5"/>
  <c r="Y646" i="5"/>
  <c r="AA646" i="5" s="1"/>
  <c r="X646" i="5"/>
  <c r="AB646" i="5" s="1"/>
  <c r="Y671" i="5"/>
  <c r="AA671" i="5" s="1"/>
  <c r="X671" i="5"/>
  <c r="AB671" i="5" s="1"/>
  <c r="Y380" i="5"/>
  <c r="AA380" i="5" s="1"/>
  <c r="X380" i="5"/>
  <c r="Y495" i="5"/>
  <c r="AA495" i="5" s="1"/>
  <c r="X495" i="5"/>
  <c r="Y545" i="5"/>
  <c r="AA545" i="5" s="1"/>
  <c r="X545" i="5"/>
  <c r="AB545" i="5" s="1"/>
  <c r="Y82" i="5"/>
  <c r="AA82" i="5" s="1"/>
  <c r="X82" i="5"/>
  <c r="X85" i="5"/>
  <c r="Y85" i="5"/>
  <c r="AA85" i="5" s="1"/>
  <c r="Y72" i="5"/>
  <c r="AA72" i="5" s="1"/>
  <c r="X72" i="5"/>
  <c r="AB72" i="5" s="1"/>
  <c r="Y540" i="5"/>
  <c r="AA540" i="5" s="1"/>
  <c r="X540" i="5"/>
  <c r="Y637" i="5"/>
  <c r="AA637" i="5" s="1"/>
  <c r="AB637" i="5" s="1"/>
  <c r="X637" i="5"/>
  <c r="Y163" i="5"/>
  <c r="AA163" i="5" s="1"/>
  <c r="X163" i="5"/>
  <c r="AB163" i="5" s="1"/>
  <c r="X257" i="5"/>
  <c r="X364" i="5"/>
  <c r="Y364" i="5"/>
  <c r="AA364" i="5" s="1"/>
  <c r="Y503" i="5"/>
  <c r="AA503" i="5" s="1"/>
  <c r="X503" i="5"/>
  <c r="Y701" i="5"/>
  <c r="AA701" i="5" s="1"/>
  <c r="X701" i="5"/>
  <c r="Y52" i="5"/>
  <c r="AA52" i="5" s="1"/>
  <c r="X52" i="5"/>
  <c r="X345" i="5"/>
  <c r="Y345" i="5"/>
  <c r="AA345" i="5" s="1"/>
  <c r="Y26" i="5"/>
  <c r="AA26" i="5" s="1"/>
  <c r="X26" i="5"/>
  <c r="Y158" i="5"/>
  <c r="AA158" i="5" s="1"/>
  <c r="X158" i="5"/>
  <c r="Y79" i="5"/>
  <c r="AA79" i="5" s="1"/>
  <c r="X79" i="5"/>
  <c r="AB79" i="5" s="1"/>
  <c r="Y86" i="5"/>
  <c r="AA86" i="5" s="1"/>
  <c r="X86" i="5"/>
  <c r="X466" i="5"/>
  <c r="Y466" i="5"/>
  <c r="AA466" i="5" s="1"/>
  <c r="Y492" i="5"/>
  <c r="AA492" i="5" s="1"/>
  <c r="Y521" i="5"/>
  <c r="AA521" i="5" s="1"/>
  <c r="X521" i="5"/>
  <c r="AB521" i="5" s="1"/>
  <c r="X575" i="5"/>
  <c r="Y575" i="5"/>
  <c r="AA575" i="5" s="1"/>
  <c r="AB575" i="5" s="1"/>
  <c r="X509" i="5"/>
  <c r="Y509" i="5"/>
  <c r="AA509" i="5" s="1"/>
  <c r="X76" i="5"/>
  <c r="X115" i="5"/>
  <c r="Y115" i="5"/>
  <c r="AA115" i="5" s="1"/>
  <c r="Y541" i="5"/>
  <c r="AA541" i="5" s="1"/>
  <c r="X541" i="5"/>
  <c r="AB541" i="5" s="1"/>
  <c r="X724" i="5"/>
  <c r="Y724" i="5"/>
  <c r="AA724" i="5" s="1"/>
  <c r="X167" i="5"/>
  <c r="Y167" i="5"/>
  <c r="AA167" i="5" s="1"/>
  <c r="X233" i="5"/>
  <c r="X251" i="5"/>
  <c r="Y251" i="5"/>
  <c r="AA251" i="5" s="1"/>
  <c r="X305" i="5"/>
  <c r="Y305" i="5"/>
  <c r="AA305" i="5" s="1"/>
  <c r="X446" i="5"/>
  <c r="Y446" i="5"/>
  <c r="AA446" i="5" s="1"/>
  <c r="Y511" i="5"/>
  <c r="AA511" i="5" s="1"/>
  <c r="Y554" i="5"/>
  <c r="AA554" i="5" s="1"/>
  <c r="X554" i="5"/>
  <c r="Y712" i="5"/>
  <c r="AA712" i="5" s="1"/>
  <c r="X712" i="5"/>
  <c r="X261" i="5"/>
  <c r="Y261" i="5"/>
  <c r="AA261" i="5" s="1"/>
  <c r="X572" i="5"/>
  <c r="Y572" i="5"/>
  <c r="AA572" i="5" s="1"/>
  <c r="Y508" i="5"/>
  <c r="AA508" i="5" s="1"/>
  <c r="X508" i="5"/>
  <c r="X596" i="5"/>
  <c r="Y596" i="5"/>
  <c r="AA596" i="5" s="1"/>
  <c r="Y627" i="5"/>
  <c r="AA627" i="5" s="1"/>
  <c r="X627" i="5"/>
  <c r="Y690" i="5"/>
  <c r="AA690" i="5" s="1"/>
  <c r="X690" i="5"/>
  <c r="Y750" i="5"/>
  <c r="AA750" i="5" s="1"/>
  <c r="X750" i="5"/>
  <c r="X152" i="5"/>
  <c r="Y152" i="5"/>
  <c r="AA152" i="5" s="1"/>
  <c r="X4" i="5"/>
  <c r="Y4" i="5"/>
  <c r="AA4" i="5" s="1"/>
  <c r="X14" i="5"/>
  <c r="Y14" i="5"/>
  <c r="AA14" i="5" s="1"/>
  <c r="X241" i="5"/>
  <c r="Y241" i="5"/>
  <c r="AA241" i="5" s="1"/>
  <c r="AB241" i="5" s="1"/>
  <c r="X252" i="5"/>
  <c r="Y252" i="5"/>
  <c r="AA252" i="5" s="1"/>
  <c r="X268" i="5"/>
  <c r="Y268" i="5"/>
  <c r="AA268" i="5" s="1"/>
  <c r="X278" i="5"/>
  <c r="Y278" i="5"/>
  <c r="AA278" i="5" s="1"/>
  <c r="Y550" i="5"/>
  <c r="AA550" i="5" s="1"/>
  <c r="X550" i="5"/>
  <c r="Y670" i="5"/>
  <c r="AA670" i="5" s="1"/>
  <c r="X670" i="5"/>
  <c r="Y743" i="5"/>
  <c r="AA743" i="5" s="1"/>
  <c r="X743" i="5"/>
  <c r="Y29" i="5"/>
  <c r="AA29" i="5" s="1"/>
  <c r="X29" i="5"/>
  <c r="Y44" i="5"/>
  <c r="AA44" i="5" s="1"/>
  <c r="X44" i="5"/>
  <c r="Y116" i="5"/>
  <c r="AA116" i="5" s="1"/>
  <c r="X116" i="5"/>
  <c r="X221" i="5"/>
  <c r="Y221" i="5"/>
  <c r="AA221" i="5" s="1"/>
  <c r="Y569" i="5"/>
  <c r="AA569" i="5" s="1"/>
  <c r="X569" i="5"/>
  <c r="X42" i="5"/>
  <c r="Y51" i="5"/>
  <c r="AA51" i="5" s="1"/>
  <c r="AB51" i="5" s="1"/>
  <c r="X107" i="5"/>
  <c r="AB107" i="5" s="1"/>
  <c r="W160" i="5"/>
  <c r="Y160" i="5" s="1"/>
  <c r="AA160" i="5" s="1"/>
  <c r="W165" i="5"/>
  <c r="Y165" i="5" s="1"/>
  <c r="AA165" i="5" s="1"/>
  <c r="Y402" i="5"/>
  <c r="AA402" i="5" s="1"/>
  <c r="X442" i="5"/>
  <c r="AB442" i="5" s="1"/>
  <c r="O475" i="5"/>
  <c r="W475" i="5" s="1"/>
  <c r="X497" i="5"/>
  <c r="X552" i="5"/>
  <c r="AB552" i="5" s="1"/>
  <c r="X557" i="5"/>
  <c r="AB557" i="5" s="1"/>
  <c r="W565" i="5"/>
  <c r="Y565" i="5" s="1"/>
  <c r="AA565" i="5" s="1"/>
  <c r="W696" i="5"/>
  <c r="W720" i="5"/>
  <c r="Y720" i="5" s="1"/>
  <c r="AA720" i="5" s="1"/>
  <c r="X736" i="5"/>
  <c r="W742" i="5"/>
  <c r="W65" i="5"/>
  <c r="Y65" i="5" s="1"/>
  <c r="AA65" i="5" s="1"/>
  <c r="W91" i="5"/>
  <c r="Y91" i="5" s="1"/>
  <c r="AA91" i="5" s="1"/>
  <c r="W145" i="5"/>
  <c r="W194" i="5"/>
  <c r="X194" i="5" s="1"/>
  <c r="W287" i="5"/>
  <c r="Y287" i="5" s="1"/>
  <c r="AA287" i="5" s="1"/>
  <c r="Y520" i="5"/>
  <c r="AA520" i="5" s="1"/>
  <c r="AB520" i="5" s="1"/>
  <c r="W582" i="5"/>
  <c r="W599" i="5"/>
  <c r="Y599" i="5" s="1"/>
  <c r="AA599" i="5" s="1"/>
  <c r="W49" i="5"/>
  <c r="W59" i="5"/>
  <c r="X89" i="5"/>
  <c r="AB89" i="5" s="1"/>
  <c r="X130" i="5"/>
  <c r="W166" i="5"/>
  <c r="W254" i="5"/>
  <c r="W270" i="5"/>
  <c r="Y270" i="5" s="1"/>
  <c r="AA270" i="5" s="1"/>
  <c r="Y367" i="5"/>
  <c r="AA367" i="5" s="1"/>
  <c r="AB367" i="5" s="1"/>
  <c r="X568" i="5"/>
  <c r="W594" i="5"/>
  <c r="X697" i="5"/>
  <c r="AB697" i="5" s="1"/>
  <c r="X707" i="5"/>
  <c r="AB707" i="5" s="1"/>
  <c r="W236" i="5"/>
  <c r="Y236" i="5" s="1"/>
  <c r="AA236" i="5" s="1"/>
  <c r="W265" i="5"/>
  <c r="X721" i="5"/>
  <c r="X69" i="5"/>
  <c r="AB69" i="5" s="1"/>
  <c r="W413" i="5"/>
  <c r="Y413" i="5" s="1"/>
  <c r="AA413" i="5" s="1"/>
  <c r="W571" i="5"/>
  <c r="W603" i="5"/>
  <c r="Y606" i="5"/>
  <c r="AA606" i="5" s="1"/>
  <c r="W610" i="5"/>
  <c r="X615" i="5"/>
  <c r="W619" i="5"/>
  <c r="Y619" i="5" s="1"/>
  <c r="AA619" i="5" s="1"/>
  <c r="X672" i="5"/>
  <c r="AB672" i="5" s="1"/>
  <c r="W734" i="5"/>
  <c r="AB85" i="5"/>
  <c r="W55" i="5"/>
  <c r="Y55" i="5" s="1"/>
  <c r="AA55" i="5" s="1"/>
  <c r="W92" i="5"/>
  <c r="Y103" i="5"/>
  <c r="AA103" i="5" s="1"/>
  <c r="AB103" i="5" s="1"/>
  <c r="W106" i="5"/>
  <c r="Y106" i="5" s="1"/>
  <c r="AA106" i="5" s="1"/>
  <c r="Y111" i="5"/>
  <c r="AA111" i="5" s="1"/>
  <c r="AB111" i="5" s="1"/>
  <c r="W159" i="5"/>
  <c r="W232" i="5"/>
  <c r="W286" i="5"/>
  <c r="Y362" i="5"/>
  <c r="AA362" i="5" s="1"/>
  <c r="AB362" i="5" s="1"/>
  <c r="Y365" i="5"/>
  <c r="AA365" i="5" s="1"/>
  <c r="AB365" i="5" s="1"/>
  <c r="X390" i="5"/>
  <c r="W401" i="5"/>
  <c r="W483" i="5"/>
  <c r="Y483" i="5" s="1"/>
  <c r="AA483" i="5" s="1"/>
  <c r="W539" i="5"/>
  <c r="X703" i="5"/>
  <c r="AB703" i="5" s="1"/>
  <c r="W714" i="5"/>
  <c r="X114" i="5"/>
  <c r="AB114" i="5" s="1"/>
  <c r="W294" i="5"/>
  <c r="Y294" i="5" s="1"/>
  <c r="AA294" i="5" s="1"/>
  <c r="Y685" i="5"/>
  <c r="AA685" i="5" s="1"/>
  <c r="AB685" i="5" s="1"/>
  <c r="W699" i="5"/>
  <c r="W723" i="5"/>
  <c r="X723" i="5" s="1"/>
  <c r="Y729" i="5"/>
  <c r="AA729" i="5" s="1"/>
  <c r="AB729" i="5" s="1"/>
  <c r="W50" i="5"/>
  <c r="X50" i="5" s="1"/>
  <c r="W95" i="5"/>
  <c r="X176" i="5"/>
  <c r="AB176" i="5" s="1"/>
  <c r="Y190" i="5"/>
  <c r="AA190" i="5" s="1"/>
  <c r="AB190" i="5" s="1"/>
  <c r="X208" i="5"/>
  <c r="AB208" i="5" s="1"/>
  <c r="X479" i="5"/>
  <c r="X494" i="5"/>
  <c r="X496" i="5"/>
  <c r="AB496" i="5" s="1"/>
  <c r="X651" i="5"/>
  <c r="X659" i="5"/>
  <c r="AB659" i="5" s="1"/>
  <c r="W109" i="5"/>
  <c r="W179" i="5"/>
  <c r="W182" i="5"/>
  <c r="X469" i="5"/>
  <c r="AB469" i="5" s="1"/>
  <c r="O477" i="5"/>
  <c r="AB562" i="5"/>
  <c r="W649" i="5"/>
  <c r="Y203" i="5"/>
  <c r="AA203" i="5" s="1"/>
  <c r="W237" i="5"/>
  <c r="W290" i="5"/>
  <c r="W323" i="5"/>
  <c r="Y323" i="5" s="1"/>
  <c r="AA323" i="5" s="1"/>
  <c r="Y343" i="5"/>
  <c r="AA343" i="5" s="1"/>
  <c r="AB343" i="5" s="1"/>
  <c r="AB378" i="5"/>
  <c r="X484" i="5"/>
  <c r="AB484" i="5" s="1"/>
  <c r="W516" i="5"/>
  <c r="AA687" i="5"/>
  <c r="X16" i="5"/>
  <c r="Y16" i="5"/>
  <c r="AA16" i="5" s="1"/>
  <c r="AB40" i="5"/>
  <c r="Y54" i="5"/>
  <c r="AA54" i="5" s="1"/>
  <c r="X54" i="5"/>
  <c r="Y30" i="5"/>
  <c r="AA30" i="5" s="1"/>
  <c r="X30" i="5"/>
  <c r="X57" i="5"/>
  <c r="Y57" i="5"/>
  <c r="AA57" i="5" s="1"/>
  <c r="Y56" i="5"/>
  <c r="AA56" i="5" s="1"/>
  <c r="X56" i="5"/>
  <c r="Y53" i="5"/>
  <c r="AA53" i="5" s="1"/>
  <c r="X53" i="5"/>
  <c r="AB29" i="5"/>
  <c r="AB42" i="5"/>
  <c r="Y27" i="5"/>
  <c r="AA27" i="5" s="1"/>
  <c r="X27" i="5"/>
  <c r="Y18" i="5"/>
  <c r="AA18" i="5" s="1"/>
  <c r="X18" i="5"/>
  <c r="Y47" i="5"/>
  <c r="AA47" i="5" s="1"/>
  <c r="X47" i="5"/>
  <c r="AB47" i="5" s="1"/>
  <c r="X6" i="5"/>
  <c r="Y6" i="5"/>
  <c r="AA6" i="5" s="1"/>
  <c r="AB6" i="5" s="1"/>
  <c r="Y58" i="5"/>
  <c r="AA58" i="5" s="1"/>
  <c r="X58" i="5"/>
  <c r="X22" i="5"/>
  <c r="Y22" i="5"/>
  <c r="AA22" i="5" s="1"/>
  <c r="Y10" i="5"/>
  <c r="AA10" i="5" s="1"/>
  <c r="X10" i="5"/>
  <c r="Y35" i="5"/>
  <c r="AA35" i="5" s="1"/>
  <c r="X35" i="5"/>
  <c r="Y50" i="5"/>
  <c r="AA50" i="5" s="1"/>
  <c r="X19" i="5"/>
  <c r="Y19" i="5"/>
  <c r="AA19" i="5" s="1"/>
  <c r="Y32" i="5"/>
  <c r="AA32" i="5" s="1"/>
  <c r="X32" i="5"/>
  <c r="W83" i="5"/>
  <c r="Y120" i="5"/>
  <c r="AA120" i="5" s="1"/>
  <c r="X120" i="5"/>
  <c r="Y282" i="5"/>
  <c r="AA282" i="5" s="1"/>
  <c r="X282" i="5"/>
  <c r="Y474" i="5"/>
  <c r="AA474" i="5" s="1"/>
  <c r="X474" i="5"/>
  <c r="X3" i="5"/>
  <c r="AB3" i="5" s="1"/>
  <c r="X9" i="5"/>
  <c r="AB9" i="5" s="1"/>
  <c r="X12" i="5"/>
  <c r="AB12" i="5" s="1"/>
  <c r="W25" i="5"/>
  <c r="W28" i="5"/>
  <c r="X31" i="5"/>
  <c r="AB31" i="5" s="1"/>
  <c r="X34" i="5"/>
  <c r="AB34" i="5" s="1"/>
  <c r="X37" i="5"/>
  <c r="AB37" i="5" s="1"/>
  <c r="W61" i="5"/>
  <c r="X66" i="5"/>
  <c r="AB66" i="5" s="1"/>
  <c r="Y68" i="5"/>
  <c r="AA68" i="5" s="1"/>
  <c r="AB68" i="5" s="1"/>
  <c r="W113" i="5"/>
  <c r="Y143" i="5"/>
  <c r="AA143" i="5" s="1"/>
  <c r="X143" i="5"/>
  <c r="W171" i="5"/>
  <c r="W321" i="5"/>
  <c r="AB56" i="5"/>
  <c r="W63" i="5"/>
  <c r="W70" i="5"/>
  <c r="W81" i="5"/>
  <c r="W108" i="5"/>
  <c r="AB115" i="5"/>
  <c r="W134" i="5"/>
  <c r="X160" i="5"/>
  <c r="Y168" i="5"/>
  <c r="AA168" i="5" s="1"/>
  <c r="X168" i="5"/>
  <c r="W202" i="5"/>
  <c r="X5" i="5"/>
  <c r="AB5" i="5" s="1"/>
  <c r="W8" i="5"/>
  <c r="X15" i="5"/>
  <c r="AB15" i="5" s="1"/>
  <c r="W121" i="5"/>
  <c r="Y141" i="5"/>
  <c r="AA141" i="5" s="1"/>
  <c r="X141" i="5"/>
  <c r="W150" i="5"/>
  <c r="W78" i="5"/>
  <c r="W2" i="5"/>
  <c r="X21" i="5"/>
  <c r="AB21" i="5" s="1"/>
  <c r="W24" i="5"/>
  <c r="W33" i="5"/>
  <c r="W36" i="5"/>
  <c r="W41" i="5"/>
  <c r="W46" i="5"/>
  <c r="Y100" i="5"/>
  <c r="AA100" i="5" s="1"/>
  <c r="X100" i="5"/>
  <c r="W126" i="5"/>
  <c r="W132" i="5"/>
  <c r="X174" i="5"/>
  <c r="Y174" i="5"/>
  <c r="AA174" i="5" s="1"/>
  <c r="W180" i="5"/>
  <c r="W123" i="5"/>
  <c r="W155" i="5"/>
  <c r="AB39" i="5"/>
  <c r="W118" i="5"/>
  <c r="Y135" i="5"/>
  <c r="AA135" i="5" s="1"/>
  <c r="X135" i="5"/>
  <c r="W147" i="5"/>
  <c r="W183" i="5"/>
  <c r="Y140" i="5"/>
  <c r="AA140" i="5" s="1"/>
  <c r="X140" i="5"/>
  <c r="W11" i="5"/>
  <c r="X106" i="5"/>
  <c r="AB106" i="5" s="1"/>
  <c r="Y144" i="5"/>
  <c r="AA144" i="5" s="1"/>
  <c r="X144" i="5"/>
  <c r="Y196" i="5"/>
  <c r="AA196" i="5" s="1"/>
  <c r="X196" i="5"/>
  <c r="W214" i="5"/>
  <c r="Y127" i="5"/>
  <c r="AA127" i="5" s="1"/>
  <c r="X127" i="5"/>
  <c r="AB127" i="5" s="1"/>
  <c r="W161" i="5"/>
  <c r="X247" i="5"/>
  <c r="Y247" i="5"/>
  <c r="AA247" i="5" s="1"/>
  <c r="W297" i="5"/>
  <c r="X7" i="5"/>
  <c r="AB7" i="5" s="1"/>
  <c r="X17" i="5"/>
  <c r="AB17" i="5" s="1"/>
  <c r="X20" i="5"/>
  <c r="AB20" i="5" s="1"/>
  <c r="X23" i="5"/>
  <c r="AB23" i="5" s="1"/>
  <c r="X43" i="5"/>
  <c r="AB43" i="5" s="1"/>
  <c r="Y48" i="5"/>
  <c r="AA48" i="5" s="1"/>
  <c r="AB48" i="5" s="1"/>
  <c r="W64" i="5"/>
  <c r="W67" i="5"/>
  <c r="W73" i="5"/>
  <c r="Y75" i="5"/>
  <c r="AA75" i="5" s="1"/>
  <c r="AB75" i="5" s="1"/>
  <c r="Y77" i="5"/>
  <c r="AA77" i="5" s="1"/>
  <c r="X77" i="5"/>
  <c r="Y109" i="5"/>
  <c r="AA109" i="5" s="1"/>
  <c r="X109" i="5"/>
  <c r="Y119" i="5"/>
  <c r="AA119" i="5" s="1"/>
  <c r="X119" i="5"/>
  <c r="Y139" i="5"/>
  <c r="AA139" i="5" s="1"/>
  <c r="X139" i="5"/>
  <c r="Y148" i="5"/>
  <c r="AA148" i="5" s="1"/>
  <c r="X148" i="5"/>
  <c r="AB148" i="5" s="1"/>
  <c r="Y159" i="5"/>
  <c r="AA159" i="5" s="1"/>
  <c r="X159" i="5"/>
  <c r="Y178" i="5"/>
  <c r="AA178" i="5" s="1"/>
  <c r="X178" i="5"/>
  <c r="Y110" i="5"/>
  <c r="AA110" i="5" s="1"/>
  <c r="X110" i="5"/>
  <c r="Y60" i="5"/>
  <c r="AA60" i="5" s="1"/>
  <c r="X60" i="5"/>
  <c r="AB116" i="5"/>
  <c r="W122" i="5"/>
  <c r="Y145" i="5"/>
  <c r="AA145" i="5" s="1"/>
  <c r="X145" i="5"/>
  <c r="AB145" i="5" s="1"/>
  <c r="X151" i="5"/>
  <c r="AB151" i="5" s="1"/>
  <c r="X157" i="5"/>
  <c r="AB157" i="5" s="1"/>
  <c r="Y175" i="5"/>
  <c r="AA175" i="5" s="1"/>
  <c r="X175" i="5"/>
  <c r="Y191" i="5"/>
  <c r="AA191" i="5" s="1"/>
  <c r="X191" i="5"/>
  <c r="Y333" i="5"/>
  <c r="AA333" i="5" s="1"/>
  <c r="X333" i="5"/>
  <c r="X91" i="5"/>
  <c r="AB91" i="5" s="1"/>
  <c r="Y154" i="5"/>
  <c r="AA154" i="5" s="1"/>
  <c r="AB154" i="5" s="1"/>
  <c r="W170" i="5"/>
  <c r="Y181" i="5"/>
  <c r="AA181" i="5" s="1"/>
  <c r="AB181" i="5" s="1"/>
  <c r="Y189" i="5"/>
  <c r="AA189" i="5" s="1"/>
  <c r="AB189" i="5" s="1"/>
  <c r="Y194" i="5"/>
  <c r="AA194" i="5" s="1"/>
  <c r="AB194" i="5" s="1"/>
  <c r="X13" i="5"/>
  <c r="AB13" i="5" s="1"/>
  <c r="W74" i="5"/>
  <c r="W80" i="5"/>
  <c r="AB87" i="5"/>
  <c r="W128" i="5"/>
  <c r="Y204" i="5"/>
  <c r="AA204" i="5" s="1"/>
  <c r="X204" i="5"/>
  <c r="W97" i="5"/>
  <c r="W102" i="5"/>
  <c r="W105" i="5"/>
  <c r="Y226" i="5"/>
  <c r="AA226" i="5" s="1"/>
  <c r="X226" i="5"/>
  <c r="W244" i="5"/>
  <c r="AB252" i="5"/>
  <c r="Y262" i="5"/>
  <c r="AA262" i="5" s="1"/>
  <c r="X262" i="5"/>
  <c r="Y309" i="5"/>
  <c r="AA309" i="5" s="1"/>
  <c r="X309" i="5"/>
  <c r="Y318" i="5"/>
  <c r="AA318" i="5" s="1"/>
  <c r="X318" i="5"/>
  <c r="Y229" i="5"/>
  <c r="AA229" i="5" s="1"/>
  <c r="X229" i="5"/>
  <c r="Y295" i="5"/>
  <c r="AA295" i="5" s="1"/>
  <c r="X295" i="5"/>
  <c r="AB295" i="5" s="1"/>
  <c r="Y370" i="5"/>
  <c r="AA370" i="5" s="1"/>
  <c r="X370" i="5"/>
  <c r="X90" i="5"/>
  <c r="AB90" i="5" s="1"/>
  <c r="AB94" i="5"/>
  <c r="W129" i="5"/>
  <c r="AB130" i="5"/>
  <c r="W136" i="5"/>
  <c r="X153" i="5"/>
  <c r="AB153" i="5" s="1"/>
  <c r="X156" i="5"/>
  <c r="AB156" i="5" s="1"/>
  <c r="X177" i="5"/>
  <c r="AB177" i="5" s="1"/>
  <c r="W185" i="5"/>
  <c r="X193" i="5"/>
  <c r="AB193" i="5" s="1"/>
  <c r="X200" i="5"/>
  <c r="AB200" i="5" s="1"/>
  <c r="X206" i="5"/>
  <c r="AB206" i="5" s="1"/>
  <c r="X210" i="5"/>
  <c r="AB210" i="5" s="1"/>
  <c r="W212" i="5"/>
  <c r="Y232" i="5"/>
  <c r="AA232" i="5" s="1"/>
  <c r="X232" i="5"/>
  <c r="Y238" i="5"/>
  <c r="AA238" i="5" s="1"/>
  <c r="X238" i="5"/>
  <c r="Y250" i="5"/>
  <c r="AA250" i="5" s="1"/>
  <c r="X250" i="5"/>
  <c r="W277" i="5"/>
  <c r="Y285" i="5"/>
  <c r="AA285" i="5" s="1"/>
  <c r="X285" i="5"/>
  <c r="W315" i="5"/>
  <c r="W328" i="5"/>
  <c r="X336" i="5"/>
  <c r="AB336" i="5" s="1"/>
  <c r="Y403" i="5"/>
  <c r="AA403" i="5" s="1"/>
  <c r="X403" i="5"/>
  <c r="W93" i="5"/>
  <c r="W133" i="5"/>
  <c r="W164" i="5"/>
  <c r="X188" i="5"/>
  <c r="AB188" i="5" s="1"/>
  <c r="W195" i="5"/>
  <c r="Y222" i="5"/>
  <c r="AA222" i="5" s="1"/>
  <c r="X222" i="5"/>
  <c r="W224" i="5"/>
  <c r="Y234" i="5"/>
  <c r="AA234" i="5" s="1"/>
  <c r="X234" i="5"/>
  <c r="Y274" i="5"/>
  <c r="AA274" i="5" s="1"/>
  <c r="X274" i="5"/>
  <c r="AB291" i="5"/>
  <c r="W304" i="5"/>
  <c r="X312" i="5"/>
  <c r="AB312" i="5" s="1"/>
  <c r="Y319" i="5"/>
  <c r="AA319" i="5" s="1"/>
  <c r="X319" i="5"/>
  <c r="X99" i="5"/>
  <c r="AB99" i="5" s="1"/>
  <c r="X104" i="5"/>
  <c r="AB104" i="5" s="1"/>
  <c r="W112" i="5"/>
  <c r="W117" i="5"/>
  <c r="X125" i="5"/>
  <c r="AB125" i="5" s="1"/>
  <c r="W146" i="5"/>
  <c r="W149" i="5"/>
  <c r="W227" i="5"/>
  <c r="Y245" i="5"/>
  <c r="AA245" i="5" s="1"/>
  <c r="X245" i="5"/>
  <c r="Y271" i="5"/>
  <c r="AA271" i="5" s="1"/>
  <c r="X271" i="5"/>
  <c r="Y289" i="5"/>
  <c r="AA289" i="5" s="1"/>
  <c r="X289" i="5"/>
  <c r="W325" i="5"/>
  <c r="Y329" i="5"/>
  <c r="AA329" i="5" s="1"/>
  <c r="X329" i="5"/>
  <c r="Y368" i="5"/>
  <c r="AA368" i="5" s="1"/>
  <c r="X368" i="5"/>
  <c r="AB368" i="5" s="1"/>
  <c r="Y449" i="5"/>
  <c r="AA449" i="5" s="1"/>
  <c r="X449" i="5"/>
  <c r="W142" i="5"/>
  <c r="Y197" i="5"/>
  <c r="AA197" i="5" s="1"/>
  <c r="X197" i="5"/>
  <c r="Y217" i="5"/>
  <c r="AA217" i="5" s="1"/>
  <c r="X217" i="5"/>
  <c r="W220" i="5"/>
  <c r="W230" i="5"/>
  <c r="Y242" i="5"/>
  <c r="AA242" i="5" s="1"/>
  <c r="X242" i="5"/>
  <c r="Y253" i="5"/>
  <c r="AA253" i="5" s="1"/>
  <c r="X253" i="5"/>
  <c r="Y293" i="5"/>
  <c r="AA293" i="5" s="1"/>
  <c r="X293" i="5"/>
  <c r="Y301" i="5"/>
  <c r="AA301" i="5" s="1"/>
  <c r="X301" i="5"/>
  <c r="Y316" i="5"/>
  <c r="AA316" i="5" s="1"/>
  <c r="X316" i="5"/>
  <c r="W322" i="5"/>
  <c r="W199" i="5"/>
  <c r="W205" i="5"/>
  <c r="Y275" i="5"/>
  <c r="AA275" i="5" s="1"/>
  <c r="X275" i="5"/>
  <c r="Y298" i="5"/>
  <c r="AA298" i="5" s="1"/>
  <c r="X298" i="5"/>
  <c r="Y377" i="5"/>
  <c r="AA377" i="5" s="1"/>
  <c r="X377" i="5"/>
  <c r="Y209" i="5"/>
  <c r="AA209" i="5" s="1"/>
  <c r="X209" i="5"/>
  <c r="Y213" i="5"/>
  <c r="AA213" i="5" s="1"/>
  <c r="X213" i="5"/>
  <c r="W256" i="5"/>
  <c r="Y272" i="5"/>
  <c r="AA272" i="5" s="1"/>
  <c r="X272" i="5"/>
  <c r="W284" i="5"/>
  <c r="Y326" i="5"/>
  <c r="AA326" i="5" s="1"/>
  <c r="X326" i="5"/>
  <c r="Y351" i="5"/>
  <c r="AA351" i="5" s="1"/>
  <c r="AB351" i="5" s="1"/>
  <c r="W431" i="5"/>
  <c r="X124" i="5"/>
  <c r="AB124" i="5" s="1"/>
  <c r="X131" i="5"/>
  <c r="AB131" i="5" s="1"/>
  <c r="X138" i="5"/>
  <c r="AB138" i="5" s="1"/>
  <c r="X169" i="5"/>
  <c r="AB169" i="5" s="1"/>
  <c r="X173" i="5"/>
  <c r="AB173" i="5" s="1"/>
  <c r="X192" i="5"/>
  <c r="AB192" i="5" s="1"/>
  <c r="W201" i="5"/>
  <c r="Y207" i="5"/>
  <c r="AA207" i="5" s="1"/>
  <c r="AB207" i="5" s="1"/>
  <c r="Y225" i="5"/>
  <c r="AA225" i="5" s="1"/>
  <c r="AB225" i="5" s="1"/>
  <c r="Y281" i="5"/>
  <c r="AA281" i="5" s="1"/>
  <c r="X281" i="5"/>
  <c r="W302" i="5"/>
  <c r="W332" i="5"/>
  <c r="Y338" i="5"/>
  <c r="AA338" i="5" s="1"/>
  <c r="X338" i="5"/>
  <c r="W184" i="5"/>
  <c r="AB187" i="5"/>
  <c r="AB203" i="5"/>
  <c r="X218" i="5"/>
  <c r="AB218" i="5" s="1"/>
  <c r="Y228" i="5"/>
  <c r="AA228" i="5" s="1"/>
  <c r="AB228" i="5" s="1"/>
  <c r="W264" i="5"/>
  <c r="W292" i="5"/>
  <c r="Y292" i="5" s="1"/>
  <c r="AA292" i="5" s="1"/>
  <c r="AB292" i="5" s="1"/>
  <c r="Y299" i="5"/>
  <c r="AA299" i="5" s="1"/>
  <c r="X299" i="5"/>
  <c r="Y308" i="5"/>
  <c r="AA308" i="5" s="1"/>
  <c r="X308" i="5"/>
  <c r="AB308" i="5" s="1"/>
  <c r="AB330" i="5"/>
  <c r="W198" i="5"/>
  <c r="W216" i="5"/>
  <c r="Y223" i="5"/>
  <c r="AA223" i="5" s="1"/>
  <c r="X223" i="5"/>
  <c r="Y290" i="5"/>
  <c r="AA290" i="5" s="1"/>
  <c r="X290" i="5"/>
  <c r="Y372" i="5"/>
  <c r="AA372" i="5" s="1"/>
  <c r="X372" i="5"/>
  <c r="W366" i="5"/>
  <c r="Y391" i="5"/>
  <c r="AA391" i="5" s="1"/>
  <c r="X391" i="5"/>
  <c r="Y394" i="5"/>
  <c r="AA394" i="5" s="1"/>
  <c r="X394" i="5"/>
  <c r="Y397" i="5"/>
  <c r="AA397" i="5" s="1"/>
  <c r="X397" i="5"/>
  <c r="W428" i="5"/>
  <c r="W452" i="5"/>
  <c r="Y470" i="5"/>
  <c r="AA470" i="5" s="1"/>
  <c r="X470" i="5"/>
  <c r="Y475" i="5"/>
  <c r="AA475" i="5" s="1"/>
  <c r="X475" i="5"/>
  <c r="Y504" i="5"/>
  <c r="AA504" i="5" s="1"/>
  <c r="X504" i="5"/>
  <c r="Y655" i="5"/>
  <c r="AA655" i="5" s="1"/>
  <c r="X655" i="5"/>
  <c r="W340" i="5"/>
  <c r="W352" i="5"/>
  <c r="W425" i="5"/>
  <c r="X462" i="5"/>
  <c r="AB462" i="5" s="1"/>
  <c r="X488" i="5"/>
  <c r="Y488" i="5"/>
  <c r="AA488" i="5" s="1"/>
  <c r="X260" i="5"/>
  <c r="AB260" i="5" s="1"/>
  <c r="X267" i="5"/>
  <c r="AB267" i="5" s="1"/>
  <c r="W280" i="5"/>
  <c r="W288" i="5"/>
  <c r="X311" i="5"/>
  <c r="AB311" i="5" s="1"/>
  <c r="W331" i="5"/>
  <c r="X335" i="5"/>
  <c r="AB335" i="5" s="1"/>
  <c r="W346" i="5"/>
  <c r="X348" i="5"/>
  <c r="AB348" i="5" s="1"/>
  <c r="X354" i="5"/>
  <c r="AB354" i="5" s="1"/>
  <c r="W360" i="5"/>
  <c r="Y375" i="5"/>
  <c r="AA375" i="5" s="1"/>
  <c r="X375" i="5"/>
  <c r="Y401" i="5"/>
  <c r="AA401" i="5" s="1"/>
  <c r="X401" i="5"/>
  <c r="Y422" i="5"/>
  <c r="AA422" i="5" s="1"/>
  <c r="X422" i="5"/>
  <c r="Y432" i="5"/>
  <c r="AA432" i="5" s="1"/>
  <c r="X432" i="5"/>
  <c r="Y480" i="5"/>
  <c r="AA480" i="5" s="1"/>
  <c r="X480" i="5"/>
  <c r="AB494" i="5"/>
  <c r="W240" i="5"/>
  <c r="W273" i="5"/>
  <c r="W300" i="5"/>
  <c r="W307" i="5"/>
  <c r="W314" i="5"/>
  <c r="X342" i="5"/>
  <c r="AB342" i="5" s="1"/>
  <c r="W344" i="5"/>
  <c r="W356" i="5"/>
  <c r="Y383" i="5"/>
  <c r="AA383" i="5" s="1"/>
  <c r="X383" i="5"/>
  <c r="Y386" i="5"/>
  <c r="AA386" i="5" s="1"/>
  <c r="X386" i="5"/>
  <c r="Y389" i="5"/>
  <c r="AA389" i="5" s="1"/>
  <c r="X389" i="5"/>
  <c r="Y416" i="5"/>
  <c r="AA416" i="5" s="1"/>
  <c r="AB416" i="5" s="1"/>
  <c r="Y419" i="5"/>
  <c r="AA419" i="5" s="1"/>
  <c r="X419" i="5"/>
  <c r="Y429" i="5"/>
  <c r="AA429" i="5" s="1"/>
  <c r="X429" i="5"/>
  <c r="W438" i="5"/>
  <c r="Y453" i="5"/>
  <c r="AA453" i="5" s="1"/>
  <c r="X453" i="5"/>
  <c r="X456" i="5"/>
  <c r="AB456" i="5" s="1"/>
  <c r="W459" i="5"/>
  <c r="W499" i="5"/>
  <c r="W595" i="5"/>
  <c r="W243" i="5"/>
  <c r="W246" i="5"/>
  <c r="W249" i="5"/>
  <c r="W263" i="5"/>
  <c r="W276" i="5"/>
  <c r="W283" i="5"/>
  <c r="W296" i="5"/>
  <c r="W303" i="5"/>
  <c r="W310" i="5"/>
  <c r="W317" i="5"/>
  <c r="W320" i="5"/>
  <c r="W324" i="5"/>
  <c r="W327" i="5"/>
  <c r="W334" i="5"/>
  <c r="X358" i="5"/>
  <c r="AB358" i="5" s="1"/>
  <c r="W373" i="5"/>
  <c r="Y411" i="5"/>
  <c r="AA411" i="5" s="1"/>
  <c r="X411" i="5"/>
  <c r="Y426" i="5"/>
  <c r="AA426" i="5" s="1"/>
  <c r="X426" i="5"/>
  <c r="W435" i="5"/>
  <c r="W259" i="5"/>
  <c r="Y350" i="5"/>
  <c r="AA350" i="5" s="1"/>
  <c r="X350" i="5"/>
  <c r="W353" i="5"/>
  <c r="Y423" i="5"/>
  <c r="AA423" i="5" s="1"/>
  <c r="X423" i="5"/>
  <c r="W473" i="5"/>
  <c r="W476" i="5"/>
  <c r="X513" i="5"/>
  <c r="Y513" i="5"/>
  <c r="AA513" i="5" s="1"/>
  <c r="W219" i="5"/>
  <c r="X255" i="5"/>
  <c r="AB255" i="5" s="1"/>
  <c r="X266" i="5"/>
  <c r="AB266" i="5" s="1"/>
  <c r="X269" i="5"/>
  <c r="AB269" i="5" s="1"/>
  <c r="W313" i="5"/>
  <c r="Y408" i="5"/>
  <c r="AA408" i="5" s="1"/>
  <c r="X408" i="5"/>
  <c r="Y420" i="5"/>
  <c r="AA420" i="5" s="1"/>
  <c r="X420" i="5"/>
  <c r="Y439" i="5"/>
  <c r="AA439" i="5" s="1"/>
  <c r="X439" i="5"/>
  <c r="Y460" i="5"/>
  <c r="AA460" i="5" s="1"/>
  <c r="X460" i="5"/>
  <c r="AB463" i="5"/>
  <c r="Y482" i="5"/>
  <c r="AA482" i="5" s="1"/>
  <c r="X482" i="5"/>
  <c r="AB497" i="5"/>
  <c r="W631" i="5"/>
  <c r="X337" i="5"/>
  <c r="AB337" i="5" s="1"/>
  <c r="X339" i="5"/>
  <c r="AB339" i="5" s="1"/>
  <c r="W347" i="5"/>
  <c r="W363" i="5"/>
  <c r="W376" i="5"/>
  <c r="Y381" i="5"/>
  <c r="AA381" i="5" s="1"/>
  <c r="AB381" i="5" s="1"/>
  <c r="Y384" i="5"/>
  <c r="AA384" i="5" s="1"/>
  <c r="AB384" i="5" s="1"/>
  <c r="Y387" i="5"/>
  <c r="AA387" i="5" s="1"/>
  <c r="AB387" i="5" s="1"/>
  <c r="AA390" i="5"/>
  <c r="AB402" i="5"/>
  <c r="Y405" i="5"/>
  <c r="AA405" i="5" s="1"/>
  <c r="X405" i="5"/>
  <c r="Y436" i="5"/>
  <c r="AA436" i="5" s="1"/>
  <c r="X436" i="5"/>
  <c r="AB436" i="5" s="1"/>
  <c r="W506" i="5"/>
  <c r="W581" i="5"/>
  <c r="X211" i="5"/>
  <c r="AB211" i="5" s="1"/>
  <c r="X215" i="5"/>
  <c r="AB215" i="5" s="1"/>
  <c r="X239" i="5"/>
  <c r="AB239" i="5" s="1"/>
  <c r="X248" i="5"/>
  <c r="AB248" i="5" s="1"/>
  <c r="X258" i="5"/>
  <c r="AB258" i="5" s="1"/>
  <c r="AB345" i="5"/>
  <c r="W357" i="5"/>
  <c r="Y578" i="5"/>
  <c r="AA578" i="5" s="1"/>
  <c r="X578" i="5"/>
  <c r="X341" i="5"/>
  <c r="AB341" i="5" s="1"/>
  <c r="Y349" i="5"/>
  <c r="AA349" i="5" s="1"/>
  <c r="AB349" i="5" s="1"/>
  <c r="X361" i="5"/>
  <c r="AB361" i="5" s="1"/>
  <c r="Y393" i="5"/>
  <c r="AA393" i="5" s="1"/>
  <c r="AB393" i="5" s="1"/>
  <c r="Y396" i="5"/>
  <c r="AA396" i="5" s="1"/>
  <c r="AB396" i="5" s="1"/>
  <c r="Y409" i="5"/>
  <c r="AA409" i="5" s="1"/>
  <c r="X409" i="5"/>
  <c r="W415" i="5"/>
  <c r="Y472" i="5"/>
  <c r="AA472" i="5" s="1"/>
  <c r="X472" i="5"/>
  <c r="Y355" i="5"/>
  <c r="AA355" i="5" s="1"/>
  <c r="AB355" i="5" s="1"/>
  <c r="Y359" i="5"/>
  <c r="AA359" i="5" s="1"/>
  <c r="AB359" i="5" s="1"/>
  <c r="W379" i="5"/>
  <c r="Y406" i="5"/>
  <c r="AA406" i="5" s="1"/>
  <c r="X406" i="5"/>
  <c r="Y443" i="5"/>
  <c r="AA443" i="5" s="1"/>
  <c r="X443" i="5"/>
  <c r="W477" i="5"/>
  <c r="X486" i="5"/>
  <c r="Y486" i="5"/>
  <c r="AA486" i="5" s="1"/>
  <c r="AB486" i="5" s="1"/>
  <c r="Y493" i="5"/>
  <c r="AA493" i="5" s="1"/>
  <c r="X493" i="5"/>
  <c r="W518" i="5"/>
  <c r="Y530" i="5"/>
  <c r="AA530" i="5" s="1"/>
  <c r="X530" i="5"/>
  <c r="W533" i="5"/>
  <c r="Y536" i="5"/>
  <c r="AA536" i="5" s="1"/>
  <c r="X536" i="5"/>
  <c r="Y553" i="5"/>
  <c r="AA553" i="5" s="1"/>
  <c r="X553" i="5"/>
  <c r="AB553" i="5" s="1"/>
  <c r="X565" i="5"/>
  <c r="W614" i="5"/>
  <c r="AB550" i="5"/>
  <c r="W558" i="5"/>
  <c r="AB568" i="5"/>
  <c r="Y570" i="5"/>
  <c r="AA570" i="5" s="1"/>
  <c r="X570" i="5"/>
  <c r="Y600" i="5"/>
  <c r="AA600" i="5" s="1"/>
  <c r="X600" i="5"/>
  <c r="Y610" i="5"/>
  <c r="AA610" i="5" s="1"/>
  <c r="X610" i="5"/>
  <c r="W418" i="5"/>
  <c r="W441" i="5"/>
  <c r="X445" i="5"/>
  <c r="AB445" i="5" s="1"/>
  <c r="W448" i="5"/>
  <c r="W455" i="5"/>
  <c r="X465" i="5"/>
  <c r="AB465" i="5" s="1"/>
  <c r="W468" i="5"/>
  <c r="Y489" i="5"/>
  <c r="AA489" i="5" s="1"/>
  <c r="AB489" i="5" s="1"/>
  <c r="W501" i="5"/>
  <c r="X523" i="5"/>
  <c r="AB523" i="5" s="1"/>
  <c r="Y539" i="5"/>
  <c r="AA539" i="5" s="1"/>
  <c r="X539" i="5"/>
  <c r="Y573" i="5"/>
  <c r="AA573" i="5" s="1"/>
  <c r="X573" i="5"/>
  <c r="Y576" i="5"/>
  <c r="AA576" i="5" s="1"/>
  <c r="X576" i="5"/>
  <c r="Y598" i="5"/>
  <c r="AA598" i="5" s="1"/>
  <c r="X598" i="5"/>
  <c r="W638" i="5"/>
  <c r="W733" i="5"/>
  <c r="W392" i="5"/>
  <c r="W395" i="5"/>
  <c r="W398" i="5"/>
  <c r="W404" i="5"/>
  <c r="W407" i="5"/>
  <c r="W414" i="5"/>
  <c r="W421" i="5"/>
  <c r="W424" i="5"/>
  <c r="W434" i="5"/>
  <c r="W451" i="5"/>
  <c r="W458" i="5"/>
  <c r="X483" i="5"/>
  <c r="AB483" i="5" s="1"/>
  <c r="W510" i="5"/>
  <c r="Y547" i="5"/>
  <c r="AA547" i="5" s="1"/>
  <c r="X547" i="5"/>
  <c r="Y559" i="5"/>
  <c r="AA559" i="5" s="1"/>
  <c r="X559" i="5"/>
  <c r="W607" i="5"/>
  <c r="AB615" i="5"/>
  <c r="Y632" i="5"/>
  <c r="AA632" i="5" s="1"/>
  <c r="X632" i="5"/>
  <c r="AB632" i="5" s="1"/>
  <c r="Y487" i="5"/>
  <c r="AA487" i="5" s="1"/>
  <c r="X487" i="5"/>
  <c r="W519" i="5"/>
  <c r="Y543" i="5"/>
  <c r="AA543" i="5" s="1"/>
  <c r="X543" i="5"/>
  <c r="W560" i="5"/>
  <c r="Y585" i="5"/>
  <c r="AA585" i="5" s="1"/>
  <c r="X585" i="5"/>
  <c r="AB585" i="5" s="1"/>
  <c r="Y604" i="5"/>
  <c r="AA604" i="5" s="1"/>
  <c r="X604" i="5"/>
  <c r="W628" i="5"/>
  <c r="W382" i="5"/>
  <c r="W385" i="5"/>
  <c r="W388" i="5"/>
  <c r="W400" i="5"/>
  <c r="W410" i="5"/>
  <c r="X427" i="5"/>
  <c r="AB427" i="5" s="1"/>
  <c r="X430" i="5"/>
  <c r="AB430" i="5" s="1"/>
  <c r="W433" i="5"/>
  <c r="X437" i="5"/>
  <c r="AB437" i="5" s="1"/>
  <c r="W440" i="5"/>
  <c r="W444" i="5"/>
  <c r="W447" i="5"/>
  <c r="W454" i="5"/>
  <c r="X461" i="5"/>
  <c r="AB461" i="5" s="1"/>
  <c r="W464" i="5"/>
  <c r="W467" i="5"/>
  <c r="X471" i="5"/>
  <c r="AB471" i="5" s="1"/>
  <c r="X481" i="5"/>
  <c r="AB481" i="5" s="1"/>
  <c r="X485" i="5"/>
  <c r="AB485" i="5" s="1"/>
  <c r="Y491" i="5"/>
  <c r="AA491" i="5" s="1"/>
  <c r="AB491" i="5" s="1"/>
  <c r="W498" i="5"/>
  <c r="W505" i="5"/>
  <c r="Y514" i="5"/>
  <c r="AA514" i="5" s="1"/>
  <c r="X514" i="5"/>
  <c r="W529" i="5"/>
  <c r="W561" i="5"/>
  <c r="Y588" i="5"/>
  <c r="AA588" i="5" s="1"/>
  <c r="X588" i="5"/>
  <c r="W417" i="5"/>
  <c r="AB479" i="5"/>
  <c r="W512" i="5"/>
  <c r="Y577" i="5"/>
  <c r="AA577" i="5" s="1"/>
  <c r="X577" i="5"/>
  <c r="Y608" i="5"/>
  <c r="AA608" i="5" s="1"/>
  <c r="X608" i="5"/>
  <c r="Y616" i="5"/>
  <c r="AA616" i="5" s="1"/>
  <c r="X616" i="5"/>
  <c r="Y624" i="5"/>
  <c r="AA624" i="5" s="1"/>
  <c r="X624" i="5"/>
  <c r="Y629" i="5"/>
  <c r="AA629" i="5" s="1"/>
  <c r="X629" i="5"/>
  <c r="W636" i="5"/>
  <c r="X369" i="5"/>
  <c r="AB369" i="5" s="1"/>
  <c r="X450" i="5"/>
  <c r="AB450" i="5" s="1"/>
  <c r="X457" i="5"/>
  <c r="AB457" i="5" s="1"/>
  <c r="X500" i="5"/>
  <c r="AB500" i="5" s="1"/>
  <c r="W507" i="5"/>
  <c r="Y548" i="5"/>
  <c r="AA548" i="5" s="1"/>
  <c r="X548" i="5"/>
  <c r="Y583" i="5"/>
  <c r="AA583" i="5" s="1"/>
  <c r="X583" i="5"/>
  <c r="Y620" i="5"/>
  <c r="AA620" i="5" s="1"/>
  <c r="X620" i="5"/>
  <c r="Y625" i="5"/>
  <c r="AA625" i="5" s="1"/>
  <c r="X625" i="5"/>
  <c r="W478" i="5"/>
  <c r="W490" i="5"/>
  <c r="AB509" i="5"/>
  <c r="W517" i="5"/>
  <c r="Y524" i="5"/>
  <c r="AA524" i="5" s="1"/>
  <c r="X524" i="5"/>
  <c r="Y580" i="5"/>
  <c r="AA580" i="5" s="1"/>
  <c r="X580" i="5"/>
  <c r="Y594" i="5"/>
  <c r="AA594" i="5" s="1"/>
  <c r="X594" i="5"/>
  <c r="X612" i="5"/>
  <c r="AB612" i="5" s="1"/>
  <c r="W647" i="5"/>
  <c r="W662" i="5"/>
  <c r="Y502" i="5"/>
  <c r="AA502" i="5" s="1"/>
  <c r="X502" i="5"/>
  <c r="W549" i="5"/>
  <c r="Y589" i="5"/>
  <c r="AA589" i="5" s="1"/>
  <c r="X589" i="5"/>
  <c r="Y621" i="5"/>
  <c r="AA621" i="5" s="1"/>
  <c r="X621" i="5"/>
  <c r="W626" i="5"/>
  <c r="Y515" i="5"/>
  <c r="AA515" i="5" s="1"/>
  <c r="X515" i="5"/>
  <c r="W522" i="5"/>
  <c r="W527" i="5"/>
  <c r="Y567" i="5"/>
  <c r="AA567" i="5" s="1"/>
  <c r="X567" i="5"/>
  <c r="AB572" i="5"/>
  <c r="X592" i="5"/>
  <c r="AB592" i="5" s="1"/>
  <c r="AB606" i="5"/>
  <c r="W609" i="5"/>
  <c r="X617" i="5"/>
  <c r="AB617" i="5" s="1"/>
  <c r="Y622" i="5"/>
  <c r="AA622" i="5" s="1"/>
  <c r="X622" i="5"/>
  <c r="W526" i="5"/>
  <c r="Y681" i="5"/>
  <c r="AA681" i="5" s="1"/>
  <c r="X681" i="5"/>
  <c r="Y686" i="5"/>
  <c r="AA686" i="5" s="1"/>
  <c r="X686" i="5"/>
  <c r="W747" i="5"/>
  <c r="W584" i="5"/>
  <c r="W605" i="5"/>
  <c r="W658" i="5"/>
  <c r="Y660" i="5"/>
  <c r="AA660" i="5" s="1"/>
  <c r="X660" i="5"/>
  <c r="W682" i="5"/>
  <c r="W691" i="5"/>
  <c r="W704" i="5"/>
  <c r="Y709" i="5"/>
  <c r="AA709" i="5" s="1"/>
  <c r="X709" i="5"/>
  <c r="W718" i="5"/>
  <c r="W722" i="5"/>
  <c r="W542" i="5"/>
  <c r="W544" i="5"/>
  <c r="AB555" i="5"/>
  <c r="X574" i="5"/>
  <c r="AB574" i="5" s="1"/>
  <c r="W591" i="5"/>
  <c r="W633" i="5"/>
  <c r="W640" i="5"/>
  <c r="Y694" i="5"/>
  <c r="AA694" i="5" s="1"/>
  <c r="Y710" i="5"/>
  <c r="AA710" i="5" s="1"/>
  <c r="X710" i="5"/>
  <c r="W644" i="5"/>
  <c r="W653" i="5"/>
  <c r="Y683" i="5"/>
  <c r="AA683" i="5" s="1"/>
  <c r="X683" i="5"/>
  <c r="Y695" i="5"/>
  <c r="AA695" i="5" s="1"/>
  <c r="X695" i="5"/>
  <c r="W700" i="5"/>
  <c r="W715" i="5"/>
  <c r="Y723" i="5"/>
  <c r="AA723" i="5" s="1"/>
  <c r="X525" i="5"/>
  <c r="AB525" i="5" s="1"/>
  <c r="W528" i="5"/>
  <c r="W532" i="5"/>
  <c r="X535" i="5"/>
  <c r="AB535" i="5" s="1"/>
  <c r="W546" i="5"/>
  <c r="W556" i="5"/>
  <c r="W563" i="5"/>
  <c r="X564" i="5"/>
  <c r="AB564" i="5" s="1"/>
  <c r="X587" i="5"/>
  <c r="AB587" i="5" s="1"/>
  <c r="X602" i="5"/>
  <c r="AB602" i="5" s="1"/>
  <c r="W611" i="5"/>
  <c r="W613" i="5"/>
  <c r="X623" i="5"/>
  <c r="AB623" i="5" s="1"/>
  <c r="W630" i="5"/>
  <c r="W642" i="5"/>
  <c r="AB651" i="5"/>
  <c r="Y668" i="5"/>
  <c r="AA668" i="5" s="1"/>
  <c r="X668" i="5"/>
  <c r="AB668" i="5" s="1"/>
  <c r="Y711" i="5"/>
  <c r="AA711" i="5" s="1"/>
  <c r="X711" i="5"/>
  <c r="Y730" i="5"/>
  <c r="AA730" i="5" s="1"/>
  <c r="X730" i="5"/>
  <c r="W735" i="5"/>
  <c r="X738" i="5"/>
  <c r="AB738" i="5" s="1"/>
  <c r="W538" i="5"/>
  <c r="W590" i="5"/>
  <c r="W635" i="5"/>
  <c r="Y674" i="5"/>
  <c r="AA674" i="5" s="1"/>
  <c r="X674" i="5"/>
  <c r="Y676" i="5"/>
  <c r="AA676" i="5" s="1"/>
  <c r="X676" i="5"/>
  <c r="Y688" i="5"/>
  <c r="AA688" i="5" s="1"/>
  <c r="X688" i="5"/>
  <c r="Y696" i="5"/>
  <c r="AA696" i="5" s="1"/>
  <c r="X696" i="5"/>
  <c r="Y705" i="5"/>
  <c r="AA705" i="5" s="1"/>
  <c r="AB705" i="5" s="1"/>
  <c r="AB712" i="5"/>
  <c r="W739" i="5"/>
  <c r="W749" i="5"/>
  <c r="W684" i="5"/>
  <c r="Y648" i="5"/>
  <c r="AA648" i="5" s="1"/>
  <c r="X648" i="5"/>
  <c r="W654" i="5"/>
  <c r="W669" i="5"/>
  <c r="Y689" i="5"/>
  <c r="AA689" i="5" s="1"/>
  <c r="X689" i="5"/>
  <c r="Y706" i="5"/>
  <c r="AA706" i="5" s="1"/>
  <c r="X706" i="5"/>
  <c r="Y740" i="5"/>
  <c r="AA740" i="5" s="1"/>
  <c r="X740" i="5"/>
  <c r="X531" i="5"/>
  <c r="AB531" i="5" s="1"/>
  <c r="X534" i="5"/>
  <c r="AB534" i="5" s="1"/>
  <c r="X537" i="5"/>
  <c r="AB537" i="5" s="1"/>
  <c r="X551" i="5"/>
  <c r="AB551" i="5" s="1"/>
  <c r="X579" i="5"/>
  <c r="AB579" i="5" s="1"/>
  <c r="X586" i="5"/>
  <c r="AB586" i="5" s="1"/>
  <c r="X593" i="5"/>
  <c r="AB593" i="5" s="1"/>
  <c r="X597" i="5"/>
  <c r="AB597" i="5" s="1"/>
  <c r="X601" i="5"/>
  <c r="AB601" i="5" s="1"/>
  <c r="X618" i="5"/>
  <c r="AB618" i="5" s="1"/>
  <c r="AB690" i="5"/>
  <c r="W702" i="5"/>
  <c r="Y731" i="5"/>
  <c r="AA731" i="5" s="1"/>
  <c r="X731" i="5"/>
  <c r="AB736" i="5"/>
  <c r="Y741" i="5"/>
  <c r="AA741" i="5" s="1"/>
  <c r="X741" i="5"/>
  <c r="X639" i="5"/>
  <c r="AB639" i="5" s="1"/>
  <c r="W645" i="5"/>
  <c r="X650" i="5"/>
  <c r="AB650" i="5" s="1"/>
  <c r="Y664" i="5"/>
  <c r="AA664" i="5" s="1"/>
  <c r="X664" i="5"/>
  <c r="Y634" i="5"/>
  <c r="AA634" i="5" s="1"/>
  <c r="AB634" i="5" s="1"/>
  <c r="Y641" i="5"/>
  <c r="AA641" i="5" s="1"/>
  <c r="AB641" i="5" s="1"/>
  <c r="Y643" i="5"/>
  <c r="AA643" i="5" s="1"/>
  <c r="AB643" i="5" s="1"/>
  <c r="Y652" i="5"/>
  <c r="AA652" i="5" s="1"/>
  <c r="X652" i="5"/>
  <c r="W675" i="5"/>
  <c r="W698" i="5"/>
  <c r="W713" i="5"/>
  <c r="Y717" i="5"/>
  <c r="AA717" i="5" s="1"/>
  <c r="X717" i="5"/>
  <c r="Y742" i="5"/>
  <c r="AA742" i="5" s="1"/>
  <c r="X742" i="5"/>
  <c r="W657" i="5"/>
  <c r="W661" i="5"/>
  <c r="W666" i="5"/>
  <c r="AB680" i="5"/>
  <c r="W656" i="5"/>
  <c r="AB721" i="5"/>
  <c r="X665" i="5"/>
  <c r="AB665" i="5" s="1"/>
  <c r="X679" i="5"/>
  <c r="AB679" i="5" s="1"/>
  <c r="AB687" i="5"/>
  <c r="X693" i="5"/>
  <c r="AB693" i="5" s="1"/>
  <c r="X725" i="5"/>
  <c r="AB725" i="5" s="1"/>
  <c r="X728" i="5"/>
  <c r="AB728" i="5" s="1"/>
  <c r="X737" i="5"/>
  <c r="AB737" i="5" s="1"/>
  <c r="X744" i="5"/>
  <c r="AB744" i="5" s="1"/>
  <c r="W746" i="5"/>
  <c r="W678" i="5"/>
  <c r="W708" i="5"/>
  <c r="W727" i="5"/>
  <c r="W732" i="5"/>
  <c r="W748" i="5"/>
  <c r="X663" i="5"/>
  <c r="AB663" i="5" s="1"/>
  <c r="X667" i="5"/>
  <c r="AB667" i="5" s="1"/>
  <c r="X677" i="5"/>
  <c r="AB677" i="5" s="1"/>
  <c r="X719" i="5"/>
  <c r="AB719" i="5" s="1"/>
  <c r="X726" i="5"/>
  <c r="AB726" i="5" s="1"/>
  <c r="X745" i="5"/>
  <c r="AB745" i="5" s="1"/>
  <c r="X279" i="5" l="1"/>
  <c r="Y231" i="5"/>
  <c r="AA231" i="5" s="1"/>
  <c r="AB231" i="5" s="1"/>
  <c r="X236" i="5"/>
  <c r="AB236" i="5" s="1"/>
  <c r="AB670" i="5"/>
  <c r="AB596" i="5"/>
  <c r="X412" i="5"/>
  <c r="AB689" i="5"/>
  <c r="AB460" i="5"/>
  <c r="AB480" i="5"/>
  <c r="AB242" i="5"/>
  <c r="AB27" i="5"/>
  <c r="AB495" i="5"/>
  <c r="AB688" i="5"/>
  <c r="X599" i="5"/>
  <c r="AB599" i="5" s="1"/>
  <c r="AB429" i="5"/>
  <c r="AB503" i="5"/>
  <c r="AB233" i="5"/>
  <c r="AB377" i="5"/>
  <c r="AB26" i="5"/>
  <c r="AB257" i="5"/>
  <c r="AB82" i="5"/>
  <c r="AB443" i="5"/>
  <c r="AB432" i="5"/>
  <c r="X306" i="5"/>
  <c r="AB306" i="5" s="1"/>
  <c r="X96" i="5"/>
  <c r="AB100" i="5"/>
  <c r="AB676" i="5"/>
  <c r="AB84" i="5"/>
  <c r="AB731" i="5"/>
  <c r="AB674" i="5"/>
  <c r="AB191" i="5"/>
  <c r="AB110" i="5"/>
  <c r="AB109" i="5"/>
  <c r="AB750" i="5"/>
  <c r="X323" i="5"/>
  <c r="AB217" i="5"/>
  <c r="AB226" i="5"/>
  <c r="X716" i="5"/>
  <c r="X619" i="5"/>
  <c r="AB619" i="5" s="1"/>
  <c r="AB740" i="5"/>
  <c r="AB554" i="5"/>
  <c r="AB167" i="5"/>
  <c r="AB309" i="5"/>
  <c r="AB159" i="5"/>
  <c r="AB140" i="5"/>
  <c r="X692" i="5"/>
  <c r="AB567" i="5"/>
  <c r="AB326" i="5"/>
  <c r="AB293" i="5"/>
  <c r="AB610" i="5"/>
  <c r="X413" i="5"/>
  <c r="AB413" i="5" s="1"/>
  <c r="AB475" i="5"/>
  <c r="AB119" i="5"/>
  <c r="AB22" i="5"/>
  <c r="AB701" i="5"/>
  <c r="AB540" i="5"/>
  <c r="AB98" i="5"/>
  <c r="AB50" i="5"/>
  <c r="AB608" i="5"/>
  <c r="AB487" i="5"/>
  <c r="AB290" i="5"/>
  <c r="AB301" i="5"/>
  <c r="AB53" i="5"/>
  <c r="AB281" i="5"/>
  <c r="X165" i="5"/>
  <c r="X65" i="5"/>
  <c r="AB65" i="5" s="1"/>
  <c r="AB724" i="5"/>
  <c r="AB742" i="5"/>
  <c r="AB223" i="5"/>
  <c r="Y62" i="5"/>
  <c r="AA62" i="5" s="1"/>
  <c r="AB16" i="5"/>
  <c r="AB305" i="5"/>
  <c r="AB408" i="5"/>
  <c r="AB196" i="5"/>
  <c r="AB44" i="5"/>
  <c r="AB71" i="5"/>
  <c r="AB622" i="5"/>
  <c r="AB536" i="5"/>
  <c r="AB389" i="5"/>
  <c r="AB232" i="5"/>
  <c r="AB282" i="5"/>
  <c r="AB694" i="5"/>
  <c r="AB426" i="5"/>
  <c r="AB453" i="5"/>
  <c r="AB120" i="5"/>
  <c r="AB57" i="5"/>
  <c r="AB221" i="5"/>
  <c r="AB589" i="5"/>
  <c r="AB580" i="5"/>
  <c r="AB178" i="5"/>
  <c r="AB168" i="5"/>
  <c r="AB278" i="5"/>
  <c r="AB152" i="5"/>
  <c r="AB466" i="5"/>
  <c r="AB681" i="5"/>
  <c r="AB543" i="5"/>
  <c r="AB547" i="5"/>
  <c r="AB565" i="5"/>
  <c r="AB578" i="5"/>
  <c r="AB423" i="5"/>
  <c r="AB655" i="5"/>
  <c r="AB165" i="5"/>
  <c r="AB251" i="5"/>
  <c r="AB412" i="5"/>
  <c r="AB338" i="5"/>
  <c r="AB275" i="5"/>
  <c r="AB245" i="5"/>
  <c r="AB262" i="5"/>
  <c r="AB141" i="5"/>
  <c r="AB160" i="5"/>
  <c r="AB143" i="5"/>
  <c r="AB380" i="5"/>
  <c r="AB706" i="5"/>
  <c r="AB515" i="5"/>
  <c r="AB570" i="5"/>
  <c r="AB375" i="5"/>
  <c r="AB323" i="5"/>
  <c r="AB213" i="5"/>
  <c r="AB60" i="5"/>
  <c r="X55" i="5"/>
  <c r="AB55" i="5" s="1"/>
  <c r="AB35" i="5"/>
  <c r="AB743" i="5"/>
  <c r="AB627" i="5"/>
  <c r="AB235" i="5"/>
  <c r="AB629" i="5"/>
  <c r="AB576" i="5"/>
  <c r="AB419" i="5"/>
  <c r="AB422" i="5"/>
  <c r="AB397" i="5"/>
  <c r="AB299" i="5"/>
  <c r="AB289" i="5"/>
  <c r="AB135" i="5"/>
  <c r="X182" i="5"/>
  <c r="Y182" i="5"/>
  <c r="AA182" i="5" s="1"/>
  <c r="Y734" i="5"/>
  <c r="AA734" i="5" s="1"/>
  <c r="X734" i="5"/>
  <c r="X582" i="5"/>
  <c r="Y582" i="5"/>
  <c r="AA582" i="5" s="1"/>
  <c r="AB511" i="5"/>
  <c r="AB390" i="5"/>
  <c r="AB482" i="5"/>
  <c r="AB350" i="5"/>
  <c r="AB272" i="5"/>
  <c r="AB298" i="5"/>
  <c r="AB222" i="5"/>
  <c r="AB285" i="5"/>
  <c r="AB318" i="5"/>
  <c r="AB77" i="5"/>
  <c r="AB54" i="5"/>
  <c r="X179" i="5"/>
  <c r="Y179" i="5"/>
  <c r="AA179" i="5" s="1"/>
  <c r="X286" i="5"/>
  <c r="Y286" i="5"/>
  <c r="AA286" i="5" s="1"/>
  <c r="AB569" i="5"/>
  <c r="AB14" i="5"/>
  <c r="AB716" i="5"/>
  <c r="AB88" i="5"/>
  <c r="AB401" i="5"/>
  <c r="Y714" i="5"/>
  <c r="AA714" i="5" s="1"/>
  <c r="X714" i="5"/>
  <c r="X254" i="5"/>
  <c r="Y254" i="5"/>
  <c r="AA254" i="5" s="1"/>
  <c r="AB4" i="5"/>
  <c r="AB508" i="5"/>
  <c r="AB446" i="5"/>
  <c r="AB158" i="5"/>
  <c r="AB364" i="5"/>
  <c r="AB692" i="5"/>
  <c r="AB696" i="5"/>
  <c r="AB723" i="5"/>
  <c r="AB548" i="5"/>
  <c r="AB616" i="5"/>
  <c r="AB588" i="5"/>
  <c r="AB504" i="5"/>
  <c r="AB449" i="5"/>
  <c r="AB250" i="5"/>
  <c r="AB370" i="5"/>
  <c r="AB96" i="5"/>
  <c r="AB474" i="5"/>
  <c r="AB19" i="5"/>
  <c r="Y95" i="5"/>
  <c r="AA95" i="5" s="1"/>
  <c r="X95" i="5"/>
  <c r="X166" i="5"/>
  <c r="Y166" i="5"/>
  <c r="AA166" i="5" s="1"/>
  <c r="X287" i="5"/>
  <c r="AB287" i="5" s="1"/>
  <c r="X237" i="5"/>
  <c r="Y237" i="5"/>
  <c r="AA237" i="5" s="1"/>
  <c r="Y516" i="5"/>
  <c r="AA516" i="5" s="1"/>
  <c r="X516" i="5"/>
  <c r="X294" i="5"/>
  <c r="AB294" i="5" s="1"/>
  <c r="X270" i="5"/>
  <c r="AB270" i="5" s="1"/>
  <c r="X649" i="5"/>
  <c r="Y649" i="5"/>
  <c r="AA649" i="5" s="1"/>
  <c r="X603" i="5"/>
  <c r="Y603" i="5"/>
  <c r="AA603" i="5" s="1"/>
  <c r="X265" i="5"/>
  <c r="Y265" i="5"/>
  <c r="AA265" i="5" s="1"/>
  <c r="X59" i="5"/>
  <c r="Y59" i="5"/>
  <c r="AA59" i="5" s="1"/>
  <c r="AB268" i="5"/>
  <c r="AB261" i="5"/>
  <c r="AB76" i="5"/>
  <c r="X720" i="5"/>
  <c r="AB711" i="5"/>
  <c r="AB695" i="5"/>
  <c r="AB514" i="5"/>
  <c r="AB600" i="5"/>
  <c r="AB411" i="5"/>
  <c r="AB470" i="5"/>
  <c r="AB209" i="5"/>
  <c r="AB329" i="5"/>
  <c r="AB274" i="5"/>
  <c r="AB279" i="5"/>
  <c r="Y92" i="5"/>
  <c r="AA92" i="5" s="1"/>
  <c r="X92" i="5"/>
  <c r="AB92" i="5" s="1"/>
  <c r="X571" i="5"/>
  <c r="Y571" i="5"/>
  <c r="AA571" i="5" s="1"/>
  <c r="X49" i="5"/>
  <c r="Y49" i="5"/>
  <c r="AA49" i="5" s="1"/>
  <c r="AB717" i="5"/>
  <c r="AB620" i="5"/>
  <c r="AB604" i="5"/>
  <c r="AB598" i="5"/>
  <c r="AB472" i="5"/>
  <c r="AB420" i="5"/>
  <c r="AB383" i="5"/>
  <c r="AB372" i="5"/>
  <c r="AB316" i="5"/>
  <c r="AB10" i="5"/>
  <c r="AB18" i="5"/>
  <c r="Y699" i="5"/>
  <c r="AA699" i="5" s="1"/>
  <c r="X699" i="5"/>
  <c r="AB86" i="5"/>
  <c r="AB52" i="5"/>
  <c r="AB566" i="5"/>
  <c r="AB683" i="5"/>
  <c r="AB710" i="5"/>
  <c r="Y591" i="5"/>
  <c r="AA591" i="5" s="1"/>
  <c r="X591" i="5"/>
  <c r="AB591" i="5" s="1"/>
  <c r="Y682" i="5"/>
  <c r="AA682" i="5" s="1"/>
  <c r="X682" i="5"/>
  <c r="AB682" i="5" s="1"/>
  <c r="Y626" i="5"/>
  <c r="AA626" i="5" s="1"/>
  <c r="X626" i="5"/>
  <c r="Y512" i="5"/>
  <c r="AA512" i="5" s="1"/>
  <c r="X512" i="5"/>
  <c r="Y467" i="5"/>
  <c r="AA467" i="5" s="1"/>
  <c r="X467" i="5"/>
  <c r="Y400" i="5"/>
  <c r="AA400" i="5" s="1"/>
  <c r="X400" i="5"/>
  <c r="Y560" i="5"/>
  <c r="AA560" i="5" s="1"/>
  <c r="X560" i="5"/>
  <c r="Y607" i="5"/>
  <c r="AA607" i="5" s="1"/>
  <c r="X607" i="5"/>
  <c r="AB607" i="5" s="1"/>
  <c r="Y434" i="5"/>
  <c r="AA434" i="5" s="1"/>
  <c r="X434" i="5"/>
  <c r="Y448" i="5"/>
  <c r="AA448" i="5" s="1"/>
  <c r="X448" i="5"/>
  <c r="AB448" i="5" s="1"/>
  <c r="AB406" i="5"/>
  <c r="Y415" i="5"/>
  <c r="AA415" i="5" s="1"/>
  <c r="X415" i="5"/>
  <c r="Y317" i="5"/>
  <c r="AA317" i="5" s="1"/>
  <c r="X317" i="5"/>
  <c r="AB317" i="5" s="1"/>
  <c r="Y499" i="5"/>
  <c r="AA499" i="5" s="1"/>
  <c r="X499" i="5"/>
  <c r="Y273" i="5"/>
  <c r="AA273" i="5" s="1"/>
  <c r="X273" i="5"/>
  <c r="AB394" i="5"/>
  <c r="Y205" i="5"/>
  <c r="AA205" i="5" s="1"/>
  <c r="X205" i="5"/>
  <c r="AB205" i="5" s="1"/>
  <c r="AB197" i="5"/>
  <c r="Y325" i="5"/>
  <c r="AA325" i="5" s="1"/>
  <c r="X325" i="5"/>
  <c r="AB319" i="5"/>
  <c r="AB234" i="5"/>
  <c r="AB403" i="5"/>
  <c r="Y97" i="5"/>
  <c r="AA97" i="5" s="1"/>
  <c r="X97" i="5"/>
  <c r="AB97" i="5" s="1"/>
  <c r="Y161" i="5"/>
  <c r="AA161" i="5" s="1"/>
  <c r="X161" i="5"/>
  <c r="Y126" i="5"/>
  <c r="AA126" i="5" s="1"/>
  <c r="X126" i="5"/>
  <c r="AB126" i="5" s="1"/>
  <c r="AB30" i="5"/>
  <c r="Y388" i="5"/>
  <c r="AA388" i="5" s="1"/>
  <c r="X388" i="5"/>
  <c r="Y288" i="5"/>
  <c r="AA288" i="5" s="1"/>
  <c r="X288" i="5"/>
  <c r="AB288" i="5" s="1"/>
  <c r="Y227" i="5"/>
  <c r="AA227" i="5" s="1"/>
  <c r="X227" i="5"/>
  <c r="Y183" i="5"/>
  <c r="AA183" i="5" s="1"/>
  <c r="X183" i="5"/>
  <c r="Y150" i="5"/>
  <c r="AA150" i="5" s="1"/>
  <c r="X150" i="5"/>
  <c r="Y134" i="5"/>
  <c r="AA134" i="5" s="1"/>
  <c r="X134" i="5"/>
  <c r="Y748" i="5"/>
  <c r="AA748" i="5" s="1"/>
  <c r="X748" i="5"/>
  <c r="AB720" i="5"/>
  <c r="AB648" i="5"/>
  <c r="Y635" i="5"/>
  <c r="AA635" i="5" s="1"/>
  <c r="X635" i="5"/>
  <c r="AB660" i="5"/>
  <c r="AB686" i="5"/>
  <c r="AB621" i="5"/>
  <c r="AB625" i="5"/>
  <c r="AB624" i="5"/>
  <c r="Y385" i="5"/>
  <c r="AA385" i="5" s="1"/>
  <c r="X385" i="5"/>
  <c r="AB559" i="5"/>
  <c r="Y421" i="5"/>
  <c r="AA421" i="5" s="1"/>
  <c r="X421" i="5"/>
  <c r="AB421" i="5" s="1"/>
  <c r="Y638" i="5"/>
  <c r="AA638" i="5" s="1"/>
  <c r="X638" i="5"/>
  <c r="Y441" i="5"/>
  <c r="AA441" i="5" s="1"/>
  <c r="X441" i="5"/>
  <c r="AB409" i="5"/>
  <c r="Y581" i="5"/>
  <c r="AA581" i="5" s="1"/>
  <c r="X581" i="5"/>
  <c r="AB581" i="5" s="1"/>
  <c r="AB405" i="5"/>
  <c r="AB439" i="5"/>
  <c r="Y303" i="5"/>
  <c r="AA303" i="5" s="1"/>
  <c r="X303" i="5"/>
  <c r="Y280" i="5"/>
  <c r="AA280" i="5" s="1"/>
  <c r="X280" i="5"/>
  <c r="AB280" i="5" s="1"/>
  <c r="AB391" i="5"/>
  <c r="Y198" i="5"/>
  <c r="AA198" i="5" s="1"/>
  <c r="X198" i="5"/>
  <c r="Y264" i="5"/>
  <c r="AA264" i="5" s="1"/>
  <c r="X264" i="5"/>
  <c r="Y199" i="5"/>
  <c r="AA199" i="5" s="1"/>
  <c r="X199" i="5"/>
  <c r="AB253" i="5"/>
  <c r="Y224" i="5"/>
  <c r="AA224" i="5" s="1"/>
  <c r="X224" i="5"/>
  <c r="AB238" i="5"/>
  <c r="AB204" i="5"/>
  <c r="Y155" i="5"/>
  <c r="AA155" i="5" s="1"/>
  <c r="X155" i="5"/>
  <c r="AB155" i="5" s="1"/>
  <c r="Y321" i="5"/>
  <c r="AA321" i="5" s="1"/>
  <c r="X321" i="5"/>
  <c r="Y61" i="5"/>
  <c r="AA61" i="5" s="1"/>
  <c r="X61" i="5"/>
  <c r="AB61" i="5" s="1"/>
  <c r="AB58" i="5"/>
  <c r="Y732" i="5"/>
  <c r="AA732" i="5" s="1"/>
  <c r="X732" i="5"/>
  <c r="Y653" i="5"/>
  <c r="AA653" i="5" s="1"/>
  <c r="X653" i="5"/>
  <c r="AB653" i="5" s="1"/>
  <c r="Y477" i="5"/>
  <c r="AA477" i="5" s="1"/>
  <c r="X477" i="5"/>
  <c r="Y722" i="5"/>
  <c r="AA722" i="5" s="1"/>
  <c r="X722" i="5"/>
  <c r="Y310" i="5"/>
  <c r="AA310" i="5" s="1"/>
  <c r="X310" i="5"/>
  <c r="Y74" i="5"/>
  <c r="AA74" i="5" s="1"/>
  <c r="X74" i="5"/>
  <c r="Y563" i="5"/>
  <c r="AA563" i="5" s="1"/>
  <c r="X563" i="5"/>
  <c r="Y142" i="5"/>
  <c r="AA142" i="5" s="1"/>
  <c r="X142" i="5"/>
  <c r="AB142" i="5" s="1"/>
  <c r="Y538" i="5"/>
  <c r="AA538" i="5" s="1"/>
  <c r="X538" i="5"/>
  <c r="Y556" i="5"/>
  <c r="AA556" i="5" s="1"/>
  <c r="X556" i="5"/>
  <c r="Y542" i="5"/>
  <c r="AA542" i="5" s="1"/>
  <c r="X542" i="5"/>
  <c r="Y526" i="5"/>
  <c r="AA526" i="5" s="1"/>
  <c r="X526" i="5"/>
  <c r="Y447" i="5"/>
  <c r="AA447" i="5" s="1"/>
  <c r="X447" i="5"/>
  <c r="Y519" i="5"/>
  <c r="AA519" i="5" s="1"/>
  <c r="X519" i="5"/>
  <c r="AB519" i="5" s="1"/>
  <c r="Y407" i="5"/>
  <c r="AA407" i="5" s="1"/>
  <c r="X407" i="5"/>
  <c r="Y501" i="5"/>
  <c r="AA501" i="5" s="1"/>
  <c r="X501" i="5"/>
  <c r="Y506" i="5"/>
  <c r="AA506" i="5" s="1"/>
  <c r="X506" i="5"/>
  <c r="Y283" i="5"/>
  <c r="AA283" i="5" s="1"/>
  <c r="X283" i="5"/>
  <c r="Y459" i="5"/>
  <c r="AA459" i="5" s="1"/>
  <c r="X459" i="5"/>
  <c r="Y352" i="5"/>
  <c r="AA352" i="5" s="1"/>
  <c r="X352" i="5"/>
  <c r="AB352" i="5" s="1"/>
  <c r="X366" i="5"/>
  <c r="Y366" i="5"/>
  <c r="AA366" i="5" s="1"/>
  <c r="Y332" i="5"/>
  <c r="AA332" i="5" s="1"/>
  <c r="X332" i="5"/>
  <c r="Y146" i="5"/>
  <c r="AA146" i="5" s="1"/>
  <c r="X146" i="5"/>
  <c r="Y46" i="5"/>
  <c r="AA46" i="5" s="1"/>
  <c r="X46" i="5"/>
  <c r="Y202" i="5"/>
  <c r="X202" i="5"/>
  <c r="AB202" i="5" s="1"/>
  <c r="Y108" i="5"/>
  <c r="AA108" i="5" s="1"/>
  <c r="X108" i="5"/>
  <c r="AB108" i="5" s="1"/>
  <c r="X507" i="5"/>
  <c r="Y507" i="5"/>
  <c r="AA507" i="5" s="1"/>
  <c r="AB652" i="5"/>
  <c r="Y546" i="5"/>
  <c r="AA546" i="5" s="1"/>
  <c r="X546" i="5"/>
  <c r="Y644" i="5"/>
  <c r="AA644" i="5" s="1"/>
  <c r="X644" i="5"/>
  <c r="AB644" i="5" s="1"/>
  <c r="AB709" i="5"/>
  <c r="Y658" i="5"/>
  <c r="AA658" i="5" s="1"/>
  <c r="X658" i="5"/>
  <c r="Y662" i="5"/>
  <c r="AA662" i="5" s="1"/>
  <c r="X662" i="5"/>
  <c r="AB662" i="5" s="1"/>
  <c r="AB524" i="5"/>
  <c r="Y444" i="5"/>
  <c r="AA444" i="5" s="1"/>
  <c r="X444" i="5"/>
  <c r="Y404" i="5"/>
  <c r="AA404" i="5" s="1"/>
  <c r="X404" i="5"/>
  <c r="Y558" i="5"/>
  <c r="AA558" i="5" s="1"/>
  <c r="X558" i="5"/>
  <c r="X631" i="5"/>
  <c r="Y631" i="5"/>
  <c r="AA631" i="5" s="1"/>
  <c r="AB513" i="5"/>
  <c r="Y276" i="5"/>
  <c r="AA276" i="5" s="1"/>
  <c r="X276" i="5"/>
  <c r="Y356" i="5"/>
  <c r="AA356" i="5" s="1"/>
  <c r="X356" i="5"/>
  <c r="Y360" i="5"/>
  <c r="AA360" i="5" s="1"/>
  <c r="X360" i="5"/>
  <c r="Y322" i="5"/>
  <c r="AA322" i="5" s="1"/>
  <c r="X322" i="5"/>
  <c r="AB322" i="5" s="1"/>
  <c r="Y315" i="5"/>
  <c r="AA315" i="5" s="1"/>
  <c r="X315" i="5"/>
  <c r="Y128" i="5"/>
  <c r="AA128" i="5" s="1"/>
  <c r="X128" i="5"/>
  <c r="AB333" i="5"/>
  <c r="Y11" i="5"/>
  <c r="AA11" i="5" s="1"/>
  <c r="X11" i="5"/>
  <c r="Y123" i="5"/>
  <c r="AA123" i="5" s="1"/>
  <c r="X123" i="5"/>
  <c r="Y41" i="5"/>
  <c r="AA41" i="5" s="1"/>
  <c r="X41" i="5"/>
  <c r="Y171" i="5"/>
  <c r="AA171" i="5" s="1"/>
  <c r="X171" i="5"/>
  <c r="Y645" i="5"/>
  <c r="AA645" i="5" s="1"/>
  <c r="X645" i="5"/>
  <c r="Y417" i="5"/>
  <c r="AA417" i="5" s="1"/>
  <c r="X417" i="5"/>
  <c r="AB417" i="5" s="1"/>
  <c r="Y296" i="5"/>
  <c r="AA296" i="5" s="1"/>
  <c r="X296" i="5"/>
  <c r="Y149" i="5"/>
  <c r="AA149" i="5" s="1"/>
  <c r="X149" i="5"/>
  <c r="Y605" i="5"/>
  <c r="AA605" i="5" s="1"/>
  <c r="X605" i="5"/>
  <c r="Y505" i="5"/>
  <c r="AA505" i="5" s="1"/>
  <c r="X505" i="5"/>
  <c r="Y440" i="5"/>
  <c r="AA440" i="5" s="1"/>
  <c r="X440" i="5"/>
  <c r="X628" i="5"/>
  <c r="Y628" i="5"/>
  <c r="AA628" i="5" s="1"/>
  <c r="Y398" i="5"/>
  <c r="AA398" i="5" s="1"/>
  <c r="X398" i="5"/>
  <c r="Y468" i="5"/>
  <c r="AA468" i="5" s="1"/>
  <c r="X468" i="5"/>
  <c r="X357" i="5"/>
  <c r="Y357" i="5"/>
  <c r="AA357" i="5" s="1"/>
  <c r="Y259" i="5"/>
  <c r="AA259" i="5" s="1"/>
  <c r="X259" i="5"/>
  <c r="Y373" i="5"/>
  <c r="AA373" i="5" s="1"/>
  <c r="X373" i="5"/>
  <c r="Y263" i="5"/>
  <c r="AA263" i="5" s="1"/>
  <c r="X263" i="5"/>
  <c r="AB263" i="5" s="1"/>
  <c r="Y344" i="5"/>
  <c r="AA344" i="5" s="1"/>
  <c r="X344" i="5"/>
  <c r="Y340" i="5"/>
  <c r="AA340" i="5" s="1"/>
  <c r="X340" i="5"/>
  <c r="Y452" i="5"/>
  <c r="AA452" i="5" s="1"/>
  <c r="X452" i="5"/>
  <c r="Y230" i="5"/>
  <c r="AA230" i="5" s="1"/>
  <c r="X230" i="5"/>
  <c r="Y117" i="5"/>
  <c r="AA117" i="5" s="1"/>
  <c r="X117" i="5"/>
  <c r="Y195" i="5"/>
  <c r="AA195" i="5" s="1"/>
  <c r="X195" i="5"/>
  <c r="AB195" i="5" s="1"/>
  <c r="Y122" i="5"/>
  <c r="AA122" i="5" s="1"/>
  <c r="X122" i="5"/>
  <c r="Y180" i="5"/>
  <c r="AA180" i="5" s="1"/>
  <c r="X180" i="5"/>
  <c r="Y36" i="5"/>
  <c r="AA36" i="5" s="1"/>
  <c r="X36" i="5"/>
  <c r="Y121" i="5"/>
  <c r="AA121" i="5" s="1"/>
  <c r="X121" i="5"/>
  <c r="Y698" i="5"/>
  <c r="AA698" i="5" s="1"/>
  <c r="X698" i="5"/>
  <c r="Y454" i="5"/>
  <c r="AA454" i="5" s="1"/>
  <c r="X454" i="5"/>
  <c r="AB454" i="5" s="1"/>
  <c r="Y708" i="5"/>
  <c r="AA708" i="5" s="1"/>
  <c r="X708" i="5"/>
  <c r="X510" i="5"/>
  <c r="Y510" i="5"/>
  <c r="AA510" i="5" s="1"/>
  <c r="Y395" i="5"/>
  <c r="AA395" i="5" s="1"/>
  <c r="X395" i="5"/>
  <c r="Y476" i="5"/>
  <c r="AA476" i="5" s="1"/>
  <c r="X476" i="5"/>
  <c r="Y249" i="5"/>
  <c r="AA249" i="5" s="1"/>
  <c r="X249" i="5"/>
  <c r="AB488" i="5"/>
  <c r="Y201" i="5"/>
  <c r="AA201" i="5" s="1"/>
  <c r="X201" i="5"/>
  <c r="Y112" i="5"/>
  <c r="AA112" i="5" s="1"/>
  <c r="X112" i="5"/>
  <c r="AB112" i="5" s="1"/>
  <c r="Y73" i="5"/>
  <c r="AA73" i="5" s="1"/>
  <c r="X73" i="5"/>
  <c r="X214" i="5"/>
  <c r="Y214" i="5"/>
  <c r="AA214" i="5" s="1"/>
  <c r="Y118" i="5"/>
  <c r="AA118" i="5" s="1"/>
  <c r="X118" i="5"/>
  <c r="Y33" i="5"/>
  <c r="AA33" i="5" s="1"/>
  <c r="X33" i="5"/>
  <c r="Y747" i="5"/>
  <c r="AA747" i="5" s="1"/>
  <c r="X747" i="5"/>
  <c r="Y464" i="5"/>
  <c r="AA464" i="5" s="1"/>
  <c r="X464" i="5"/>
  <c r="AB464" i="5" s="1"/>
  <c r="Y518" i="5"/>
  <c r="AA518" i="5" s="1"/>
  <c r="X518" i="5"/>
  <c r="Y240" i="5"/>
  <c r="AA240" i="5" s="1"/>
  <c r="X240" i="5"/>
  <c r="Y675" i="5"/>
  <c r="AA675" i="5" s="1"/>
  <c r="X675" i="5"/>
  <c r="Y544" i="5"/>
  <c r="AA544" i="5" s="1"/>
  <c r="X544" i="5"/>
  <c r="Y642" i="5"/>
  <c r="AA642" i="5" s="1"/>
  <c r="X642" i="5"/>
  <c r="Y528" i="5"/>
  <c r="AA528" i="5" s="1"/>
  <c r="X528" i="5"/>
  <c r="Y633" i="5"/>
  <c r="AA633" i="5" s="1"/>
  <c r="X633" i="5"/>
  <c r="Y522" i="5"/>
  <c r="AA522" i="5" s="1"/>
  <c r="X522" i="5"/>
  <c r="Y517" i="5"/>
  <c r="AA517" i="5" s="1"/>
  <c r="X517" i="5"/>
  <c r="Y473" i="5"/>
  <c r="AA473" i="5" s="1"/>
  <c r="X473" i="5"/>
  <c r="Y334" i="5"/>
  <c r="AA334" i="5" s="1"/>
  <c r="X334" i="5"/>
  <c r="Y246" i="5"/>
  <c r="AA246" i="5" s="1"/>
  <c r="X246" i="5"/>
  <c r="Y428" i="5"/>
  <c r="AA428" i="5" s="1"/>
  <c r="X428" i="5"/>
  <c r="Y302" i="5"/>
  <c r="AA302" i="5" s="1"/>
  <c r="X302" i="5"/>
  <c r="Y220" i="5"/>
  <c r="AA220" i="5" s="1"/>
  <c r="X220" i="5"/>
  <c r="Y244" i="5"/>
  <c r="AA244" i="5" s="1"/>
  <c r="X244" i="5"/>
  <c r="Y297" i="5"/>
  <c r="AA297" i="5" s="1"/>
  <c r="X297" i="5"/>
  <c r="Y24" i="5"/>
  <c r="AA24" i="5" s="1"/>
  <c r="X24" i="5"/>
  <c r="Y81" i="5"/>
  <c r="AA81" i="5" s="1"/>
  <c r="X81" i="5"/>
  <c r="Y28" i="5"/>
  <c r="AA28" i="5" s="1"/>
  <c r="X28" i="5"/>
  <c r="AB62" i="5"/>
  <c r="Y147" i="5"/>
  <c r="AA147" i="5" s="1"/>
  <c r="X147" i="5"/>
  <c r="Y630" i="5"/>
  <c r="AA630" i="5" s="1"/>
  <c r="X630" i="5"/>
  <c r="AB630" i="5" s="1"/>
  <c r="Y700" i="5"/>
  <c r="AA700" i="5" s="1"/>
  <c r="X700" i="5"/>
  <c r="X647" i="5"/>
  <c r="Y647" i="5"/>
  <c r="AA647" i="5" s="1"/>
  <c r="Y433" i="5"/>
  <c r="AA433" i="5" s="1"/>
  <c r="X433" i="5"/>
  <c r="Y392" i="5"/>
  <c r="AA392" i="5" s="1"/>
  <c r="X392" i="5"/>
  <c r="Y657" i="5"/>
  <c r="AA657" i="5" s="1"/>
  <c r="X657" i="5"/>
  <c r="AB741" i="5"/>
  <c r="Y749" i="5"/>
  <c r="AA749" i="5" s="1"/>
  <c r="X749" i="5"/>
  <c r="Y735" i="5"/>
  <c r="AA735" i="5" s="1"/>
  <c r="X735" i="5"/>
  <c r="AB735" i="5" s="1"/>
  <c r="Y691" i="5"/>
  <c r="AA691" i="5" s="1"/>
  <c r="X691" i="5"/>
  <c r="Y549" i="5"/>
  <c r="AA549" i="5" s="1"/>
  <c r="X549" i="5"/>
  <c r="AB583" i="5"/>
  <c r="AB577" i="5"/>
  <c r="AB573" i="5"/>
  <c r="Y533" i="5"/>
  <c r="AA533" i="5" s="1"/>
  <c r="X533" i="5"/>
  <c r="Y376" i="5"/>
  <c r="AA376" i="5" s="1"/>
  <c r="X376" i="5"/>
  <c r="Y435" i="5"/>
  <c r="AA435" i="5" s="1"/>
  <c r="X435" i="5"/>
  <c r="Y327" i="5"/>
  <c r="AA327" i="5" s="1"/>
  <c r="X327" i="5"/>
  <c r="Y243" i="5"/>
  <c r="AA243" i="5" s="1"/>
  <c r="X243" i="5"/>
  <c r="Y314" i="5"/>
  <c r="AA314" i="5" s="1"/>
  <c r="X314" i="5"/>
  <c r="Y346" i="5"/>
  <c r="AA346" i="5" s="1"/>
  <c r="X346" i="5"/>
  <c r="AB271" i="5"/>
  <c r="Y164" i="5"/>
  <c r="AA164" i="5" s="1"/>
  <c r="X164" i="5"/>
  <c r="Y277" i="5"/>
  <c r="AA277" i="5" s="1"/>
  <c r="X277" i="5"/>
  <c r="Y136" i="5"/>
  <c r="AA136" i="5" s="1"/>
  <c r="X136" i="5"/>
  <c r="Y170" i="5"/>
  <c r="AA170" i="5" s="1"/>
  <c r="X170" i="5"/>
  <c r="AB175" i="5"/>
  <c r="AB139" i="5"/>
  <c r="Y67" i="5"/>
  <c r="AA67" i="5" s="1"/>
  <c r="X67" i="5"/>
  <c r="AB174" i="5"/>
  <c r="Y113" i="5"/>
  <c r="AA113" i="5" s="1"/>
  <c r="X113" i="5"/>
  <c r="Y25" i="5"/>
  <c r="AA25" i="5" s="1"/>
  <c r="X25" i="5"/>
  <c r="Y83" i="5"/>
  <c r="AA83" i="5" s="1"/>
  <c r="X83" i="5"/>
  <c r="Y654" i="5"/>
  <c r="AA654" i="5" s="1"/>
  <c r="X654" i="5"/>
  <c r="Y424" i="5"/>
  <c r="AA424" i="5" s="1"/>
  <c r="X424" i="5"/>
  <c r="Y347" i="5"/>
  <c r="AA347" i="5" s="1"/>
  <c r="X347" i="5"/>
  <c r="Y590" i="5"/>
  <c r="AA590" i="5" s="1"/>
  <c r="X590" i="5"/>
  <c r="Y718" i="5"/>
  <c r="AA718" i="5" s="1"/>
  <c r="X718" i="5"/>
  <c r="Y382" i="5"/>
  <c r="AA382" i="5" s="1"/>
  <c r="X382" i="5"/>
  <c r="Y414" i="5"/>
  <c r="AA414" i="5" s="1"/>
  <c r="X414" i="5"/>
  <c r="Y418" i="5"/>
  <c r="AA418" i="5" s="1"/>
  <c r="X418" i="5"/>
  <c r="Y379" i="5"/>
  <c r="AA379" i="5" s="1"/>
  <c r="X379" i="5"/>
  <c r="Y219" i="5"/>
  <c r="AA219" i="5" s="1"/>
  <c r="X219" i="5"/>
  <c r="Y431" i="5"/>
  <c r="AA431" i="5" s="1"/>
  <c r="X431" i="5"/>
  <c r="Y256" i="5"/>
  <c r="AA256" i="5" s="1"/>
  <c r="X256" i="5"/>
  <c r="Y304" i="5"/>
  <c r="AA304" i="5" s="1"/>
  <c r="X304" i="5"/>
  <c r="Y328" i="5"/>
  <c r="AA328" i="5" s="1"/>
  <c r="X328" i="5"/>
  <c r="Y185" i="5"/>
  <c r="AA185" i="5" s="1"/>
  <c r="X185" i="5"/>
  <c r="Y727" i="5"/>
  <c r="AA727" i="5" s="1"/>
  <c r="X727" i="5"/>
  <c r="Y702" i="5"/>
  <c r="AA702" i="5" s="1"/>
  <c r="X702" i="5"/>
  <c r="Y656" i="5"/>
  <c r="AA656" i="5" s="1"/>
  <c r="X656" i="5"/>
  <c r="Y666" i="5"/>
  <c r="AA666" i="5" s="1"/>
  <c r="X666" i="5"/>
  <c r="Y640" i="5"/>
  <c r="AA640" i="5" s="1"/>
  <c r="X640" i="5"/>
  <c r="AB640" i="5" s="1"/>
  <c r="Y527" i="5"/>
  <c r="AA527" i="5" s="1"/>
  <c r="X527" i="5"/>
  <c r="Y498" i="5"/>
  <c r="AA498" i="5" s="1"/>
  <c r="X498" i="5"/>
  <c r="Y490" i="5"/>
  <c r="AA490" i="5" s="1"/>
  <c r="X490" i="5"/>
  <c r="X636" i="5"/>
  <c r="Y636" i="5"/>
  <c r="AA636" i="5" s="1"/>
  <c r="Y458" i="5"/>
  <c r="AA458" i="5" s="1"/>
  <c r="X458" i="5"/>
  <c r="Y733" i="5"/>
  <c r="AA733" i="5" s="1"/>
  <c r="X733" i="5"/>
  <c r="Y455" i="5"/>
  <c r="AA455" i="5" s="1"/>
  <c r="X455" i="5"/>
  <c r="Y614" i="5"/>
  <c r="AA614" i="5" s="1"/>
  <c r="X614" i="5"/>
  <c r="Y324" i="5"/>
  <c r="AA324" i="5" s="1"/>
  <c r="X324" i="5"/>
  <c r="Y595" i="5"/>
  <c r="AA595" i="5" s="1"/>
  <c r="X595" i="5"/>
  <c r="Y307" i="5"/>
  <c r="AA307" i="5" s="1"/>
  <c r="X307" i="5"/>
  <c r="Y133" i="5"/>
  <c r="AA133" i="5" s="1"/>
  <c r="X133" i="5"/>
  <c r="Y212" i="5"/>
  <c r="AA212" i="5" s="1"/>
  <c r="X212" i="5"/>
  <c r="Y105" i="5"/>
  <c r="AA105" i="5" s="1"/>
  <c r="X105" i="5"/>
  <c r="Y64" i="5"/>
  <c r="AA64" i="5" s="1"/>
  <c r="X64" i="5"/>
  <c r="Y132" i="5"/>
  <c r="AA132" i="5" s="1"/>
  <c r="X132" i="5"/>
  <c r="Y2" i="5"/>
  <c r="AA2" i="5" s="1"/>
  <c r="X2" i="5"/>
  <c r="Y70" i="5"/>
  <c r="AA70" i="5" s="1"/>
  <c r="X70" i="5"/>
  <c r="Y684" i="5"/>
  <c r="AA684" i="5" s="1"/>
  <c r="X684" i="5"/>
  <c r="Y529" i="5"/>
  <c r="AA529" i="5" s="1"/>
  <c r="X529" i="5"/>
  <c r="Y353" i="5"/>
  <c r="AA353" i="5" s="1"/>
  <c r="X353" i="5"/>
  <c r="Y678" i="5"/>
  <c r="AA678" i="5" s="1"/>
  <c r="X678" i="5"/>
  <c r="Y715" i="5"/>
  <c r="AA715" i="5" s="1"/>
  <c r="X715" i="5"/>
  <c r="Y532" i="5"/>
  <c r="AA532" i="5" s="1"/>
  <c r="X532" i="5"/>
  <c r="Y704" i="5"/>
  <c r="AA704" i="5" s="1"/>
  <c r="X704" i="5"/>
  <c r="Y584" i="5"/>
  <c r="AA584" i="5" s="1"/>
  <c r="X584" i="5"/>
  <c r="Y661" i="5"/>
  <c r="AA661" i="5" s="1"/>
  <c r="X661" i="5"/>
  <c r="Y713" i="5"/>
  <c r="AA713" i="5" s="1"/>
  <c r="X713" i="5"/>
  <c r="Y613" i="5"/>
  <c r="AA613" i="5" s="1"/>
  <c r="X613" i="5"/>
  <c r="Y609" i="5"/>
  <c r="AA609" i="5" s="1"/>
  <c r="X609" i="5"/>
  <c r="Y746" i="5"/>
  <c r="AA746" i="5" s="1"/>
  <c r="X746" i="5"/>
  <c r="AB664" i="5"/>
  <c r="Y669" i="5"/>
  <c r="AA669" i="5" s="1"/>
  <c r="X669" i="5"/>
  <c r="Y739" i="5"/>
  <c r="AA739" i="5" s="1"/>
  <c r="X739" i="5"/>
  <c r="AB730" i="5"/>
  <c r="Y611" i="5"/>
  <c r="AA611" i="5" s="1"/>
  <c r="X611" i="5"/>
  <c r="AB502" i="5"/>
  <c r="AB594" i="5"/>
  <c r="X478" i="5"/>
  <c r="Y478" i="5"/>
  <c r="AA478" i="5" s="1"/>
  <c r="Y561" i="5"/>
  <c r="AA561" i="5" s="1"/>
  <c r="X561" i="5"/>
  <c r="Y410" i="5"/>
  <c r="AA410" i="5" s="1"/>
  <c r="X410" i="5"/>
  <c r="Y451" i="5"/>
  <c r="AA451" i="5" s="1"/>
  <c r="X451" i="5"/>
  <c r="AB539" i="5"/>
  <c r="AB530" i="5"/>
  <c r="AB493" i="5"/>
  <c r="Y363" i="5"/>
  <c r="AA363" i="5" s="1"/>
  <c r="X363" i="5"/>
  <c r="Y313" i="5"/>
  <c r="AA313" i="5" s="1"/>
  <c r="X313" i="5"/>
  <c r="AB313" i="5" s="1"/>
  <c r="Y320" i="5"/>
  <c r="AA320" i="5" s="1"/>
  <c r="X320" i="5"/>
  <c r="Y438" i="5"/>
  <c r="AA438" i="5" s="1"/>
  <c r="X438" i="5"/>
  <c r="AB386" i="5"/>
  <c r="Y300" i="5"/>
  <c r="AA300" i="5" s="1"/>
  <c r="X300" i="5"/>
  <c r="Y331" i="5"/>
  <c r="AA331" i="5" s="1"/>
  <c r="X331" i="5"/>
  <c r="AB331" i="5" s="1"/>
  <c r="Y425" i="5"/>
  <c r="AA425" i="5" s="1"/>
  <c r="X425" i="5"/>
  <c r="Y216" i="5"/>
  <c r="AA216" i="5" s="1"/>
  <c r="X216" i="5"/>
  <c r="Y184" i="5"/>
  <c r="AA184" i="5" s="1"/>
  <c r="X184" i="5"/>
  <c r="Y284" i="5"/>
  <c r="AA284" i="5" s="1"/>
  <c r="X284" i="5"/>
  <c r="Y93" i="5"/>
  <c r="AA93" i="5" s="1"/>
  <c r="X93" i="5"/>
  <c r="Y129" i="5"/>
  <c r="AA129" i="5" s="1"/>
  <c r="X129" i="5"/>
  <c r="AB129" i="5" s="1"/>
  <c r="AB229" i="5"/>
  <c r="Y102" i="5"/>
  <c r="AA102" i="5" s="1"/>
  <c r="X102" i="5"/>
  <c r="AB102" i="5" s="1"/>
  <c r="Y80" i="5"/>
  <c r="AA80" i="5" s="1"/>
  <c r="X80" i="5"/>
  <c r="AB247" i="5"/>
  <c r="AB144" i="5"/>
  <c r="Y78" i="5"/>
  <c r="AA78" i="5" s="1"/>
  <c r="X78" i="5"/>
  <c r="AB78" i="5" s="1"/>
  <c r="X8" i="5"/>
  <c r="Y8" i="5"/>
  <c r="AA8" i="5" s="1"/>
  <c r="X63" i="5"/>
  <c r="Y63" i="5"/>
  <c r="AA63" i="5" s="1"/>
  <c r="AB32" i="5"/>
  <c r="AB216" i="5" l="1"/>
  <c r="AB561" i="5"/>
  <c r="AB727" i="5"/>
  <c r="AB219" i="5"/>
  <c r="AB590" i="5"/>
  <c r="AB113" i="5"/>
  <c r="AB180" i="5"/>
  <c r="AB340" i="5"/>
  <c r="AB468" i="5"/>
  <c r="AB149" i="5"/>
  <c r="AB123" i="5"/>
  <c r="AB444" i="5"/>
  <c r="AB332" i="5"/>
  <c r="AB747" i="5"/>
  <c r="AB649" i="5"/>
  <c r="AB715" i="5"/>
  <c r="AB2" i="5"/>
  <c r="AB307" i="5"/>
  <c r="AB458" i="5"/>
  <c r="AB666" i="5"/>
  <c r="AB657" i="5"/>
  <c r="AB249" i="5"/>
  <c r="AB698" i="5"/>
  <c r="AB117" i="5"/>
  <c r="AB373" i="5"/>
  <c r="AB440" i="5"/>
  <c r="AB645" i="5"/>
  <c r="AB658" i="5"/>
  <c r="AB459" i="5"/>
  <c r="AB447" i="5"/>
  <c r="AB563" i="5"/>
  <c r="AB732" i="5"/>
  <c r="AB516" i="5"/>
  <c r="AB170" i="5"/>
  <c r="AB220" i="5"/>
  <c r="AB517" i="5"/>
  <c r="AB315" i="5"/>
  <c r="AB385" i="5"/>
  <c r="AB467" i="5"/>
  <c r="AB59" i="5"/>
  <c r="AB184" i="5"/>
  <c r="AB410" i="5"/>
  <c r="AB661" i="5"/>
  <c r="AB433" i="5"/>
  <c r="AB395" i="5"/>
  <c r="AB36" i="5"/>
  <c r="AB452" i="5"/>
  <c r="AB605" i="5"/>
  <c r="AB41" i="5"/>
  <c r="AB404" i="5"/>
  <c r="AB146" i="5"/>
  <c r="AB506" i="5"/>
  <c r="AB542" i="5"/>
  <c r="AB310" i="5"/>
  <c r="AB264" i="5"/>
  <c r="AB150" i="5"/>
  <c r="AB699" i="5"/>
  <c r="AB95" i="5"/>
  <c r="AB435" i="5"/>
  <c r="AB501" i="5"/>
  <c r="AB556" i="5"/>
  <c r="AB722" i="5"/>
  <c r="AB198" i="5"/>
  <c r="AB441" i="5"/>
  <c r="AB183" i="5"/>
  <c r="AB273" i="5"/>
  <c r="AB134" i="5"/>
  <c r="AB161" i="5"/>
  <c r="AB434" i="5"/>
  <c r="AB626" i="5"/>
  <c r="AB714" i="5"/>
  <c r="AB734" i="5"/>
  <c r="AB67" i="5"/>
  <c r="AB201" i="5"/>
  <c r="AB244" i="5"/>
  <c r="AB473" i="5"/>
  <c r="AB400" i="5"/>
  <c r="AB63" i="5"/>
  <c r="AB286" i="5"/>
  <c r="AB284" i="5"/>
  <c r="AB451" i="5"/>
  <c r="AB713" i="5"/>
  <c r="AB678" i="5"/>
  <c r="AB132" i="5"/>
  <c r="AB595" i="5"/>
  <c r="AB392" i="5"/>
  <c r="AB476" i="5"/>
  <c r="AB136" i="5"/>
  <c r="AB549" i="5"/>
  <c r="AB237" i="5"/>
  <c r="AB179" i="5"/>
  <c r="AB214" i="5"/>
  <c r="AB254" i="5"/>
  <c r="AB582" i="5"/>
  <c r="AB277" i="5"/>
  <c r="AB691" i="5"/>
  <c r="AB265" i="5"/>
  <c r="AB49" i="5"/>
  <c r="AB166" i="5"/>
  <c r="AB603" i="5"/>
  <c r="AB425" i="5"/>
  <c r="AB704" i="5"/>
  <c r="AB684" i="5"/>
  <c r="AB212" i="5"/>
  <c r="AB185" i="5"/>
  <c r="AB379" i="5"/>
  <c r="AB347" i="5"/>
  <c r="AB376" i="5"/>
  <c r="AB700" i="5"/>
  <c r="AB122" i="5"/>
  <c r="AB344" i="5"/>
  <c r="AB398" i="5"/>
  <c r="AB296" i="5"/>
  <c r="AB11" i="5"/>
  <c r="AB407" i="5"/>
  <c r="AB538" i="5"/>
  <c r="AB477" i="5"/>
  <c r="AB638" i="5"/>
  <c r="AB635" i="5"/>
  <c r="AB227" i="5"/>
  <c r="AB499" i="5"/>
  <c r="AB571" i="5"/>
  <c r="AB182" i="5"/>
  <c r="AB510" i="5"/>
  <c r="AB631" i="5"/>
  <c r="AB8" i="5"/>
  <c r="AB93" i="5"/>
  <c r="AB300" i="5"/>
  <c r="AB611" i="5"/>
  <c r="AB164" i="5"/>
  <c r="AB147" i="5"/>
  <c r="AB708" i="5"/>
  <c r="AB121" i="5"/>
  <c r="AB230" i="5"/>
  <c r="AB259" i="5"/>
  <c r="AB505" i="5"/>
  <c r="AB171" i="5"/>
  <c r="AB558" i="5"/>
  <c r="AB46" i="5"/>
  <c r="AB283" i="5"/>
  <c r="AB526" i="5"/>
  <c r="AB74" i="5"/>
  <c r="AB199" i="5"/>
  <c r="AB748" i="5"/>
  <c r="AB388" i="5"/>
  <c r="AB325" i="5"/>
  <c r="AB415" i="5"/>
  <c r="AB636" i="5"/>
  <c r="AB438" i="5"/>
  <c r="AB739" i="5"/>
  <c r="AB609" i="5"/>
  <c r="AB353" i="5"/>
  <c r="AB64" i="5"/>
  <c r="AB324" i="5"/>
  <c r="AB490" i="5"/>
  <c r="AB656" i="5"/>
  <c r="AB328" i="5"/>
  <c r="AB418" i="5"/>
  <c r="AB424" i="5"/>
  <c r="AB346" i="5"/>
  <c r="AB533" i="5"/>
  <c r="AB749" i="5"/>
  <c r="AB28" i="5"/>
  <c r="AB302" i="5"/>
  <c r="AB522" i="5"/>
  <c r="AB544" i="5"/>
  <c r="AB33" i="5"/>
  <c r="AB357" i="5"/>
  <c r="AB360" i="5"/>
  <c r="AB546" i="5"/>
  <c r="AB321" i="5"/>
  <c r="AB512" i="5"/>
  <c r="AB80" i="5"/>
  <c r="AB320" i="5"/>
  <c r="AB669" i="5"/>
  <c r="AB613" i="5"/>
  <c r="AB584" i="5"/>
  <c r="AB529" i="5"/>
  <c r="AB105" i="5"/>
  <c r="AB614" i="5"/>
  <c r="AB304" i="5"/>
  <c r="AB414" i="5"/>
  <c r="AB654" i="5"/>
  <c r="AB314" i="5"/>
  <c r="AB81" i="5"/>
  <c r="AB428" i="5"/>
  <c r="AB633" i="5"/>
  <c r="AB675" i="5"/>
  <c r="AB118" i="5"/>
  <c r="AB356" i="5"/>
  <c r="AB455" i="5"/>
  <c r="AB498" i="5"/>
  <c r="AB256" i="5"/>
  <c r="AB382" i="5"/>
  <c r="AB83" i="5"/>
  <c r="AB243" i="5"/>
  <c r="AB647" i="5"/>
  <c r="AB24" i="5"/>
  <c r="AB246" i="5"/>
  <c r="AB528" i="5"/>
  <c r="AB240" i="5"/>
  <c r="AB276" i="5"/>
  <c r="AB507" i="5"/>
  <c r="AB366" i="5"/>
  <c r="AB363" i="5"/>
  <c r="AB478" i="5"/>
  <c r="AB746" i="5"/>
  <c r="AB532" i="5"/>
  <c r="AB70" i="5"/>
  <c r="AB133" i="5"/>
  <c r="AB733" i="5"/>
  <c r="AB527" i="5"/>
  <c r="AB702" i="5"/>
  <c r="AB431" i="5"/>
  <c r="AB718" i="5"/>
  <c r="AB25" i="5"/>
  <c r="AB327" i="5"/>
  <c r="AB297" i="5"/>
  <c r="AB334" i="5"/>
  <c r="AB642" i="5"/>
  <c r="AB518" i="5"/>
  <c r="AB73" i="5"/>
  <c r="AB628" i="5"/>
  <c r="AB128" i="5"/>
  <c r="AB224" i="5"/>
  <c r="AB303" i="5"/>
  <c r="AB560" i="5"/>
  <c r="D1351" i="6" l="1"/>
  <c r="D1350" i="6"/>
  <c r="D1349" i="6"/>
  <c r="D1348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1" i="6"/>
  <c r="D1330" i="6"/>
  <c r="D1329" i="6"/>
  <c r="D1328" i="6"/>
  <c r="D1327" i="6"/>
  <c r="D1326" i="6"/>
  <c r="D1325" i="6"/>
  <c r="D1324" i="6"/>
  <c r="D1323" i="6"/>
  <c r="D1322" i="6"/>
  <c r="D1321" i="6"/>
  <c r="D1320" i="6"/>
  <c r="D1319" i="6"/>
  <c r="D1318" i="6"/>
  <c r="D1317" i="6"/>
  <c r="D1316" i="6"/>
  <c r="D1315" i="6"/>
  <c r="D1314" i="6"/>
  <c r="D1312" i="6"/>
  <c r="D1311" i="6"/>
  <c r="AE315" i="5"/>
  <c r="AP275" i="5"/>
  <c r="AD1355" i="4"/>
  <c r="AE1355" i="4" s="1"/>
  <c r="O1355" i="4"/>
  <c r="AD1354" i="4"/>
  <c r="AE1354" i="4" s="1"/>
  <c r="O1354" i="4"/>
  <c r="AD1353" i="4"/>
  <c r="AE1353" i="4" s="1"/>
  <c r="O1353" i="4"/>
  <c r="O1352" i="4"/>
  <c r="D1352" i="4"/>
  <c r="C1352" i="4"/>
  <c r="AD1352" i="4" s="1"/>
  <c r="AE1352" i="4" s="1"/>
  <c r="Z1351" i="4"/>
  <c r="O1351" i="4"/>
  <c r="D1351" i="4"/>
  <c r="C1351" i="4"/>
  <c r="AD1351" i="4" s="1"/>
  <c r="AE1351" i="4" s="1"/>
  <c r="O1350" i="4"/>
  <c r="D1350" i="4"/>
  <c r="C1350" i="4"/>
  <c r="AD1350" i="4" s="1"/>
  <c r="AE1350" i="4" s="1"/>
  <c r="O1349" i="4"/>
  <c r="D1349" i="4"/>
  <c r="C1349" i="4"/>
  <c r="AD1349" i="4" s="1"/>
  <c r="AE1349" i="4" s="1"/>
  <c r="AD1348" i="4"/>
  <c r="AE1348" i="4" s="1"/>
  <c r="O1348" i="4"/>
  <c r="O1347" i="4"/>
  <c r="D1347" i="4"/>
  <c r="C1347" i="4"/>
  <c r="AD1347" i="4" s="1"/>
  <c r="AE1347" i="4" s="1"/>
  <c r="O1346" i="4"/>
  <c r="D1346" i="4"/>
  <c r="C1346" i="4"/>
  <c r="AD1346" i="4" s="1"/>
  <c r="AE1346" i="4" s="1"/>
  <c r="O1345" i="4"/>
  <c r="D1345" i="4"/>
  <c r="C1345" i="4"/>
  <c r="AD1345" i="4" s="1"/>
  <c r="AE1345" i="4" s="1"/>
  <c r="O1344" i="4"/>
  <c r="D1344" i="4"/>
  <c r="C1344" i="4"/>
  <c r="AD1344" i="4" s="1"/>
  <c r="AE1344" i="4" s="1"/>
  <c r="O1343" i="4"/>
  <c r="D1343" i="4"/>
  <c r="C1343" i="4"/>
  <c r="AD1343" i="4" s="1"/>
  <c r="AE1343" i="4" s="1"/>
  <c r="O1342" i="4"/>
  <c r="D1342" i="4"/>
  <c r="C1342" i="4"/>
  <c r="AD1342" i="4" s="1"/>
  <c r="AE1342" i="4" s="1"/>
  <c r="O1341" i="4"/>
  <c r="D1341" i="4"/>
  <c r="C1341" i="4"/>
  <c r="AD1341" i="4" s="1"/>
  <c r="AE1341" i="4" s="1"/>
  <c r="O1340" i="4"/>
  <c r="D1340" i="4"/>
  <c r="C1340" i="4"/>
  <c r="AD1340" i="4" s="1"/>
  <c r="AE1340" i="4" s="1"/>
  <c r="O1339" i="4"/>
  <c r="D1339" i="4"/>
  <c r="C1339" i="4"/>
  <c r="AD1339" i="4" s="1"/>
  <c r="AE1339" i="4" s="1"/>
  <c r="N1338" i="4"/>
  <c r="O1338" i="4" s="1"/>
  <c r="D1338" i="4"/>
  <c r="C1338" i="4"/>
  <c r="AD1338" i="4" s="1"/>
  <c r="AE1338" i="4" s="1"/>
  <c r="O1337" i="4"/>
  <c r="D1337" i="4"/>
  <c r="C1337" i="4"/>
  <c r="AD1337" i="4" s="1"/>
  <c r="AE1337" i="4" s="1"/>
  <c r="O1336" i="4"/>
  <c r="D1336" i="4"/>
  <c r="C1336" i="4"/>
  <c r="AD1336" i="4" s="1"/>
  <c r="AE1336" i="4" s="1"/>
  <c r="O1335" i="4"/>
  <c r="D1335" i="4"/>
  <c r="C1335" i="4"/>
  <c r="AD1335" i="4" s="1"/>
  <c r="AE1335" i="4" s="1"/>
  <c r="O1334" i="4"/>
  <c r="D1334" i="4"/>
  <c r="C1334" i="4"/>
  <c r="AD1334" i="4" s="1"/>
  <c r="AE1334" i="4" s="1"/>
  <c r="O1333" i="4"/>
  <c r="D1333" i="4"/>
  <c r="C1333" i="4"/>
  <c r="AD1333" i="4" s="1"/>
  <c r="AE1333" i="4" s="1"/>
  <c r="Z1332" i="4"/>
  <c r="O1332" i="4"/>
  <c r="D1332" i="4"/>
  <c r="C1332" i="4"/>
  <c r="AD1332" i="4" s="1"/>
  <c r="AE1332" i="4" s="1"/>
  <c r="R1331" i="4"/>
  <c r="P1331" i="4"/>
  <c r="O1331" i="4"/>
  <c r="D1331" i="4"/>
  <c r="C1331" i="4"/>
  <c r="AD1331" i="4" s="1"/>
  <c r="AE1331" i="4" s="1"/>
  <c r="Z1330" i="4"/>
  <c r="O1330" i="4"/>
  <c r="D1330" i="4"/>
  <c r="C1330" i="4"/>
  <c r="AD1330" i="4" s="1"/>
  <c r="AE1330" i="4" s="1"/>
  <c r="O1329" i="4"/>
  <c r="C1329" i="4"/>
  <c r="AD1329" i="4" s="1"/>
  <c r="AE1329" i="4" s="1"/>
  <c r="O1328" i="4"/>
  <c r="D1328" i="4"/>
  <c r="C1328" i="4"/>
  <c r="AD1328" i="4" s="1"/>
  <c r="AE1328" i="4" s="1"/>
  <c r="O1327" i="4"/>
  <c r="D1327" i="4"/>
  <c r="C1327" i="4"/>
  <c r="AD1327" i="4" s="1"/>
  <c r="AE1327" i="4" s="1"/>
  <c r="O1326" i="4"/>
  <c r="D1326" i="4"/>
  <c r="C1326" i="4"/>
  <c r="AD1326" i="4" s="1"/>
  <c r="AE1326" i="4" s="1"/>
  <c r="O1325" i="4"/>
  <c r="D1325" i="4"/>
  <c r="C1325" i="4"/>
  <c r="AD1325" i="4" s="1"/>
  <c r="AE1325" i="4" s="1"/>
  <c r="Z1324" i="4"/>
  <c r="M1324" i="4"/>
  <c r="I1324" i="4"/>
  <c r="O1324" i="4" s="1"/>
  <c r="D1324" i="4"/>
  <c r="C1324" i="4"/>
  <c r="AD1324" i="4" s="1"/>
  <c r="AE1324" i="4" s="1"/>
  <c r="O1323" i="4"/>
  <c r="D1323" i="4"/>
  <c r="C1323" i="4"/>
  <c r="AD1323" i="4" s="1"/>
  <c r="AE1323" i="4" s="1"/>
  <c r="O1322" i="4"/>
  <c r="C1322" i="4"/>
  <c r="AD1322" i="4" s="1"/>
  <c r="AE1322" i="4" s="1"/>
  <c r="O1321" i="4"/>
  <c r="D1321" i="4"/>
  <c r="C1321" i="4"/>
  <c r="AD1321" i="4" s="1"/>
  <c r="AE1321" i="4" s="1"/>
  <c r="O1320" i="4"/>
  <c r="D1320" i="4"/>
  <c r="C1320" i="4"/>
  <c r="AD1320" i="4" s="1"/>
  <c r="AE1320" i="4" s="1"/>
  <c r="O1319" i="4"/>
  <c r="D1319" i="4"/>
  <c r="C1319" i="4"/>
  <c r="AD1319" i="4" s="1"/>
  <c r="AE1319" i="4" s="1"/>
  <c r="O1318" i="4"/>
  <c r="C1318" i="4"/>
  <c r="AD1318" i="4" s="1"/>
  <c r="AE1318" i="4" s="1"/>
  <c r="O1317" i="4"/>
  <c r="D1317" i="4"/>
  <c r="C1317" i="4"/>
  <c r="AD1317" i="4" s="1"/>
  <c r="AE1317" i="4" s="1"/>
  <c r="O1316" i="4"/>
  <c r="D1316" i="4"/>
  <c r="C1316" i="4"/>
  <c r="AD1316" i="4" s="1"/>
  <c r="AE1316" i="4" s="1"/>
  <c r="O1315" i="4"/>
  <c r="D1315" i="4"/>
  <c r="C1315" i="4"/>
  <c r="AD1315" i="4" s="1"/>
  <c r="AE1315" i="4" s="1"/>
  <c r="AD1314" i="4"/>
  <c r="AE1314" i="4" s="1"/>
  <c r="O1314" i="4"/>
  <c r="O1313" i="4"/>
  <c r="C1313" i="4"/>
  <c r="AD1313" i="4" s="1"/>
  <c r="AE1313" i="4" s="1"/>
  <c r="Z1312" i="4"/>
  <c r="O1312" i="4"/>
  <c r="D1312" i="4"/>
  <c r="C1312" i="4"/>
  <c r="AD1312" i="4" s="1"/>
  <c r="AE1312" i="4" s="1"/>
  <c r="AD1311" i="4"/>
  <c r="AE1311" i="4" s="1"/>
  <c r="O1311" i="4"/>
  <c r="AD1310" i="4"/>
  <c r="AE1310" i="4" s="1"/>
  <c r="O1310" i="4"/>
  <c r="AD1309" i="4"/>
  <c r="AE1309" i="4" s="1"/>
  <c r="O1309" i="4"/>
  <c r="AD1308" i="4"/>
  <c r="AE1308" i="4" s="1"/>
  <c r="O1308" i="4"/>
  <c r="AD1307" i="4"/>
  <c r="AE1307" i="4" s="1"/>
  <c r="O1307" i="4"/>
  <c r="AD1306" i="4"/>
  <c r="AE1306" i="4" s="1"/>
  <c r="O1306" i="4"/>
  <c r="AD1305" i="4"/>
  <c r="AE1305" i="4" s="1"/>
  <c r="O1305" i="4"/>
  <c r="AD1304" i="4"/>
  <c r="AE1304" i="4" s="1"/>
  <c r="O1304" i="4"/>
  <c r="AD1303" i="4"/>
  <c r="AE1303" i="4" s="1"/>
  <c r="O1303" i="4"/>
  <c r="AD1302" i="4"/>
  <c r="AE1302" i="4" s="1"/>
  <c r="O1302" i="4"/>
  <c r="AD1301" i="4"/>
  <c r="AE1301" i="4" s="1"/>
  <c r="O1301" i="4"/>
  <c r="AD1300" i="4"/>
  <c r="AE1300" i="4" s="1"/>
  <c r="Z1300" i="4"/>
  <c r="O1300" i="4"/>
  <c r="AD1299" i="4"/>
  <c r="AE1299" i="4" s="1"/>
  <c r="O1299" i="4"/>
  <c r="AD1298" i="4"/>
  <c r="AE1298" i="4" s="1"/>
  <c r="O1298" i="4"/>
  <c r="AD1297" i="4"/>
  <c r="AE1297" i="4" s="1"/>
  <c r="O1297" i="4"/>
  <c r="AD1296" i="4"/>
  <c r="AE1296" i="4" s="1"/>
  <c r="O1296" i="4"/>
  <c r="AD1295" i="4"/>
  <c r="AE1295" i="4" s="1"/>
  <c r="O1295" i="4"/>
  <c r="AD1294" i="4"/>
  <c r="AE1294" i="4" s="1"/>
  <c r="O1294" i="4"/>
  <c r="AD1293" i="4"/>
  <c r="AE1293" i="4" s="1"/>
  <c r="O1293" i="4"/>
  <c r="AD1292" i="4"/>
  <c r="AE1292" i="4" s="1"/>
  <c r="O1292" i="4"/>
  <c r="AD1291" i="4"/>
  <c r="AE1291" i="4" s="1"/>
  <c r="O1291" i="4"/>
  <c r="AD1290" i="4"/>
  <c r="AE1290" i="4" s="1"/>
  <c r="O1290" i="4"/>
  <c r="AD1289" i="4"/>
  <c r="AE1289" i="4" s="1"/>
  <c r="O1289" i="4"/>
  <c r="AD1288" i="4"/>
  <c r="AE1288" i="4" s="1"/>
  <c r="O1288" i="4"/>
  <c r="AD1287" i="4"/>
  <c r="AE1287" i="4" s="1"/>
  <c r="O1287" i="4"/>
  <c r="AD1286" i="4"/>
  <c r="AE1286" i="4" s="1"/>
  <c r="O1286" i="4"/>
  <c r="AD1285" i="4"/>
  <c r="AE1285" i="4" s="1"/>
  <c r="O1285" i="4"/>
  <c r="AD1284" i="4"/>
  <c r="AE1284" i="4" s="1"/>
  <c r="O1284" i="4"/>
  <c r="AD1283" i="4"/>
  <c r="AE1283" i="4" s="1"/>
  <c r="O1283" i="4"/>
  <c r="AD1282" i="4"/>
  <c r="AE1282" i="4" s="1"/>
  <c r="O1282" i="4"/>
  <c r="AD1281" i="4"/>
  <c r="AE1281" i="4" s="1"/>
  <c r="O1281" i="4"/>
  <c r="AD1280" i="4"/>
  <c r="AE1280" i="4" s="1"/>
  <c r="Z1280" i="4"/>
  <c r="O1280" i="4"/>
  <c r="W1280" i="4" s="1"/>
  <c r="AD1279" i="4"/>
  <c r="AE1279" i="4" s="1"/>
  <c r="O1279" i="4"/>
  <c r="AD1278" i="4"/>
  <c r="AE1278" i="4" s="1"/>
  <c r="O1278" i="4"/>
  <c r="AD1277" i="4"/>
  <c r="AE1277" i="4" s="1"/>
  <c r="Z1277" i="4"/>
  <c r="O1277" i="4"/>
  <c r="AD1276" i="4"/>
  <c r="AE1276" i="4" s="1"/>
  <c r="O1276" i="4"/>
  <c r="AD1275" i="4"/>
  <c r="AE1275" i="4" s="1"/>
  <c r="O1275" i="4"/>
  <c r="AD1274" i="4"/>
  <c r="AE1274" i="4" s="1"/>
  <c r="O1274" i="4"/>
  <c r="AD1273" i="4"/>
  <c r="AE1273" i="4" s="1"/>
  <c r="O1273" i="4"/>
  <c r="AD1272" i="4"/>
  <c r="AE1272" i="4" s="1"/>
  <c r="O1272" i="4"/>
  <c r="AD1271" i="4"/>
  <c r="AE1271" i="4" s="1"/>
  <c r="O1271" i="4"/>
  <c r="AD1270" i="4"/>
  <c r="AE1270" i="4" s="1"/>
  <c r="O1270" i="4"/>
  <c r="AD1269" i="4"/>
  <c r="AE1269" i="4" s="1"/>
  <c r="O1269" i="4"/>
  <c r="AD1268" i="4"/>
  <c r="AE1268" i="4" s="1"/>
  <c r="Z1268" i="4"/>
  <c r="O1268" i="4"/>
  <c r="AD1267" i="4"/>
  <c r="AE1267" i="4" s="1"/>
  <c r="O1267" i="4"/>
  <c r="AD1266" i="4"/>
  <c r="AE1266" i="4" s="1"/>
  <c r="O1266" i="4"/>
  <c r="AD1265" i="4"/>
  <c r="AE1265" i="4" s="1"/>
  <c r="O1265" i="4"/>
  <c r="AD1264" i="4"/>
  <c r="AE1264" i="4" s="1"/>
  <c r="O1264" i="4"/>
  <c r="AD1263" i="4"/>
  <c r="AE1263" i="4" s="1"/>
  <c r="O1263" i="4"/>
  <c r="AD1262" i="4"/>
  <c r="AE1262" i="4" s="1"/>
  <c r="O1262" i="4"/>
  <c r="AD1261" i="4"/>
  <c r="AE1261" i="4" s="1"/>
  <c r="O1261" i="4"/>
  <c r="AD1260" i="4"/>
  <c r="AE1260" i="4" s="1"/>
  <c r="O1260" i="4"/>
  <c r="AD1259" i="4"/>
  <c r="AE1259" i="4" s="1"/>
  <c r="O1259" i="4"/>
  <c r="AD1258" i="4"/>
  <c r="AE1258" i="4" s="1"/>
  <c r="O1258" i="4"/>
  <c r="AD1257" i="4"/>
  <c r="AE1257" i="4" s="1"/>
  <c r="O1257" i="4"/>
  <c r="AD1256" i="4"/>
  <c r="AE1256" i="4" s="1"/>
  <c r="O1256" i="4"/>
  <c r="AD1255" i="4"/>
  <c r="AE1255" i="4" s="1"/>
  <c r="O1255" i="4"/>
  <c r="AD1254" i="4"/>
  <c r="AE1254" i="4" s="1"/>
  <c r="O1254" i="4"/>
  <c r="AD1253" i="4"/>
  <c r="AE1253" i="4" s="1"/>
  <c r="O1253" i="4"/>
  <c r="AD1252" i="4"/>
  <c r="AE1252" i="4" s="1"/>
  <c r="O1252" i="4"/>
  <c r="AD1251" i="4"/>
  <c r="AE1251" i="4" s="1"/>
  <c r="O1251" i="4"/>
  <c r="AD1250" i="4"/>
  <c r="AE1250" i="4" s="1"/>
  <c r="P1250" i="4"/>
  <c r="O1250" i="4"/>
  <c r="AD1249" i="4"/>
  <c r="AE1249" i="4" s="1"/>
  <c r="O1249" i="4"/>
  <c r="AD1248" i="4"/>
  <c r="AE1248" i="4" s="1"/>
  <c r="O1248" i="4"/>
  <c r="AD1247" i="4"/>
  <c r="AE1247" i="4" s="1"/>
  <c r="O1247" i="4"/>
  <c r="AD1246" i="4"/>
  <c r="AE1246" i="4" s="1"/>
  <c r="O1246" i="4"/>
  <c r="AD1245" i="4"/>
  <c r="AE1245" i="4" s="1"/>
  <c r="O1245" i="4"/>
  <c r="AD1244" i="4"/>
  <c r="AE1244" i="4" s="1"/>
  <c r="O1244" i="4"/>
  <c r="AD1243" i="4"/>
  <c r="AE1243" i="4" s="1"/>
  <c r="O1243" i="4"/>
  <c r="AD1242" i="4"/>
  <c r="AE1242" i="4" s="1"/>
  <c r="O1242" i="4"/>
  <c r="AD1241" i="4"/>
  <c r="AE1241" i="4" s="1"/>
  <c r="O1241" i="4"/>
  <c r="AD1240" i="4"/>
  <c r="AE1240" i="4" s="1"/>
  <c r="O1240" i="4"/>
  <c r="AD1239" i="4"/>
  <c r="AE1239" i="4" s="1"/>
  <c r="O1239" i="4"/>
  <c r="AD1238" i="4"/>
  <c r="AE1238" i="4" s="1"/>
  <c r="O1238" i="4"/>
  <c r="AD1237" i="4"/>
  <c r="AE1237" i="4" s="1"/>
  <c r="O1237" i="4"/>
  <c r="AD1236" i="4"/>
  <c r="AE1236" i="4" s="1"/>
  <c r="O1236" i="4"/>
  <c r="AD1235" i="4"/>
  <c r="AE1235" i="4" s="1"/>
  <c r="O1235" i="4"/>
  <c r="AD1234" i="4"/>
  <c r="AE1234" i="4" s="1"/>
  <c r="O1234" i="4"/>
  <c r="AD1233" i="4"/>
  <c r="AE1233" i="4" s="1"/>
  <c r="O1233" i="4"/>
  <c r="AD1232" i="4"/>
  <c r="AE1232" i="4" s="1"/>
  <c r="O1232" i="4"/>
  <c r="AD1231" i="4"/>
  <c r="AE1231" i="4" s="1"/>
  <c r="Z1231" i="4"/>
  <c r="O1231" i="4"/>
  <c r="AD1230" i="4"/>
  <c r="AE1230" i="4" s="1"/>
  <c r="O1230" i="4"/>
  <c r="AD1229" i="4"/>
  <c r="AE1229" i="4" s="1"/>
  <c r="O1229" i="4"/>
  <c r="AD1228" i="4"/>
  <c r="AE1228" i="4" s="1"/>
  <c r="Z1228" i="4"/>
  <c r="O1228" i="4"/>
  <c r="AD1227" i="4"/>
  <c r="AE1227" i="4" s="1"/>
  <c r="O1227" i="4"/>
  <c r="AD1226" i="4"/>
  <c r="AE1226" i="4" s="1"/>
  <c r="O1226" i="4"/>
  <c r="AD1225" i="4"/>
  <c r="AE1225" i="4" s="1"/>
  <c r="Z1225" i="4"/>
  <c r="O1225" i="4"/>
  <c r="AD1224" i="4"/>
  <c r="AE1224" i="4" s="1"/>
  <c r="O1224" i="4"/>
  <c r="AD1223" i="4"/>
  <c r="AE1223" i="4" s="1"/>
  <c r="O1223" i="4"/>
  <c r="AD1222" i="4"/>
  <c r="AE1222" i="4" s="1"/>
  <c r="O1222" i="4"/>
  <c r="AD1221" i="4"/>
  <c r="AE1221" i="4" s="1"/>
  <c r="O1221" i="4"/>
  <c r="AD1220" i="4"/>
  <c r="AE1220" i="4" s="1"/>
  <c r="O1220" i="4"/>
  <c r="AD1219" i="4"/>
  <c r="AE1219" i="4" s="1"/>
  <c r="O1219" i="4"/>
  <c r="AD1218" i="4"/>
  <c r="AE1218" i="4" s="1"/>
  <c r="O1218" i="4"/>
  <c r="AD1217" i="4"/>
  <c r="AE1217" i="4" s="1"/>
  <c r="Z1217" i="4"/>
  <c r="O1217" i="4"/>
  <c r="AD1216" i="4"/>
  <c r="AE1216" i="4" s="1"/>
  <c r="O1216" i="4"/>
  <c r="AD1215" i="4"/>
  <c r="AE1215" i="4" s="1"/>
  <c r="O1215" i="4"/>
  <c r="AD1214" i="4"/>
  <c r="AE1214" i="4" s="1"/>
  <c r="O1214" i="4"/>
  <c r="AD1213" i="4"/>
  <c r="AE1213" i="4" s="1"/>
  <c r="O1213" i="4"/>
  <c r="AD1212" i="4"/>
  <c r="AE1212" i="4" s="1"/>
  <c r="O1212" i="4"/>
  <c r="AD1211" i="4"/>
  <c r="AE1211" i="4" s="1"/>
  <c r="O1211" i="4"/>
  <c r="AD1210" i="4"/>
  <c r="AE1210" i="4" s="1"/>
  <c r="O1210" i="4"/>
  <c r="AD1209" i="4"/>
  <c r="AE1209" i="4" s="1"/>
  <c r="O1209" i="4"/>
  <c r="AD1208" i="4"/>
  <c r="AE1208" i="4" s="1"/>
  <c r="O1208" i="4"/>
  <c r="AD1207" i="4"/>
  <c r="AE1207" i="4" s="1"/>
  <c r="O1207" i="4"/>
  <c r="AD1206" i="4"/>
  <c r="AE1206" i="4" s="1"/>
  <c r="O1206" i="4"/>
  <c r="AD1205" i="4"/>
  <c r="AE1205" i="4" s="1"/>
  <c r="O1205" i="4"/>
  <c r="AD1204" i="4"/>
  <c r="AE1204" i="4" s="1"/>
  <c r="O1204" i="4"/>
  <c r="AD1203" i="4"/>
  <c r="AE1203" i="4" s="1"/>
  <c r="O1203" i="4"/>
  <c r="AD1202" i="4"/>
  <c r="AE1202" i="4" s="1"/>
  <c r="O1202" i="4"/>
  <c r="AD1201" i="4"/>
  <c r="AE1201" i="4" s="1"/>
  <c r="O1201" i="4"/>
  <c r="AD1200" i="4"/>
  <c r="AE1200" i="4" s="1"/>
  <c r="O1200" i="4"/>
  <c r="AD1199" i="4"/>
  <c r="AE1199" i="4" s="1"/>
  <c r="O1199" i="4"/>
  <c r="AD1198" i="4"/>
  <c r="AE1198" i="4" s="1"/>
  <c r="O1198" i="4"/>
  <c r="AD1197" i="4"/>
  <c r="AE1197" i="4" s="1"/>
  <c r="O1197" i="4"/>
  <c r="AD1196" i="4"/>
  <c r="AE1196" i="4" s="1"/>
  <c r="O1196" i="4"/>
  <c r="AD1195" i="4"/>
  <c r="AE1195" i="4" s="1"/>
  <c r="O1195" i="4"/>
  <c r="W1195" i="4" s="1"/>
  <c r="AD1194" i="4"/>
  <c r="AE1194" i="4" s="1"/>
  <c r="O1194" i="4"/>
  <c r="AD1193" i="4"/>
  <c r="AE1193" i="4" s="1"/>
  <c r="O1193" i="4"/>
  <c r="AD1192" i="4"/>
  <c r="AE1192" i="4" s="1"/>
  <c r="O1192" i="4"/>
  <c r="AD1191" i="4"/>
  <c r="AE1191" i="4" s="1"/>
  <c r="O1191" i="4"/>
  <c r="AD1190" i="4"/>
  <c r="AE1190" i="4" s="1"/>
  <c r="Z1190" i="4"/>
  <c r="O1190" i="4"/>
  <c r="AD1189" i="4"/>
  <c r="AE1189" i="4" s="1"/>
  <c r="O1189" i="4"/>
  <c r="AD1188" i="4"/>
  <c r="AE1188" i="4" s="1"/>
  <c r="O1188" i="4"/>
  <c r="AD1187" i="4"/>
  <c r="AE1187" i="4" s="1"/>
  <c r="O1187" i="4"/>
  <c r="AD1186" i="4"/>
  <c r="AE1186" i="4" s="1"/>
  <c r="Z1186" i="4"/>
  <c r="N1186" i="4"/>
  <c r="O1186" i="4" s="1"/>
  <c r="AD1185" i="4"/>
  <c r="AE1185" i="4" s="1"/>
  <c r="O1185" i="4"/>
  <c r="AD1184" i="4"/>
  <c r="AE1184" i="4" s="1"/>
  <c r="O1184" i="4"/>
  <c r="AD1183" i="4"/>
  <c r="AE1183" i="4" s="1"/>
  <c r="Z1183" i="4"/>
  <c r="O1183" i="4"/>
  <c r="AD1182" i="4"/>
  <c r="AE1182" i="4" s="1"/>
  <c r="Z1182" i="4"/>
  <c r="O1182" i="4"/>
  <c r="AD1181" i="4"/>
  <c r="AE1181" i="4" s="1"/>
  <c r="Z1181" i="4"/>
  <c r="O1181" i="4"/>
  <c r="AD1180" i="4"/>
  <c r="AE1180" i="4" s="1"/>
  <c r="Z1180" i="4"/>
  <c r="O1180" i="4"/>
  <c r="AD1179" i="4"/>
  <c r="AE1179" i="4" s="1"/>
  <c r="O1179" i="4"/>
  <c r="AD1178" i="4"/>
  <c r="AE1178" i="4" s="1"/>
  <c r="O1178" i="4"/>
  <c r="AD1177" i="4"/>
  <c r="AE1177" i="4" s="1"/>
  <c r="O1177" i="4"/>
  <c r="AD1176" i="4"/>
  <c r="AE1176" i="4" s="1"/>
  <c r="O1176" i="4"/>
  <c r="AD1175" i="4"/>
  <c r="AE1175" i="4" s="1"/>
  <c r="O1175" i="4"/>
  <c r="AD1174" i="4"/>
  <c r="AE1174" i="4" s="1"/>
  <c r="O1174" i="4"/>
  <c r="AD1173" i="4"/>
  <c r="AE1173" i="4" s="1"/>
  <c r="O1173" i="4"/>
  <c r="AD1172" i="4"/>
  <c r="AE1172" i="4" s="1"/>
  <c r="O1172" i="4"/>
  <c r="AD1171" i="4"/>
  <c r="AE1171" i="4" s="1"/>
  <c r="Z1171" i="4"/>
  <c r="O1171" i="4"/>
  <c r="AD1170" i="4"/>
  <c r="AE1170" i="4" s="1"/>
  <c r="O1170" i="4"/>
  <c r="AD1169" i="4"/>
  <c r="AE1169" i="4" s="1"/>
  <c r="O1169" i="4"/>
  <c r="AD1168" i="4"/>
  <c r="AE1168" i="4" s="1"/>
  <c r="O1168" i="4"/>
  <c r="AD1167" i="4"/>
  <c r="AE1167" i="4" s="1"/>
  <c r="O1167" i="4"/>
  <c r="AD1166" i="4"/>
  <c r="AE1166" i="4" s="1"/>
  <c r="O1166" i="4"/>
  <c r="AD1165" i="4"/>
  <c r="AE1165" i="4" s="1"/>
  <c r="O1165" i="4"/>
  <c r="AD1164" i="4"/>
  <c r="AE1164" i="4" s="1"/>
  <c r="O1164" i="4"/>
  <c r="AD1163" i="4"/>
  <c r="AE1163" i="4" s="1"/>
  <c r="P1163" i="4"/>
  <c r="O1163" i="4"/>
  <c r="AD1162" i="4"/>
  <c r="AE1162" i="4" s="1"/>
  <c r="O1162" i="4"/>
  <c r="AD1161" i="4"/>
  <c r="AE1161" i="4" s="1"/>
  <c r="O1161" i="4"/>
  <c r="AD1160" i="4"/>
  <c r="AE1160" i="4" s="1"/>
  <c r="O1160" i="4"/>
  <c r="AD1159" i="4"/>
  <c r="AE1159" i="4" s="1"/>
  <c r="O1159" i="4"/>
  <c r="AD1158" i="4"/>
  <c r="AE1158" i="4" s="1"/>
  <c r="O1158" i="4"/>
  <c r="AD1157" i="4"/>
  <c r="AE1157" i="4" s="1"/>
  <c r="O1157" i="4"/>
  <c r="AD1156" i="4"/>
  <c r="AE1156" i="4" s="1"/>
  <c r="O1156" i="4"/>
  <c r="AD1155" i="4"/>
  <c r="AE1155" i="4" s="1"/>
  <c r="O1155" i="4"/>
  <c r="AD1154" i="4"/>
  <c r="AE1154" i="4" s="1"/>
  <c r="O1154" i="4"/>
  <c r="AD1153" i="4"/>
  <c r="AE1153" i="4" s="1"/>
  <c r="O1153" i="4"/>
  <c r="AD1152" i="4"/>
  <c r="AE1152" i="4" s="1"/>
  <c r="O1152" i="4"/>
  <c r="AD1151" i="4"/>
  <c r="AE1151" i="4" s="1"/>
  <c r="O1151" i="4"/>
  <c r="AD1150" i="4"/>
  <c r="AE1150" i="4" s="1"/>
  <c r="O1150" i="4"/>
  <c r="AD1149" i="4"/>
  <c r="AE1149" i="4" s="1"/>
  <c r="O1149" i="4"/>
  <c r="AD1148" i="4"/>
  <c r="AE1148" i="4" s="1"/>
  <c r="O1148" i="4"/>
  <c r="AD1147" i="4"/>
  <c r="AE1147" i="4" s="1"/>
  <c r="O1147" i="4"/>
  <c r="AD1146" i="4"/>
  <c r="AE1146" i="4" s="1"/>
  <c r="O1146" i="4"/>
  <c r="AD1145" i="4"/>
  <c r="AE1145" i="4" s="1"/>
  <c r="Z1145" i="4"/>
  <c r="O1145" i="4"/>
  <c r="AD1144" i="4"/>
  <c r="AE1144" i="4" s="1"/>
  <c r="O1144" i="4"/>
  <c r="AD1143" i="4"/>
  <c r="AE1143" i="4" s="1"/>
  <c r="O1143" i="4"/>
  <c r="AD1142" i="4"/>
  <c r="AE1142" i="4" s="1"/>
  <c r="O1142" i="4"/>
  <c r="AD1141" i="4"/>
  <c r="AE1141" i="4" s="1"/>
  <c r="O1141" i="4"/>
  <c r="AD1140" i="4"/>
  <c r="AE1140" i="4" s="1"/>
  <c r="O1140" i="4"/>
  <c r="AD1139" i="4"/>
  <c r="AE1139" i="4" s="1"/>
  <c r="Z1139" i="4"/>
  <c r="O1139" i="4"/>
  <c r="AD1138" i="4"/>
  <c r="AE1138" i="4" s="1"/>
  <c r="O1138" i="4"/>
  <c r="AD1137" i="4"/>
  <c r="AE1137" i="4" s="1"/>
  <c r="O1137" i="4"/>
  <c r="AD1136" i="4"/>
  <c r="AE1136" i="4" s="1"/>
  <c r="Z1136" i="4"/>
  <c r="O1136" i="4"/>
  <c r="AD1135" i="4"/>
  <c r="AE1135" i="4" s="1"/>
  <c r="O1135" i="4"/>
  <c r="AD1134" i="4"/>
  <c r="AE1134" i="4" s="1"/>
  <c r="O1134" i="4"/>
  <c r="AD1133" i="4"/>
  <c r="AE1133" i="4" s="1"/>
  <c r="O1133" i="4"/>
  <c r="AD1132" i="4"/>
  <c r="AE1132" i="4" s="1"/>
  <c r="O1132" i="4"/>
  <c r="AD1131" i="4"/>
  <c r="AE1131" i="4" s="1"/>
  <c r="O1131" i="4"/>
  <c r="AD1130" i="4"/>
  <c r="AE1130" i="4" s="1"/>
  <c r="O1130" i="4"/>
  <c r="AD1129" i="4"/>
  <c r="AE1129" i="4" s="1"/>
  <c r="O1129" i="4"/>
  <c r="AD1128" i="4"/>
  <c r="AE1128" i="4" s="1"/>
  <c r="O1128" i="4"/>
  <c r="AD1127" i="4"/>
  <c r="AE1127" i="4" s="1"/>
  <c r="O1127" i="4"/>
  <c r="AD1126" i="4"/>
  <c r="AE1126" i="4" s="1"/>
  <c r="O1126" i="4"/>
  <c r="AD1125" i="4"/>
  <c r="AE1125" i="4" s="1"/>
  <c r="O1125" i="4"/>
  <c r="AD1124" i="4"/>
  <c r="AE1124" i="4" s="1"/>
  <c r="O1124" i="4"/>
  <c r="AD1123" i="4"/>
  <c r="AE1123" i="4" s="1"/>
  <c r="O1123" i="4"/>
  <c r="AD1122" i="4"/>
  <c r="AE1122" i="4" s="1"/>
  <c r="O1122" i="4"/>
  <c r="AD1121" i="4"/>
  <c r="AE1121" i="4" s="1"/>
  <c r="O1121" i="4"/>
  <c r="AD1120" i="4"/>
  <c r="AE1120" i="4" s="1"/>
  <c r="O1120" i="4"/>
  <c r="AD1119" i="4"/>
  <c r="AE1119" i="4" s="1"/>
  <c r="O1119" i="4"/>
  <c r="AD1118" i="4"/>
  <c r="AE1118" i="4" s="1"/>
  <c r="O1118" i="4"/>
  <c r="AD1117" i="4"/>
  <c r="AE1117" i="4" s="1"/>
  <c r="O1117" i="4"/>
  <c r="AD1116" i="4"/>
  <c r="AE1116" i="4" s="1"/>
  <c r="O1116" i="4"/>
  <c r="AD1115" i="4"/>
  <c r="AE1115" i="4" s="1"/>
  <c r="O1115" i="4"/>
  <c r="AD1114" i="4"/>
  <c r="AE1114" i="4" s="1"/>
  <c r="O1114" i="4"/>
  <c r="AD1113" i="4"/>
  <c r="AE1113" i="4" s="1"/>
  <c r="O1113" i="4"/>
  <c r="AD1112" i="4"/>
  <c r="AE1112" i="4" s="1"/>
  <c r="O1112" i="4"/>
  <c r="AD1111" i="4"/>
  <c r="AE1111" i="4" s="1"/>
  <c r="O1111" i="4"/>
  <c r="AD1110" i="4"/>
  <c r="AE1110" i="4" s="1"/>
  <c r="O1110" i="4"/>
  <c r="W1110" i="4" s="1"/>
  <c r="AD1109" i="4"/>
  <c r="AE1109" i="4" s="1"/>
  <c r="O1109" i="4"/>
  <c r="AD1108" i="4"/>
  <c r="AE1108" i="4" s="1"/>
  <c r="Z1108" i="4"/>
  <c r="O1108" i="4"/>
  <c r="AD1107" i="4"/>
  <c r="AE1107" i="4" s="1"/>
  <c r="Z1107" i="4"/>
  <c r="O1107" i="4"/>
  <c r="AD1106" i="4"/>
  <c r="AE1106" i="4" s="1"/>
  <c r="Z1106" i="4"/>
  <c r="Q1106" i="4"/>
  <c r="O1106" i="4"/>
  <c r="AD1105" i="4"/>
  <c r="AE1105" i="4" s="1"/>
  <c r="O1105" i="4"/>
  <c r="AD1104" i="4"/>
  <c r="AE1104" i="4" s="1"/>
  <c r="O1104" i="4"/>
  <c r="AD1103" i="4"/>
  <c r="AE1103" i="4" s="1"/>
  <c r="O1103" i="4"/>
  <c r="AD1102" i="4"/>
  <c r="AE1102" i="4" s="1"/>
  <c r="O1102" i="4"/>
  <c r="AD1101" i="4"/>
  <c r="AE1101" i="4" s="1"/>
  <c r="P1101" i="4"/>
  <c r="O1101" i="4"/>
  <c r="AD1100" i="4"/>
  <c r="AE1100" i="4" s="1"/>
  <c r="O1100" i="4"/>
  <c r="AD1099" i="4"/>
  <c r="AE1099" i="4" s="1"/>
  <c r="O1099" i="4"/>
  <c r="AD1098" i="4"/>
  <c r="AE1098" i="4" s="1"/>
  <c r="O1098" i="4"/>
  <c r="AD1097" i="4"/>
  <c r="AE1097" i="4" s="1"/>
  <c r="O1097" i="4"/>
  <c r="AD1096" i="4"/>
  <c r="AE1096" i="4" s="1"/>
  <c r="O1096" i="4"/>
  <c r="AD1095" i="4"/>
  <c r="AE1095" i="4" s="1"/>
  <c r="O1095" i="4"/>
  <c r="AD1094" i="4"/>
  <c r="AE1094" i="4" s="1"/>
  <c r="O1094" i="4"/>
  <c r="AD1093" i="4"/>
  <c r="AE1093" i="4" s="1"/>
  <c r="O1093" i="4"/>
  <c r="AD1092" i="4"/>
  <c r="AE1092" i="4" s="1"/>
  <c r="O1092" i="4"/>
  <c r="AD1091" i="4"/>
  <c r="AE1091" i="4" s="1"/>
  <c r="O1091" i="4"/>
  <c r="AD1090" i="4"/>
  <c r="AE1090" i="4" s="1"/>
  <c r="O1090" i="4"/>
  <c r="AD1089" i="4"/>
  <c r="AE1089" i="4" s="1"/>
  <c r="O1089" i="4"/>
  <c r="AD1088" i="4"/>
  <c r="AE1088" i="4" s="1"/>
  <c r="P1088" i="4"/>
  <c r="O1088" i="4"/>
  <c r="AD1087" i="4"/>
  <c r="AE1087" i="4" s="1"/>
  <c r="O1087" i="4"/>
  <c r="AD1086" i="4"/>
  <c r="AE1086" i="4" s="1"/>
  <c r="Z1086" i="4"/>
  <c r="O1086" i="4"/>
  <c r="AD1085" i="4"/>
  <c r="AE1085" i="4" s="1"/>
  <c r="O1085" i="4"/>
  <c r="AD1084" i="4"/>
  <c r="AE1084" i="4" s="1"/>
  <c r="O1084" i="4"/>
  <c r="AD1083" i="4"/>
  <c r="AE1083" i="4" s="1"/>
  <c r="O1083" i="4"/>
  <c r="AD1082" i="4"/>
  <c r="AE1082" i="4" s="1"/>
  <c r="O1082" i="4"/>
  <c r="AD1081" i="4"/>
  <c r="AE1081" i="4" s="1"/>
  <c r="Z1081" i="4"/>
  <c r="O1081" i="4"/>
  <c r="AD1080" i="4"/>
  <c r="AE1080" i="4" s="1"/>
  <c r="O1080" i="4"/>
  <c r="AD1079" i="4"/>
  <c r="AE1079" i="4" s="1"/>
  <c r="O1079" i="4"/>
  <c r="AD1078" i="4"/>
  <c r="AE1078" i="4" s="1"/>
  <c r="O1078" i="4"/>
  <c r="AD1077" i="4"/>
  <c r="AE1077" i="4" s="1"/>
  <c r="O1077" i="4"/>
  <c r="AD1076" i="4"/>
  <c r="AE1076" i="4" s="1"/>
  <c r="Z1076" i="4"/>
  <c r="O1076" i="4"/>
  <c r="N1076" i="4"/>
  <c r="AD1075" i="4"/>
  <c r="AE1075" i="4" s="1"/>
  <c r="O1075" i="4"/>
  <c r="AD1074" i="4"/>
  <c r="AE1074" i="4" s="1"/>
  <c r="O1074" i="4"/>
  <c r="AD1073" i="4"/>
  <c r="AE1073" i="4" s="1"/>
  <c r="Z1073" i="4"/>
  <c r="Q1073" i="4"/>
  <c r="O1073" i="4"/>
  <c r="AD1072" i="4"/>
  <c r="AE1072" i="4" s="1"/>
  <c r="Z1072" i="4"/>
  <c r="O1072" i="4"/>
  <c r="AD1071" i="4"/>
  <c r="AE1071" i="4" s="1"/>
  <c r="Z1071" i="4"/>
  <c r="O1071" i="4"/>
  <c r="AD1070" i="4"/>
  <c r="AE1070" i="4" s="1"/>
  <c r="N1070" i="4"/>
  <c r="O1070" i="4" s="1"/>
  <c r="AD1069" i="4"/>
  <c r="AE1069" i="4" s="1"/>
  <c r="P1069" i="4"/>
  <c r="O1069" i="4"/>
  <c r="AD1068" i="4"/>
  <c r="AE1068" i="4" s="1"/>
  <c r="O1068" i="4"/>
  <c r="AD1067" i="4"/>
  <c r="AE1067" i="4" s="1"/>
  <c r="O1067" i="4"/>
  <c r="AD1066" i="4"/>
  <c r="AE1066" i="4" s="1"/>
  <c r="O1066" i="4"/>
  <c r="AD1065" i="4"/>
  <c r="AE1065" i="4" s="1"/>
  <c r="O1065" i="4"/>
  <c r="AD1064" i="4"/>
  <c r="AE1064" i="4" s="1"/>
  <c r="O1064" i="4"/>
  <c r="AD1063" i="4"/>
  <c r="AE1063" i="4" s="1"/>
  <c r="O1063" i="4"/>
  <c r="AD1062" i="4"/>
  <c r="AE1062" i="4" s="1"/>
  <c r="N1062" i="4"/>
  <c r="O1062" i="4" s="1"/>
  <c r="AD1061" i="4"/>
  <c r="AE1061" i="4" s="1"/>
  <c r="O1061" i="4"/>
  <c r="AD1060" i="4"/>
  <c r="AE1060" i="4" s="1"/>
  <c r="O1060" i="4"/>
  <c r="AD1059" i="4"/>
  <c r="AE1059" i="4" s="1"/>
  <c r="O1059" i="4"/>
  <c r="AD1058" i="4"/>
  <c r="AE1058" i="4" s="1"/>
  <c r="O1058" i="4"/>
  <c r="AD1057" i="4"/>
  <c r="AE1057" i="4" s="1"/>
  <c r="S1057" i="4"/>
  <c r="O1057" i="4"/>
  <c r="AD1056" i="4"/>
  <c r="AE1056" i="4" s="1"/>
  <c r="O1056" i="4"/>
  <c r="AD1055" i="4"/>
  <c r="AE1055" i="4" s="1"/>
  <c r="N1055" i="4"/>
  <c r="M1055" i="4"/>
  <c r="O1055" i="4" s="1"/>
  <c r="AD1054" i="4"/>
  <c r="AE1054" i="4" s="1"/>
  <c r="O1054" i="4"/>
  <c r="AD1053" i="4"/>
  <c r="AE1053" i="4" s="1"/>
  <c r="O1053" i="4"/>
  <c r="AD1052" i="4"/>
  <c r="AE1052" i="4" s="1"/>
  <c r="O1052" i="4"/>
  <c r="AD1051" i="4"/>
  <c r="AE1051" i="4" s="1"/>
  <c r="O1051" i="4"/>
  <c r="AD1050" i="4"/>
  <c r="AE1050" i="4" s="1"/>
  <c r="O1050" i="4"/>
  <c r="N1050" i="4"/>
  <c r="AD1049" i="4"/>
  <c r="AE1049" i="4" s="1"/>
  <c r="O1049" i="4"/>
  <c r="AD1048" i="4"/>
  <c r="AE1048" i="4" s="1"/>
  <c r="O1048" i="4"/>
  <c r="AD1047" i="4"/>
  <c r="AE1047" i="4" s="1"/>
  <c r="O1047" i="4"/>
  <c r="AD1046" i="4"/>
  <c r="AE1046" i="4" s="1"/>
  <c r="AA1046" i="4"/>
  <c r="AB1046" i="4" s="1"/>
  <c r="AD1045" i="4"/>
  <c r="AE1045" i="4" s="1"/>
  <c r="AA1045" i="4"/>
  <c r="AB1045" i="4" s="1"/>
  <c r="AD1044" i="4"/>
  <c r="AE1044" i="4" s="1"/>
  <c r="AA1044" i="4"/>
  <c r="AB1044" i="4" s="1"/>
  <c r="AD1043" i="4"/>
  <c r="AE1043" i="4" s="1"/>
  <c r="AA1043" i="4"/>
  <c r="AB1043" i="4" s="1"/>
  <c r="AD1042" i="4"/>
  <c r="AE1042" i="4" s="1"/>
  <c r="O1042" i="4"/>
  <c r="AD1041" i="4"/>
  <c r="AE1041" i="4" s="1"/>
  <c r="O1041" i="4"/>
  <c r="AD1040" i="4"/>
  <c r="AE1040" i="4" s="1"/>
  <c r="M1040" i="4"/>
  <c r="O1040" i="4" s="1"/>
  <c r="AD1039" i="4"/>
  <c r="AE1039" i="4" s="1"/>
  <c r="O1039" i="4"/>
  <c r="M1039" i="4"/>
  <c r="AD1038" i="4"/>
  <c r="AE1038" i="4" s="1"/>
  <c r="M1038" i="4"/>
  <c r="O1038" i="4" s="1"/>
  <c r="AD1037" i="4"/>
  <c r="AE1037" i="4" s="1"/>
  <c r="O1037" i="4"/>
  <c r="AD1036" i="4"/>
  <c r="AE1036" i="4" s="1"/>
  <c r="M1036" i="4"/>
  <c r="O1036" i="4" s="1"/>
  <c r="AD1035" i="4"/>
  <c r="AE1035" i="4" s="1"/>
  <c r="O1035" i="4"/>
  <c r="AD1034" i="4"/>
  <c r="AE1034" i="4" s="1"/>
  <c r="M1034" i="4"/>
  <c r="O1034" i="4" s="1"/>
  <c r="AD1033" i="4"/>
  <c r="AE1033" i="4" s="1"/>
  <c r="P1033" i="4"/>
  <c r="M1033" i="4"/>
  <c r="O1033" i="4" s="1"/>
  <c r="AD1032" i="4"/>
  <c r="AE1032" i="4" s="1"/>
  <c r="M1032" i="4"/>
  <c r="O1032" i="4" s="1"/>
  <c r="AD1031" i="4"/>
  <c r="AE1031" i="4" s="1"/>
  <c r="O1031" i="4"/>
  <c r="M1031" i="4"/>
  <c r="AD1030" i="4"/>
  <c r="AE1030" i="4" s="1"/>
  <c r="O1030" i="4"/>
  <c r="M1030" i="4"/>
  <c r="AD1029" i="4"/>
  <c r="AE1029" i="4" s="1"/>
  <c r="O1029" i="4"/>
  <c r="AD1028" i="4"/>
  <c r="AE1028" i="4" s="1"/>
  <c r="O1028" i="4"/>
  <c r="AD1027" i="4"/>
  <c r="AE1027" i="4" s="1"/>
  <c r="Z1027" i="4"/>
  <c r="O1027" i="4"/>
  <c r="AD1026" i="4"/>
  <c r="AE1026" i="4" s="1"/>
  <c r="O1026" i="4"/>
  <c r="AD1025" i="4"/>
  <c r="AE1025" i="4" s="1"/>
  <c r="O1025" i="4"/>
  <c r="AD1024" i="4"/>
  <c r="AE1024" i="4" s="1"/>
  <c r="O1024" i="4"/>
  <c r="AD1023" i="4"/>
  <c r="AE1023" i="4" s="1"/>
  <c r="P1023" i="4"/>
  <c r="O1023" i="4"/>
  <c r="AD1022" i="4"/>
  <c r="AE1022" i="4" s="1"/>
  <c r="Z1022" i="4"/>
  <c r="O1022" i="4"/>
  <c r="AD1021" i="4"/>
  <c r="AE1021" i="4" s="1"/>
  <c r="P1021" i="4"/>
  <c r="M1021" i="4"/>
  <c r="O1021" i="4" s="1"/>
  <c r="AD1020" i="4"/>
  <c r="AE1020" i="4" s="1"/>
  <c r="Z1020" i="4"/>
  <c r="O1020" i="4"/>
  <c r="AD1019" i="4"/>
  <c r="AE1019" i="4" s="1"/>
  <c r="O1019" i="4"/>
  <c r="AD1018" i="4"/>
  <c r="AE1018" i="4" s="1"/>
  <c r="O1018" i="4"/>
  <c r="AD1017" i="4"/>
  <c r="AE1017" i="4" s="1"/>
  <c r="O1017" i="4"/>
  <c r="AD1016" i="4"/>
  <c r="AE1016" i="4" s="1"/>
  <c r="O1016" i="4"/>
  <c r="AD1015" i="4"/>
  <c r="AE1015" i="4" s="1"/>
  <c r="O1015" i="4"/>
  <c r="AD1014" i="4"/>
  <c r="AE1014" i="4" s="1"/>
  <c r="O1014" i="4"/>
  <c r="AD1013" i="4"/>
  <c r="AE1013" i="4" s="1"/>
  <c r="O1013" i="4"/>
  <c r="AD1012" i="4"/>
  <c r="AE1012" i="4" s="1"/>
  <c r="O1012" i="4"/>
  <c r="AD1011" i="4"/>
  <c r="AE1011" i="4" s="1"/>
  <c r="O1011" i="4"/>
  <c r="AD1010" i="4"/>
  <c r="AE1010" i="4" s="1"/>
  <c r="O1010" i="4"/>
  <c r="AD1009" i="4"/>
  <c r="AE1009" i="4" s="1"/>
  <c r="P1009" i="4"/>
  <c r="O1009" i="4"/>
  <c r="AD1008" i="4"/>
  <c r="AE1008" i="4" s="1"/>
  <c r="O1008" i="4"/>
  <c r="AD1007" i="4"/>
  <c r="AE1007" i="4" s="1"/>
  <c r="O1007" i="4"/>
  <c r="AD1006" i="4"/>
  <c r="AE1006" i="4" s="1"/>
  <c r="O1006" i="4"/>
  <c r="AD1005" i="4"/>
  <c r="AE1005" i="4" s="1"/>
  <c r="O1005" i="4"/>
  <c r="AD1004" i="4"/>
  <c r="AE1004" i="4" s="1"/>
  <c r="O1004" i="4"/>
  <c r="AD1003" i="4"/>
  <c r="AE1003" i="4" s="1"/>
  <c r="O1003" i="4"/>
  <c r="AD1002" i="4"/>
  <c r="AE1002" i="4" s="1"/>
  <c r="O1002" i="4"/>
  <c r="AD1001" i="4"/>
  <c r="AE1001" i="4" s="1"/>
  <c r="O1001" i="4"/>
  <c r="AD1000" i="4"/>
  <c r="AE1000" i="4" s="1"/>
  <c r="O1000" i="4"/>
  <c r="AD999" i="4"/>
  <c r="AE999" i="4" s="1"/>
  <c r="O999" i="4"/>
  <c r="AD998" i="4"/>
  <c r="AE998" i="4" s="1"/>
  <c r="P998" i="4"/>
  <c r="O998" i="4"/>
  <c r="AD997" i="4"/>
  <c r="AE997" i="4" s="1"/>
  <c r="P997" i="4"/>
  <c r="O997" i="4"/>
  <c r="AD996" i="4"/>
  <c r="AE996" i="4" s="1"/>
  <c r="O996" i="4"/>
  <c r="AD995" i="4"/>
  <c r="AE995" i="4" s="1"/>
  <c r="O995" i="4"/>
  <c r="AD994" i="4"/>
  <c r="AE994" i="4" s="1"/>
  <c r="O994" i="4"/>
  <c r="AD993" i="4"/>
  <c r="AE993" i="4" s="1"/>
  <c r="O993" i="4"/>
  <c r="AD992" i="4"/>
  <c r="AE992" i="4" s="1"/>
  <c r="O992" i="4"/>
  <c r="AD991" i="4"/>
  <c r="AE991" i="4" s="1"/>
  <c r="O991" i="4"/>
  <c r="AD990" i="4"/>
  <c r="AE990" i="4" s="1"/>
  <c r="O990" i="4"/>
  <c r="AD989" i="4"/>
  <c r="AE989" i="4" s="1"/>
  <c r="O989" i="4"/>
  <c r="AD988" i="4"/>
  <c r="AE988" i="4" s="1"/>
  <c r="O988" i="4"/>
  <c r="AD987" i="4"/>
  <c r="AE987" i="4" s="1"/>
  <c r="O987" i="4"/>
  <c r="AD986" i="4"/>
  <c r="AE986" i="4" s="1"/>
  <c r="O986" i="4"/>
  <c r="AD985" i="4"/>
  <c r="AE985" i="4" s="1"/>
  <c r="O985" i="4"/>
  <c r="AD984" i="4"/>
  <c r="AE984" i="4" s="1"/>
  <c r="P984" i="4"/>
  <c r="O984" i="4"/>
  <c r="AD983" i="4"/>
  <c r="AE983" i="4" s="1"/>
  <c r="O983" i="4"/>
  <c r="AD982" i="4"/>
  <c r="AE982" i="4" s="1"/>
  <c r="O982" i="4"/>
  <c r="AD981" i="4"/>
  <c r="AE981" i="4" s="1"/>
  <c r="O981" i="4"/>
  <c r="AD980" i="4"/>
  <c r="AE980" i="4" s="1"/>
  <c r="O980" i="4"/>
  <c r="AD979" i="4"/>
  <c r="AE979" i="4" s="1"/>
  <c r="O979" i="4"/>
  <c r="AD978" i="4"/>
  <c r="AE978" i="4" s="1"/>
  <c r="O978" i="4"/>
  <c r="AD977" i="4"/>
  <c r="AE977" i="4" s="1"/>
  <c r="O977" i="4"/>
  <c r="AD976" i="4"/>
  <c r="AE976" i="4" s="1"/>
  <c r="O976" i="4"/>
  <c r="AD975" i="4"/>
  <c r="AE975" i="4" s="1"/>
  <c r="O975" i="4"/>
  <c r="AD974" i="4"/>
  <c r="AE974" i="4" s="1"/>
  <c r="M974" i="4"/>
  <c r="O974" i="4" s="1"/>
  <c r="AD973" i="4"/>
  <c r="AE973" i="4" s="1"/>
  <c r="O973" i="4"/>
  <c r="AD972" i="4"/>
  <c r="AE972" i="4" s="1"/>
  <c r="O972" i="4"/>
  <c r="AD971" i="4"/>
  <c r="AE971" i="4" s="1"/>
  <c r="O971" i="4"/>
  <c r="AD970" i="4"/>
  <c r="AE970" i="4" s="1"/>
  <c r="O970" i="4"/>
  <c r="AD969" i="4"/>
  <c r="AE969" i="4" s="1"/>
  <c r="O969" i="4"/>
  <c r="AD968" i="4"/>
  <c r="AE968" i="4" s="1"/>
  <c r="O968" i="4"/>
  <c r="AD967" i="4"/>
  <c r="AE967" i="4" s="1"/>
  <c r="O967" i="4"/>
  <c r="AD966" i="4"/>
  <c r="AE966" i="4" s="1"/>
  <c r="O966" i="4"/>
  <c r="AD965" i="4"/>
  <c r="AE965" i="4" s="1"/>
  <c r="M965" i="4"/>
  <c r="O965" i="4" s="1"/>
  <c r="AD964" i="4"/>
  <c r="AE964" i="4" s="1"/>
  <c r="U964" i="4"/>
  <c r="O964" i="4"/>
  <c r="AD963" i="4"/>
  <c r="AE963" i="4" s="1"/>
  <c r="Z963" i="4"/>
  <c r="O963" i="4"/>
  <c r="AD962" i="4"/>
  <c r="AE962" i="4" s="1"/>
  <c r="O962" i="4"/>
  <c r="AD961" i="4"/>
  <c r="AE961" i="4" s="1"/>
  <c r="O961" i="4"/>
  <c r="AD960" i="4"/>
  <c r="AE960" i="4" s="1"/>
  <c r="O960" i="4"/>
  <c r="AD959" i="4"/>
  <c r="AE959" i="4" s="1"/>
  <c r="O959" i="4"/>
  <c r="AD958" i="4"/>
  <c r="AE958" i="4" s="1"/>
  <c r="O958" i="4"/>
  <c r="AD957" i="4"/>
  <c r="AE957" i="4" s="1"/>
  <c r="U957" i="4"/>
  <c r="O957" i="4"/>
  <c r="AD956" i="4"/>
  <c r="AE956" i="4" s="1"/>
  <c r="M956" i="4"/>
  <c r="O956" i="4" s="1"/>
  <c r="AD955" i="4"/>
  <c r="AE955" i="4" s="1"/>
  <c r="Z955" i="4"/>
  <c r="O955" i="4"/>
  <c r="AD954" i="4"/>
  <c r="AE954" i="4" s="1"/>
  <c r="Z954" i="4"/>
  <c r="O954" i="4"/>
  <c r="AD953" i="4"/>
  <c r="AE953" i="4" s="1"/>
  <c r="O953" i="4"/>
  <c r="AD952" i="4"/>
  <c r="AE952" i="4" s="1"/>
  <c r="M952" i="4"/>
  <c r="O952" i="4" s="1"/>
  <c r="AD951" i="4"/>
  <c r="AE951" i="4" s="1"/>
  <c r="Z951" i="4"/>
  <c r="N951" i="4"/>
  <c r="O951" i="4" s="1"/>
  <c r="AD950" i="4"/>
  <c r="AE950" i="4" s="1"/>
  <c r="O950" i="4"/>
  <c r="AD949" i="4"/>
  <c r="AE949" i="4" s="1"/>
  <c r="O949" i="4"/>
  <c r="AD948" i="4"/>
  <c r="AE948" i="4" s="1"/>
  <c r="O948" i="4"/>
  <c r="AD947" i="4"/>
  <c r="AE947" i="4" s="1"/>
  <c r="O947" i="4"/>
  <c r="AD946" i="4"/>
  <c r="AE946" i="4" s="1"/>
  <c r="O946" i="4"/>
  <c r="AD945" i="4"/>
  <c r="AE945" i="4" s="1"/>
  <c r="O945" i="4"/>
  <c r="AD944" i="4"/>
  <c r="AE944" i="4" s="1"/>
  <c r="O944" i="4"/>
  <c r="AD943" i="4"/>
  <c r="AE943" i="4" s="1"/>
  <c r="O943" i="4"/>
  <c r="AD942" i="4"/>
  <c r="AE942" i="4" s="1"/>
  <c r="O942" i="4"/>
  <c r="W942" i="4" s="1"/>
  <c r="AD941" i="4"/>
  <c r="AE941" i="4" s="1"/>
  <c r="O941" i="4"/>
  <c r="AD940" i="4"/>
  <c r="AE940" i="4" s="1"/>
  <c r="O940" i="4"/>
  <c r="AD939" i="4"/>
  <c r="AE939" i="4" s="1"/>
  <c r="O939" i="4"/>
  <c r="AD938" i="4"/>
  <c r="AE938" i="4" s="1"/>
  <c r="O938" i="4"/>
  <c r="AD937" i="4"/>
  <c r="AE937" i="4" s="1"/>
  <c r="O937" i="4"/>
  <c r="AD936" i="4"/>
  <c r="AE936" i="4" s="1"/>
  <c r="M936" i="4"/>
  <c r="O936" i="4" s="1"/>
  <c r="AD935" i="4"/>
  <c r="AE935" i="4" s="1"/>
  <c r="O935" i="4"/>
  <c r="AD934" i="4"/>
  <c r="AE934" i="4" s="1"/>
  <c r="O934" i="4"/>
  <c r="AD933" i="4"/>
  <c r="AE933" i="4" s="1"/>
  <c r="O933" i="4"/>
  <c r="AD932" i="4"/>
  <c r="AE932" i="4" s="1"/>
  <c r="Z932" i="4"/>
  <c r="M932" i="4"/>
  <c r="O932" i="4" s="1"/>
  <c r="AD931" i="4"/>
  <c r="AE931" i="4" s="1"/>
  <c r="O931" i="4"/>
  <c r="AD930" i="4"/>
  <c r="AE930" i="4" s="1"/>
  <c r="M930" i="4"/>
  <c r="O930" i="4" s="1"/>
  <c r="AD929" i="4"/>
  <c r="AE929" i="4" s="1"/>
  <c r="O929" i="4"/>
  <c r="AD928" i="4"/>
  <c r="AE928" i="4" s="1"/>
  <c r="O928" i="4"/>
  <c r="AD927" i="4"/>
  <c r="AE927" i="4" s="1"/>
  <c r="Z927" i="4"/>
  <c r="O927" i="4"/>
  <c r="AD926" i="4"/>
  <c r="AE926" i="4" s="1"/>
  <c r="O926" i="4"/>
  <c r="AD925" i="4"/>
  <c r="AE925" i="4" s="1"/>
  <c r="O925" i="4"/>
  <c r="AD924" i="4"/>
  <c r="AE924" i="4" s="1"/>
  <c r="O924" i="4"/>
  <c r="AD923" i="4"/>
  <c r="AE923" i="4" s="1"/>
  <c r="O923" i="4"/>
  <c r="AD922" i="4"/>
  <c r="AE922" i="4" s="1"/>
  <c r="O922" i="4"/>
  <c r="AD921" i="4"/>
  <c r="AE921" i="4" s="1"/>
  <c r="M921" i="4"/>
  <c r="O921" i="4" s="1"/>
  <c r="AD920" i="4"/>
  <c r="AE920" i="4" s="1"/>
  <c r="O920" i="4"/>
  <c r="AD919" i="4"/>
  <c r="AE919" i="4" s="1"/>
  <c r="O919" i="4"/>
  <c r="AD918" i="4"/>
  <c r="AE918" i="4" s="1"/>
  <c r="O918" i="4"/>
  <c r="AD917" i="4"/>
  <c r="AE917" i="4" s="1"/>
  <c r="O917" i="4"/>
  <c r="AD916" i="4"/>
  <c r="AE916" i="4" s="1"/>
  <c r="O916" i="4"/>
  <c r="AD915" i="4"/>
  <c r="AE915" i="4" s="1"/>
  <c r="O915" i="4"/>
  <c r="AD914" i="4"/>
  <c r="AE914" i="4" s="1"/>
  <c r="Z914" i="4"/>
  <c r="M914" i="4"/>
  <c r="O914" i="4" s="1"/>
  <c r="AD913" i="4"/>
  <c r="AE913" i="4" s="1"/>
  <c r="P913" i="4"/>
  <c r="O913" i="4"/>
  <c r="AD912" i="4"/>
  <c r="AE912" i="4" s="1"/>
  <c r="O912" i="4"/>
  <c r="AD911" i="4"/>
  <c r="AE911" i="4" s="1"/>
  <c r="O911" i="4"/>
  <c r="AD910" i="4"/>
  <c r="AE910" i="4" s="1"/>
  <c r="O910" i="4"/>
  <c r="AD909" i="4"/>
  <c r="AE909" i="4" s="1"/>
  <c r="O909" i="4"/>
  <c r="AD908" i="4"/>
  <c r="AE908" i="4" s="1"/>
  <c r="O908" i="4"/>
  <c r="AD907" i="4"/>
  <c r="AE907" i="4" s="1"/>
  <c r="P907" i="4"/>
  <c r="O907" i="4"/>
  <c r="AD906" i="4"/>
  <c r="AE906" i="4" s="1"/>
  <c r="O906" i="4"/>
  <c r="AD905" i="4"/>
  <c r="AE905" i="4" s="1"/>
  <c r="M905" i="4"/>
  <c r="O905" i="4" s="1"/>
  <c r="AD904" i="4"/>
  <c r="AE904" i="4" s="1"/>
  <c r="M904" i="4"/>
  <c r="O904" i="4" s="1"/>
  <c r="AD903" i="4"/>
  <c r="AE903" i="4" s="1"/>
  <c r="O903" i="4"/>
  <c r="AD902" i="4"/>
  <c r="AE902" i="4" s="1"/>
  <c r="O902" i="4"/>
  <c r="AD901" i="4"/>
  <c r="AE901" i="4" s="1"/>
  <c r="O901" i="4"/>
  <c r="AD900" i="4"/>
  <c r="AE900" i="4" s="1"/>
  <c r="O900" i="4"/>
  <c r="AD899" i="4"/>
  <c r="AE899" i="4" s="1"/>
  <c r="N899" i="4"/>
  <c r="O899" i="4" s="1"/>
  <c r="AD898" i="4"/>
  <c r="AE898" i="4" s="1"/>
  <c r="M898" i="4"/>
  <c r="O898" i="4" s="1"/>
  <c r="AD897" i="4"/>
  <c r="AE897" i="4" s="1"/>
  <c r="M897" i="4"/>
  <c r="O897" i="4" s="1"/>
  <c r="AD896" i="4"/>
  <c r="AE896" i="4" s="1"/>
  <c r="Z896" i="4"/>
  <c r="O896" i="4"/>
  <c r="AD895" i="4"/>
  <c r="AE895" i="4" s="1"/>
  <c r="O895" i="4"/>
  <c r="AD894" i="4"/>
  <c r="AE894" i="4" s="1"/>
  <c r="I894" i="4"/>
  <c r="O894" i="4" s="1"/>
  <c r="AD893" i="4"/>
  <c r="AE893" i="4" s="1"/>
  <c r="O893" i="4"/>
  <c r="AD892" i="4"/>
  <c r="AE892" i="4" s="1"/>
  <c r="M892" i="4"/>
  <c r="O892" i="4" s="1"/>
  <c r="AD891" i="4"/>
  <c r="AE891" i="4" s="1"/>
  <c r="O891" i="4"/>
  <c r="AD890" i="4"/>
  <c r="AE890" i="4" s="1"/>
  <c r="O890" i="4"/>
  <c r="AD889" i="4"/>
  <c r="AE889" i="4" s="1"/>
  <c r="O889" i="4"/>
  <c r="AD888" i="4"/>
  <c r="AE888" i="4" s="1"/>
  <c r="O888" i="4"/>
  <c r="AD887" i="4"/>
  <c r="AE887" i="4" s="1"/>
  <c r="M887" i="4"/>
  <c r="O887" i="4" s="1"/>
  <c r="AD886" i="4"/>
  <c r="AE886" i="4" s="1"/>
  <c r="R886" i="4"/>
  <c r="O886" i="4"/>
  <c r="AD885" i="4"/>
  <c r="AE885" i="4" s="1"/>
  <c r="O885" i="4"/>
  <c r="AD884" i="4"/>
  <c r="AE884" i="4" s="1"/>
  <c r="O884" i="4"/>
  <c r="AD883" i="4"/>
  <c r="AE883" i="4" s="1"/>
  <c r="Z883" i="4"/>
  <c r="O883" i="4"/>
  <c r="AD882" i="4"/>
  <c r="AE882" i="4" s="1"/>
  <c r="O882" i="4"/>
  <c r="AD881" i="4"/>
  <c r="AE881" i="4" s="1"/>
  <c r="O881" i="4"/>
  <c r="AD880" i="4"/>
  <c r="AE880" i="4" s="1"/>
  <c r="Z880" i="4"/>
  <c r="P880" i="4"/>
  <c r="O880" i="4"/>
  <c r="AD879" i="4"/>
  <c r="AE879" i="4" s="1"/>
  <c r="O879" i="4"/>
  <c r="AD878" i="4"/>
  <c r="AE878" i="4" s="1"/>
  <c r="O878" i="4"/>
  <c r="AD877" i="4"/>
  <c r="AE877" i="4" s="1"/>
  <c r="U877" i="4"/>
  <c r="O877" i="4"/>
  <c r="AD876" i="4"/>
  <c r="AE876" i="4" s="1"/>
  <c r="O876" i="4"/>
  <c r="AD875" i="4"/>
  <c r="AE875" i="4" s="1"/>
  <c r="I875" i="4"/>
  <c r="O875" i="4" s="1"/>
  <c r="AD874" i="4"/>
  <c r="AE874" i="4" s="1"/>
  <c r="O874" i="4"/>
  <c r="AD873" i="4"/>
  <c r="AE873" i="4" s="1"/>
  <c r="O873" i="4"/>
  <c r="AD872" i="4"/>
  <c r="AE872" i="4" s="1"/>
  <c r="Z872" i="4"/>
  <c r="O872" i="4"/>
  <c r="AD871" i="4"/>
  <c r="AE871" i="4" s="1"/>
  <c r="O871" i="4"/>
  <c r="AD870" i="4"/>
  <c r="AE870" i="4" s="1"/>
  <c r="O870" i="4"/>
  <c r="AD869" i="4"/>
  <c r="AE869" i="4" s="1"/>
  <c r="O869" i="4"/>
  <c r="AD868" i="4"/>
  <c r="AE868" i="4" s="1"/>
  <c r="O868" i="4"/>
  <c r="AD867" i="4"/>
  <c r="AE867" i="4" s="1"/>
  <c r="O867" i="4"/>
  <c r="AD866" i="4"/>
  <c r="AE866" i="4" s="1"/>
  <c r="O866" i="4"/>
  <c r="AD865" i="4"/>
  <c r="AE865" i="4" s="1"/>
  <c r="O865" i="4"/>
  <c r="AD864" i="4"/>
  <c r="AE864" i="4" s="1"/>
  <c r="Z864" i="4"/>
  <c r="O864" i="4"/>
  <c r="AD863" i="4"/>
  <c r="AE863" i="4" s="1"/>
  <c r="O863" i="4"/>
  <c r="AD862" i="4"/>
  <c r="AE862" i="4" s="1"/>
  <c r="Z862" i="4"/>
  <c r="O862" i="4"/>
  <c r="AD861" i="4"/>
  <c r="AE861" i="4" s="1"/>
  <c r="O861" i="4"/>
  <c r="AD860" i="4"/>
  <c r="AE860" i="4" s="1"/>
  <c r="O860" i="4"/>
  <c r="AD859" i="4"/>
  <c r="AE859" i="4" s="1"/>
  <c r="O859" i="4"/>
  <c r="W859" i="4" s="1"/>
  <c r="AD858" i="4"/>
  <c r="AE858" i="4" s="1"/>
  <c r="O858" i="4"/>
  <c r="AD857" i="4"/>
  <c r="AE857" i="4" s="1"/>
  <c r="O857" i="4"/>
  <c r="AD856" i="4"/>
  <c r="AE856" i="4" s="1"/>
  <c r="O856" i="4"/>
  <c r="AD855" i="4"/>
  <c r="AE855" i="4" s="1"/>
  <c r="O855" i="4"/>
  <c r="AD854" i="4"/>
  <c r="AE854" i="4" s="1"/>
  <c r="O854" i="4"/>
  <c r="AD853" i="4"/>
  <c r="AE853" i="4" s="1"/>
  <c r="O853" i="4"/>
  <c r="AD852" i="4"/>
  <c r="AE852" i="4" s="1"/>
  <c r="O852" i="4"/>
  <c r="AD851" i="4"/>
  <c r="AE851" i="4" s="1"/>
  <c r="O851" i="4"/>
  <c r="AD850" i="4"/>
  <c r="AE850" i="4" s="1"/>
  <c r="O850" i="4"/>
  <c r="AD849" i="4"/>
  <c r="AE849" i="4" s="1"/>
  <c r="O849" i="4"/>
  <c r="AD848" i="4"/>
  <c r="AE848" i="4" s="1"/>
  <c r="O848" i="4"/>
  <c r="AD847" i="4"/>
  <c r="AE847" i="4" s="1"/>
  <c r="O847" i="4"/>
  <c r="AD846" i="4"/>
  <c r="AE846" i="4" s="1"/>
  <c r="O846" i="4"/>
  <c r="AD845" i="4"/>
  <c r="AE845" i="4" s="1"/>
  <c r="O845" i="4"/>
  <c r="AD844" i="4"/>
  <c r="AE844" i="4" s="1"/>
  <c r="O844" i="4"/>
  <c r="AD843" i="4"/>
  <c r="AE843" i="4" s="1"/>
  <c r="O843" i="4"/>
  <c r="AD842" i="4"/>
  <c r="AE842" i="4" s="1"/>
  <c r="O842" i="4"/>
  <c r="AD841" i="4"/>
  <c r="AE841" i="4" s="1"/>
  <c r="O841" i="4"/>
  <c r="AD840" i="4"/>
  <c r="AE840" i="4" s="1"/>
  <c r="O840" i="4"/>
  <c r="AD839" i="4"/>
  <c r="AE839" i="4" s="1"/>
  <c r="O839" i="4"/>
  <c r="AD838" i="4"/>
  <c r="AE838" i="4" s="1"/>
  <c r="O838" i="4"/>
  <c r="AD837" i="4"/>
  <c r="AE837" i="4" s="1"/>
  <c r="O837" i="4"/>
  <c r="AD836" i="4"/>
  <c r="AE836" i="4" s="1"/>
  <c r="O836" i="4"/>
  <c r="AD835" i="4"/>
  <c r="AE835" i="4" s="1"/>
  <c r="O835" i="4"/>
  <c r="AD834" i="4"/>
  <c r="AE834" i="4" s="1"/>
  <c r="O834" i="4"/>
  <c r="AD833" i="4"/>
  <c r="AE833" i="4" s="1"/>
  <c r="O833" i="4"/>
  <c r="AD832" i="4"/>
  <c r="AE832" i="4" s="1"/>
  <c r="O832" i="4"/>
  <c r="AD831" i="4"/>
  <c r="AE831" i="4" s="1"/>
  <c r="O831" i="4"/>
  <c r="AD830" i="4"/>
  <c r="AE830" i="4" s="1"/>
  <c r="Z830" i="4"/>
  <c r="O830" i="4"/>
  <c r="AD829" i="4"/>
  <c r="AE829" i="4" s="1"/>
  <c r="O829" i="4"/>
  <c r="AD828" i="4"/>
  <c r="AE828" i="4" s="1"/>
  <c r="O828" i="4"/>
  <c r="AD827" i="4"/>
  <c r="AE827" i="4" s="1"/>
  <c r="O827" i="4"/>
  <c r="AD826" i="4"/>
  <c r="AE826" i="4" s="1"/>
  <c r="O826" i="4"/>
  <c r="AD825" i="4"/>
  <c r="AE825" i="4" s="1"/>
  <c r="O825" i="4"/>
  <c r="AD824" i="4"/>
  <c r="AE824" i="4" s="1"/>
  <c r="O824" i="4"/>
  <c r="AD823" i="4"/>
  <c r="AE823" i="4" s="1"/>
  <c r="O823" i="4"/>
  <c r="AD822" i="4"/>
  <c r="AE822" i="4" s="1"/>
  <c r="O822" i="4"/>
  <c r="AD821" i="4"/>
  <c r="AE821" i="4" s="1"/>
  <c r="O821" i="4"/>
  <c r="AD820" i="4"/>
  <c r="AE820" i="4" s="1"/>
  <c r="Z820" i="4"/>
  <c r="O820" i="4"/>
  <c r="AD819" i="4"/>
  <c r="AE819" i="4" s="1"/>
  <c r="O819" i="4"/>
  <c r="AD818" i="4"/>
  <c r="AE818" i="4" s="1"/>
  <c r="O818" i="4"/>
  <c r="AD817" i="4"/>
  <c r="AE817" i="4" s="1"/>
  <c r="O817" i="4"/>
  <c r="AD816" i="4"/>
  <c r="AE816" i="4" s="1"/>
  <c r="Z816" i="4"/>
  <c r="O816" i="4"/>
  <c r="AD815" i="4"/>
  <c r="AE815" i="4" s="1"/>
  <c r="O815" i="4"/>
  <c r="AD814" i="4"/>
  <c r="AE814" i="4" s="1"/>
  <c r="O814" i="4"/>
  <c r="AD813" i="4"/>
  <c r="AE813" i="4" s="1"/>
  <c r="O813" i="4"/>
  <c r="AD812" i="4"/>
  <c r="AE812" i="4" s="1"/>
  <c r="O812" i="4"/>
  <c r="AD811" i="4"/>
  <c r="AE811" i="4" s="1"/>
  <c r="O811" i="4"/>
  <c r="AD810" i="4"/>
  <c r="AE810" i="4" s="1"/>
  <c r="O810" i="4"/>
  <c r="AD809" i="4"/>
  <c r="AE809" i="4" s="1"/>
  <c r="O809" i="4"/>
  <c r="AD808" i="4"/>
  <c r="AE808" i="4" s="1"/>
  <c r="O808" i="4"/>
  <c r="AD807" i="4"/>
  <c r="AE807" i="4" s="1"/>
  <c r="O807" i="4"/>
  <c r="AD806" i="4"/>
  <c r="AE806" i="4" s="1"/>
  <c r="O806" i="4"/>
  <c r="AD805" i="4"/>
  <c r="AE805" i="4" s="1"/>
  <c r="O805" i="4"/>
  <c r="AD804" i="4"/>
  <c r="AE804" i="4" s="1"/>
  <c r="O804" i="4"/>
  <c r="AD803" i="4"/>
  <c r="AE803" i="4" s="1"/>
  <c r="O803" i="4"/>
  <c r="AD802" i="4"/>
  <c r="AE802" i="4" s="1"/>
  <c r="O802" i="4"/>
  <c r="AD801" i="4"/>
  <c r="AE801" i="4" s="1"/>
  <c r="O801" i="4"/>
  <c r="AD800" i="4"/>
  <c r="AE800" i="4" s="1"/>
  <c r="O800" i="4"/>
  <c r="AD799" i="4"/>
  <c r="AE799" i="4" s="1"/>
  <c r="O799" i="4"/>
  <c r="AD798" i="4"/>
  <c r="AE798" i="4" s="1"/>
  <c r="O798" i="4"/>
  <c r="AD797" i="4"/>
  <c r="AE797" i="4" s="1"/>
  <c r="O797" i="4"/>
  <c r="AD796" i="4"/>
  <c r="AE796" i="4" s="1"/>
  <c r="O796" i="4"/>
  <c r="AD795" i="4"/>
  <c r="AE795" i="4" s="1"/>
  <c r="Z795" i="4"/>
  <c r="O795" i="4"/>
  <c r="AD794" i="4"/>
  <c r="AE794" i="4" s="1"/>
  <c r="O794" i="4"/>
  <c r="AD793" i="4"/>
  <c r="AE793" i="4" s="1"/>
  <c r="O793" i="4"/>
  <c r="AD792" i="4"/>
  <c r="AE792" i="4" s="1"/>
  <c r="O792" i="4"/>
  <c r="AD791" i="4"/>
  <c r="AE791" i="4" s="1"/>
  <c r="O791" i="4"/>
  <c r="AD790" i="4"/>
  <c r="AE790" i="4" s="1"/>
  <c r="O790" i="4"/>
  <c r="AD789" i="4"/>
  <c r="AE789" i="4" s="1"/>
  <c r="O789" i="4"/>
  <c r="AD788" i="4"/>
  <c r="AE788" i="4" s="1"/>
  <c r="O788" i="4"/>
  <c r="AD787" i="4"/>
  <c r="AE787" i="4" s="1"/>
  <c r="O787" i="4"/>
  <c r="AD786" i="4"/>
  <c r="AE786" i="4" s="1"/>
  <c r="O786" i="4"/>
  <c r="AD785" i="4"/>
  <c r="AE785" i="4" s="1"/>
  <c r="O785" i="4"/>
  <c r="AD784" i="4"/>
  <c r="AE784" i="4" s="1"/>
  <c r="O784" i="4"/>
  <c r="AD783" i="4"/>
  <c r="AE783" i="4" s="1"/>
  <c r="Z783" i="4"/>
  <c r="O783" i="4"/>
  <c r="AD782" i="4"/>
  <c r="AE782" i="4" s="1"/>
  <c r="O782" i="4"/>
  <c r="AD781" i="4"/>
  <c r="AE781" i="4" s="1"/>
  <c r="O781" i="4"/>
  <c r="AD780" i="4"/>
  <c r="AE780" i="4" s="1"/>
  <c r="R780" i="4"/>
  <c r="O780" i="4"/>
  <c r="AD779" i="4"/>
  <c r="AE779" i="4" s="1"/>
  <c r="O779" i="4"/>
  <c r="AD778" i="4"/>
  <c r="AE778" i="4" s="1"/>
  <c r="O778" i="4"/>
  <c r="AD777" i="4"/>
  <c r="AE777" i="4" s="1"/>
  <c r="O777" i="4"/>
  <c r="AD776" i="4"/>
  <c r="AE776" i="4" s="1"/>
  <c r="O776" i="4"/>
  <c r="AD775" i="4"/>
  <c r="AE775" i="4" s="1"/>
  <c r="O775" i="4"/>
  <c r="AD774" i="4"/>
  <c r="AE774" i="4" s="1"/>
  <c r="O774" i="4"/>
  <c r="AD773" i="4"/>
  <c r="AE773" i="4" s="1"/>
  <c r="O773" i="4"/>
  <c r="AD772" i="4"/>
  <c r="AE772" i="4" s="1"/>
  <c r="O772" i="4"/>
  <c r="AD771" i="4"/>
  <c r="AE771" i="4" s="1"/>
  <c r="O771" i="4"/>
  <c r="AD770" i="4"/>
  <c r="AE770" i="4" s="1"/>
  <c r="O770" i="4"/>
  <c r="AD769" i="4"/>
  <c r="AE769" i="4" s="1"/>
  <c r="O769" i="4"/>
  <c r="AD768" i="4"/>
  <c r="AE768" i="4" s="1"/>
  <c r="O768" i="4"/>
  <c r="AD767" i="4"/>
  <c r="AE767" i="4" s="1"/>
  <c r="O767" i="4"/>
  <c r="AD766" i="4"/>
  <c r="AE766" i="4" s="1"/>
  <c r="O766" i="4"/>
  <c r="AD765" i="4"/>
  <c r="AE765" i="4" s="1"/>
  <c r="O765" i="4"/>
  <c r="AD764" i="4"/>
  <c r="AE764" i="4" s="1"/>
  <c r="O764" i="4"/>
  <c r="AD763" i="4"/>
  <c r="AE763" i="4" s="1"/>
  <c r="O763" i="4"/>
  <c r="AD762" i="4"/>
  <c r="AE762" i="4" s="1"/>
  <c r="O762" i="4"/>
  <c r="AD761" i="4"/>
  <c r="AE761" i="4" s="1"/>
  <c r="O761" i="4"/>
  <c r="AD760" i="4"/>
  <c r="AE760" i="4" s="1"/>
  <c r="Z760" i="4"/>
  <c r="O760" i="4"/>
  <c r="AD759" i="4"/>
  <c r="AE759" i="4" s="1"/>
  <c r="Z759" i="4"/>
  <c r="O759" i="4"/>
  <c r="AD758" i="4"/>
  <c r="AE758" i="4" s="1"/>
  <c r="Z758" i="4"/>
  <c r="O758" i="4"/>
  <c r="AD757" i="4"/>
  <c r="AE757" i="4" s="1"/>
  <c r="O757" i="4"/>
  <c r="AD756" i="4"/>
  <c r="AE756" i="4" s="1"/>
  <c r="O756" i="4"/>
  <c r="AD755" i="4"/>
  <c r="AE755" i="4" s="1"/>
  <c r="O755" i="4"/>
  <c r="AD754" i="4"/>
  <c r="AE754" i="4" s="1"/>
  <c r="O754" i="4"/>
  <c r="AD753" i="4"/>
  <c r="AE753" i="4" s="1"/>
  <c r="O753" i="4"/>
  <c r="AD752" i="4"/>
  <c r="AE752" i="4" s="1"/>
  <c r="O752" i="4"/>
  <c r="AD751" i="4"/>
  <c r="AE751" i="4" s="1"/>
  <c r="O751" i="4"/>
  <c r="AD750" i="4"/>
  <c r="AE750" i="4" s="1"/>
  <c r="O750" i="4"/>
  <c r="AD749" i="4"/>
  <c r="AE749" i="4" s="1"/>
  <c r="O749" i="4"/>
  <c r="AD748" i="4"/>
  <c r="AE748" i="4" s="1"/>
  <c r="Z748" i="4"/>
  <c r="O748" i="4"/>
  <c r="AD747" i="4"/>
  <c r="AE747" i="4" s="1"/>
  <c r="O747" i="4"/>
  <c r="AD746" i="4"/>
  <c r="AE746" i="4" s="1"/>
  <c r="O746" i="4"/>
  <c r="AD745" i="4"/>
  <c r="AE745" i="4" s="1"/>
  <c r="O745" i="4"/>
  <c r="AD744" i="4"/>
  <c r="AE744" i="4" s="1"/>
  <c r="O744" i="4"/>
  <c r="AD743" i="4"/>
  <c r="AE743" i="4" s="1"/>
  <c r="O743" i="4"/>
  <c r="AD742" i="4"/>
  <c r="AE742" i="4" s="1"/>
  <c r="O742" i="4"/>
  <c r="AD741" i="4"/>
  <c r="AE741" i="4" s="1"/>
  <c r="O741" i="4"/>
  <c r="AD740" i="4"/>
  <c r="AE740" i="4" s="1"/>
  <c r="Z740" i="4"/>
  <c r="O740" i="4"/>
  <c r="AD739" i="4"/>
  <c r="AE739" i="4" s="1"/>
  <c r="O739" i="4"/>
  <c r="AD738" i="4"/>
  <c r="AE738" i="4" s="1"/>
  <c r="O738" i="4"/>
  <c r="AD737" i="4"/>
  <c r="AE737" i="4" s="1"/>
  <c r="O737" i="4"/>
  <c r="AD736" i="4"/>
  <c r="AE736" i="4" s="1"/>
  <c r="O736" i="4"/>
  <c r="AD735" i="4"/>
  <c r="AE735" i="4" s="1"/>
  <c r="O735" i="4"/>
  <c r="AD734" i="4"/>
  <c r="AE734" i="4" s="1"/>
  <c r="O734" i="4"/>
  <c r="AD733" i="4"/>
  <c r="AE733" i="4" s="1"/>
  <c r="O733" i="4"/>
  <c r="AD732" i="4"/>
  <c r="AE732" i="4" s="1"/>
  <c r="O732" i="4"/>
  <c r="AD731" i="4"/>
  <c r="AE731" i="4" s="1"/>
  <c r="O731" i="4"/>
  <c r="AD730" i="4"/>
  <c r="AE730" i="4" s="1"/>
  <c r="O730" i="4"/>
  <c r="AD729" i="4"/>
  <c r="AE729" i="4" s="1"/>
  <c r="O729" i="4"/>
  <c r="AD728" i="4"/>
  <c r="AE728" i="4" s="1"/>
  <c r="Z728" i="4"/>
  <c r="O728" i="4"/>
  <c r="AD727" i="4"/>
  <c r="AE727" i="4" s="1"/>
  <c r="O727" i="4"/>
  <c r="AD726" i="4"/>
  <c r="AE726" i="4" s="1"/>
  <c r="O726" i="4"/>
  <c r="AD725" i="4"/>
  <c r="AE725" i="4" s="1"/>
  <c r="O725" i="4"/>
  <c r="AD724" i="4"/>
  <c r="AE724" i="4" s="1"/>
  <c r="O724" i="4"/>
  <c r="AD723" i="4"/>
  <c r="AE723" i="4" s="1"/>
  <c r="O723" i="4"/>
  <c r="AD722" i="4"/>
  <c r="AE722" i="4" s="1"/>
  <c r="O722" i="4"/>
  <c r="AD721" i="4"/>
  <c r="AE721" i="4" s="1"/>
  <c r="O721" i="4"/>
  <c r="AD720" i="4"/>
  <c r="AE720" i="4" s="1"/>
  <c r="O720" i="4"/>
  <c r="AD719" i="4"/>
  <c r="AE719" i="4" s="1"/>
  <c r="O719" i="4"/>
  <c r="AD718" i="4"/>
  <c r="AE718" i="4" s="1"/>
  <c r="Z718" i="4"/>
  <c r="O718" i="4"/>
  <c r="AD717" i="4"/>
  <c r="AE717" i="4" s="1"/>
  <c r="O717" i="4"/>
  <c r="AD716" i="4"/>
  <c r="AE716" i="4" s="1"/>
  <c r="O716" i="4"/>
  <c r="AD715" i="4"/>
  <c r="AE715" i="4" s="1"/>
  <c r="O715" i="4"/>
  <c r="AD714" i="4"/>
  <c r="AE714" i="4" s="1"/>
  <c r="O714" i="4"/>
  <c r="AD713" i="4"/>
  <c r="AE713" i="4" s="1"/>
  <c r="O713" i="4"/>
  <c r="AD712" i="4"/>
  <c r="AE712" i="4" s="1"/>
  <c r="O712" i="4"/>
  <c r="AD711" i="4"/>
  <c r="AE711" i="4" s="1"/>
  <c r="O711" i="4"/>
  <c r="AD710" i="4"/>
  <c r="AE710" i="4" s="1"/>
  <c r="O710" i="4"/>
  <c r="AD709" i="4"/>
  <c r="AE709" i="4" s="1"/>
  <c r="O709" i="4"/>
  <c r="AD708" i="4"/>
  <c r="AE708" i="4" s="1"/>
  <c r="O708" i="4"/>
  <c r="AD707" i="4"/>
  <c r="AE707" i="4" s="1"/>
  <c r="O707" i="4"/>
  <c r="AD706" i="4"/>
  <c r="AE706" i="4" s="1"/>
  <c r="O706" i="4"/>
  <c r="AD705" i="4"/>
  <c r="AE705" i="4" s="1"/>
  <c r="O705" i="4"/>
  <c r="AD704" i="4"/>
  <c r="AE704" i="4" s="1"/>
  <c r="O704" i="4"/>
  <c r="AD703" i="4"/>
  <c r="AE703" i="4" s="1"/>
  <c r="O703" i="4"/>
  <c r="AD702" i="4"/>
  <c r="AE702" i="4" s="1"/>
  <c r="O702" i="4"/>
  <c r="AD701" i="4"/>
  <c r="AE701" i="4" s="1"/>
  <c r="O701" i="4"/>
  <c r="AD700" i="4"/>
  <c r="AE700" i="4" s="1"/>
  <c r="O700" i="4"/>
  <c r="AD699" i="4"/>
  <c r="AE699" i="4" s="1"/>
  <c r="O699" i="4"/>
  <c r="AD698" i="4"/>
  <c r="AE698" i="4" s="1"/>
  <c r="Z698" i="4"/>
  <c r="O698" i="4"/>
  <c r="AD697" i="4"/>
  <c r="AE697" i="4" s="1"/>
  <c r="O697" i="4"/>
  <c r="AD696" i="4"/>
  <c r="AE696" i="4" s="1"/>
  <c r="O696" i="4"/>
  <c r="AD695" i="4"/>
  <c r="AE695" i="4" s="1"/>
  <c r="O695" i="4"/>
  <c r="AD694" i="4"/>
  <c r="AE694" i="4" s="1"/>
  <c r="Z694" i="4"/>
  <c r="O694" i="4"/>
  <c r="AD693" i="4"/>
  <c r="AE693" i="4" s="1"/>
  <c r="O693" i="4"/>
  <c r="AD692" i="4"/>
  <c r="AE692" i="4" s="1"/>
  <c r="O692" i="4"/>
  <c r="AD691" i="4"/>
  <c r="AE691" i="4" s="1"/>
  <c r="O691" i="4"/>
  <c r="AD690" i="4"/>
  <c r="AE690" i="4" s="1"/>
  <c r="O690" i="4"/>
  <c r="AD689" i="4"/>
  <c r="AE689" i="4" s="1"/>
  <c r="O689" i="4"/>
  <c r="AD688" i="4"/>
  <c r="AE688" i="4" s="1"/>
  <c r="O688" i="4"/>
  <c r="W688" i="4" s="1"/>
  <c r="AD687" i="4"/>
  <c r="AE687" i="4" s="1"/>
  <c r="O687" i="4"/>
  <c r="AD686" i="4"/>
  <c r="AE686" i="4" s="1"/>
  <c r="O686" i="4"/>
  <c r="AD685" i="4"/>
  <c r="AE685" i="4" s="1"/>
  <c r="O685" i="4"/>
  <c r="AD684" i="4"/>
  <c r="AE684" i="4" s="1"/>
  <c r="O684" i="4"/>
  <c r="AD683" i="4"/>
  <c r="AE683" i="4" s="1"/>
  <c r="O683" i="4"/>
  <c r="AD682" i="4"/>
  <c r="AE682" i="4" s="1"/>
  <c r="Z682" i="4"/>
  <c r="O682" i="4"/>
  <c r="AD681" i="4"/>
  <c r="AE681" i="4" s="1"/>
  <c r="O681" i="4"/>
  <c r="AD680" i="4"/>
  <c r="AE680" i="4" s="1"/>
  <c r="O680" i="4"/>
  <c r="AD679" i="4"/>
  <c r="AE679" i="4" s="1"/>
  <c r="O679" i="4"/>
  <c r="AD678" i="4"/>
  <c r="AE678" i="4" s="1"/>
  <c r="O678" i="4"/>
  <c r="AD677" i="4"/>
  <c r="AE677" i="4" s="1"/>
  <c r="O677" i="4"/>
  <c r="AD676" i="4"/>
  <c r="AE676" i="4" s="1"/>
  <c r="O676" i="4"/>
  <c r="AD675" i="4"/>
  <c r="AE675" i="4" s="1"/>
  <c r="O675" i="4"/>
  <c r="AD674" i="4"/>
  <c r="AE674" i="4" s="1"/>
  <c r="O674" i="4"/>
  <c r="AE673" i="4"/>
  <c r="O673" i="4"/>
  <c r="AD672" i="4"/>
  <c r="AE672" i="4" s="1"/>
  <c r="O672" i="4"/>
  <c r="AD671" i="4"/>
  <c r="AE671" i="4" s="1"/>
  <c r="O671" i="4"/>
  <c r="AD670" i="4"/>
  <c r="AE670" i="4" s="1"/>
  <c r="O670" i="4"/>
  <c r="AD669" i="4"/>
  <c r="AE669" i="4" s="1"/>
  <c r="Z669" i="4"/>
  <c r="O669" i="4"/>
  <c r="AD668" i="4"/>
  <c r="AE668" i="4" s="1"/>
  <c r="O668" i="4"/>
  <c r="AD667" i="4"/>
  <c r="AE667" i="4" s="1"/>
  <c r="O667" i="4"/>
  <c r="AD666" i="4"/>
  <c r="AE666" i="4" s="1"/>
  <c r="O666" i="4"/>
  <c r="AD665" i="4"/>
  <c r="AE665" i="4" s="1"/>
  <c r="Z665" i="4"/>
  <c r="O665" i="4"/>
  <c r="AD664" i="4"/>
  <c r="AE664" i="4" s="1"/>
  <c r="O664" i="4"/>
  <c r="AD663" i="4"/>
  <c r="AE663" i="4" s="1"/>
  <c r="O663" i="4"/>
  <c r="AD662" i="4"/>
  <c r="AE662" i="4" s="1"/>
  <c r="O662" i="4"/>
  <c r="AD661" i="4"/>
  <c r="AE661" i="4" s="1"/>
  <c r="O661" i="4"/>
  <c r="AD660" i="4"/>
  <c r="AE660" i="4" s="1"/>
  <c r="O660" i="4"/>
  <c r="AD659" i="4"/>
  <c r="AE659" i="4" s="1"/>
  <c r="O659" i="4"/>
  <c r="AD658" i="4"/>
  <c r="AE658" i="4" s="1"/>
  <c r="O658" i="4"/>
  <c r="AD657" i="4"/>
  <c r="AE657" i="4" s="1"/>
  <c r="O657" i="4"/>
  <c r="AD656" i="4"/>
  <c r="AE656" i="4" s="1"/>
  <c r="O656" i="4"/>
  <c r="AD655" i="4"/>
  <c r="AE655" i="4" s="1"/>
  <c r="O655" i="4"/>
  <c r="AD654" i="4"/>
  <c r="AE654" i="4" s="1"/>
  <c r="O654" i="4"/>
  <c r="AD653" i="4"/>
  <c r="AE653" i="4" s="1"/>
  <c r="O653" i="4"/>
  <c r="AD652" i="4"/>
  <c r="AE652" i="4" s="1"/>
  <c r="O652" i="4"/>
  <c r="AD651" i="4"/>
  <c r="AE651" i="4" s="1"/>
  <c r="O651" i="4"/>
  <c r="AD650" i="4"/>
  <c r="AE650" i="4" s="1"/>
  <c r="O650" i="4"/>
  <c r="AD649" i="4"/>
  <c r="AE649" i="4" s="1"/>
  <c r="O649" i="4"/>
  <c r="AD648" i="4"/>
  <c r="AE648" i="4" s="1"/>
  <c r="O648" i="4"/>
  <c r="AE647" i="4"/>
  <c r="O647" i="4"/>
  <c r="AD646" i="4"/>
  <c r="AE646" i="4" s="1"/>
  <c r="O646" i="4"/>
  <c r="AD645" i="4"/>
  <c r="AE645" i="4" s="1"/>
  <c r="O645" i="4"/>
  <c r="AD644" i="4"/>
  <c r="AE644" i="4" s="1"/>
  <c r="O644" i="4"/>
  <c r="AD643" i="4"/>
  <c r="AE643" i="4" s="1"/>
  <c r="O643" i="4"/>
  <c r="AD642" i="4"/>
  <c r="AE642" i="4" s="1"/>
  <c r="O642" i="4"/>
  <c r="AD641" i="4"/>
  <c r="AE641" i="4" s="1"/>
  <c r="O641" i="4"/>
  <c r="AD640" i="4"/>
  <c r="AE640" i="4" s="1"/>
  <c r="O640" i="4"/>
  <c r="AD639" i="4"/>
  <c r="AE639" i="4" s="1"/>
  <c r="Z639" i="4"/>
  <c r="O639" i="4"/>
  <c r="AD638" i="4"/>
  <c r="AE638" i="4" s="1"/>
  <c r="O638" i="4"/>
  <c r="AE637" i="4"/>
  <c r="O637" i="4"/>
  <c r="AD636" i="4"/>
  <c r="AE636" i="4" s="1"/>
  <c r="O636" i="4"/>
  <c r="AD635" i="4"/>
  <c r="AE635" i="4" s="1"/>
  <c r="O635" i="4"/>
  <c r="AD634" i="4"/>
  <c r="AE634" i="4" s="1"/>
  <c r="O634" i="4"/>
  <c r="AD633" i="4"/>
  <c r="AE633" i="4" s="1"/>
  <c r="O633" i="4"/>
  <c r="AD632" i="4"/>
  <c r="AE632" i="4" s="1"/>
  <c r="O632" i="4"/>
  <c r="AD631" i="4"/>
  <c r="AE631" i="4" s="1"/>
  <c r="O631" i="4"/>
  <c r="AD630" i="4"/>
  <c r="AE630" i="4" s="1"/>
  <c r="Z630" i="4"/>
  <c r="O630" i="4"/>
  <c r="AD629" i="4"/>
  <c r="AE629" i="4" s="1"/>
  <c r="O629" i="4"/>
  <c r="AD628" i="4"/>
  <c r="AE628" i="4" s="1"/>
  <c r="O628" i="4"/>
  <c r="AD627" i="4"/>
  <c r="AE627" i="4" s="1"/>
  <c r="O627" i="4"/>
  <c r="AD626" i="4"/>
  <c r="AE626" i="4" s="1"/>
  <c r="O626" i="4"/>
  <c r="AD625" i="4"/>
  <c r="AE625" i="4" s="1"/>
  <c r="O625" i="4"/>
  <c r="AD624" i="4"/>
  <c r="AE624" i="4" s="1"/>
  <c r="Z624" i="4"/>
  <c r="O624" i="4"/>
  <c r="AD623" i="4"/>
  <c r="AE623" i="4" s="1"/>
  <c r="Z623" i="4"/>
  <c r="O623" i="4"/>
  <c r="AD622" i="4"/>
  <c r="AE622" i="4" s="1"/>
  <c r="O622" i="4"/>
  <c r="AD621" i="4"/>
  <c r="AE621" i="4" s="1"/>
  <c r="O621" i="4"/>
  <c r="AD620" i="4"/>
  <c r="AE620" i="4" s="1"/>
  <c r="Z620" i="4"/>
  <c r="O620" i="4"/>
  <c r="AD619" i="4"/>
  <c r="AE619" i="4" s="1"/>
  <c r="Z619" i="4"/>
  <c r="O619" i="4"/>
  <c r="AE618" i="4"/>
  <c r="O618" i="4"/>
  <c r="AD617" i="4"/>
  <c r="AE617" i="4" s="1"/>
  <c r="O617" i="4"/>
  <c r="AD616" i="4"/>
  <c r="AE616" i="4" s="1"/>
  <c r="O616" i="4"/>
  <c r="AD615" i="4"/>
  <c r="AE615" i="4" s="1"/>
  <c r="O615" i="4"/>
  <c r="AD614" i="4"/>
  <c r="AE614" i="4" s="1"/>
  <c r="O614" i="4"/>
  <c r="AD613" i="4"/>
  <c r="AE613" i="4" s="1"/>
  <c r="O613" i="4"/>
  <c r="AE612" i="4"/>
  <c r="O612" i="4"/>
  <c r="AD611" i="4"/>
  <c r="AE611" i="4" s="1"/>
  <c r="O611" i="4"/>
  <c r="AD610" i="4"/>
  <c r="AE610" i="4" s="1"/>
  <c r="O610" i="4"/>
  <c r="AD609" i="4"/>
  <c r="AE609" i="4" s="1"/>
  <c r="O609" i="4"/>
  <c r="AD608" i="4"/>
  <c r="AE608" i="4" s="1"/>
  <c r="O608" i="4"/>
  <c r="AD607" i="4"/>
  <c r="AE607" i="4" s="1"/>
  <c r="O607" i="4"/>
  <c r="AD606" i="4"/>
  <c r="AE606" i="4" s="1"/>
  <c r="O606" i="4"/>
  <c r="AD605" i="4"/>
  <c r="AE605" i="4" s="1"/>
  <c r="O605" i="4"/>
  <c r="AD604" i="4"/>
  <c r="AE604" i="4" s="1"/>
  <c r="O604" i="4"/>
  <c r="AD603" i="4"/>
  <c r="AE603" i="4" s="1"/>
  <c r="O603" i="4"/>
  <c r="AD602" i="4"/>
  <c r="AE602" i="4" s="1"/>
  <c r="O602" i="4"/>
  <c r="AD601" i="4"/>
  <c r="AE601" i="4" s="1"/>
  <c r="O601" i="4"/>
  <c r="AD600" i="4"/>
  <c r="AE600" i="4" s="1"/>
  <c r="O600" i="4"/>
  <c r="AD599" i="4"/>
  <c r="AE599" i="4" s="1"/>
  <c r="O599" i="4"/>
  <c r="AD598" i="4"/>
  <c r="AE598" i="4" s="1"/>
  <c r="O598" i="4"/>
  <c r="AD597" i="4"/>
  <c r="AE597" i="4" s="1"/>
  <c r="O597" i="4"/>
  <c r="AD596" i="4"/>
  <c r="AE596" i="4" s="1"/>
  <c r="O596" i="4"/>
  <c r="AD595" i="4"/>
  <c r="AE595" i="4" s="1"/>
  <c r="O595" i="4"/>
  <c r="AD594" i="4"/>
  <c r="AE594" i="4" s="1"/>
  <c r="Z594" i="4"/>
  <c r="O594" i="4"/>
  <c r="AD593" i="4"/>
  <c r="AE593" i="4" s="1"/>
  <c r="O593" i="4"/>
  <c r="AE592" i="4"/>
  <c r="O592" i="4"/>
  <c r="AD591" i="4"/>
  <c r="AE591" i="4" s="1"/>
  <c r="O591" i="4"/>
  <c r="AD590" i="4"/>
  <c r="AE590" i="4" s="1"/>
  <c r="O590" i="4"/>
  <c r="AD589" i="4"/>
  <c r="AE589" i="4" s="1"/>
  <c r="O589" i="4"/>
  <c r="AD588" i="4"/>
  <c r="AE588" i="4" s="1"/>
  <c r="O588" i="4"/>
  <c r="AD587" i="4"/>
  <c r="AE587" i="4" s="1"/>
  <c r="O587" i="4"/>
  <c r="AE586" i="4"/>
  <c r="O586" i="4"/>
  <c r="AD585" i="4"/>
  <c r="AE585" i="4" s="1"/>
  <c r="O585" i="4"/>
  <c r="AD584" i="4"/>
  <c r="AE584" i="4" s="1"/>
  <c r="O584" i="4"/>
  <c r="AD583" i="4"/>
  <c r="AE583" i="4" s="1"/>
  <c r="O583" i="4"/>
  <c r="AD582" i="4"/>
  <c r="AE582" i="4" s="1"/>
  <c r="O582" i="4"/>
  <c r="AD581" i="4"/>
  <c r="AE581" i="4" s="1"/>
  <c r="O581" i="4"/>
  <c r="AD580" i="4"/>
  <c r="AE580" i="4" s="1"/>
  <c r="Z580" i="4"/>
  <c r="O580" i="4"/>
  <c r="AD579" i="4"/>
  <c r="AE579" i="4" s="1"/>
  <c r="Z579" i="4"/>
  <c r="O579" i="4"/>
  <c r="AD578" i="4"/>
  <c r="AE578" i="4" s="1"/>
  <c r="O578" i="4"/>
  <c r="AD577" i="4"/>
  <c r="AE577" i="4" s="1"/>
  <c r="O577" i="4"/>
  <c r="AD576" i="4"/>
  <c r="AE576" i="4" s="1"/>
  <c r="O576" i="4"/>
  <c r="AD575" i="4"/>
  <c r="AE575" i="4" s="1"/>
  <c r="O575" i="4"/>
  <c r="AD574" i="4"/>
  <c r="AE574" i="4" s="1"/>
  <c r="O574" i="4"/>
  <c r="AD573" i="4"/>
  <c r="AE573" i="4" s="1"/>
  <c r="O573" i="4"/>
  <c r="AD572" i="4"/>
  <c r="AE572" i="4" s="1"/>
  <c r="Z572" i="4"/>
  <c r="O572" i="4"/>
  <c r="AD571" i="4"/>
  <c r="AE571" i="4" s="1"/>
  <c r="O571" i="4"/>
  <c r="AE570" i="4"/>
  <c r="O570" i="4"/>
  <c r="AD569" i="4"/>
  <c r="AE569" i="4" s="1"/>
  <c r="O569" i="4"/>
  <c r="AD568" i="4"/>
  <c r="AE568" i="4" s="1"/>
  <c r="O568" i="4"/>
  <c r="AD567" i="4"/>
  <c r="AE567" i="4" s="1"/>
  <c r="O567" i="4"/>
  <c r="AD566" i="4"/>
  <c r="AE566" i="4" s="1"/>
  <c r="Z566" i="4"/>
  <c r="O566" i="4"/>
  <c r="AD565" i="4"/>
  <c r="AE565" i="4" s="1"/>
  <c r="O565" i="4"/>
  <c r="AE564" i="4"/>
  <c r="O564" i="4"/>
  <c r="AD563" i="4"/>
  <c r="AE563" i="4" s="1"/>
  <c r="O563" i="4"/>
  <c r="AD562" i="4"/>
  <c r="AE562" i="4" s="1"/>
  <c r="O562" i="4"/>
  <c r="AD561" i="4"/>
  <c r="AE561" i="4" s="1"/>
  <c r="O561" i="4"/>
  <c r="AD560" i="4"/>
  <c r="AE560" i="4" s="1"/>
  <c r="O560" i="4"/>
  <c r="AD559" i="4"/>
  <c r="AE559" i="4" s="1"/>
  <c r="O559" i="4"/>
  <c r="AD558" i="4"/>
  <c r="AE558" i="4" s="1"/>
  <c r="O558" i="4"/>
  <c r="AD557" i="4"/>
  <c r="AE557" i="4" s="1"/>
  <c r="O557" i="4"/>
  <c r="AD556" i="4"/>
  <c r="AE556" i="4" s="1"/>
  <c r="O556" i="4"/>
  <c r="AD555" i="4"/>
  <c r="AE555" i="4" s="1"/>
  <c r="O555" i="4"/>
  <c r="AD554" i="4"/>
  <c r="AE554" i="4" s="1"/>
  <c r="O554" i="4"/>
  <c r="AD553" i="4"/>
  <c r="AE553" i="4" s="1"/>
  <c r="O553" i="4"/>
  <c r="AD552" i="4"/>
  <c r="AE552" i="4" s="1"/>
  <c r="O552" i="4"/>
  <c r="AD551" i="4"/>
  <c r="AE551" i="4" s="1"/>
  <c r="O551" i="4"/>
  <c r="AD550" i="4"/>
  <c r="AE550" i="4" s="1"/>
  <c r="O550" i="4"/>
  <c r="AD549" i="4"/>
  <c r="AE549" i="4" s="1"/>
  <c r="O549" i="4"/>
  <c r="AD548" i="4"/>
  <c r="AE548" i="4" s="1"/>
  <c r="O548" i="4"/>
  <c r="AE547" i="4"/>
  <c r="O547" i="4"/>
  <c r="AD546" i="4"/>
  <c r="AE546" i="4" s="1"/>
  <c r="O546" i="4"/>
  <c r="AD545" i="4"/>
  <c r="AE545" i="4" s="1"/>
  <c r="O545" i="4"/>
  <c r="AD544" i="4"/>
  <c r="AE544" i="4" s="1"/>
  <c r="O544" i="4"/>
  <c r="AD543" i="4"/>
  <c r="AE543" i="4" s="1"/>
  <c r="O543" i="4"/>
  <c r="AD542" i="4"/>
  <c r="AE542" i="4" s="1"/>
  <c r="O542" i="4"/>
  <c r="AD541" i="4"/>
  <c r="AE541" i="4" s="1"/>
  <c r="O541" i="4"/>
  <c r="AD540" i="4"/>
  <c r="AE540" i="4" s="1"/>
  <c r="O540" i="4"/>
  <c r="AD539" i="4"/>
  <c r="AE539" i="4" s="1"/>
  <c r="O539" i="4"/>
  <c r="AD538" i="4"/>
  <c r="AE538" i="4" s="1"/>
  <c r="O538" i="4"/>
  <c r="AD537" i="4"/>
  <c r="AE537" i="4" s="1"/>
  <c r="O537" i="4"/>
  <c r="AE536" i="4"/>
  <c r="O536" i="4"/>
  <c r="AD535" i="4"/>
  <c r="AE535" i="4" s="1"/>
  <c r="O535" i="4"/>
  <c r="AD534" i="4"/>
  <c r="AE534" i="4" s="1"/>
  <c r="O534" i="4"/>
  <c r="AD533" i="4"/>
  <c r="AE533" i="4" s="1"/>
  <c r="O533" i="4"/>
  <c r="AD532" i="4"/>
  <c r="AE532" i="4" s="1"/>
  <c r="O532" i="4"/>
  <c r="AD531" i="4"/>
  <c r="AE531" i="4" s="1"/>
  <c r="O531" i="4"/>
  <c r="AD530" i="4"/>
  <c r="AE530" i="4" s="1"/>
  <c r="O530" i="4"/>
  <c r="AD529" i="4"/>
  <c r="AE529" i="4" s="1"/>
  <c r="O529" i="4"/>
  <c r="AD528" i="4"/>
  <c r="AE528" i="4" s="1"/>
  <c r="O528" i="4"/>
  <c r="AD527" i="4"/>
  <c r="AE527" i="4" s="1"/>
  <c r="O527" i="4"/>
  <c r="AD526" i="4"/>
  <c r="AE526" i="4" s="1"/>
  <c r="O526" i="4"/>
  <c r="AD525" i="4"/>
  <c r="AE525" i="4" s="1"/>
  <c r="O525" i="4"/>
  <c r="AE524" i="4"/>
  <c r="O524" i="4"/>
  <c r="AD523" i="4"/>
  <c r="AE523" i="4" s="1"/>
  <c r="O523" i="4"/>
  <c r="AD522" i="4"/>
  <c r="AE522" i="4" s="1"/>
  <c r="O522" i="4"/>
  <c r="AD521" i="4"/>
  <c r="AE521" i="4" s="1"/>
  <c r="O521" i="4"/>
  <c r="AE520" i="4"/>
  <c r="O520" i="4"/>
  <c r="AD519" i="4"/>
  <c r="AE519" i="4" s="1"/>
  <c r="O519" i="4"/>
  <c r="AD518" i="4"/>
  <c r="AE518" i="4" s="1"/>
  <c r="O518" i="4"/>
  <c r="AD517" i="4"/>
  <c r="AE517" i="4" s="1"/>
  <c r="O517" i="4"/>
  <c r="AD516" i="4"/>
  <c r="AE516" i="4" s="1"/>
  <c r="O516" i="4"/>
  <c r="W516" i="4" s="1"/>
  <c r="AD515" i="4"/>
  <c r="AE515" i="4" s="1"/>
  <c r="O515" i="4"/>
  <c r="AD514" i="4"/>
  <c r="AE514" i="4" s="1"/>
  <c r="O514" i="4"/>
  <c r="AE513" i="4"/>
  <c r="O513" i="4"/>
  <c r="AD512" i="4"/>
  <c r="AE512" i="4" s="1"/>
  <c r="O512" i="4"/>
  <c r="AD511" i="4"/>
  <c r="AE511" i="4" s="1"/>
  <c r="O511" i="4"/>
  <c r="AD510" i="4"/>
  <c r="AE510" i="4" s="1"/>
  <c r="O510" i="4"/>
  <c r="AD509" i="4"/>
  <c r="AE509" i="4" s="1"/>
  <c r="O509" i="4"/>
  <c r="AD508" i="4"/>
  <c r="AE508" i="4" s="1"/>
  <c r="O508" i="4"/>
  <c r="AD507" i="4"/>
  <c r="AE507" i="4" s="1"/>
  <c r="O507" i="4"/>
  <c r="AD506" i="4"/>
  <c r="AE506" i="4" s="1"/>
  <c r="O506" i="4"/>
  <c r="AD505" i="4"/>
  <c r="AE505" i="4" s="1"/>
  <c r="O505" i="4"/>
  <c r="AD504" i="4"/>
  <c r="AE504" i="4" s="1"/>
  <c r="O504" i="4"/>
  <c r="AD503" i="4"/>
  <c r="AE503" i="4" s="1"/>
  <c r="O503" i="4"/>
  <c r="AD502" i="4"/>
  <c r="AE502" i="4" s="1"/>
  <c r="O502" i="4"/>
  <c r="AD501" i="4"/>
  <c r="AE501" i="4" s="1"/>
  <c r="O501" i="4"/>
  <c r="AE500" i="4"/>
  <c r="O500" i="4"/>
  <c r="AD499" i="4"/>
  <c r="AE499" i="4" s="1"/>
  <c r="O499" i="4"/>
  <c r="AD498" i="4"/>
  <c r="AE498" i="4" s="1"/>
  <c r="O498" i="4"/>
  <c r="AD497" i="4"/>
  <c r="AE497" i="4" s="1"/>
  <c r="O497" i="4"/>
  <c r="AE496" i="4"/>
  <c r="O496" i="4"/>
  <c r="AD495" i="4"/>
  <c r="AE495" i="4" s="1"/>
  <c r="O495" i="4"/>
  <c r="AD494" i="4"/>
  <c r="AE494" i="4" s="1"/>
  <c r="O494" i="4"/>
  <c r="AD493" i="4"/>
  <c r="AE493" i="4" s="1"/>
  <c r="O493" i="4"/>
  <c r="AD492" i="4"/>
  <c r="AE492" i="4" s="1"/>
  <c r="O492" i="4"/>
  <c r="AD491" i="4"/>
  <c r="AE491" i="4" s="1"/>
  <c r="O491" i="4"/>
  <c r="AD490" i="4"/>
  <c r="AE490" i="4" s="1"/>
  <c r="O490" i="4"/>
  <c r="AD489" i="4"/>
  <c r="AE489" i="4" s="1"/>
  <c r="O489" i="4"/>
  <c r="AE488" i="4"/>
  <c r="O488" i="4"/>
  <c r="AD487" i="4"/>
  <c r="AE487" i="4" s="1"/>
  <c r="O487" i="4"/>
  <c r="AD486" i="4"/>
  <c r="AE486" i="4" s="1"/>
  <c r="O486" i="4"/>
  <c r="AD485" i="4"/>
  <c r="AE485" i="4" s="1"/>
  <c r="Z485" i="4"/>
  <c r="O485" i="4"/>
  <c r="AD484" i="4"/>
  <c r="AE484" i="4" s="1"/>
  <c r="O484" i="4"/>
  <c r="AD483" i="4"/>
  <c r="AE483" i="4" s="1"/>
  <c r="O483" i="4"/>
  <c r="AD482" i="4"/>
  <c r="AE482" i="4" s="1"/>
  <c r="O482" i="4"/>
  <c r="AD481" i="4"/>
  <c r="AE481" i="4" s="1"/>
  <c r="O481" i="4"/>
  <c r="AD480" i="4"/>
  <c r="AE480" i="4" s="1"/>
  <c r="O480" i="4"/>
  <c r="AD479" i="4"/>
  <c r="AE479" i="4" s="1"/>
  <c r="O479" i="4"/>
  <c r="AD478" i="4"/>
  <c r="AE478" i="4" s="1"/>
  <c r="O478" i="4"/>
  <c r="AD477" i="4"/>
  <c r="AE477" i="4" s="1"/>
  <c r="O477" i="4"/>
  <c r="AD476" i="4"/>
  <c r="AE476" i="4" s="1"/>
  <c r="O476" i="4"/>
  <c r="AE475" i="4"/>
  <c r="O475" i="4"/>
  <c r="AD474" i="4"/>
  <c r="AE474" i="4" s="1"/>
  <c r="O474" i="4"/>
  <c r="AD473" i="4"/>
  <c r="AE473" i="4" s="1"/>
  <c r="O473" i="4"/>
  <c r="AE472" i="4"/>
  <c r="O472" i="4"/>
  <c r="AD471" i="4"/>
  <c r="AE471" i="4" s="1"/>
  <c r="O471" i="4"/>
  <c r="AD470" i="4"/>
  <c r="AE470" i="4" s="1"/>
  <c r="O470" i="4"/>
  <c r="AD469" i="4"/>
  <c r="AE469" i="4" s="1"/>
  <c r="O469" i="4"/>
  <c r="AD468" i="4"/>
  <c r="AE468" i="4" s="1"/>
  <c r="O468" i="4"/>
  <c r="AD467" i="4"/>
  <c r="AE467" i="4" s="1"/>
  <c r="O467" i="4"/>
  <c r="AD466" i="4"/>
  <c r="AE466" i="4" s="1"/>
  <c r="O466" i="4"/>
  <c r="AD465" i="4"/>
  <c r="AE465" i="4" s="1"/>
  <c r="O465" i="4"/>
  <c r="AE464" i="4"/>
  <c r="O464" i="4"/>
  <c r="AD463" i="4"/>
  <c r="AE463" i="4" s="1"/>
  <c r="O463" i="4"/>
  <c r="AD462" i="4"/>
  <c r="AE462" i="4" s="1"/>
  <c r="O462" i="4"/>
  <c r="AE461" i="4"/>
  <c r="O461" i="4"/>
  <c r="AD460" i="4"/>
  <c r="AE460" i="4" s="1"/>
  <c r="O460" i="4"/>
  <c r="AD459" i="4"/>
  <c r="AE459" i="4" s="1"/>
  <c r="O459" i="4"/>
  <c r="AD458" i="4"/>
  <c r="AE458" i="4" s="1"/>
  <c r="O458" i="4"/>
  <c r="AD457" i="4"/>
  <c r="AE457" i="4" s="1"/>
  <c r="O457" i="4"/>
  <c r="AD456" i="4"/>
  <c r="AE456" i="4" s="1"/>
  <c r="O456" i="4"/>
  <c r="AE455" i="4"/>
  <c r="O455" i="4"/>
  <c r="AD454" i="4"/>
  <c r="AE454" i="4" s="1"/>
  <c r="O454" i="4"/>
  <c r="AD453" i="4"/>
  <c r="AE453" i="4" s="1"/>
  <c r="O453" i="4"/>
  <c r="AD452" i="4"/>
  <c r="AE452" i="4" s="1"/>
  <c r="O452" i="4"/>
  <c r="AE451" i="4"/>
  <c r="O451" i="4"/>
  <c r="AD450" i="4"/>
  <c r="AE450" i="4" s="1"/>
  <c r="O450" i="4"/>
  <c r="AD449" i="4"/>
  <c r="AE449" i="4" s="1"/>
  <c r="O449" i="4"/>
  <c r="AD448" i="4"/>
  <c r="AE448" i="4" s="1"/>
  <c r="O448" i="4"/>
  <c r="AD447" i="4"/>
  <c r="AE447" i="4" s="1"/>
  <c r="O447" i="4"/>
  <c r="AD446" i="4"/>
  <c r="AE446" i="4" s="1"/>
  <c r="O446" i="4"/>
  <c r="AD445" i="4"/>
  <c r="AE445" i="4" s="1"/>
  <c r="O445" i="4"/>
  <c r="AD444" i="4"/>
  <c r="AE444" i="4" s="1"/>
  <c r="O444" i="4"/>
  <c r="AD443" i="4"/>
  <c r="AE443" i="4" s="1"/>
  <c r="O443" i="4"/>
  <c r="AD442" i="4"/>
  <c r="AE442" i="4" s="1"/>
  <c r="O442" i="4"/>
  <c r="AD441" i="4"/>
  <c r="AE441" i="4" s="1"/>
  <c r="O441" i="4"/>
  <c r="AD440" i="4"/>
  <c r="AE440" i="4" s="1"/>
  <c r="O440" i="4"/>
  <c r="AD439" i="4"/>
  <c r="AE439" i="4" s="1"/>
  <c r="O439" i="4"/>
  <c r="AD438" i="4"/>
  <c r="AE438" i="4" s="1"/>
  <c r="O438" i="4"/>
  <c r="AE437" i="4"/>
  <c r="O437" i="4"/>
  <c r="AD436" i="4"/>
  <c r="AE436" i="4" s="1"/>
  <c r="O436" i="4"/>
  <c r="AD435" i="4"/>
  <c r="AE435" i="4" s="1"/>
  <c r="O435" i="4"/>
  <c r="AD434" i="4"/>
  <c r="AE434" i="4" s="1"/>
  <c r="O434" i="4"/>
  <c r="AE433" i="4"/>
  <c r="O433" i="4"/>
  <c r="AD432" i="4"/>
  <c r="AE432" i="4" s="1"/>
  <c r="O432" i="4"/>
  <c r="AD431" i="4"/>
  <c r="AE431" i="4" s="1"/>
  <c r="O431" i="4"/>
  <c r="AD430" i="4"/>
  <c r="AE430" i="4" s="1"/>
  <c r="O430" i="4"/>
  <c r="AE429" i="4"/>
  <c r="O429" i="4"/>
  <c r="AD428" i="4"/>
  <c r="AE428" i="4" s="1"/>
  <c r="O428" i="4"/>
  <c r="W428" i="4" s="1"/>
  <c r="AD427" i="4"/>
  <c r="AE427" i="4" s="1"/>
  <c r="O427" i="4"/>
  <c r="AD426" i="4"/>
  <c r="AE426" i="4" s="1"/>
  <c r="O426" i="4"/>
  <c r="AD425" i="4"/>
  <c r="AE425" i="4" s="1"/>
  <c r="O425" i="4"/>
  <c r="AD424" i="4"/>
  <c r="AE424" i="4" s="1"/>
  <c r="O424" i="4"/>
  <c r="AD423" i="4"/>
  <c r="AE423" i="4" s="1"/>
  <c r="O423" i="4"/>
  <c r="AD422" i="4"/>
  <c r="AE422" i="4" s="1"/>
  <c r="O422" i="4"/>
  <c r="AD421" i="4"/>
  <c r="AE421" i="4" s="1"/>
  <c r="O421" i="4"/>
  <c r="AD420" i="4"/>
  <c r="AE420" i="4" s="1"/>
  <c r="O420" i="4"/>
  <c r="AD419" i="4"/>
  <c r="AE419" i="4" s="1"/>
  <c r="O419" i="4"/>
  <c r="AD418" i="4"/>
  <c r="AE418" i="4" s="1"/>
  <c r="O418" i="4"/>
  <c r="AD417" i="4"/>
  <c r="AE417" i="4" s="1"/>
  <c r="O417" i="4"/>
  <c r="AD416" i="4"/>
  <c r="AE416" i="4" s="1"/>
  <c r="O416" i="4"/>
  <c r="AD415" i="4"/>
  <c r="AE415" i="4" s="1"/>
  <c r="O415" i="4"/>
  <c r="AD414" i="4"/>
  <c r="AE414" i="4" s="1"/>
  <c r="O414" i="4"/>
  <c r="AE413" i="4"/>
  <c r="O413" i="4"/>
  <c r="AD412" i="4"/>
  <c r="AE412" i="4" s="1"/>
  <c r="O412" i="4"/>
  <c r="AD411" i="4"/>
  <c r="AE411" i="4" s="1"/>
  <c r="O411" i="4"/>
  <c r="AD410" i="4"/>
  <c r="AE410" i="4" s="1"/>
  <c r="O410" i="4"/>
  <c r="AD409" i="4"/>
  <c r="AE409" i="4" s="1"/>
  <c r="O409" i="4"/>
  <c r="AE408" i="4"/>
  <c r="O408" i="4"/>
  <c r="AD407" i="4"/>
  <c r="AE407" i="4" s="1"/>
  <c r="O407" i="4"/>
  <c r="AD406" i="4"/>
  <c r="AE406" i="4" s="1"/>
  <c r="O406" i="4"/>
  <c r="AD405" i="4"/>
  <c r="AE405" i="4" s="1"/>
  <c r="O405" i="4"/>
  <c r="AE404" i="4"/>
  <c r="O404" i="4"/>
  <c r="AD403" i="4"/>
  <c r="AE403" i="4" s="1"/>
  <c r="O403" i="4"/>
  <c r="AD402" i="4"/>
  <c r="AE402" i="4" s="1"/>
  <c r="O402" i="4"/>
  <c r="AD401" i="4"/>
  <c r="AE401" i="4" s="1"/>
  <c r="O401" i="4"/>
  <c r="AD400" i="4"/>
  <c r="AE400" i="4" s="1"/>
  <c r="O400" i="4"/>
  <c r="AD399" i="4"/>
  <c r="AE399" i="4" s="1"/>
  <c r="O399" i="4"/>
  <c r="AD398" i="4"/>
  <c r="AE398" i="4" s="1"/>
  <c r="O398" i="4"/>
  <c r="AD397" i="4"/>
  <c r="AE397" i="4" s="1"/>
  <c r="O397" i="4"/>
  <c r="AD396" i="4"/>
  <c r="AE396" i="4" s="1"/>
  <c r="O396" i="4"/>
  <c r="AD395" i="4"/>
  <c r="AE395" i="4" s="1"/>
  <c r="O395" i="4"/>
  <c r="AD394" i="4"/>
  <c r="AE394" i="4" s="1"/>
  <c r="O394" i="4"/>
  <c r="AD393" i="4"/>
  <c r="AE393" i="4" s="1"/>
  <c r="O393" i="4"/>
  <c r="AD392" i="4"/>
  <c r="AE392" i="4" s="1"/>
  <c r="O392" i="4"/>
  <c r="AE391" i="4"/>
  <c r="O391" i="4"/>
  <c r="AD390" i="4"/>
  <c r="AE390" i="4" s="1"/>
  <c r="O390" i="4"/>
  <c r="AD389" i="4"/>
  <c r="AE389" i="4" s="1"/>
  <c r="O389" i="4"/>
  <c r="AD388" i="4"/>
  <c r="AE388" i="4" s="1"/>
  <c r="O388" i="4"/>
  <c r="AD387" i="4"/>
  <c r="AE387" i="4" s="1"/>
  <c r="O387" i="4"/>
  <c r="AD386" i="4"/>
  <c r="AE386" i="4" s="1"/>
  <c r="O386" i="4"/>
  <c r="AD385" i="4"/>
  <c r="AE385" i="4" s="1"/>
  <c r="O385" i="4"/>
  <c r="AE384" i="4"/>
  <c r="O384" i="4"/>
  <c r="AD383" i="4"/>
  <c r="AE383" i="4" s="1"/>
  <c r="O383" i="4"/>
  <c r="AD382" i="4"/>
  <c r="AE382" i="4" s="1"/>
  <c r="O382" i="4"/>
  <c r="AD381" i="4"/>
  <c r="AE381" i="4" s="1"/>
  <c r="O381" i="4"/>
  <c r="AE380" i="4"/>
  <c r="O380" i="4"/>
  <c r="AD379" i="4"/>
  <c r="AE379" i="4" s="1"/>
  <c r="O379" i="4"/>
  <c r="AD378" i="4"/>
  <c r="AE378" i="4" s="1"/>
  <c r="O378" i="4"/>
  <c r="AD377" i="4"/>
  <c r="AE377" i="4" s="1"/>
  <c r="O377" i="4"/>
  <c r="AD376" i="4"/>
  <c r="AE376" i="4" s="1"/>
  <c r="O376" i="4"/>
  <c r="AD375" i="4"/>
  <c r="AE375" i="4" s="1"/>
  <c r="O375" i="4"/>
  <c r="AD374" i="4"/>
  <c r="AE374" i="4" s="1"/>
  <c r="O374" i="4"/>
  <c r="AD373" i="4"/>
  <c r="AE373" i="4" s="1"/>
  <c r="O373" i="4"/>
  <c r="AD372" i="4"/>
  <c r="AE372" i="4" s="1"/>
  <c r="O372" i="4"/>
  <c r="AD371" i="4"/>
  <c r="AE371" i="4" s="1"/>
  <c r="O371" i="4"/>
  <c r="AD370" i="4"/>
  <c r="AE370" i="4" s="1"/>
  <c r="O370" i="4"/>
  <c r="AE369" i="4"/>
  <c r="O369" i="4"/>
  <c r="AD368" i="4"/>
  <c r="AE368" i="4" s="1"/>
  <c r="O368" i="4"/>
  <c r="AD367" i="4"/>
  <c r="AE367" i="4" s="1"/>
  <c r="O367" i="4"/>
  <c r="AD366" i="4"/>
  <c r="AE366" i="4" s="1"/>
  <c r="O366" i="4"/>
  <c r="AD365" i="4"/>
  <c r="AE365" i="4" s="1"/>
  <c r="Z365" i="4"/>
  <c r="O365" i="4"/>
  <c r="AD364" i="4"/>
  <c r="AE364" i="4" s="1"/>
  <c r="O364" i="4"/>
  <c r="AE363" i="4"/>
  <c r="O363" i="4"/>
  <c r="AD362" i="4"/>
  <c r="AE362" i="4" s="1"/>
  <c r="O362" i="4"/>
  <c r="AD361" i="4"/>
  <c r="AE361" i="4" s="1"/>
  <c r="O361" i="4"/>
  <c r="AD360" i="4"/>
  <c r="AE360" i="4" s="1"/>
  <c r="O360" i="4"/>
  <c r="AE359" i="4"/>
  <c r="O359" i="4"/>
  <c r="AD358" i="4"/>
  <c r="AE358" i="4" s="1"/>
  <c r="O358" i="4"/>
  <c r="AD357" i="4"/>
  <c r="AE357" i="4" s="1"/>
  <c r="O357" i="4"/>
  <c r="AD356" i="4"/>
  <c r="AE356" i="4" s="1"/>
  <c r="O356" i="4"/>
  <c r="AD355" i="4"/>
  <c r="AE355" i="4" s="1"/>
  <c r="O355" i="4"/>
  <c r="AD354" i="4"/>
  <c r="AE354" i="4" s="1"/>
  <c r="O354" i="4"/>
  <c r="AD353" i="4"/>
  <c r="AE353" i="4" s="1"/>
  <c r="O353" i="4"/>
  <c r="AD352" i="4"/>
  <c r="AE352" i="4" s="1"/>
  <c r="O352" i="4"/>
  <c r="AD351" i="4"/>
  <c r="AE351" i="4" s="1"/>
  <c r="O351" i="4"/>
  <c r="AD350" i="4"/>
  <c r="AE350" i="4" s="1"/>
  <c r="O350" i="4"/>
  <c r="AD349" i="4"/>
  <c r="AE349" i="4" s="1"/>
  <c r="O349" i="4"/>
  <c r="AD348" i="4"/>
  <c r="AE348" i="4" s="1"/>
  <c r="O348" i="4"/>
  <c r="AD347" i="4"/>
  <c r="AE347" i="4" s="1"/>
  <c r="O347" i="4"/>
  <c r="AE346" i="4"/>
  <c r="O346" i="4"/>
  <c r="AD345" i="4"/>
  <c r="AE345" i="4" s="1"/>
  <c r="O345" i="4"/>
  <c r="AD344" i="4"/>
  <c r="AE344" i="4" s="1"/>
  <c r="O344" i="4"/>
  <c r="AD343" i="4"/>
  <c r="AE343" i="4" s="1"/>
  <c r="O343" i="4"/>
  <c r="AD342" i="4"/>
  <c r="AE342" i="4" s="1"/>
  <c r="O342" i="4"/>
  <c r="AD341" i="4"/>
  <c r="AE341" i="4" s="1"/>
  <c r="O341" i="4"/>
  <c r="AE340" i="4"/>
  <c r="O340" i="4"/>
  <c r="AD339" i="4"/>
  <c r="AE339" i="4" s="1"/>
  <c r="O339" i="4"/>
  <c r="AD338" i="4"/>
  <c r="AE338" i="4" s="1"/>
  <c r="O338" i="4"/>
  <c r="AD337" i="4"/>
  <c r="AE337" i="4" s="1"/>
  <c r="O337" i="4"/>
  <c r="AE336" i="4"/>
  <c r="O336" i="4"/>
  <c r="AD335" i="4"/>
  <c r="AE335" i="4" s="1"/>
  <c r="O335" i="4"/>
  <c r="AD334" i="4"/>
  <c r="AE334" i="4" s="1"/>
  <c r="O334" i="4"/>
  <c r="AD333" i="4"/>
  <c r="AE333" i="4" s="1"/>
  <c r="O333" i="4"/>
  <c r="AD332" i="4"/>
  <c r="AE332" i="4" s="1"/>
  <c r="O332" i="4"/>
  <c r="AD331" i="4"/>
  <c r="AE331" i="4" s="1"/>
  <c r="O331" i="4"/>
  <c r="AD330" i="4"/>
  <c r="AE330" i="4" s="1"/>
  <c r="O330" i="4"/>
  <c r="AD329" i="4"/>
  <c r="AE329" i="4" s="1"/>
  <c r="O329" i="4"/>
  <c r="AD328" i="4"/>
  <c r="AE328" i="4" s="1"/>
  <c r="O328" i="4"/>
  <c r="AD327" i="4"/>
  <c r="AE327" i="4" s="1"/>
  <c r="O327" i="4"/>
  <c r="AD326" i="4"/>
  <c r="AE326" i="4" s="1"/>
  <c r="O326" i="4"/>
  <c r="AD325" i="4"/>
  <c r="AE325" i="4" s="1"/>
  <c r="O325" i="4"/>
  <c r="AD324" i="4"/>
  <c r="AE324" i="4" s="1"/>
  <c r="O324" i="4"/>
  <c r="AD323" i="4"/>
  <c r="AE323" i="4" s="1"/>
  <c r="O323" i="4"/>
  <c r="AD322" i="4"/>
  <c r="AE322" i="4" s="1"/>
  <c r="O322" i="4"/>
  <c r="AD321" i="4"/>
  <c r="AE321" i="4" s="1"/>
  <c r="O321" i="4"/>
  <c r="AD320" i="4"/>
  <c r="AE320" i="4" s="1"/>
  <c r="O320" i="4"/>
  <c r="AD319" i="4"/>
  <c r="AE319" i="4" s="1"/>
  <c r="O319" i="4"/>
  <c r="AE318" i="4"/>
  <c r="O318" i="4"/>
  <c r="AD317" i="4"/>
  <c r="AE317" i="4" s="1"/>
  <c r="O317" i="4"/>
  <c r="AD316" i="4"/>
  <c r="AE316" i="4" s="1"/>
  <c r="O316" i="4"/>
  <c r="AD315" i="4"/>
  <c r="AE315" i="4" s="1"/>
  <c r="O315" i="4"/>
  <c r="AE314" i="4"/>
  <c r="O314" i="4"/>
  <c r="AD313" i="4"/>
  <c r="AE313" i="4" s="1"/>
  <c r="O313" i="4"/>
  <c r="AD312" i="4"/>
  <c r="AE312" i="4" s="1"/>
  <c r="O312" i="4"/>
  <c r="AD311" i="4"/>
  <c r="AE311" i="4" s="1"/>
  <c r="O311" i="4"/>
  <c r="AD310" i="4"/>
  <c r="AE310" i="4" s="1"/>
  <c r="O310" i="4"/>
  <c r="AD309" i="4"/>
  <c r="AE309" i="4" s="1"/>
  <c r="O309" i="4"/>
  <c r="AD308" i="4"/>
  <c r="AE308" i="4" s="1"/>
  <c r="O308" i="4"/>
  <c r="AD307" i="4"/>
  <c r="AE307" i="4" s="1"/>
  <c r="O307" i="4"/>
  <c r="AD306" i="4"/>
  <c r="AE306" i="4" s="1"/>
  <c r="O306" i="4"/>
  <c r="AD305" i="4"/>
  <c r="AE305" i="4" s="1"/>
  <c r="O305" i="4"/>
  <c r="AD304" i="4"/>
  <c r="AE304" i="4" s="1"/>
  <c r="O304" i="4"/>
  <c r="AD303" i="4"/>
  <c r="AE303" i="4" s="1"/>
  <c r="O303" i="4"/>
  <c r="AD302" i="4"/>
  <c r="AE302" i="4" s="1"/>
  <c r="O302" i="4"/>
  <c r="AD301" i="4"/>
  <c r="AE301" i="4" s="1"/>
  <c r="O301" i="4"/>
  <c r="AD300" i="4"/>
  <c r="AE300" i="4" s="1"/>
  <c r="O300" i="4"/>
  <c r="AD299" i="4"/>
  <c r="AE299" i="4" s="1"/>
  <c r="O299" i="4"/>
  <c r="AE298" i="4"/>
  <c r="O298" i="4"/>
  <c r="AD297" i="4"/>
  <c r="AE297" i="4" s="1"/>
  <c r="O297" i="4"/>
  <c r="AE296" i="4"/>
  <c r="O296" i="4"/>
  <c r="AD295" i="4"/>
  <c r="AE295" i="4" s="1"/>
  <c r="O295" i="4"/>
  <c r="AD294" i="4"/>
  <c r="AE294" i="4" s="1"/>
  <c r="O294" i="4"/>
  <c r="AD293" i="4"/>
  <c r="AE293" i="4" s="1"/>
  <c r="O293" i="4"/>
  <c r="AD292" i="4"/>
  <c r="AE292" i="4" s="1"/>
  <c r="O292" i="4"/>
  <c r="AD291" i="4"/>
  <c r="AE291" i="4" s="1"/>
  <c r="O291" i="4"/>
  <c r="AD290" i="4"/>
  <c r="AE290" i="4" s="1"/>
  <c r="O290" i="4"/>
  <c r="AD289" i="4"/>
  <c r="AE289" i="4" s="1"/>
  <c r="O289" i="4"/>
  <c r="AD288" i="4"/>
  <c r="AE288" i="4" s="1"/>
  <c r="O288" i="4"/>
  <c r="AD287" i="4"/>
  <c r="AE287" i="4" s="1"/>
  <c r="O287" i="4"/>
  <c r="AD286" i="4"/>
  <c r="AE286" i="4" s="1"/>
  <c r="O286" i="4"/>
  <c r="AD285" i="4"/>
  <c r="AE285" i="4" s="1"/>
  <c r="O285" i="4"/>
  <c r="AD284" i="4"/>
  <c r="AE284" i="4" s="1"/>
  <c r="O284" i="4"/>
  <c r="AD283" i="4"/>
  <c r="AE283" i="4" s="1"/>
  <c r="O283" i="4"/>
  <c r="AD282" i="4"/>
  <c r="AE282" i="4" s="1"/>
  <c r="O282" i="4"/>
  <c r="AE281" i="4"/>
  <c r="O281" i="4"/>
  <c r="AD280" i="4"/>
  <c r="AE280" i="4" s="1"/>
  <c r="O280" i="4"/>
  <c r="AE279" i="4"/>
  <c r="O279" i="4"/>
  <c r="AD278" i="4"/>
  <c r="AE278" i="4" s="1"/>
  <c r="O278" i="4"/>
  <c r="AD277" i="4"/>
  <c r="AE277" i="4" s="1"/>
  <c r="O277" i="4"/>
  <c r="AD276" i="4"/>
  <c r="AE276" i="4" s="1"/>
  <c r="O276" i="4"/>
  <c r="AD275" i="4"/>
  <c r="AE275" i="4" s="1"/>
  <c r="O275" i="4"/>
  <c r="AD274" i="4"/>
  <c r="AE274" i="4" s="1"/>
  <c r="O274" i="4"/>
  <c r="AD273" i="4"/>
  <c r="AE273" i="4" s="1"/>
  <c r="O273" i="4"/>
  <c r="AD272" i="4"/>
  <c r="AE272" i="4" s="1"/>
  <c r="O272" i="4"/>
  <c r="AD271" i="4"/>
  <c r="AE271" i="4" s="1"/>
  <c r="O271" i="4"/>
  <c r="AD270" i="4"/>
  <c r="AE270" i="4" s="1"/>
  <c r="O270" i="4"/>
  <c r="AD269" i="4"/>
  <c r="AE269" i="4" s="1"/>
  <c r="O269" i="4"/>
  <c r="AD268" i="4"/>
  <c r="AE268" i="4" s="1"/>
  <c r="O268" i="4"/>
  <c r="AD267" i="4"/>
  <c r="AE267" i="4" s="1"/>
  <c r="O267" i="4"/>
  <c r="AE266" i="4"/>
  <c r="O266" i="4"/>
  <c r="AD265" i="4"/>
  <c r="AE265" i="4" s="1"/>
  <c r="O265" i="4"/>
  <c r="AD264" i="4"/>
  <c r="AE264" i="4" s="1"/>
  <c r="O264" i="4"/>
  <c r="AE263" i="4"/>
  <c r="O263" i="4"/>
  <c r="AD262" i="4"/>
  <c r="AE262" i="4" s="1"/>
  <c r="O262" i="4"/>
  <c r="AE261" i="4"/>
  <c r="O261" i="4"/>
  <c r="AD260" i="4"/>
  <c r="AE260" i="4" s="1"/>
  <c r="O260" i="4"/>
  <c r="AD259" i="4"/>
  <c r="AE259" i="4" s="1"/>
  <c r="O259" i="4"/>
  <c r="AD258" i="4"/>
  <c r="AE258" i="4" s="1"/>
  <c r="O258" i="4"/>
  <c r="AD257" i="4"/>
  <c r="AE257" i="4" s="1"/>
  <c r="O257" i="4"/>
  <c r="AD256" i="4"/>
  <c r="AE256" i="4" s="1"/>
  <c r="O256" i="4"/>
  <c r="AD255" i="4"/>
  <c r="AE255" i="4" s="1"/>
  <c r="O255" i="4"/>
  <c r="AD254" i="4"/>
  <c r="AE254" i="4" s="1"/>
  <c r="O254" i="4"/>
  <c r="AD253" i="4"/>
  <c r="AE253" i="4" s="1"/>
  <c r="O253" i="4"/>
  <c r="W253" i="4" s="1"/>
  <c r="AD252" i="4"/>
  <c r="AE252" i="4" s="1"/>
  <c r="O252" i="4"/>
  <c r="AD251" i="4"/>
  <c r="AE251" i="4" s="1"/>
  <c r="O251" i="4"/>
  <c r="AD250" i="4"/>
  <c r="AE250" i="4" s="1"/>
  <c r="O250" i="4"/>
  <c r="AD249" i="4"/>
  <c r="AE249" i="4" s="1"/>
  <c r="O249" i="4"/>
  <c r="AE248" i="4"/>
  <c r="O248" i="4"/>
  <c r="AD247" i="4"/>
  <c r="AE247" i="4" s="1"/>
  <c r="O247" i="4"/>
  <c r="AD246" i="4"/>
  <c r="AE246" i="4" s="1"/>
  <c r="O246" i="4"/>
  <c r="AE245" i="4"/>
  <c r="O245" i="4"/>
  <c r="AD244" i="4"/>
  <c r="AE244" i="4" s="1"/>
  <c r="O244" i="4"/>
  <c r="AE243" i="4"/>
  <c r="O243" i="4"/>
  <c r="AD242" i="4"/>
  <c r="AE242" i="4" s="1"/>
  <c r="O242" i="4"/>
  <c r="AD241" i="4"/>
  <c r="AE241" i="4" s="1"/>
  <c r="O241" i="4"/>
  <c r="AD240" i="4"/>
  <c r="AE240" i="4" s="1"/>
  <c r="O240" i="4"/>
  <c r="AD239" i="4"/>
  <c r="AE239" i="4" s="1"/>
  <c r="O239" i="4"/>
  <c r="AD238" i="4"/>
  <c r="AE238" i="4" s="1"/>
  <c r="O238" i="4"/>
  <c r="AD237" i="4"/>
  <c r="AE237" i="4" s="1"/>
  <c r="O237" i="4"/>
  <c r="AD236" i="4"/>
  <c r="AE236" i="4" s="1"/>
  <c r="O236" i="4"/>
  <c r="AD235" i="4"/>
  <c r="AE235" i="4" s="1"/>
  <c r="O235" i="4"/>
  <c r="AD234" i="4"/>
  <c r="AE234" i="4" s="1"/>
  <c r="O234" i="4"/>
  <c r="AD233" i="4"/>
  <c r="AE233" i="4" s="1"/>
  <c r="O233" i="4"/>
  <c r="AD232" i="4"/>
  <c r="AE232" i="4" s="1"/>
  <c r="O232" i="4"/>
  <c r="AD231" i="4"/>
  <c r="AE231" i="4" s="1"/>
  <c r="O231" i="4"/>
  <c r="AD230" i="4"/>
  <c r="AE230" i="4" s="1"/>
  <c r="O230" i="4"/>
  <c r="AE229" i="4"/>
  <c r="O229" i="4"/>
  <c r="AD228" i="4"/>
  <c r="AE228" i="4" s="1"/>
  <c r="O228" i="4"/>
  <c r="AD227" i="4"/>
  <c r="AE227" i="4" s="1"/>
  <c r="O227" i="4"/>
  <c r="AE226" i="4"/>
  <c r="O226" i="4"/>
  <c r="AD225" i="4"/>
  <c r="AE225" i="4" s="1"/>
  <c r="O225" i="4"/>
  <c r="AE224" i="4"/>
  <c r="O224" i="4"/>
  <c r="AD223" i="4"/>
  <c r="AE223" i="4" s="1"/>
  <c r="O223" i="4"/>
  <c r="AD222" i="4"/>
  <c r="AE222" i="4" s="1"/>
  <c r="O222" i="4"/>
  <c r="AD221" i="4"/>
  <c r="AE221" i="4" s="1"/>
  <c r="O221" i="4"/>
  <c r="AD220" i="4"/>
  <c r="AE220" i="4" s="1"/>
  <c r="O220" i="4"/>
  <c r="AD219" i="4"/>
  <c r="AE219" i="4" s="1"/>
  <c r="O219" i="4"/>
  <c r="AD218" i="4"/>
  <c r="AE218" i="4" s="1"/>
  <c r="O218" i="4"/>
  <c r="AD217" i="4"/>
  <c r="AE217" i="4" s="1"/>
  <c r="O217" i="4"/>
  <c r="AD216" i="4"/>
  <c r="AE216" i="4" s="1"/>
  <c r="O216" i="4"/>
  <c r="AD215" i="4"/>
  <c r="AE215" i="4" s="1"/>
  <c r="O215" i="4"/>
  <c r="AD214" i="4"/>
  <c r="AE214" i="4" s="1"/>
  <c r="O214" i="4"/>
  <c r="AD213" i="4"/>
  <c r="AE213" i="4" s="1"/>
  <c r="O213" i="4"/>
  <c r="AE212" i="4"/>
  <c r="O212" i="4"/>
  <c r="AD211" i="4"/>
  <c r="AE211" i="4" s="1"/>
  <c r="O211" i="4"/>
  <c r="AD210" i="4"/>
  <c r="AE210" i="4" s="1"/>
  <c r="O210" i="4"/>
  <c r="AD209" i="4"/>
  <c r="AE209" i="4" s="1"/>
  <c r="O209" i="4"/>
  <c r="AE208" i="4"/>
  <c r="O208" i="4"/>
  <c r="AD207" i="4"/>
  <c r="AE207" i="4" s="1"/>
  <c r="O207" i="4"/>
  <c r="AE206" i="4"/>
  <c r="O206" i="4"/>
  <c r="AD205" i="4"/>
  <c r="AE205" i="4" s="1"/>
  <c r="O205" i="4"/>
  <c r="AD204" i="4"/>
  <c r="AE204" i="4" s="1"/>
  <c r="O204" i="4"/>
  <c r="AD203" i="4"/>
  <c r="AE203" i="4" s="1"/>
  <c r="O203" i="4"/>
  <c r="AD202" i="4"/>
  <c r="AE202" i="4" s="1"/>
  <c r="O202" i="4"/>
  <c r="AD201" i="4"/>
  <c r="AE201" i="4" s="1"/>
  <c r="O201" i="4"/>
  <c r="AD200" i="4"/>
  <c r="AE200" i="4" s="1"/>
  <c r="O200" i="4"/>
  <c r="AD199" i="4"/>
  <c r="AE199" i="4" s="1"/>
  <c r="O199" i="4"/>
  <c r="AD198" i="4"/>
  <c r="AE198" i="4" s="1"/>
  <c r="O198" i="4"/>
  <c r="AD197" i="4"/>
  <c r="AE197" i="4" s="1"/>
  <c r="O197" i="4"/>
  <c r="AD196" i="4"/>
  <c r="AE196" i="4" s="1"/>
  <c r="O196" i="4"/>
  <c r="AD195" i="4"/>
  <c r="AE195" i="4" s="1"/>
  <c r="O195" i="4"/>
  <c r="AE194" i="4"/>
  <c r="O194" i="4"/>
  <c r="AD193" i="4"/>
  <c r="AE193" i="4" s="1"/>
  <c r="O193" i="4"/>
  <c r="AD192" i="4"/>
  <c r="AE192" i="4" s="1"/>
  <c r="O192" i="4"/>
  <c r="AD191" i="4"/>
  <c r="AE191" i="4" s="1"/>
  <c r="O191" i="4"/>
  <c r="AE190" i="4"/>
  <c r="O190" i="4"/>
  <c r="AD189" i="4"/>
  <c r="AE189" i="4" s="1"/>
  <c r="O189" i="4"/>
  <c r="AE188" i="4"/>
  <c r="O188" i="4"/>
  <c r="AD187" i="4"/>
  <c r="AE187" i="4" s="1"/>
  <c r="O187" i="4"/>
  <c r="AD186" i="4"/>
  <c r="AE186" i="4" s="1"/>
  <c r="O186" i="4"/>
  <c r="AD185" i="4"/>
  <c r="AE185" i="4" s="1"/>
  <c r="O185" i="4"/>
  <c r="AD184" i="4"/>
  <c r="AE184" i="4" s="1"/>
  <c r="O184" i="4"/>
  <c r="AD183" i="4"/>
  <c r="AE183" i="4" s="1"/>
  <c r="O183" i="4"/>
  <c r="AD182" i="4"/>
  <c r="AE182" i="4" s="1"/>
  <c r="O182" i="4"/>
  <c r="AD181" i="4"/>
  <c r="AE181" i="4" s="1"/>
  <c r="O181" i="4"/>
  <c r="AD180" i="4"/>
  <c r="AE180" i="4" s="1"/>
  <c r="O180" i="4"/>
  <c r="AD179" i="4"/>
  <c r="AE179" i="4" s="1"/>
  <c r="O179" i="4"/>
  <c r="AD178" i="4"/>
  <c r="AE178" i="4" s="1"/>
  <c r="O178" i="4"/>
  <c r="AD177" i="4"/>
  <c r="AE177" i="4" s="1"/>
  <c r="O177" i="4"/>
  <c r="AE176" i="4"/>
  <c r="O176" i="4"/>
  <c r="AD175" i="4"/>
  <c r="AE175" i="4" s="1"/>
  <c r="O175" i="4"/>
  <c r="AD174" i="4"/>
  <c r="AE174" i="4" s="1"/>
  <c r="O174" i="4"/>
  <c r="AE173" i="4"/>
  <c r="O173" i="4"/>
  <c r="AD172" i="4"/>
  <c r="AE172" i="4" s="1"/>
  <c r="O172" i="4"/>
  <c r="AD171" i="4"/>
  <c r="AE171" i="4" s="1"/>
  <c r="O171" i="4"/>
  <c r="AE170" i="4"/>
  <c r="O170" i="4"/>
  <c r="AD169" i="4"/>
  <c r="AE169" i="4" s="1"/>
  <c r="O169" i="4"/>
  <c r="AD168" i="4"/>
  <c r="AE168" i="4" s="1"/>
  <c r="O168" i="4"/>
  <c r="AD167" i="4"/>
  <c r="AE167" i="4" s="1"/>
  <c r="O167" i="4"/>
  <c r="AD166" i="4"/>
  <c r="AE166" i="4" s="1"/>
  <c r="O166" i="4"/>
  <c r="AD165" i="4"/>
  <c r="AE165" i="4" s="1"/>
  <c r="O165" i="4"/>
  <c r="W165" i="4" s="1"/>
  <c r="AD164" i="4"/>
  <c r="AE164" i="4" s="1"/>
  <c r="O164" i="4"/>
  <c r="AD163" i="4"/>
  <c r="AE163" i="4" s="1"/>
  <c r="O163" i="4"/>
  <c r="AD162" i="4"/>
  <c r="AE162" i="4" s="1"/>
  <c r="O162" i="4"/>
  <c r="AD161" i="4"/>
  <c r="AE161" i="4" s="1"/>
  <c r="O161" i="4"/>
  <c r="AD160" i="4"/>
  <c r="AE160" i="4" s="1"/>
  <c r="O160" i="4"/>
  <c r="AE159" i="4"/>
  <c r="O159" i="4"/>
  <c r="AD158" i="4"/>
  <c r="AE158" i="4" s="1"/>
  <c r="O158" i="4"/>
  <c r="AE157" i="4"/>
  <c r="O157" i="4"/>
  <c r="AD156" i="4"/>
  <c r="AE156" i="4" s="1"/>
  <c r="O156" i="4"/>
  <c r="AD155" i="4"/>
  <c r="AE155" i="4" s="1"/>
  <c r="O155" i="4"/>
  <c r="AE154" i="4"/>
  <c r="O154" i="4"/>
  <c r="AD153" i="4"/>
  <c r="AE153" i="4" s="1"/>
  <c r="O153" i="4"/>
  <c r="AD152" i="4"/>
  <c r="AE152" i="4" s="1"/>
  <c r="O152" i="4"/>
  <c r="AD151" i="4"/>
  <c r="AE151" i="4" s="1"/>
  <c r="O151" i="4"/>
  <c r="AD150" i="4"/>
  <c r="AE150" i="4" s="1"/>
  <c r="O150" i="4"/>
  <c r="AD149" i="4"/>
  <c r="AE149" i="4" s="1"/>
  <c r="O149" i="4"/>
  <c r="AD148" i="4"/>
  <c r="AE148" i="4" s="1"/>
  <c r="O148" i="4"/>
  <c r="AD147" i="4"/>
  <c r="AE147" i="4" s="1"/>
  <c r="O147" i="4"/>
  <c r="AD146" i="4"/>
  <c r="AE146" i="4" s="1"/>
  <c r="O146" i="4"/>
  <c r="AD145" i="4"/>
  <c r="AE145" i="4" s="1"/>
  <c r="O145" i="4"/>
  <c r="AD144" i="4"/>
  <c r="AE144" i="4" s="1"/>
  <c r="O144" i="4"/>
  <c r="AD143" i="4"/>
  <c r="AE143" i="4" s="1"/>
  <c r="O143" i="4"/>
  <c r="AE142" i="4"/>
  <c r="O142" i="4"/>
  <c r="AD141" i="4"/>
  <c r="AE141" i="4" s="1"/>
  <c r="O141" i="4"/>
  <c r="AE140" i="4"/>
  <c r="O140" i="4"/>
  <c r="AD139" i="4"/>
  <c r="AE139" i="4" s="1"/>
  <c r="O139" i="4"/>
  <c r="AD138" i="4"/>
  <c r="AE138" i="4" s="1"/>
  <c r="O138" i="4"/>
  <c r="AE137" i="4"/>
  <c r="O137" i="4"/>
  <c r="AD136" i="4"/>
  <c r="AE136" i="4" s="1"/>
  <c r="O136" i="4"/>
  <c r="AD135" i="4"/>
  <c r="AE135" i="4" s="1"/>
  <c r="O135" i="4"/>
  <c r="AD134" i="4"/>
  <c r="AE134" i="4" s="1"/>
  <c r="O134" i="4"/>
  <c r="AD133" i="4"/>
  <c r="AE133" i="4" s="1"/>
  <c r="O133" i="4"/>
  <c r="AD132" i="4"/>
  <c r="AE132" i="4" s="1"/>
  <c r="O132" i="4"/>
  <c r="AD131" i="4"/>
  <c r="AE131" i="4" s="1"/>
  <c r="O131" i="4"/>
  <c r="AD130" i="4"/>
  <c r="AE130" i="4" s="1"/>
  <c r="O130" i="4"/>
  <c r="AD129" i="4"/>
  <c r="AE129" i="4" s="1"/>
  <c r="O129" i="4"/>
  <c r="AD128" i="4"/>
  <c r="AE128" i="4" s="1"/>
  <c r="O128" i="4"/>
  <c r="AD127" i="4"/>
  <c r="AE127" i="4" s="1"/>
  <c r="O127" i="4"/>
  <c r="AE126" i="4"/>
  <c r="O126" i="4"/>
  <c r="AD125" i="4"/>
  <c r="AE125" i="4" s="1"/>
  <c r="O125" i="4"/>
  <c r="AD124" i="4"/>
  <c r="AE124" i="4" s="1"/>
  <c r="O124" i="4"/>
  <c r="AE123" i="4"/>
  <c r="O123" i="4"/>
  <c r="AD122" i="4"/>
  <c r="AE122" i="4" s="1"/>
  <c r="O122" i="4"/>
  <c r="AE121" i="4"/>
  <c r="O121" i="4"/>
  <c r="AD120" i="4"/>
  <c r="AE120" i="4" s="1"/>
  <c r="O120" i="4"/>
  <c r="AD119" i="4"/>
  <c r="AE119" i="4" s="1"/>
  <c r="O119" i="4"/>
  <c r="AD118" i="4"/>
  <c r="AE118" i="4" s="1"/>
  <c r="O118" i="4"/>
  <c r="AD117" i="4"/>
  <c r="AE117" i="4" s="1"/>
  <c r="O117" i="4"/>
  <c r="AD116" i="4"/>
  <c r="AE116" i="4" s="1"/>
  <c r="O116" i="4"/>
  <c r="AD115" i="4"/>
  <c r="AE115" i="4" s="1"/>
  <c r="O115" i="4"/>
  <c r="AD114" i="4"/>
  <c r="AE114" i="4" s="1"/>
  <c r="O114" i="4"/>
  <c r="AD113" i="4"/>
  <c r="AE113" i="4" s="1"/>
  <c r="O113" i="4"/>
  <c r="AD112" i="4"/>
  <c r="AE112" i="4" s="1"/>
  <c r="O112" i="4"/>
  <c r="AD111" i="4"/>
  <c r="AE111" i="4" s="1"/>
  <c r="O111" i="4"/>
  <c r="AE110" i="4"/>
  <c r="O110" i="4"/>
  <c r="AD109" i="4"/>
  <c r="AE109" i="4" s="1"/>
  <c r="O109" i="4"/>
  <c r="AD108" i="4"/>
  <c r="AE108" i="4" s="1"/>
  <c r="O108" i="4"/>
  <c r="AE107" i="4"/>
  <c r="O107" i="4"/>
  <c r="AD106" i="4"/>
  <c r="AE106" i="4" s="1"/>
  <c r="O106" i="4"/>
  <c r="AD105" i="4"/>
  <c r="AE105" i="4" s="1"/>
  <c r="O105" i="4"/>
  <c r="AE104" i="4"/>
  <c r="O104" i="4"/>
  <c r="AD103" i="4"/>
  <c r="AE103" i="4" s="1"/>
  <c r="O103" i="4"/>
  <c r="AD102" i="4"/>
  <c r="AE102" i="4" s="1"/>
  <c r="O102" i="4"/>
  <c r="AD101" i="4"/>
  <c r="AE101" i="4" s="1"/>
  <c r="O101" i="4"/>
  <c r="AD100" i="4"/>
  <c r="AE100" i="4" s="1"/>
  <c r="O100" i="4"/>
  <c r="AD99" i="4"/>
  <c r="AE99" i="4" s="1"/>
  <c r="O99" i="4"/>
  <c r="AD98" i="4"/>
  <c r="AE98" i="4" s="1"/>
  <c r="O98" i="4"/>
  <c r="AD97" i="4"/>
  <c r="AE97" i="4" s="1"/>
  <c r="O97" i="4"/>
  <c r="AD96" i="4"/>
  <c r="AE96" i="4" s="1"/>
  <c r="O96" i="4"/>
  <c r="AE95" i="4"/>
  <c r="O95" i="4"/>
  <c r="AD94" i="4"/>
  <c r="AE94" i="4" s="1"/>
  <c r="O94" i="4"/>
  <c r="AD93" i="4"/>
  <c r="AE93" i="4" s="1"/>
  <c r="O93" i="4"/>
  <c r="AE92" i="4"/>
  <c r="O92" i="4"/>
  <c r="AD91" i="4"/>
  <c r="AE91" i="4" s="1"/>
  <c r="O91" i="4"/>
  <c r="AD90" i="4"/>
  <c r="AE90" i="4" s="1"/>
  <c r="O90" i="4"/>
  <c r="AE89" i="4"/>
  <c r="O89" i="4"/>
  <c r="AD88" i="4"/>
  <c r="AE88" i="4" s="1"/>
  <c r="O88" i="4"/>
  <c r="AD87" i="4"/>
  <c r="AE87" i="4" s="1"/>
  <c r="O87" i="4"/>
  <c r="AD86" i="4"/>
  <c r="AE86" i="4" s="1"/>
  <c r="O86" i="4"/>
  <c r="AD85" i="4"/>
  <c r="AE85" i="4" s="1"/>
  <c r="O85" i="4"/>
  <c r="AD84" i="4"/>
  <c r="AE84" i="4" s="1"/>
  <c r="O84" i="4"/>
  <c r="AD83" i="4"/>
  <c r="AE83" i="4" s="1"/>
  <c r="O83" i="4"/>
  <c r="AD82" i="4"/>
  <c r="AE82" i="4" s="1"/>
  <c r="O82" i="4"/>
  <c r="AD81" i="4"/>
  <c r="AE81" i="4" s="1"/>
  <c r="O81" i="4"/>
  <c r="AE80" i="4"/>
  <c r="O80" i="4"/>
  <c r="AD79" i="4"/>
  <c r="AE79" i="4" s="1"/>
  <c r="O79" i="4"/>
  <c r="AD78" i="4"/>
  <c r="AE78" i="4" s="1"/>
  <c r="O78" i="4"/>
  <c r="AE77" i="4"/>
  <c r="O77" i="4"/>
  <c r="AD76" i="4"/>
  <c r="AE76" i="4" s="1"/>
  <c r="O76" i="4"/>
  <c r="AE75" i="4"/>
  <c r="O75" i="4"/>
  <c r="AD74" i="4"/>
  <c r="AE74" i="4" s="1"/>
  <c r="O74" i="4"/>
  <c r="AD73" i="4"/>
  <c r="AE73" i="4" s="1"/>
  <c r="O73" i="4"/>
  <c r="AD72" i="4"/>
  <c r="AE72" i="4" s="1"/>
  <c r="O72" i="4"/>
  <c r="AD71" i="4"/>
  <c r="AE71" i="4" s="1"/>
  <c r="O71" i="4"/>
  <c r="AD70" i="4"/>
  <c r="AE70" i="4" s="1"/>
  <c r="O70" i="4"/>
  <c r="AD69" i="4"/>
  <c r="AE69" i="4" s="1"/>
  <c r="O69" i="4"/>
  <c r="AD68" i="4"/>
  <c r="AE68" i="4" s="1"/>
  <c r="O68" i="4"/>
  <c r="AD67" i="4"/>
  <c r="AE67" i="4" s="1"/>
  <c r="O67" i="4"/>
  <c r="AD66" i="4"/>
  <c r="AE66" i="4" s="1"/>
  <c r="O66" i="4"/>
  <c r="AE65" i="4"/>
  <c r="O65" i="4"/>
  <c r="AD64" i="4"/>
  <c r="AE64" i="4" s="1"/>
  <c r="O64" i="4"/>
  <c r="AD63" i="4"/>
  <c r="AE63" i="4" s="1"/>
  <c r="O63" i="4"/>
  <c r="AE62" i="4"/>
  <c r="O62" i="4"/>
  <c r="AD61" i="4"/>
  <c r="AE61" i="4" s="1"/>
  <c r="O61" i="4"/>
  <c r="AE60" i="4"/>
  <c r="O60" i="4"/>
  <c r="AD59" i="4"/>
  <c r="AE59" i="4" s="1"/>
  <c r="O59" i="4"/>
  <c r="AD58" i="4"/>
  <c r="AE58" i="4" s="1"/>
  <c r="O58" i="4"/>
  <c r="AD57" i="4"/>
  <c r="AE57" i="4" s="1"/>
  <c r="O57" i="4"/>
  <c r="AD56" i="4"/>
  <c r="AE56" i="4" s="1"/>
  <c r="O56" i="4"/>
  <c r="AD55" i="4"/>
  <c r="AE55" i="4" s="1"/>
  <c r="O55" i="4"/>
  <c r="AD54" i="4"/>
  <c r="AE54" i="4" s="1"/>
  <c r="O54" i="4"/>
  <c r="AD53" i="4"/>
  <c r="AE53" i="4" s="1"/>
  <c r="O53" i="4"/>
  <c r="AD52" i="4"/>
  <c r="AE52" i="4" s="1"/>
  <c r="O52" i="4"/>
  <c r="AD51" i="4"/>
  <c r="AE51" i="4" s="1"/>
  <c r="O51" i="4"/>
  <c r="AE50" i="4"/>
  <c r="O50" i="4"/>
  <c r="AD49" i="4"/>
  <c r="AE49" i="4" s="1"/>
  <c r="O49" i="4"/>
  <c r="AD48" i="4"/>
  <c r="AE48" i="4" s="1"/>
  <c r="O48" i="4"/>
  <c r="AE47" i="4"/>
  <c r="O47" i="4"/>
  <c r="AD46" i="4"/>
  <c r="AE46" i="4" s="1"/>
  <c r="O46" i="4"/>
  <c r="AE45" i="4"/>
  <c r="O45" i="4"/>
  <c r="AD44" i="4"/>
  <c r="AE44" i="4" s="1"/>
  <c r="O44" i="4"/>
  <c r="AD43" i="4"/>
  <c r="AE43" i="4" s="1"/>
  <c r="O43" i="4"/>
  <c r="AD42" i="4"/>
  <c r="AE42" i="4" s="1"/>
  <c r="O42" i="4"/>
  <c r="AD41" i="4"/>
  <c r="AE41" i="4" s="1"/>
  <c r="O41" i="4"/>
  <c r="AD40" i="4"/>
  <c r="AE40" i="4" s="1"/>
  <c r="O40" i="4"/>
  <c r="AD39" i="4"/>
  <c r="AE39" i="4" s="1"/>
  <c r="O39" i="4"/>
  <c r="AD38" i="4"/>
  <c r="AE38" i="4" s="1"/>
  <c r="O38" i="4"/>
  <c r="AD37" i="4"/>
  <c r="AE37" i="4" s="1"/>
  <c r="O37" i="4"/>
  <c r="AD36" i="4"/>
  <c r="AE36" i="4" s="1"/>
  <c r="O36" i="4"/>
  <c r="AD35" i="4"/>
  <c r="AE35" i="4" s="1"/>
  <c r="O35" i="4"/>
  <c r="AD34" i="4"/>
  <c r="AE34" i="4" s="1"/>
  <c r="O34" i="4"/>
  <c r="AD33" i="4"/>
  <c r="AE33" i="4" s="1"/>
  <c r="O33" i="4"/>
  <c r="AE32" i="4"/>
  <c r="O32" i="4"/>
  <c r="AE31" i="4"/>
  <c r="O31" i="4"/>
  <c r="AD30" i="4"/>
  <c r="AE30" i="4" s="1"/>
  <c r="O30" i="4"/>
  <c r="AD29" i="4"/>
  <c r="AE29" i="4" s="1"/>
  <c r="O29" i="4"/>
  <c r="AE28" i="4"/>
  <c r="O28" i="4"/>
  <c r="AE27" i="4"/>
  <c r="O27" i="4"/>
  <c r="AD26" i="4"/>
  <c r="AE26" i="4" s="1"/>
  <c r="O26" i="4"/>
  <c r="AD25" i="4"/>
  <c r="AE25" i="4" s="1"/>
  <c r="O25" i="4"/>
  <c r="AD24" i="4"/>
  <c r="AE24" i="4" s="1"/>
  <c r="O24" i="4"/>
  <c r="AD23" i="4"/>
  <c r="AE23" i="4" s="1"/>
  <c r="O23" i="4"/>
  <c r="AD22" i="4"/>
  <c r="AE22" i="4" s="1"/>
  <c r="O22" i="4"/>
  <c r="AD21" i="4"/>
  <c r="AE21" i="4" s="1"/>
  <c r="O21" i="4"/>
  <c r="AD20" i="4"/>
  <c r="AE20" i="4" s="1"/>
  <c r="O20" i="4"/>
  <c r="AD19" i="4"/>
  <c r="AE19" i="4" s="1"/>
  <c r="O19" i="4"/>
  <c r="AD18" i="4"/>
  <c r="AE18" i="4" s="1"/>
  <c r="O18" i="4"/>
  <c r="AD17" i="4"/>
  <c r="AE17" i="4" s="1"/>
  <c r="O17" i="4"/>
  <c r="AD16" i="4"/>
  <c r="AE16" i="4" s="1"/>
  <c r="O16" i="4"/>
  <c r="AE15" i="4"/>
  <c r="O15" i="4"/>
  <c r="AD14" i="4"/>
  <c r="AE14" i="4" s="1"/>
  <c r="O14" i="4"/>
  <c r="AD13" i="4"/>
  <c r="AE13" i="4" s="1"/>
  <c r="O13" i="4"/>
  <c r="AE12" i="4"/>
  <c r="M12" i="4"/>
  <c r="O12" i="4" s="1"/>
  <c r="AE11" i="4"/>
  <c r="M11" i="4"/>
  <c r="O11" i="4" s="1"/>
  <c r="AD10" i="4"/>
  <c r="AE10" i="4" s="1"/>
  <c r="M10" i="4"/>
  <c r="O10" i="4" s="1"/>
  <c r="AD9" i="4"/>
  <c r="AE9" i="4" s="1"/>
  <c r="O9" i="4"/>
  <c r="AD8" i="4"/>
  <c r="AE8" i="4" s="1"/>
  <c r="O8" i="4"/>
  <c r="AD7" i="4"/>
  <c r="AE7" i="4" s="1"/>
  <c r="O7" i="4"/>
  <c r="AD6" i="4"/>
  <c r="AE6" i="4" s="1"/>
  <c r="O6" i="4"/>
  <c r="AD5" i="4"/>
  <c r="AE5" i="4" s="1"/>
  <c r="O5" i="4"/>
  <c r="AD4" i="4"/>
  <c r="AE4" i="4" s="1"/>
  <c r="O4" i="4"/>
  <c r="AE3" i="4"/>
  <c r="M3" i="4"/>
  <c r="O3" i="4" s="1"/>
  <c r="W1355" i="4" l="1"/>
  <c r="W1354" i="4"/>
  <c r="W1353" i="4"/>
  <c r="W1352" i="4"/>
  <c r="W1351" i="4"/>
  <c r="W1350" i="4"/>
  <c r="W1349" i="4"/>
  <c r="W1348" i="4"/>
  <c r="W1347" i="4"/>
  <c r="W1346" i="4"/>
  <c r="W1345" i="4"/>
  <c r="W1344" i="4"/>
  <c r="W1343" i="4"/>
  <c r="W1342" i="4"/>
  <c r="W1341" i="4"/>
  <c r="W1340" i="4"/>
  <c r="W1339" i="4"/>
  <c r="W1338" i="4"/>
  <c r="W1337" i="4"/>
  <c r="W1336" i="4"/>
  <c r="W1335" i="4"/>
  <c r="W1334" i="4"/>
  <c r="W1333" i="4"/>
  <c r="W1332" i="4"/>
  <c r="W1331" i="4"/>
  <c r="W1330" i="4"/>
  <c r="W1329" i="4"/>
  <c r="W1328" i="4"/>
  <c r="W1327" i="4"/>
  <c r="W1326" i="4"/>
  <c r="W1325" i="4"/>
  <c r="W1324" i="4"/>
  <c r="W1323" i="4"/>
  <c r="W1322" i="4"/>
  <c r="W1321" i="4"/>
  <c r="W1320" i="4"/>
  <c r="W1319" i="4"/>
  <c r="W1318" i="4"/>
  <c r="W1317" i="4"/>
  <c r="W1316" i="4"/>
  <c r="W1315" i="4"/>
  <c r="W1314" i="4"/>
  <c r="W1313" i="4"/>
  <c r="W1312" i="4"/>
  <c r="W1311" i="4"/>
  <c r="W1310" i="4"/>
  <c r="W1309" i="4"/>
  <c r="W1308" i="4"/>
  <c r="W1307" i="4"/>
  <c r="W1306" i="4"/>
  <c r="W1305" i="4"/>
  <c r="W1304" i="4"/>
  <c r="W1303" i="4"/>
  <c r="W1302" i="4"/>
  <c r="W1301" i="4"/>
  <c r="W1300" i="4"/>
  <c r="W1299" i="4"/>
  <c r="W1298" i="4"/>
  <c r="W1297" i="4"/>
  <c r="W1296" i="4"/>
  <c r="W1295" i="4"/>
  <c r="W1294" i="4"/>
  <c r="W1293" i="4"/>
  <c r="W1292" i="4"/>
  <c r="W1291" i="4"/>
  <c r="W1290" i="4"/>
  <c r="W1289" i="4"/>
  <c r="W1288" i="4"/>
  <c r="W1287" i="4"/>
  <c r="W1286" i="4"/>
  <c r="W1285" i="4"/>
  <c r="W1284" i="4"/>
  <c r="W1283" i="4"/>
  <c r="W1282" i="4"/>
  <c r="W1281" i="4"/>
  <c r="X1280" i="4"/>
  <c r="Y1280" i="4"/>
  <c r="AA1280" i="4" s="1"/>
  <c r="W1279" i="4"/>
  <c r="W1278" i="4"/>
  <c r="W1277" i="4"/>
  <c r="W1276" i="4"/>
  <c r="W1275" i="4"/>
  <c r="W1274" i="4"/>
  <c r="W1273" i="4"/>
  <c r="W1272" i="4"/>
  <c r="W1271" i="4"/>
  <c r="W1270" i="4"/>
  <c r="W1269" i="4"/>
  <c r="W1268" i="4"/>
  <c r="W1267" i="4"/>
  <c r="W1266" i="4"/>
  <c r="W1265" i="4"/>
  <c r="W1264" i="4"/>
  <c r="W1263" i="4"/>
  <c r="W1262" i="4"/>
  <c r="W1261" i="4"/>
  <c r="W1260" i="4"/>
  <c r="W1259" i="4"/>
  <c r="W1258" i="4"/>
  <c r="W1257" i="4"/>
  <c r="W1256" i="4"/>
  <c r="W1255" i="4"/>
  <c r="W1254" i="4"/>
  <c r="W1253" i="4"/>
  <c r="W1252" i="4"/>
  <c r="W1251" i="4"/>
  <c r="W1250" i="4"/>
  <c r="W1249" i="4"/>
  <c r="W1248" i="4"/>
  <c r="W1247" i="4"/>
  <c r="W1246" i="4"/>
  <c r="W1245" i="4"/>
  <c r="W1244" i="4"/>
  <c r="W1243" i="4"/>
  <c r="W1242" i="4"/>
  <c r="W1241" i="4"/>
  <c r="W1240" i="4"/>
  <c r="W1239" i="4"/>
  <c r="W1238" i="4"/>
  <c r="W1237" i="4"/>
  <c r="W1236" i="4"/>
  <c r="W1235" i="4"/>
  <c r="W1234" i="4"/>
  <c r="W1233" i="4"/>
  <c r="W1232" i="4"/>
  <c r="W1231" i="4"/>
  <c r="W1230" i="4"/>
  <c r="W1229" i="4"/>
  <c r="W1228" i="4"/>
  <c r="W1227" i="4"/>
  <c r="W1226" i="4"/>
  <c r="W1225" i="4"/>
  <c r="W1224" i="4"/>
  <c r="W1223" i="4"/>
  <c r="W1222" i="4"/>
  <c r="W1221" i="4"/>
  <c r="W1220" i="4"/>
  <c r="W1219" i="4"/>
  <c r="W1218" i="4"/>
  <c r="W1217" i="4"/>
  <c r="W1216" i="4"/>
  <c r="W1215" i="4"/>
  <c r="W1214" i="4"/>
  <c r="W1213" i="4"/>
  <c r="W1212" i="4"/>
  <c r="W1211" i="4"/>
  <c r="W1210" i="4"/>
  <c r="W1209" i="4"/>
  <c r="W1208" i="4"/>
  <c r="W1207" i="4"/>
  <c r="W1206" i="4"/>
  <c r="W1205" i="4"/>
  <c r="W1204" i="4"/>
  <c r="W1203" i="4"/>
  <c r="W1202" i="4"/>
  <c r="W1201" i="4"/>
  <c r="W1200" i="4"/>
  <c r="W1199" i="4"/>
  <c r="W1198" i="4"/>
  <c r="W1197" i="4"/>
  <c r="W1196" i="4"/>
  <c r="Y1195" i="4"/>
  <c r="AA1195" i="4" s="1"/>
  <c r="X1195" i="4"/>
  <c r="AB1195" i="4" s="1"/>
  <c r="W1194" i="4"/>
  <c r="W1193" i="4"/>
  <c r="W1192" i="4"/>
  <c r="W1191" i="4"/>
  <c r="W1190" i="4"/>
  <c r="W1189" i="4"/>
  <c r="W1188" i="4"/>
  <c r="W1187" i="4"/>
  <c r="W1186" i="4"/>
  <c r="W1185" i="4"/>
  <c r="W1184" i="4"/>
  <c r="W1183" i="4"/>
  <c r="W1182" i="4"/>
  <c r="W1181" i="4"/>
  <c r="W1180" i="4"/>
  <c r="W1179" i="4"/>
  <c r="W1178" i="4"/>
  <c r="W1177" i="4"/>
  <c r="W1176" i="4"/>
  <c r="W1175" i="4"/>
  <c r="W1174" i="4"/>
  <c r="W1173" i="4"/>
  <c r="W1172" i="4"/>
  <c r="W1171" i="4"/>
  <c r="W1170" i="4"/>
  <c r="W1169" i="4"/>
  <c r="W1168" i="4"/>
  <c r="W1167" i="4"/>
  <c r="W1166" i="4"/>
  <c r="W1165" i="4"/>
  <c r="W1164" i="4"/>
  <c r="W1163" i="4"/>
  <c r="W1162" i="4"/>
  <c r="W1161" i="4"/>
  <c r="W1160" i="4"/>
  <c r="W1159" i="4"/>
  <c r="W1158" i="4"/>
  <c r="W1157" i="4"/>
  <c r="W1156" i="4"/>
  <c r="W1155" i="4"/>
  <c r="W1154" i="4"/>
  <c r="W1153" i="4"/>
  <c r="W1152" i="4"/>
  <c r="W1151" i="4"/>
  <c r="W1150" i="4"/>
  <c r="W1149" i="4"/>
  <c r="W1148" i="4"/>
  <c r="W1147" i="4"/>
  <c r="W1146" i="4"/>
  <c r="W1145" i="4"/>
  <c r="W1144" i="4"/>
  <c r="W1143" i="4"/>
  <c r="W1142" i="4"/>
  <c r="W1141" i="4"/>
  <c r="W1140" i="4"/>
  <c r="W1139" i="4"/>
  <c r="W1138" i="4"/>
  <c r="W1137" i="4"/>
  <c r="W1136" i="4"/>
  <c r="W1135" i="4"/>
  <c r="W1134" i="4"/>
  <c r="W1133" i="4"/>
  <c r="W1132" i="4"/>
  <c r="W1131" i="4"/>
  <c r="W1130" i="4"/>
  <c r="W1129" i="4"/>
  <c r="W1128" i="4"/>
  <c r="W1127" i="4"/>
  <c r="W1126" i="4"/>
  <c r="W1125" i="4"/>
  <c r="W1124" i="4"/>
  <c r="W1123" i="4"/>
  <c r="W1122" i="4"/>
  <c r="W1121" i="4"/>
  <c r="W1120" i="4"/>
  <c r="W1119" i="4"/>
  <c r="W1118" i="4"/>
  <c r="W1117" i="4"/>
  <c r="W1116" i="4"/>
  <c r="W1115" i="4"/>
  <c r="W1114" i="4"/>
  <c r="W1113" i="4"/>
  <c r="W1112" i="4"/>
  <c r="W1111" i="4"/>
  <c r="X1110" i="4"/>
  <c r="Y1110" i="4"/>
  <c r="AA1110" i="4" s="1"/>
  <c r="W1109" i="4"/>
  <c r="W1108" i="4"/>
  <c r="W1107" i="4"/>
  <c r="W1106" i="4"/>
  <c r="W1105" i="4"/>
  <c r="W1104" i="4"/>
  <c r="W1103" i="4"/>
  <c r="W1102" i="4"/>
  <c r="W1101" i="4"/>
  <c r="W1100" i="4"/>
  <c r="W1099" i="4"/>
  <c r="W1098" i="4"/>
  <c r="W1097" i="4"/>
  <c r="W1096" i="4"/>
  <c r="W1095" i="4"/>
  <c r="W1094" i="4"/>
  <c r="W1093" i="4"/>
  <c r="W1092" i="4"/>
  <c r="W1091" i="4"/>
  <c r="W1090" i="4"/>
  <c r="W1089" i="4"/>
  <c r="W1088" i="4"/>
  <c r="W1087" i="4"/>
  <c r="W1086" i="4"/>
  <c r="W1085" i="4"/>
  <c r="W1084" i="4"/>
  <c r="W1083" i="4"/>
  <c r="W1082" i="4"/>
  <c r="W1081" i="4"/>
  <c r="W1080" i="4"/>
  <c r="W1079" i="4"/>
  <c r="W1078" i="4"/>
  <c r="W1077" i="4"/>
  <c r="W1076" i="4"/>
  <c r="W1075" i="4"/>
  <c r="W1074" i="4"/>
  <c r="W1073" i="4"/>
  <c r="W1072" i="4"/>
  <c r="W1071" i="4"/>
  <c r="W1070" i="4"/>
  <c r="W1069" i="4"/>
  <c r="W1068" i="4"/>
  <c r="W1067" i="4"/>
  <c r="W1066" i="4"/>
  <c r="W1065" i="4"/>
  <c r="W1064" i="4"/>
  <c r="W1063" i="4"/>
  <c r="W1062" i="4"/>
  <c r="W1061" i="4"/>
  <c r="W1060" i="4"/>
  <c r="W1059" i="4"/>
  <c r="W1058" i="4"/>
  <c r="W1057" i="4"/>
  <c r="W1056" i="4"/>
  <c r="W1055" i="4"/>
  <c r="W1054" i="4"/>
  <c r="W1053" i="4"/>
  <c r="W1052" i="4"/>
  <c r="W1051" i="4"/>
  <c r="W1050" i="4"/>
  <c r="W1049" i="4"/>
  <c r="W1048" i="4"/>
  <c r="W1047" i="4"/>
  <c r="W1042" i="4"/>
  <c r="W1041" i="4"/>
  <c r="W1040" i="4"/>
  <c r="W1039" i="4"/>
  <c r="W1038" i="4"/>
  <c r="W1037" i="4"/>
  <c r="W1036" i="4"/>
  <c r="W1035" i="4"/>
  <c r="W1034" i="4"/>
  <c r="W1033" i="4"/>
  <c r="W1032" i="4"/>
  <c r="W1031" i="4"/>
  <c r="W1030" i="4"/>
  <c r="W1029" i="4"/>
  <c r="W1028" i="4"/>
  <c r="W1027" i="4"/>
  <c r="W1026" i="4"/>
  <c r="W1025" i="4"/>
  <c r="W1024" i="4"/>
  <c r="W1023" i="4"/>
  <c r="W1022" i="4"/>
  <c r="W1021" i="4"/>
  <c r="W1020" i="4"/>
  <c r="W1019" i="4"/>
  <c r="W1018" i="4"/>
  <c r="W1017" i="4"/>
  <c r="W1016" i="4"/>
  <c r="W1015" i="4"/>
  <c r="W1014" i="4"/>
  <c r="W1013" i="4"/>
  <c r="W1012" i="4"/>
  <c r="W1011" i="4"/>
  <c r="W1010" i="4"/>
  <c r="W1009" i="4"/>
  <c r="W1008" i="4"/>
  <c r="W1007" i="4"/>
  <c r="W1006" i="4"/>
  <c r="W1005" i="4"/>
  <c r="W1004" i="4"/>
  <c r="W1003" i="4"/>
  <c r="W1002" i="4"/>
  <c r="W1001" i="4"/>
  <c r="W1000" i="4"/>
  <c r="W999" i="4"/>
  <c r="W998" i="4"/>
  <c r="W997" i="4"/>
  <c r="W996" i="4"/>
  <c r="W995" i="4"/>
  <c r="W994" i="4"/>
  <c r="W993" i="4"/>
  <c r="W992" i="4"/>
  <c r="W991" i="4"/>
  <c r="W990" i="4"/>
  <c r="W989" i="4"/>
  <c r="W988" i="4"/>
  <c r="W987" i="4"/>
  <c r="W986" i="4"/>
  <c r="W985" i="4"/>
  <c r="W984" i="4"/>
  <c r="W983" i="4"/>
  <c r="W982" i="4"/>
  <c r="W981" i="4"/>
  <c r="W980" i="4"/>
  <c r="W979" i="4"/>
  <c r="W978" i="4"/>
  <c r="W977" i="4"/>
  <c r="W976" i="4"/>
  <c r="W975" i="4"/>
  <c r="W974" i="4"/>
  <c r="W973" i="4"/>
  <c r="W972" i="4"/>
  <c r="W971" i="4"/>
  <c r="W970" i="4"/>
  <c r="W969" i="4"/>
  <c r="W968" i="4"/>
  <c r="W967" i="4"/>
  <c r="W966" i="4"/>
  <c r="W965" i="4"/>
  <c r="W964" i="4"/>
  <c r="W963" i="4"/>
  <c r="W962" i="4"/>
  <c r="W961" i="4"/>
  <c r="W960" i="4"/>
  <c r="W959" i="4"/>
  <c r="W958" i="4"/>
  <c r="W957" i="4"/>
  <c r="W956" i="4"/>
  <c r="W955" i="4"/>
  <c r="W954" i="4"/>
  <c r="W953" i="4"/>
  <c r="W952" i="4"/>
  <c r="W951" i="4"/>
  <c r="W950" i="4"/>
  <c r="W949" i="4"/>
  <c r="W948" i="4"/>
  <c r="W947" i="4"/>
  <c r="W946" i="4"/>
  <c r="W945" i="4"/>
  <c r="W944" i="4"/>
  <c r="W943" i="4"/>
  <c r="X942" i="4"/>
  <c r="Y942" i="4"/>
  <c r="AA942" i="4" s="1"/>
  <c r="W941" i="4"/>
  <c r="W940" i="4"/>
  <c r="W939" i="4"/>
  <c r="W938" i="4"/>
  <c r="W937" i="4"/>
  <c r="W936" i="4"/>
  <c r="W935" i="4"/>
  <c r="W934" i="4"/>
  <c r="W933" i="4"/>
  <c r="W932" i="4"/>
  <c r="W931" i="4"/>
  <c r="W930" i="4"/>
  <c r="W929" i="4"/>
  <c r="W928" i="4"/>
  <c r="W927" i="4"/>
  <c r="W926" i="4"/>
  <c r="W925" i="4"/>
  <c r="W924" i="4"/>
  <c r="W923" i="4"/>
  <c r="W922" i="4"/>
  <c r="W921" i="4"/>
  <c r="W920" i="4"/>
  <c r="W919" i="4"/>
  <c r="W918" i="4"/>
  <c r="W917" i="4"/>
  <c r="W916" i="4"/>
  <c r="W915" i="4"/>
  <c r="W914" i="4"/>
  <c r="W913" i="4"/>
  <c r="W912" i="4"/>
  <c r="W911" i="4"/>
  <c r="W910" i="4"/>
  <c r="W909" i="4"/>
  <c r="W908" i="4"/>
  <c r="W907" i="4"/>
  <c r="W906" i="4"/>
  <c r="W905" i="4"/>
  <c r="W904" i="4"/>
  <c r="W903" i="4"/>
  <c r="W902" i="4"/>
  <c r="W901" i="4"/>
  <c r="W900" i="4"/>
  <c r="W899" i="4"/>
  <c r="W898" i="4"/>
  <c r="W897" i="4"/>
  <c r="W896" i="4"/>
  <c r="W895" i="4"/>
  <c r="W894" i="4"/>
  <c r="W893" i="4"/>
  <c r="W892" i="4"/>
  <c r="W891" i="4"/>
  <c r="W890" i="4"/>
  <c r="W889" i="4"/>
  <c r="W888" i="4"/>
  <c r="W887" i="4"/>
  <c r="W886" i="4"/>
  <c r="W885" i="4"/>
  <c r="W884" i="4"/>
  <c r="W883" i="4"/>
  <c r="W882" i="4"/>
  <c r="W881" i="4"/>
  <c r="W880" i="4"/>
  <c r="W879" i="4"/>
  <c r="W878" i="4"/>
  <c r="W877" i="4"/>
  <c r="W876" i="4"/>
  <c r="W875" i="4"/>
  <c r="W874" i="4"/>
  <c r="W873" i="4"/>
  <c r="W872" i="4"/>
  <c r="W871" i="4"/>
  <c r="W870" i="4"/>
  <c r="W869" i="4"/>
  <c r="W868" i="4"/>
  <c r="W867" i="4"/>
  <c r="W866" i="4"/>
  <c r="W865" i="4"/>
  <c r="W864" i="4"/>
  <c r="W863" i="4"/>
  <c r="W862" i="4"/>
  <c r="W861" i="4"/>
  <c r="W860" i="4"/>
  <c r="X859" i="4"/>
  <c r="Y859" i="4"/>
  <c r="AA859" i="4" s="1"/>
  <c r="W858" i="4"/>
  <c r="W857" i="4"/>
  <c r="W856" i="4"/>
  <c r="W855" i="4"/>
  <c r="W854" i="4"/>
  <c r="W853" i="4"/>
  <c r="W852" i="4"/>
  <c r="W851" i="4"/>
  <c r="W850" i="4"/>
  <c r="W849" i="4"/>
  <c r="W848" i="4"/>
  <c r="W847" i="4"/>
  <c r="W846" i="4"/>
  <c r="W845" i="4"/>
  <c r="W844" i="4"/>
  <c r="W843" i="4"/>
  <c r="W842" i="4"/>
  <c r="W841" i="4"/>
  <c r="W840" i="4"/>
  <c r="W839" i="4"/>
  <c r="W838" i="4"/>
  <c r="W837" i="4"/>
  <c r="W836" i="4"/>
  <c r="W835" i="4"/>
  <c r="W834" i="4"/>
  <c r="W833" i="4"/>
  <c r="W832" i="4"/>
  <c r="W831" i="4"/>
  <c r="W830" i="4"/>
  <c r="W829" i="4"/>
  <c r="W828" i="4"/>
  <c r="W827" i="4"/>
  <c r="W826" i="4"/>
  <c r="W825" i="4"/>
  <c r="W824" i="4"/>
  <c r="W823" i="4"/>
  <c r="W822" i="4"/>
  <c r="W821" i="4"/>
  <c r="W820" i="4"/>
  <c r="W819" i="4"/>
  <c r="W818" i="4"/>
  <c r="W817" i="4"/>
  <c r="W816" i="4"/>
  <c r="W815" i="4"/>
  <c r="W814" i="4"/>
  <c r="W813" i="4"/>
  <c r="W812" i="4"/>
  <c r="W811" i="4"/>
  <c r="W810" i="4"/>
  <c r="W809" i="4"/>
  <c r="W808" i="4"/>
  <c r="W807" i="4"/>
  <c r="W806" i="4"/>
  <c r="W805" i="4"/>
  <c r="W804" i="4"/>
  <c r="W803" i="4"/>
  <c r="W802" i="4"/>
  <c r="W801" i="4"/>
  <c r="W800" i="4"/>
  <c r="W799" i="4"/>
  <c r="W798" i="4"/>
  <c r="W797" i="4"/>
  <c r="W796" i="4"/>
  <c r="W795" i="4"/>
  <c r="W794" i="4"/>
  <c r="W793" i="4"/>
  <c r="W792" i="4"/>
  <c r="W791" i="4"/>
  <c r="W790" i="4"/>
  <c r="W789" i="4"/>
  <c r="W788" i="4"/>
  <c r="W787" i="4"/>
  <c r="W786" i="4"/>
  <c r="W785" i="4"/>
  <c r="W784" i="4"/>
  <c r="W783" i="4"/>
  <c r="W782" i="4"/>
  <c r="W781" i="4"/>
  <c r="W780" i="4"/>
  <c r="W779" i="4"/>
  <c r="W778" i="4"/>
  <c r="W777" i="4"/>
  <c r="W776" i="4"/>
  <c r="W775" i="4"/>
  <c r="W774" i="4"/>
  <c r="W773" i="4"/>
  <c r="W772" i="4"/>
  <c r="W771" i="4"/>
  <c r="W770" i="4"/>
  <c r="W769" i="4"/>
  <c r="W768" i="4"/>
  <c r="W767" i="4"/>
  <c r="W766" i="4"/>
  <c r="W765" i="4"/>
  <c r="W764" i="4"/>
  <c r="W763" i="4"/>
  <c r="W762" i="4"/>
  <c r="W761" i="4"/>
  <c r="W760" i="4"/>
  <c r="W759" i="4"/>
  <c r="W758" i="4"/>
  <c r="W757" i="4"/>
  <c r="W756" i="4"/>
  <c r="W755" i="4"/>
  <c r="W754" i="4"/>
  <c r="W753" i="4"/>
  <c r="W752" i="4"/>
  <c r="W751" i="4"/>
  <c r="W750" i="4"/>
  <c r="W749" i="4"/>
  <c r="W748" i="4"/>
  <c r="W747" i="4"/>
  <c r="W746" i="4"/>
  <c r="W745" i="4"/>
  <c r="W744" i="4"/>
  <c r="W743" i="4"/>
  <c r="W742" i="4"/>
  <c r="W741" i="4"/>
  <c r="W740" i="4"/>
  <c r="W739" i="4"/>
  <c r="W738" i="4"/>
  <c r="W737" i="4"/>
  <c r="W736" i="4"/>
  <c r="W735" i="4"/>
  <c r="W734" i="4"/>
  <c r="W733" i="4"/>
  <c r="W732" i="4"/>
  <c r="W731" i="4"/>
  <c r="W730" i="4"/>
  <c r="W729" i="4"/>
  <c r="W728" i="4"/>
  <c r="W727" i="4"/>
  <c r="W726" i="4"/>
  <c r="W725" i="4"/>
  <c r="W724" i="4"/>
  <c r="W723" i="4"/>
  <c r="W722" i="4"/>
  <c r="W721" i="4"/>
  <c r="W720" i="4"/>
  <c r="W719" i="4"/>
  <c r="W718" i="4"/>
  <c r="W717" i="4"/>
  <c r="W716" i="4"/>
  <c r="W715" i="4"/>
  <c r="W714" i="4"/>
  <c r="W713" i="4"/>
  <c r="W712" i="4"/>
  <c r="W711" i="4"/>
  <c r="W710" i="4"/>
  <c r="W709" i="4"/>
  <c r="W708" i="4"/>
  <c r="W707" i="4"/>
  <c r="W706" i="4"/>
  <c r="W705" i="4"/>
  <c r="W704" i="4"/>
  <c r="W703" i="4"/>
  <c r="W702" i="4"/>
  <c r="W701" i="4"/>
  <c r="W700" i="4"/>
  <c r="W699" i="4"/>
  <c r="W698" i="4"/>
  <c r="W697" i="4"/>
  <c r="W696" i="4"/>
  <c r="W695" i="4"/>
  <c r="W694" i="4"/>
  <c r="W693" i="4"/>
  <c r="W692" i="4"/>
  <c r="W691" i="4"/>
  <c r="W690" i="4"/>
  <c r="W689" i="4"/>
  <c r="X688" i="4"/>
  <c r="Y688" i="4"/>
  <c r="AA688" i="4" s="1"/>
  <c r="W687" i="4"/>
  <c r="W686" i="4"/>
  <c r="W685" i="4"/>
  <c r="W684" i="4"/>
  <c r="W683" i="4"/>
  <c r="W682" i="4"/>
  <c r="W681" i="4"/>
  <c r="W680" i="4"/>
  <c r="W679" i="4"/>
  <c r="W678" i="4"/>
  <c r="W677" i="4"/>
  <c r="W676" i="4"/>
  <c r="W675" i="4"/>
  <c r="W674" i="4"/>
  <c r="W673" i="4"/>
  <c r="W672" i="4"/>
  <c r="W671" i="4"/>
  <c r="W670" i="4"/>
  <c r="W669" i="4"/>
  <c r="W668" i="4"/>
  <c r="W667" i="4"/>
  <c r="W666" i="4"/>
  <c r="W665" i="4"/>
  <c r="W664" i="4"/>
  <c r="W663" i="4"/>
  <c r="W662" i="4"/>
  <c r="W661" i="4"/>
  <c r="W660" i="4"/>
  <c r="W659" i="4"/>
  <c r="W658" i="4"/>
  <c r="W657" i="4"/>
  <c r="W656" i="4"/>
  <c r="W655" i="4"/>
  <c r="W654" i="4"/>
  <c r="W653" i="4"/>
  <c r="W652" i="4"/>
  <c r="W651" i="4"/>
  <c r="W650" i="4"/>
  <c r="W649" i="4"/>
  <c r="W648" i="4"/>
  <c r="W647" i="4"/>
  <c r="W646" i="4"/>
  <c r="W645" i="4"/>
  <c r="W644" i="4"/>
  <c r="W643" i="4"/>
  <c r="W642" i="4"/>
  <c r="W641" i="4"/>
  <c r="W640" i="4"/>
  <c r="W639" i="4"/>
  <c r="W638" i="4"/>
  <c r="W637" i="4"/>
  <c r="W636" i="4"/>
  <c r="W635" i="4"/>
  <c r="W634" i="4"/>
  <c r="W633" i="4"/>
  <c r="W632" i="4"/>
  <c r="W631" i="4"/>
  <c r="W630" i="4"/>
  <c r="W629" i="4"/>
  <c r="W628" i="4"/>
  <c r="W627" i="4"/>
  <c r="W626" i="4"/>
  <c r="W625" i="4"/>
  <c r="W624" i="4"/>
  <c r="W623" i="4"/>
  <c r="W622" i="4"/>
  <c r="W621" i="4"/>
  <c r="W620" i="4"/>
  <c r="W619" i="4"/>
  <c r="W618" i="4"/>
  <c r="W617" i="4"/>
  <c r="W616" i="4"/>
  <c r="W615" i="4"/>
  <c r="W614" i="4"/>
  <c r="W613" i="4"/>
  <c r="W612" i="4"/>
  <c r="W611" i="4"/>
  <c r="W610" i="4"/>
  <c r="W609" i="4"/>
  <c r="W608" i="4"/>
  <c r="W607" i="4"/>
  <c r="W606" i="4"/>
  <c r="W605" i="4"/>
  <c r="W604" i="4"/>
  <c r="W603" i="4"/>
  <c r="W602" i="4"/>
  <c r="W601" i="4"/>
  <c r="W600" i="4"/>
  <c r="W599" i="4"/>
  <c r="W598" i="4"/>
  <c r="W597" i="4"/>
  <c r="W596" i="4"/>
  <c r="W595" i="4"/>
  <c r="W594" i="4"/>
  <c r="W593" i="4"/>
  <c r="W592" i="4"/>
  <c r="W591" i="4"/>
  <c r="W590" i="4"/>
  <c r="W589" i="4"/>
  <c r="W588" i="4"/>
  <c r="W587" i="4"/>
  <c r="W586" i="4"/>
  <c r="W585" i="4"/>
  <c r="W584" i="4"/>
  <c r="W583" i="4"/>
  <c r="W582" i="4"/>
  <c r="W581" i="4"/>
  <c r="W580" i="4"/>
  <c r="W579" i="4"/>
  <c r="W578" i="4"/>
  <c r="W577" i="4"/>
  <c r="W576" i="4"/>
  <c r="W575" i="4"/>
  <c r="W574" i="4"/>
  <c r="W573" i="4"/>
  <c r="W572" i="4"/>
  <c r="W571" i="4"/>
  <c r="W570" i="4"/>
  <c r="W569" i="4"/>
  <c r="W568" i="4"/>
  <c r="W567" i="4"/>
  <c r="W566" i="4"/>
  <c r="W565" i="4"/>
  <c r="W564" i="4"/>
  <c r="W563" i="4"/>
  <c r="W562" i="4"/>
  <c r="W561" i="4"/>
  <c r="W560" i="4"/>
  <c r="W559" i="4"/>
  <c r="W558" i="4"/>
  <c r="W557" i="4"/>
  <c r="W556" i="4"/>
  <c r="W555" i="4"/>
  <c r="W554" i="4"/>
  <c r="W553" i="4"/>
  <c r="W552" i="4"/>
  <c r="W551" i="4"/>
  <c r="W550" i="4"/>
  <c r="W549" i="4"/>
  <c r="W548" i="4"/>
  <c r="W547" i="4"/>
  <c r="W546" i="4"/>
  <c r="W545" i="4"/>
  <c r="W544" i="4"/>
  <c r="W543" i="4"/>
  <c r="W542" i="4"/>
  <c r="W541" i="4"/>
  <c r="W540" i="4"/>
  <c r="W539" i="4"/>
  <c r="W538" i="4"/>
  <c r="W537" i="4"/>
  <c r="W536" i="4"/>
  <c r="W535" i="4"/>
  <c r="W534" i="4"/>
  <c r="W533" i="4"/>
  <c r="W532" i="4"/>
  <c r="W531" i="4"/>
  <c r="W530" i="4"/>
  <c r="W529" i="4"/>
  <c r="W528" i="4"/>
  <c r="W527" i="4"/>
  <c r="W526" i="4"/>
  <c r="W525" i="4"/>
  <c r="W524" i="4"/>
  <c r="W523" i="4"/>
  <c r="W522" i="4"/>
  <c r="W521" i="4"/>
  <c r="W520" i="4"/>
  <c r="W519" i="4"/>
  <c r="W518" i="4"/>
  <c r="W517" i="4"/>
  <c r="X516" i="4"/>
  <c r="Y516" i="4"/>
  <c r="AA516" i="4" s="1"/>
  <c r="W515" i="4"/>
  <c r="W514" i="4"/>
  <c r="W513" i="4"/>
  <c r="W512" i="4"/>
  <c r="W511" i="4"/>
  <c r="W510" i="4"/>
  <c r="W509" i="4"/>
  <c r="W508" i="4"/>
  <c r="W507" i="4"/>
  <c r="W506" i="4"/>
  <c r="W505" i="4"/>
  <c r="W504" i="4"/>
  <c r="W503" i="4"/>
  <c r="W502" i="4"/>
  <c r="W501" i="4"/>
  <c r="W500" i="4"/>
  <c r="W499" i="4"/>
  <c r="W498" i="4"/>
  <c r="W497" i="4"/>
  <c r="W496" i="4"/>
  <c r="W495" i="4"/>
  <c r="W494" i="4"/>
  <c r="W493" i="4"/>
  <c r="W492" i="4"/>
  <c r="W491" i="4"/>
  <c r="W490" i="4"/>
  <c r="W489" i="4"/>
  <c r="W488" i="4"/>
  <c r="W487" i="4"/>
  <c r="W486" i="4"/>
  <c r="W485" i="4"/>
  <c r="W484" i="4"/>
  <c r="W483" i="4"/>
  <c r="W482" i="4"/>
  <c r="W481" i="4"/>
  <c r="W480" i="4"/>
  <c r="W479" i="4"/>
  <c r="W478" i="4"/>
  <c r="W477" i="4"/>
  <c r="W476" i="4"/>
  <c r="W475" i="4"/>
  <c r="W474" i="4"/>
  <c r="W473" i="4"/>
  <c r="W472" i="4"/>
  <c r="W471" i="4"/>
  <c r="W470" i="4"/>
  <c r="W469" i="4"/>
  <c r="W468" i="4"/>
  <c r="W467" i="4"/>
  <c r="W466" i="4"/>
  <c r="W465" i="4"/>
  <c r="W464" i="4"/>
  <c r="W463" i="4"/>
  <c r="W462" i="4"/>
  <c r="W461" i="4"/>
  <c r="W460" i="4"/>
  <c r="W459" i="4"/>
  <c r="W458" i="4"/>
  <c r="W457" i="4"/>
  <c r="W456" i="4"/>
  <c r="W455" i="4"/>
  <c r="W454" i="4"/>
  <c r="W453" i="4"/>
  <c r="W452" i="4"/>
  <c r="W451" i="4"/>
  <c r="W450" i="4"/>
  <c r="W449" i="4"/>
  <c r="W448" i="4"/>
  <c r="W447" i="4"/>
  <c r="W446" i="4"/>
  <c r="W445" i="4"/>
  <c r="W444" i="4"/>
  <c r="W443" i="4"/>
  <c r="W442" i="4"/>
  <c r="W441" i="4"/>
  <c r="W440" i="4"/>
  <c r="W439" i="4"/>
  <c r="W438" i="4"/>
  <c r="W437" i="4"/>
  <c r="W436" i="4"/>
  <c r="W435" i="4"/>
  <c r="W434" i="4"/>
  <c r="W433" i="4"/>
  <c r="W432" i="4"/>
  <c r="W431" i="4"/>
  <c r="W430" i="4"/>
  <c r="W429" i="4"/>
  <c r="X428" i="4"/>
  <c r="Y428" i="4"/>
  <c r="AA428" i="4" s="1"/>
  <c r="W427" i="4"/>
  <c r="W426" i="4"/>
  <c r="W425" i="4"/>
  <c r="W424" i="4"/>
  <c r="W423" i="4"/>
  <c r="W422" i="4"/>
  <c r="W421" i="4"/>
  <c r="W420" i="4"/>
  <c r="W419" i="4"/>
  <c r="W418" i="4"/>
  <c r="W417" i="4"/>
  <c r="W416" i="4"/>
  <c r="W415" i="4"/>
  <c r="W414" i="4"/>
  <c r="W413" i="4"/>
  <c r="W412" i="4"/>
  <c r="W411" i="4"/>
  <c r="W410" i="4"/>
  <c r="W409" i="4"/>
  <c r="W408" i="4"/>
  <c r="W407" i="4"/>
  <c r="W406" i="4"/>
  <c r="W405" i="4"/>
  <c r="W404" i="4"/>
  <c r="W403" i="4"/>
  <c r="W402" i="4"/>
  <c r="W401" i="4"/>
  <c r="W400" i="4"/>
  <c r="W399" i="4"/>
  <c r="W398" i="4"/>
  <c r="W397" i="4"/>
  <c r="W396" i="4"/>
  <c r="W395" i="4"/>
  <c r="W394" i="4"/>
  <c r="W393" i="4"/>
  <c r="W392" i="4"/>
  <c r="W391" i="4"/>
  <c r="W390" i="4"/>
  <c r="W389" i="4"/>
  <c r="W388" i="4"/>
  <c r="W387" i="4"/>
  <c r="W386" i="4"/>
  <c r="W385" i="4"/>
  <c r="W384" i="4"/>
  <c r="W383" i="4"/>
  <c r="W382" i="4"/>
  <c r="W381" i="4"/>
  <c r="W380" i="4"/>
  <c r="W379" i="4"/>
  <c r="W378" i="4"/>
  <c r="W377" i="4"/>
  <c r="W376" i="4"/>
  <c r="W375" i="4"/>
  <c r="W374" i="4"/>
  <c r="W373" i="4"/>
  <c r="W372" i="4"/>
  <c r="W371" i="4"/>
  <c r="W370" i="4"/>
  <c r="W369" i="4"/>
  <c r="W368" i="4"/>
  <c r="W367" i="4"/>
  <c r="W366" i="4"/>
  <c r="W365" i="4"/>
  <c r="W364" i="4"/>
  <c r="W363" i="4"/>
  <c r="W362" i="4"/>
  <c r="W361" i="4"/>
  <c r="W360" i="4"/>
  <c r="W359" i="4"/>
  <c r="W358" i="4"/>
  <c r="W357" i="4"/>
  <c r="W356" i="4"/>
  <c r="W355" i="4"/>
  <c r="W354" i="4"/>
  <c r="W353" i="4"/>
  <c r="W352" i="4"/>
  <c r="W351" i="4"/>
  <c r="W350" i="4"/>
  <c r="W349" i="4"/>
  <c r="W348" i="4"/>
  <c r="W347" i="4"/>
  <c r="W346" i="4"/>
  <c r="W345" i="4"/>
  <c r="W344" i="4"/>
  <c r="W343" i="4"/>
  <c r="W342" i="4"/>
  <c r="W341" i="4"/>
  <c r="W340" i="4"/>
  <c r="W339" i="4"/>
  <c r="W338" i="4"/>
  <c r="W337" i="4"/>
  <c r="W336" i="4"/>
  <c r="W335" i="4"/>
  <c r="W334" i="4"/>
  <c r="W333" i="4"/>
  <c r="W332" i="4"/>
  <c r="W331" i="4"/>
  <c r="W330" i="4"/>
  <c r="W329" i="4"/>
  <c r="W328" i="4"/>
  <c r="W327" i="4"/>
  <c r="W326" i="4"/>
  <c r="W325" i="4"/>
  <c r="W324" i="4"/>
  <c r="W323" i="4"/>
  <c r="W322" i="4"/>
  <c r="W321" i="4"/>
  <c r="W320" i="4"/>
  <c r="W319" i="4"/>
  <c r="W318" i="4"/>
  <c r="W317" i="4"/>
  <c r="W316" i="4"/>
  <c r="W315" i="4"/>
  <c r="W314" i="4"/>
  <c r="W313" i="4"/>
  <c r="W312" i="4"/>
  <c r="W311" i="4"/>
  <c r="W310" i="4"/>
  <c r="W309" i="4"/>
  <c r="W308" i="4"/>
  <c r="W307" i="4"/>
  <c r="W306" i="4"/>
  <c r="W305" i="4"/>
  <c r="W304" i="4"/>
  <c r="W303" i="4"/>
  <c r="W302" i="4"/>
  <c r="W301" i="4"/>
  <c r="W300" i="4"/>
  <c r="W299" i="4"/>
  <c r="W298" i="4"/>
  <c r="W297" i="4"/>
  <c r="W296" i="4"/>
  <c r="W295" i="4"/>
  <c r="W294" i="4"/>
  <c r="W293" i="4"/>
  <c r="W292" i="4"/>
  <c r="W291" i="4"/>
  <c r="W290" i="4"/>
  <c r="W289" i="4"/>
  <c r="W288" i="4"/>
  <c r="W287" i="4"/>
  <c r="W286" i="4"/>
  <c r="W285" i="4"/>
  <c r="W284" i="4"/>
  <c r="W283" i="4"/>
  <c r="W282" i="4"/>
  <c r="W281" i="4"/>
  <c r="W280" i="4"/>
  <c r="W279" i="4"/>
  <c r="W278" i="4"/>
  <c r="W277" i="4"/>
  <c r="W276" i="4"/>
  <c r="W275" i="4"/>
  <c r="W274" i="4"/>
  <c r="W273" i="4"/>
  <c r="W272" i="4"/>
  <c r="W271" i="4"/>
  <c r="W270" i="4"/>
  <c r="W269" i="4"/>
  <c r="W268" i="4"/>
  <c r="W267" i="4"/>
  <c r="W266" i="4"/>
  <c r="W265" i="4"/>
  <c r="W264" i="4"/>
  <c r="W263" i="4"/>
  <c r="W262" i="4"/>
  <c r="W261" i="4"/>
  <c r="W260" i="4"/>
  <c r="W259" i="4"/>
  <c r="W258" i="4"/>
  <c r="W257" i="4"/>
  <c r="W256" i="4"/>
  <c r="W255" i="4"/>
  <c r="W254" i="4"/>
  <c r="X253" i="4"/>
  <c r="Y253" i="4"/>
  <c r="AA253" i="4" s="1"/>
  <c r="W252" i="4"/>
  <c r="W251" i="4"/>
  <c r="W250" i="4"/>
  <c r="W249" i="4"/>
  <c r="W248" i="4"/>
  <c r="W247" i="4"/>
  <c r="W246" i="4"/>
  <c r="W245" i="4"/>
  <c r="W244" i="4"/>
  <c r="W243" i="4"/>
  <c r="W242" i="4"/>
  <c r="W241" i="4"/>
  <c r="W240" i="4"/>
  <c r="W239" i="4"/>
  <c r="W238" i="4"/>
  <c r="W237" i="4"/>
  <c r="W236" i="4"/>
  <c r="W235" i="4"/>
  <c r="W234" i="4"/>
  <c r="W233" i="4"/>
  <c r="W232" i="4"/>
  <c r="W231" i="4"/>
  <c r="W230" i="4"/>
  <c r="W229" i="4"/>
  <c r="W228" i="4"/>
  <c r="W227" i="4"/>
  <c r="W226" i="4"/>
  <c r="W225" i="4"/>
  <c r="W224" i="4"/>
  <c r="W223" i="4"/>
  <c r="W222" i="4"/>
  <c r="W221" i="4"/>
  <c r="W220" i="4"/>
  <c r="W219" i="4"/>
  <c r="W218" i="4"/>
  <c r="W217" i="4"/>
  <c r="W216" i="4"/>
  <c r="W215" i="4"/>
  <c r="W214" i="4"/>
  <c r="W213" i="4"/>
  <c r="W212" i="4"/>
  <c r="W211" i="4"/>
  <c r="W210" i="4"/>
  <c r="W209" i="4"/>
  <c r="W208" i="4"/>
  <c r="W207" i="4"/>
  <c r="W206" i="4"/>
  <c r="W205" i="4"/>
  <c r="W204" i="4"/>
  <c r="W203" i="4"/>
  <c r="W202" i="4"/>
  <c r="W201" i="4"/>
  <c r="W200" i="4"/>
  <c r="W199" i="4"/>
  <c r="W198" i="4"/>
  <c r="W197" i="4"/>
  <c r="W196" i="4"/>
  <c r="W195" i="4"/>
  <c r="W194" i="4"/>
  <c r="W193" i="4"/>
  <c r="W192" i="4"/>
  <c r="W191" i="4"/>
  <c r="W190" i="4"/>
  <c r="W189" i="4"/>
  <c r="W188" i="4"/>
  <c r="W187" i="4"/>
  <c r="W186" i="4"/>
  <c r="W185" i="4"/>
  <c r="W184" i="4"/>
  <c r="W183" i="4"/>
  <c r="W182" i="4"/>
  <c r="W181" i="4"/>
  <c r="W180" i="4"/>
  <c r="W179" i="4"/>
  <c r="W178" i="4"/>
  <c r="W177" i="4"/>
  <c r="W176" i="4"/>
  <c r="W175" i="4"/>
  <c r="W174" i="4"/>
  <c r="W173" i="4"/>
  <c r="W172" i="4"/>
  <c r="W171" i="4"/>
  <c r="W170" i="4"/>
  <c r="W169" i="4"/>
  <c r="W168" i="4"/>
  <c r="W167" i="4"/>
  <c r="W166" i="4"/>
  <c r="X165" i="4"/>
  <c r="Y165" i="4"/>
  <c r="AA165" i="4" s="1"/>
  <c r="W164" i="4"/>
  <c r="W163" i="4"/>
  <c r="W162" i="4"/>
  <c r="W161" i="4"/>
  <c r="W160" i="4"/>
  <c r="W159" i="4"/>
  <c r="W158" i="4"/>
  <c r="W157" i="4"/>
  <c r="W156" i="4"/>
  <c r="W155" i="4"/>
  <c r="W154" i="4"/>
  <c r="W153" i="4"/>
  <c r="W152" i="4"/>
  <c r="W151" i="4"/>
  <c r="W150" i="4"/>
  <c r="W149" i="4"/>
  <c r="W148" i="4"/>
  <c r="W147" i="4"/>
  <c r="W146" i="4"/>
  <c r="W145" i="4"/>
  <c r="W144" i="4"/>
  <c r="W143" i="4"/>
  <c r="W142" i="4"/>
  <c r="W141" i="4"/>
  <c r="W140" i="4"/>
  <c r="W139" i="4"/>
  <c r="W138" i="4"/>
  <c r="W137" i="4"/>
  <c r="W136" i="4"/>
  <c r="W135" i="4"/>
  <c r="W134" i="4"/>
  <c r="W133" i="4"/>
  <c r="W132" i="4"/>
  <c r="W131" i="4"/>
  <c r="W130" i="4"/>
  <c r="W129" i="4"/>
  <c r="W128" i="4"/>
  <c r="W127" i="4"/>
  <c r="W126" i="4"/>
  <c r="W125" i="4"/>
  <c r="W124" i="4"/>
  <c r="W123" i="4"/>
  <c r="W122" i="4"/>
  <c r="W121" i="4"/>
  <c r="W120" i="4"/>
  <c r="W119" i="4"/>
  <c r="W118" i="4"/>
  <c r="W117" i="4"/>
  <c r="W116" i="4"/>
  <c r="W115" i="4"/>
  <c r="W114" i="4"/>
  <c r="W113" i="4"/>
  <c r="W112" i="4"/>
  <c r="W111" i="4"/>
  <c r="W110" i="4"/>
  <c r="W109" i="4"/>
  <c r="W108" i="4"/>
  <c r="W107" i="4"/>
  <c r="W106" i="4"/>
  <c r="W105" i="4"/>
  <c r="W104" i="4"/>
  <c r="W103" i="4"/>
  <c r="W102" i="4"/>
  <c r="W101" i="4"/>
  <c r="W100" i="4"/>
  <c r="W99" i="4"/>
  <c r="W98" i="4"/>
  <c r="W97" i="4"/>
  <c r="W96" i="4"/>
  <c r="W95" i="4"/>
  <c r="W94" i="4"/>
  <c r="W93" i="4"/>
  <c r="W92" i="4"/>
  <c r="W91" i="4"/>
  <c r="W90" i="4"/>
  <c r="W89" i="4"/>
  <c r="W88" i="4"/>
  <c r="W87" i="4"/>
  <c r="W86" i="4"/>
  <c r="W85" i="4"/>
  <c r="W84" i="4"/>
  <c r="W83" i="4"/>
  <c r="W8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3" i="4"/>
  <c r="X1355" i="4" l="1"/>
  <c r="Y1355" i="4"/>
  <c r="AA1355" i="4" s="1"/>
  <c r="X1354" i="4"/>
  <c r="Y1354" i="4"/>
  <c r="AA1354" i="4" s="1"/>
  <c r="X1353" i="4"/>
  <c r="Y1353" i="4"/>
  <c r="AA1353" i="4" s="1"/>
  <c r="X1352" i="4"/>
  <c r="Y1352" i="4"/>
  <c r="AA1352" i="4" s="1"/>
  <c r="X1351" i="4"/>
  <c r="Y1351" i="4"/>
  <c r="AA1351" i="4" s="1"/>
  <c r="X1350" i="4"/>
  <c r="Y1350" i="4"/>
  <c r="AA1350" i="4" s="1"/>
  <c r="X1349" i="4"/>
  <c r="Y1349" i="4"/>
  <c r="AA1349" i="4" s="1"/>
  <c r="X1348" i="4"/>
  <c r="Y1348" i="4"/>
  <c r="AA1348" i="4" s="1"/>
  <c r="X1347" i="4"/>
  <c r="Y1347" i="4"/>
  <c r="AA1347" i="4" s="1"/>
  <c r="X1346" i="4"/>
  <c r="Y1346" i="4"/>
  <c r="AA1346" i="4" s="1"/>
  <c r="X1345" i="4"/>
  <c r="Y1345" i="4"/>
  <c r="AA1345" i="4" s="1"/>
  <c r="X1344" i="4"/>
  <c r="Y1344" i="4"/>
  <c r="AA1344" i="4" s="1"/>
  <c r="X1343" i="4"/>
  <c r="Y1343" i="4"/>
  <c r="AA1343" i="4" s="1"/>
  <c r="X1342" i="4"/>
  <c r="Y1342" i="4"/>
  <c r="AA1342" i="4" s="1"/>
  <c r="X1341" i="4"/>
  <c r="Y1341" i="4"/>
  <c r="AA1341" i="4" s="1"/>
  <c r="X1340" i="4"/>
  <c r="Y1340" i="4"/>
  <c r="AA1340" i="4" s="1"/>
  <c r="X1339" i="4"/>
  <c r="Y1339" i="4"/>
  <c r="AA1339" i="4" s="1"/>
  <c r="X1338" i="4"/>
  <c r="Y1338" i="4"/>
  <c r="AA1338" i="4" s="1"/>
  <c r="X1337" i="4"/>
  <c r="Y1337" i="4"/>
  <c r="AA1337" i="4" s="1"/>
  <c r="X1336" i="4"/>
  <c r="Y1336" i="4"/>
  <c r="AA1336" i="4" s="1"/>
  <c r="X1335" i="4"/>
  <c r="Y1335" i="4"/>
  <c r="AA1335" i="4" s="1"/>
  <c r="X1334" i="4"/>
  <c r="Y1334" i="4"/>
  <c r="AA1334" i="4" s="1"/>
  <c r="X1333" i="4"/>
  <c r="Y1333" i="4"/>
  <c r="AA1333" i="4" s="1"/>
  <c r="X1332" i="4"/>
  <c r="Y1332" i="4"/>
  <c r="AA1332" i="4" s="1"/>
  <c r="X1331" i="4"/>
  <c r="Y1331" i="4"/>
  <c r="AA1331" i="4" s="1"/>
  <c r="X1330" i="4"/>
  <c r="Y1330" i="4"/>
  <c r="AA1330" i="4" s="1"/>
  <c r="X1329" i="4"/>
  <c r="Y1329" i="4"/>
  <c r="AA1329" i="4" s="1"/>
  <c r="X1328" i="4"/>
  <c r="Y1328" i="4"/>
  <c r="AA1328" i="4" s="1"/>
  <c r="X1327" i="4"/>
  <c r="Y1327" i="4"/>
  <c r="AA1327" i="4" s="1"/>
  <c r="X1326" i="4"/>
  <c r="Y1326" i="4"/>
  <c r="AA1326" i="4" s="1"/>
  <c r="X1325" i="4"/>
  <c r="Y1325" i="4"/>
  <c r="AA1325" i="4" s="1"/>
  <c r="X1324" i="4"/>
  <c r="Y1324" i="4"/>
  <c r="AA1324" i="4" s="1"/>
  <c r="X1323" i="4"/>
  <c r="Y1323" i="4"/>
  <c r="AA1323" i="4" s="1"/>
  <c r="X1322" i="4"/>
  <c r="Y1322" i="4"/>
  <c r="AA1322" i="4" s="1"/>
  <c r="X1321" i="4"/>
  <c r="Y1321" i="4"/>
  <c r="AA1321" i="4" s="1"/>
  <c r="X1320" i="4"/>
  <c r="Y1320" i="4"/>
  <c r="AA1320" i="4" s="1"/>
  <c r="X1319" i="4"/>
  <c r="Y1319" i="4"/>
  <c r="AA1319" i="4" s="1"/>
  <c r="X1318" i="4"/>
  <c r="Y1318" i="4"/>
  <c r="AA1318" i="4" s="1"/>
  <c r="X1317" i="4"/>
  <c r="Y1317" i="4"/>
  <c r="AA1317" i="4" s="1"/>
  <c r="X1316" i="4"/>
  <c r="Y1316" i="4"/>
  <c r="AA1316" i="4" s="1"/>
  <c r="X1315" i="4"/>
  <c r="Y1315" i="4"/>
  <c r="AA1315" i="4" s="1"/>
  <c r="X1314" i="4"/>
  <c r="Y1314" i="4"/>
  <c r="AA1314" i="4" s="1"/>
  <c r="X1313" i="4"/>
  <c r="Y1313" i="4"/>
  <c r="AA1313" i="4" s="1"/>
  <c r="X1312" i="4"/>
  <c r="Y1312" i="4"/>
  <c r="AA1312" i="4" s="1"/>
  <c r="X1311" i="4"/>
  <c r="Y1311" i="4"/>
  <c r="AA1311" i="4" s="1"/>
  <c r="X1310" i="4"/>
  <c r="Y1310" i="4"/>
  <c r="AA1310" i="4" s="1"/>
  <c r="X1309" i="4"/>
  <c r="Y1309" i="4"/>
  <c r="AA1309" i="4" s="1"/>
  <c r="X1308" i="4"/>
  <c r="Y1308" i="4"/>
  <c r="AA1308" i="4" s="1"/>
  <c r="X1307" i="4"/>
  <c r="Y1307" i="4"/>
  <c r="AA1307" i="4" s="1"/>
  <c r="X1306" i="4"/>
  <c r="Y1306" i="4"/>
  <c r="AA1306" i="4" s="1"/>
  <c r="X1305" i="4"/>
  <c r="Y1305" i="4"/>
  <c r="AA1305" i="4" s="1"/>
  <c r="X1304" i="4"/>
  <c r="Y1304" i="4"/>
  <c r="AA1304" i="4" s="1"/>
  <c r="X1303" i="4"/>
  <c r="Y1303" i="4"/>
  <c r="AA1303" i="4" s="1"/>
  <c r="X1302" i="4"/>
  <c r="Y1302" i="4"/>
  <c r="AA1302" i="4" s="1"/>
  <c r="X1301" i="4"/>
  <c r="Y1301" i="4"/>
  <c r="AA1301" i="4" s="1"/>
  <c r="X1300" i="4"/>
  <c r="Y1300" i="4"/>
  <c r="AA1300" i="4" s="1"/>
  <c r="X1299" i="4"/>
  <c r="Y1299" i="4"/>
  <c r="AA1299" i="4" s="1"/>
  <c r="X1298" i="4"/>
  <c r="Y1298" i="4"/>
  <c r="AA1298" i="4" s="1"/>
  <c r="X1297" i="4"/>
  <c r="Y1297" i="4"/>
  <c r="AA1297" i="4" s="1"/>
  <c r="X1296" i="4"/>
  <c r="Y1296" i="4"/>
  <c r="AA1296" i="4" s="1"/>
  <c r="X1295" i="4"/>
  <c r="Y1295" i="4"/>
  <c r="AA1295" i="4" s="1"/>
  <c r="X1294" i="4"/>
  <c r="Y1294" i="4"/>
  <c r="AA1294" i="4" s="1"/>
  <c r="X1293" i="4"/>
  <c r="Y1293" i="4"/>
  <c r="AA1293" i="4" s="1"/>
  <c r="X1292" i="4"/>
  <c r="Y1292" i="4"/>
  <c r="AA1292" i="4" s="1"/>
  <c r="X1291" i="4"/>
  <c r="Y1291" i="4"/>
  <c r="AA1291" i="4" s="1"/>
  <c r="X1290" i="4"/>
  <c r="Y1290" i="4"/>
  <c r="AA1290" i="4" s="1"/>
  <c r="X1289" i="4"/>
  <c r="Y1289" i="4"/>
  <c r="AA1289" i="4" s="1"/>
  <c r="X1288" i="4"/>
  <c r="Y1288" i="4"/>
  <c r="AA1288" i="4" s="1"/>
  <c r="X1287" i="4"/>
  <c r="Y1287" i="4"/>
  <c r="AA1287" i="4" s="1"/>
  <c r="X1286" i="4"/>
  <c r="Y1286" i="4"/>
  <c r="AA1286" i="4" s="1"/>
  <c r="X1285" i="4"/>
  <c r="Y1285" i="4"/>
  <c r="AA1285" i="4" s="1"/>
  <c r="X1284" i="4"/>
  <c r="Y1284" i="4"/>
  <c r="AA1284" i="4" s="1"/>
  <c r="X1283" i="4"/>
  <c r="Y1283" i="4"/>
  <c r="AA1283" i="4" s="1"/>
  <c r="Y1282" i="4"/>
  <c r="AA1282" i="4" s="1"/>
  <c r="X1282" i="4"/>
  <c r="X1281" i="4"/>
  <c r="Y1281" i="4"/>
  <c r="AA1281" i="4" s="1"/>
  <c r="X1279" i="4"/>
  <c r="Y1279" i="4"/>
  <c r="AA1279" i="4" s="1"/>
  <c r="X1278" i="4"/>
  <c r="Y1278" i="4"/>
  <c r="AA1278" i="4" s="1"/>
  <c r="X1277" i="4"/>
  <c r="Y1277" i="4"/>
  <c r="AA1277" i="4" s="1"/>
  <c r="X1276" i="4"/>
  <c r="Y1276" i="4"/>
  <c r="AA1276" i="4" s="1"/>
  <c r="X1275" i="4"/>
  <c r="Y1275" i="4"/>
  <c r="AA1275" i="4" s="1"/>
  <c r="X1274" i="4"/>
  <c r="Y1274" i="4"/>
  <c r="AA1274" i="4" s="1"/>
  <c r="X1273" i="4"/>
  <c r="Y1273" i="4"/>
  <c r="AA1273" i="4" s="1"/>
  <c r="X1272" i="4"/>
  <c r="Y1272" i="4"/>
  <c r="AA1272" i="4" s="1"/>
  <c r="X1271" i="4"/>
  <c r="Y1271" i="4"/>
  <c r="AA1271" i="4" s="1"/>
  <c r="X1270" i="4"/>
  <c r="Y1270" i="4"/>
  <c r="AA1270" i="4" s="1"/>
  <c r="X1269" i="4"/>
  <c r="Y1269" i="4"/>
  <c r="AA1269" i="4" s="1"/>
  <c r="X1268" i="4"/>
  <c r="Y1268" i="4"/>
  <c r="AA1268" i="4" s="1"/>
  <c r="X1267" i="4"/>
  <c r="Y1267" i="4"/>
  <c r="AA1267" i="4" s="1"/>
  <c r="X1266" i="4"/>
  <c r="Y1266" i="4"/>
  <c r="AA1266" i="4" s="1"/>
  <c r="X1265" i="4"/>
  <c r="Y1265" i="4"/>
  <c r="AA1265" i="4" s="1"/>
  <c r="X1264" i="4"/>
  <c r="Y1264" i="4"/>
  <c r="AA1264" i="4" s="1"/>
  <c r="X1263" i="4"/>
  <c r="Y1263" i="4"/>
  <c r="AA1263" i="4" s="1"/>
  <c r="X1262" i="4"/>
  <c r="Y1262" i="4"/>
  <c r="AA1262" i="4" s="1"/>
  <c r="X1261" i="4"/>
  <c r="Y1261" i="4"/>
  <c r="AA1261" i="4" s="1"/>
  <c r="X1260" i="4"/>
  <c r="Y1260" i="4"/>
  <c r="AA1260" i="4" s="1"/>
  <c r="X1259" i="4"/>
  <c r="Y1259" i="4"/>
  <c r="AA1259" i="4" s="1"/>
  <c r="X1258" i="4"/>
  <c r="Y1258" i="4"/>
  <c r="AA1258" i="4" s="1"/>
  <c r="X1257" i="4"/>
  <c r="Y1257" i="4"/>
  <c r="AA1257" i="4" s="1"/>
  <c r="X1256" i="4"/>
  <c r="Y1256" i="4"/>
  <c r="AA1256" i="4" s="1"/>
  <c r="X1255" i="4"/>
  <c r="Y1255" i="4"/>
  <c r="AA1255" i="4" s="1"/>
  <c r="X1254" i="4"/>
  <c r="Y1254" i="4"/>
  <c r="AA1254" i="4" s="1"/>
  <c r="X1253" i="4"/>
  <c r="Y1253" i="4"/>
  <c r="AA1253" i="4" s="1"/>
  <c r="X1252" i="4"/>
  <c r="Y1252" i="4"/>
  <c r="AA1252" i="4" s="1"/>
  <c r="X1251" i="4"/>
  <c r="Y1251" i="4"/>
  <c r="AA1251" i="4" s="1"/>
  <c r="X1250" i="4"/>
  <c r="Y1250" i="4"/>
  <c r="AA1250" i="4" s="1"/>
  <c r="X1249" i="4"/>
  <c r="Y1249" i="4"/>
  <c r="AA1249" i="4" s="1"/>
  <c r="X1248" i="4"/>
  <c r="Y1248" i="4"/>
  <c r="AA1248" i="4" s="1"/>
  <c r="X1247" i="4"/>
  <c r="Y1247" i="4"/>
  <c r="AA1247" i="4" s="1"/>
  <c r="X1246" i="4"/>
  <c r="Y1246" i="4"/>
  <c r="AA1246" i="4" s="1"/>
  <c r="X1245" i="4"/>
  <c r="Y1245" i="4"/>
  <c r="AA1245" i="4" s="1"/>
  <c r="X1244" i="4"/>
  <c r="Y1244" i="4"/>
  <c r="AA1244" i="4" s="1"/>
  <c r="X1243" i="4"/>
  <c r="Y1243" i="4"/>
  <c r="AA1243" i="4" s="1"/>
  <c r="X1242" i="4"/>
  <c r="Y1242" i="4"/>
  <c r="AA1242" i="4" s="1"/>
  <c r="X1241" i="4"/>
  <c r="Y1241" i="4"/>
  <c r="AA1241" i="4" s="1"/>
  <c r="X1240" i="4"/>
  <c r="Y1240" i="4"/>
  <c r="AA1240" i="4" s="1"/>
  <c r="X1239" i="4"/>
  <c r="Y1239" i="4"/>
  <c r="AA1239" i="4" s="1"/>
  <c r="X1238" i="4"/>
  <c r="Y1238" i="4"/>
  <c r="AA1238" i="4" s="1"/>
  <c r="X1237" i="4"/>
  <c r="Y1237" i="4"/>
  <c r="AA1237" i="4" s="1"/>
  <c r="X1236" i="4"/>
  <c r="Y1236" i="4"/>
  <c r="AA1236" i="4" s="1"/>
  <c r="X1235" i="4"/>
  <c r="Y1235" i="4"/>
  <c r="AA1235" i="4" s="1"/>
  <c r="X1234" i="4"/>
  <c r="Y1234" i="4"/>
  <c r="AA1234" i="4" s="1"/>
  <c r="X1233" i="4"/>
  <c r="Y1233" i="4"/>
  <c r="AA1233" i="4" s="1"/>
  <c r="X1232" i="4"/>
  <c r="Y1232" i="4"/>
  <c r="AA1232" i="4" s="1"/>
  <c r="X1231" i="4"/>
  <c r="Y1231" i="4"/>
  <c r="AA1231" i="4" s="1"/>
  <c r="X1230" i="4"/>
  <c r="Y1230" i="4"/>
  <c r="AA1230" i="4" s="1"/>
  <c r="X1229" i="4"/>
  <c r="Y1229" i="4"/>
  <c r="AA1229" i="4" s="1"/>
  <c r="X1228" i="4"/>
  <c r="Y1228" i="4"/>
  <c r="AA1228" i="4" s="1"/>
  <c r="X1227" i="4"/>
  <c r="Y1227" i="4"/>
  <c r="AA1227" i="4" s="1"/>
  <c r="X1226" i="4"/>
  <c r="Y1226" i="4"/>
  <c r="AA1226" i="4" s="1"/>
  <c r="X1225" i="4"/>
  <c r="Y1225" i="4"/>
  <c r="AA1225" i="4" s="1"/>
  <c r="X1224" i="4"/>
  <c r="Y1224" i="4"/>
  <c r="AA1224" i="4" s="1"/>
  <c r="X1223" i="4"/>
  <c r="Y1223" i="4"/>
  <c r="AA1223" i="4" s="1"/>
  <c r="X1222" i="4"/>
  <c r="Y1222" i="4"/>
  <c r="AA1222" i="4" s="1"/>
  <c r="X1221" i="4"/>
  <c r="Y1221" i="4"/>
  <c r="AA1221" i="4" s="1"/>
  <c r="X1220" i="4"/>
  <c r="Y1220" i="4"/>
  <c r="AA1220" i="4" s="1"/>
  <c r="X1219" i="4"/>
  <c r="Y1219" i="4"/>
  <c r="AA1219" i="4" s="1"/>
  <c r="X1218" i="4"/>
  <c r="Y1218" i="4"/>
  <c r="AA1218" i="4" s="1"/>
  <c r="X1217" i="4"/>
  <c r="Y1217" i="4"/>
  <c r="AA1217" i="4" s="1"/>
  <c r="X1216" i="4"/>
  <c r="Y1216" i="4"/>
  <c r="AA1216" i="4" s="1"/>
  <c r="X1215" i="4"/>
  <c r="Y1215" i="4"/>
  <c r="AA1215" i="4" s="1"/>
  <c r="X1214" i="4"/>
  <c r="Y1214" i="4"/>
  <c r="AA1214" i="4" s="1"/>
  <c r="X1213" i="4"/>
  <c r="Y1213" i="4"/>
  <c r="AA1213" i="4" s="1"/>
  <c r="X1212" i="4"/>
  <c r="Y1212" i="4"/>
  <c r="AA1212" i="4" s="1"/>
  <c r="X1211" i="4"/>
  <c r="Y1211" i="4"/>
  <c r="AA1211" i="4" s="1"/>
  <c r="X1210" i="4"/>
  <c r="Y1210" i="4"/>
  <c r="AA1210" i="4" s="1"/>
  <c r="X1209" i="4"/>
  <c r="Y1209" i="4"/>
  <c r="AA1209" i="4" s="1"/>
  <c r="X1208" i="4"/>
  <c r="Y1208" i="4"/>
  <c r="AA1208" i="4" s="1"/>
  <c r="X1207" i="4"/>
  <c r="Y1207" i="4"/>
  <c r="AA1207" i="4" s="1"/>
  <c r="X1206" i="4"/>
  <c r="Y1206" i="4"/>
  <c r="AA1206" i="4" s="1"/>
  <c r="X1205" i="4"/>
  <c r="Y1205" i="4"/>
  <c r="AA1205" i="4" s="1"/>
  <c r="X1204" i="4"/>
  <c r="Y1204" i="4"/>
  <c r="AA1204" i="4" s="1"/>
  <c r="X1203" i="4"/>
  <c r="Y1203" i="4"/>
  <c r="AA1203" i="4" s="1"/>
  <c r="X1202" i="4"/>
  <c r="Y1202" i="4"/>
  <c r="AA1202" i="4" s="1"/>
  <c r="X1201" i="4"/>
  <c r="Y1201" i="4"/>
  <c r="AA1201" i="4" s="1"/>
  <c r="X1200" i="4"/>
  <c r="Y1200" i="4"/>
  <c r="AA1200" i="4" s="1"/>
  <c r="X1199" i="4"/>
  <c r="Y1199" i="4"/>
  <c r="AA1199" i="4" s="1"/>
  <c r="X1198" i="4"/>
  <c r="Y1198" i="4"/>
  <c r="AA1198" i="4" s="1"/>
  <c r="X1197" i="4"/>
  <c r="Y1197" i="4"/>
  <c r="AA1197" i="4" s="1"/>
  <c r="X1196" i="4"/>
  <c r="Y1196" i="4"/>
  <c r="AA1196" i="4" s="1"/>
  <c r="X1194" i="4"/>
  <c r="Y1194" i="4"/>
  <c r="AA1194" i="4" s="1"/>
  <c r="X1193" i="4"/>
  <c r="Y1193" i="4"/>
  <c r="AA1193" i="4" s="1"/>
  <c r="X1192" i="4"/>
  <c r="Y1192" i="4"/>
  <c r="AA1192" i="4" s="1"/>
  <c r="X1191" i="4"/>
  <c r="Y1191" i="4"/>
  <c r="AA1191" i="4" s="1"/>
  <c r="X1190" i="4"/>
  <c r="Y1190" i="4"/>
  <c r="AA1190" i="4" s="1"/>
  <c r="X1189" i="4"/>
  <c r="Y1189" i="4"/>
  <c r="AA1189" i="4" s="1"/>
  <c r="X1188" i="4"/>
  <c r="Y1188" i="4"/>
  <c r="AA1188" i="4" s="1"/>
  <c r="X1187" i="4"/>
  <c r="Y1187" i="4"/>
  <c r="AA1187" i="4" s="1"/>
  <c r="X1186" i="4"/>
  <c r="Y1186" i="4"/>
  <c r="AA1186" i="4" s="1"/>
  <c r="X1185" i="4"/>
  <c r="Y1185" i="4"/>
  <c r="AA1185" i="4" s="1"/>
  <c r="X1184" i="4"/>
  <c r="Y1184" i="4"/>
  <c r="AA1184" i="4" s="1"/>
  <c r="X1183" i="4"/>
  <c r="Y1183" i="4"/>
  <c r="AA1183" i="4" s="1"/>
  <c r="X1182" i="4"/>
  <c r="Y1182" i="4"/>
  <c r="AA1182" i="4" s="1"/>
  <c r="X1181" i="4"/>
  <c r="Y1181" i="4"/>
  <c r="AA1181" i="4" s="1"/>
  <c r="X1180" i="4"/>
  <c r="Y1180" i="4"/>
  <c r="AA1180" i="4" s="1"/>
  <c r="X1179" i="4"/>
  <c r="Y1179" i="4"/>
  <c r="AA1179" i="4" s="1"/>
  <c r="X1178" i="4"/>
  <c r="Y1178" i="4"/>
  <c r="AA1178" i="4" s="1"/>
  <c r="X1177" i="4"/>
  <c r="Y1177" i="4"/>
  <c r="AA1177" i="4" s="1"/>
  <c r="X1176" i="4"/>
  <c r="Y1176" i="4"/>
  <c r="AA1176" i="4" s="1"/>
  <c r="X1175" i="4"/>
  <c r="Y1175" i="4"/>
  <c r="AA1175" i="4" s="1"/>
  <c r="X1174" i="4"/>
  <c r="Y1174" i="4"/>
  <c r="AA1174" i="4" s="1"/>
  <c r="X1173" i="4"/>
  <c r="Y1173" i="4"/>
  <c r="AA1173" i="4" s="1"/>
  <c r="X1172" i="4"/>
  <c r="Y1172" i="4"/>
  <c r="AA1172" i="4" s="1"/>
  <c r="X1171" i="4"/>
  <c r="Y1171" i="4"/>
  <c r="AA1171" i="4" s="1"/>
  <c r="X1170" i="4"/>
  <c r="Y1170" i="4"/>
  <c r="AA1170" i="4" s="1"/>
  <c r="X1169" i="4"/>
  <c r="Y1169" i="4"/>
  <c r="AA1169" i="4" s="1"/>
  <c r="X1168" i="4"/>
  <c r="Y1168" i="4"/>
  <c r="AA1168" i="4" s="1"/>
  <c r="X1167" i="4"/>
  <c r="Y1167" i="4"/>
  <c r="AA1167" i="4" s="1"/>
  <c r="X1166" i="4"/>
  <c r="Y1166" i="4"/>
  <c r="AA1166" i="4" s="1"/>
  <c r="X1165" i="4"/>
  <c r="Y1165" i="4"/>
  <c r="AA1165" i="4" s="1"/>
  <c r="X1164" i="4"/>
  <c r="Y1164" i="4"/>
  <c r="AA1164" i="4" s="1"/>
  <c r="X1163" i="4"/>
  <c r="Y1163" i="4"/>
  <c r="AA1163" i="4" s="1"/>
  <c r="X1162" i="4"/>
  <c r="Y1162" i="4"/>
  <c r="AA1162" i="4" s="1"/>
  <c r="X1161" i="4"/>
  <c r="Y1161" i="4"/>
  <c r="AA1161" i="4" s="1"/>
  <c r="X1160" i="4"/>
  <c r="Y1160" i="4"/>
  <c r="AA1160" i="4" s="1"/>
  <c r="X1159" i="4"/>
  <c r="Y1159" i="4"/>
  <c r="AA1159" i="4" s="1"/>
  <c r="X1158" i="4"/>
  <c r="Y1158" i="4"/>
  <c r="AA1158" i="4" s="1"/>
  <c r="X1157" i="4"/>
  <c r="Y1157" i="4"/>
  <c r="AA1157" i="4" s="1"/>
  <c r="X1156" i="4"/>
  <c r="Y1156" i="4"/>
  <c r="AA1156" i="4" s="1"/>
  <c r="X1155" i="4"/>
  <c r="Y1155" i="4"/>
  <c r="AA1155" i="4" s="1"/>
  <c r="X1154" i="4"/>
  <c r="Y1154" i="4"/>
  <c r="AA1154" i="4" s="1"/>
  <c r="Y1153" i="4"/>
  <c r="AA1153" i="4" s="1"/>
  <c r="X1153" i="4"/>
  <c r="X1152" i="4"/>
  <c r="Y1152" i="4"/>
  <c r="AA1152" i="4" s="1"/>
  <c r="X1151" i="4"/>
  <c r="Y1151" i="4"/>
  <c r="AA1151" i="4" s="1"/>
  <c r="X1150" i="4"/>
  <c r="Y1150" i="4"/>
  <c r="AA1150" i="4" s="1"/>
  <c r="X1149" i="4"/>
  <c r="Y1149" i="4"/>
  <c r="AA1149" i="4" s="1"/>
  <c r="X1148" i="4"/>
  <c r="Y1148" i="4"/>
  <c r="AA1148" i="4" s="1"/>
  <c r="X1147" i="4"/>
  <c r="Y1147" i="4"/>
  <c r="AA1147" i="4" s="1"/>
  <c r="X1146" i="4"/>
  <c r="Y1146" i="4"/>
  <c r="AA1146" i="4" s="1"/>
  <c r="X1145" i="4"/>
  <c r="Y1145" i="4"/>
  <c r="AA1145" i="4" s="1"/>
  <c r="X1144" i="4"/>
  <c r="Y1144" i="4"/>
  <c r="AA1144" i="4" s="1"/>
  <c r="X1143" i="4"/>
  <c r="Y1143" i="4"/>
  <c r="AA1143" i="4" s="1"/>
  <c r="X1142" i="4"/>
  <c r="Y1142" i="4"/>
  <c r="AA1142" i="4" s="1"/>
  <c r="X1141" i="4"/>
  <c r="Y1141" i="4"/>
  <c r="AA1141" i="4" s="1"/>
  <c r="X1140" i="4"/>
  <c r="Y1140" i="4"/>
  <c r="AA1140" i="4" s="1"/>
  <c r="X1139" i="4"/>
  <c r="Y1139" i="4"/>
  <c r="AA1139" i="4" s="1"/>
  <c r="X1138" i="4"/>
  <c r="Y1138" i="4"/>
  <c r="AA1138" i="4" s="1"/>
  <c r="X1137" i="4"/>
  <c r="Y1137" i="4"/>
  <c r="AA1137" i="4" s="1"/>
  <c r="X1136" i="4"/>
  <c r="Y1136" i="4"/>
  <c r="AA1136" i="4" s="1"/>
  <c r="X1135" i="4"/>
  <c r="Y1135" i="4"/>
  <c r="AA1135" i="4" s="1"/>
  <c r="X1134" i="4"/>
  <c r="Y1134" i="4"/>
  <c r="AA1134" i="4" s="1"/>
  <c r="Y1133" i="4"/>
  <c r="AA1133" i="4" s="1"/>
  <c r="X1133" i="4"/>
  <c r="X1132" i="4"/>
  <c r="Y1132" i="4"/>
  <c r="AA1132" i="4" s="1"/>
  <c r="X1131" i="4"/>
  <c r="Y1131" i="4"/>
  <c r="AA1131" i="4" s="1"/>
  <c r="X1130" i="4"/>
  <c r="Y1130" i="4"/>
  <c r="AA1130" i="4" s="1"/>
  <c r="X1129" i="4"/>
  <c r="Y1129" i="4"/>
  <c r="AA1129" i="4" s="1"/>
  <c r="X1128" i="4"/>
  <c r="Y1128" i="4"/>
  <c r="AA1128" i="4" s="1"/>
  <c r="X1127" i="4"/>
  <c r="Y1127" i="4"/>
  <c r="AA1127" i="4" s="1"/>
  <c r="X1126" i="4"/>
  <c r="Y1126" i="4"/>
  <c r="AA1126" i="4" s="1"/>
  <c r="X1125" i="4"/>
  <c r="Y1125" i="4"/>
  <c r="AA1125" i="4" s="1"/>
  <c r="X1124" i="4"/>
  <c r="Y1124" i="4"/>
  <c r="AA1124" i="4" s="1"/>
  <c r="X1123" i="4"/>
  <c r="Y1123" i="4"/>
  <c r="AA1123" i="4" s="1"/>
  <c r="X1122" i="4"/>
  <c r="Y1122" i="4"/>
  <c r="AA1122" i="4" s="1"/>
  <c r="X1121" i="4"/>
  <c r="Y1121" i="4"/>
  <c r="AA1121" i="4" s="1"/>
  <c r="Y1120" i="4"/>
  <c r="AA1120" i="4" s="1"/>
  <c r="X1120" i="4"/>
  <c r="X1119" i="4"/>
  <c r="Y1119" i="4"/>
  <c r="AA1119" i="4" s="1"/>
  <c r="X1118" i="4"/>
  <c r="Y1118" i="4"/>
  <c r="AA1118" i="4" s="1"/>
  <c r="X1117" i="4"/>
  <c r="Y1117" i="4"/>
  <c r="AA1117" i="4" s="1"/>
  <c r="X1116" i="4"/>
  <c r="Y1116" i="4"/>
  <c r="AA1116" i="4" s="1"/>
  <c r="Y1115" i="4"/>
  <c r="AA1115" i="4" s="1"/>
  <c r="X1115" i="4"/>
  <c r="AB1115" i="4" s="1"/>
  <c r="X1114" i="4"/>
  <c r="Y1114" i="4"/>
  <c r="AA1114" i="4" s="1"/>
  <c r="X1113" i="4"/>
  <c r="Y1113" i="4"/>
  <c r="AA1113" i="4" s="1"/>
  <c r="X1112" i="4"/>
  <c r="Y1112" i="4"/>
  <c r="AA1112" i="4" s="1"/>
  <c r="X1111" i="4"/>
  <c r="Y1111" i="4"/>
  <c r="AA1111" i="4" s="1"/>
  <c r="X1109" i="4"/>
  <c r="Y1109" i="4"/>
  <c r="AA1109" i="4" s="1"/>
  <c r="X1108" i="4"/>
  <c r="Y1108" i="4"/>
  <c r="AA1108" i="4" s="1"/>
  <c r="X1107" i="4"/>
  <c r="Y1107" i="4"/>
  <c r="AA1107" i="4" s="1"/>
  <c r="X1106" i="4"/>
  <c r="Y1106" i="4"/>
  <c r="AA1106" i="4" s="1"/>
  <c r="X1105" i="4"/>
  <c r="Y1105" i="4"/>
  <c r="AA1105" i="4" s="1"/>
  <c r="X1104" i="4"/>
  <c r="Y1104" i="4"/>
  <c r="AA1104" i="4" s="1"/>
  <c r="X1103" i="4"/>
  <c r="Y1103" i="4"/>
  <c r="AA1103" i="4" s="1"/>
  <c r="X1102" i="4"/>
  <c r="Y1102" i="4"/>
  <c r="AA1102" i="4" s="1"/>
  <c r="X1101" i="4"/>
  <c r="Y1101" i="4"/>
  <c r="AA1101" i="4" s="1"/>
  <c r="X1100" i="4"/>
  <c r="Y1100" i="4"/>
  <c r="AA1100" i="4" s="1"/>
  <c r="X1099" i="4"/>
  <c r="Y1099" i="4"/>
  <c r="AA1099" i="4" s="1"/>
  <c r="X1098" i="4"/>
  <c r="Y1098" i="4"/>
  <c r="AA1098" i="4" s="1"/>
  <c r="X1097" i="4"/>
  <c r="Y1097" i="4"/>
  <c r="AA1097" i="4" s="1"/>
  <c r="X1096" i="4"/>
  <c r="Y1096" i="4"/>
  <c r="AA1096" i="4" s="1"/>
  <c r="X1095" i="4"/>
  <c r="Y1095" i="4"/>
  <c r="AA1095" i="4" s="1"/>
  <c r="Y1094" i="4"/>
  <c r="AA1094" i="4" s="1"/>
  <c r="X1094" i="4"/>
  <c r="AB1094" i="4" s="1"/>
  <c r="X1093" i="4"/>
  <c r="Y1093" i="4"/>
  <c r="AA1093" i="4" s="1"/>
  <c r="Y1092" i="4"/>
  <c r="AA1092" i="4" s="1"/>
  <c r="X1092" i="4"/>
  <c r="X1091" i="4"/>
  <c r="Y1091" i="4"/>
  <c r="AA1091" i="4" s="1"/>
  <c r="X1090" i="4"/>
  <c r="Y1090" i="4"/>
  <c r="AA1090" i="4" s="1"/>
  <c r="Y1089" i="4"/>
  <c r="AA1089" i="4" s="1"/>
  <c r="X1089" i="4"/>
  <c r="X1088" i="4"/>
  <c r="Y1088" i="4"/>
  <c r="AA1088" i="4" s="1"/>
  <c r="Y1087" i="4"/>
  <c r="AA1087" i="4" s="1"/>
  <c r="X1087" i="4"/>
  <c r="X1086" i="4"/>
  <c r="Y1086" i="4"/>
  <c r="AA1086" i="4" s="1"/>
  <c r="Y1085" i="4"/>
  <c r="AA1085" i="4" s="1"/>
  <c r="X1085" i="4"/>
  <c r="X1084" i="4"/>
  <c r="Y1084" i="4"/>
  <c r="AA1084" i="4" s="1"/>
  <c r="X1083" i="4"/>
  <c r="Y1083" i="4"/>
  <c r="AA1083" i="4" s="1"/>
  <c r="X1082" i="4"/>
  <c r="Y1082" i="4"/>
  <c r="AA1082" i="4" s="1"/>
  <c r="Y1081" i="4"/>
  <c r="AA1081" i="4" s="1"/>
  <c r="X1081" i="4"/>
  <c r="Y1080" i="4"/>
  <c r="AA1080" i="4" s="1"/>
  <c r="X1080" i="4"/>
  <c r="Y1079" i="4"/>
  <c r="AA1079" i="4" s="1"/>
  <c r="X1079" i="4"/>
  <c r="X1078" i="4"/>
  <c r="Y1078" i="4"/>
  <c r="AA1078" i="4" s="1"/>
  <c r="Y1077" i="4"/>
  <c r="AA1077" i="4" s="1"/>
  <c r="X1077" i="4"/>
  <c r="Y1076" i="4"/>
  <c r="AA1076" i="4" s="1"/>
  <c r="X1076" i="4"/>
  <c r="AB1076" i="4" s="1"/>
  <c r="Y1075" i="4"/>
  <c r="AA1075" i="4" s="1"/>
  <c r="X1075" i="4"/>
  <c r="Y1074" i="4"/>
  <c r="AA1074" i="4" s="1"/>
  <c r="X1074" i="4"/>
  <c r="Y1073" i="4"/>
  <c r="AA1073" i="4" s="1"/>
  <c r="X1073" i="4"/>
  <c r="X1072" i="4"/>
  <c r="Y1072" i="4"/>
  <c r="AA1072" i="4" s="1"/>
  <c r="X1071" i="4"/>
  <c r="Y1071" i="4"/>
  <c r="AA1071" i="4" s="1"/>
  <c r="X1070" i="4"/>
  <c r="Y1070" i="4"/>
  <c r="AA1070" i="4" s="1"/>
  <c r="X1069" i="4"/>
  <c r="Y1069" i="4"/>
  <c r="AA1069" i="4" s="1"/>
  <c r="X1068" i="4"/>
  <c r="Y1068" i="4"/>
  <c r="AA1068" i="4" s="1"/>
  <c r="Y1067" i="4"/>
  <c r="AA1067" i="4" s="1"/>
  <c r="X1067" i="4"/>
  <c r="X1066" i="4"/>
  <c r="Y1066" i="4"/>
  <c r="AA1066" i="4" s="1"/>
  <c r="Y1065" i="4"/>
  <c r="AA1065" i="4" s="1"/>
  <c r="X1065" i="4"/>
  <c r="Y1064" i="4"/>
  <c r="AA1064" i="4" s="1"/>
  <c r="X1064" i="4"/>
  <c r="AB1064" i="4" s="1"/>
  <c r="X1063" i="4"/>
  <c r="Y1063" i="4"/>
  <c r="AA1063" i="4" s="1"/>
  <c r="X1062" i="4"/>
  <c r="Y1062" i="4"/>
  <c r="AA1062" i="4" s="1"/>
  <c r="Y1061" i="4"/>
  <c r="AA1061" i="4" s="1"/>
  <c r="X1061" i="4"/>
  <c r="X1060" i="4"/>
  <c r="Y1060" i="4"/>
  <c r="AA1060" i="4" s="1"/>
  <c r="Y1059" i="4"/>
  <c r="AA1059" i="4" s="1"/>
  <c r="X1059" i="4"/>
  <c r="Y1058" i="4"/>
  <c r="AA1058" i="4" s="1"/>
  <c r="X1058" i="4"/>
  <c r="AB1058" i="4" s="1"/>
  <c r="X1057" i="4"/>
  <c r="Y1057" i="4"/>
  <c r="AA1057" i="4" s="1"/>
  <c r="X1056" i="4"/>
  <c r="Y1056" i="4"/>
  <c r="AA1056" i="4" s="1"/>
  <c r="Y1055" i="4"/>
  <c r="AA1055" i="4" s="1"/>
  <c r="X1055" i="4"/>
  <c r="X1054" i="4"/>
  <c r="Y1054" i="4"/>
  <c r="AA1054" i="4" s="1"/>
  <c r="X1053" i="4"/>
  <c r="Y1053" i="4"/>
  <c r="AA1053" i="4" s="1"/>
  <c r="X1052" i="4"/>
  <c r="Y1052" i="4"/>
  <c r="AA1052" i="4" s="1"/>
  <c r="Y1051" i="4"/>
  <c r="AA1051" i="4" s="1"/>
  <c r="X1051" i="4"/>
  <c r="AB1051" i="4" s="1"/>
  <c r="Y1050" i="4"/>
  <c r="AA1050" i="4" s="1"/>
  <c r="X1050" i="4"/>
  <c r="X1049" i="4"/>
  <c r="Y1049" i="4"/>
  <c r="AA1049" i="4" s="1"/>
  <c r="X1048" i="4"/>
  <c r="Y1048" i="4"/>
  <c r="AA1048" i="4" s="1"/>
  <c r="Y1047" i="4"/>
  <c r="AA1047" i="4" s="1"/>
  <c r="X1047" i="4"/>
  <c r="X1042" i="4"/>
  <c r="Y1042" i="4"/>
  <c r="AA1042" i="4" s="1"/>
  <c r="Y1041" i="4"/>
  <c r="AA1041" i="4" s="1"/>
  <c r="X1041" i="4"/>
  <c r="AB1041" i="4" s="1"/>
  <c r="Y1040" i="4"/>
  <c r="AA1040" i="4" s="1"/>
  <c r="X1040" i="4"/>
  <c r="Y1039" i="4"/>
  <c r="AA1039" i="4" s="1"/>
  <c r="X1039" i="4"/>
  <c r="X1038" i="4"/>
  <c r="Y1038" i="4"/>
  <c r="AA1038" i="4" s="1"/>
  <c r="X1037" i="4"/>
  <c r="Y1037" i="4"/>
  <c r="AA1037" i="4" s="1"/>
  <c r="X1036" i="4"/>
  <c r="Y1036" i="4"/>
  <c r="AA1036" i="4" s="1"/>
  <c r="Y1035" i="4"/>
  <c r="AA1035" i="4" s="1"/>
  <c r="X1035" i="4"/>
  <c r="AB1035" i="4" s="1"/>
  <c r="Y1034" i="4"/>
  <c r="AA1034" i="4" s="1"/>
  <c r="X1034" i="4"/>
  <c r="X1033" i="4"/>
  <c r="Y1033" i="4"/>
  <c r="AA1033" i="4" s="1"/>
  <c r="X1032" i="4"/>
  <c r="Y1032" i="4"/>
  <c r="AA1032" i="4" s="1"/>
  <c r="Y1031" i="4"/>
  <c r="AA1031" i="4" s="1"/>
  <c r="X1031" i="4"/>
  <c r="Y1030" i="4"/>
  <c r="AA1030" i="4" s="1"/>
  <c r="X1030" i="4"/>
  <c r="AB1030" i="4" s="1"/>
  <c r="Y1029" i="4"/>
  <c r="AA1029" i="4" s="1"/>
  <c r="X1029" i="4"/>
  <c r="AB1029" i="4" s="1"/>
  <c r="X1028" i="4"/>
  <c r="Y1028" i="4"/>
  <c r="AA1028" i="4" s="1"/>
  <c r="X1027" i="4"/>
  <c r="Y1027" i="4"/>
  <c r="AA1027" i="4" s="1"/>
  <c r="X1026" i="4"/>
  <c r="Y1026" i="4"/>
  <c r="AA1026" i="4" s="1"/>
  <c r="X1025" i="4"/>
  <c r="Y1025" i="4"/>
  <c r="AA1025" i="4" s="1"/>
  <c r="X1024" i="4"/>
  <c r="Y1024" i="4"/>
  <c r="AA1024" i="4" s="1"/>
  <c r="X1023" i="4"/>
  <c r="Y1023" i="4"/>
  <c r="AA1023" i="4" s="1"/>
  <c r="X1022" i="4"/>
  <c r="Y1022" i="4"/>
  <c r="AA1022" i="4" s="1"/>
  <c r="X1021" i="4"/>
  <c r="Y1021" i="4"/>
  <c r="AA1021" i="4" s="1"/>
  <c r="X1020" i="4"/>
  <c r="Y1020" i="4"/>
  <c r="AA1020" i="4" s="1"/>
  <c r="X1019" i="4"/>
  <c r="Y1019" i="4"/>
  <c r="AA1019" i="4" s="1"/>
  <c r="X1018" i="4"/>
  <c r="Y1018" i="4"/>
  <c r="AA1018" i="4" s="1"/>
  <c r="X1017" i="4"/>
  <c r="Y1017" i="4"/>
  <c r="AA1017" i="4" s="1"/>
  <c r="X1016" i="4"/>
  <c r="Y1016" i="4"/>
  <c r="AA1016" i="4" s="1"/>
  <c r="X1015" i="4"/>
  <c r="Y1015" i="4"/>
  <c r="AA1015" i="4" s="1"/>
  <c r="X1014" i="4"/>
  <c r="Y1014" i="4"/>
  <c r="AA1014" i="4" s="1"/>
  <c r="X1013" i="4"/>
  <c r="Y1013" i="4"/>
  <c r="AA1013" i="4" s="1"/>
  <c r="X1012" i="4"/>
  <c r="Y1012" i="4"/>
  <c r="AA1012" i="4" s="1"/>
  <c r="X1011" i="4"/>
  <c r="Y1011" i="4"/>
  <c r="AA1011" i="4" s="1"/>
  <c r="X1010" i="4"/>
  <c r="Y1010" i="4"/>
  <c r="AA1010" i="4" s="1"/>
  <c r="X1009" i="4"/>
  <c r="Y1009" i="4"/>
  <c r="AA1009" i="4" s="1"/>
  <c r="X1008" i="4"/>
  <c r="Y1008" i="4"/>
  <c r="AA1008" i="4" s="1"/>
  <c r="X1007" i="4"/>
  <c r="Y1007" i="4"/>
  <c r="AA1007" i="4" s="1"/>
  <c r="X1006" i="4"/>
  <c r="Y1006" i="4"/>
  <c r="AA1006" i="4" s="1"/>
  <c r="X1005" i="4"/>
  <c r="Y1005" i="4"/>
  <c r="AA1005" i="4" s="1"/>
  <c r="X1004" i="4"/>
  <c r="Y1004" i="4"/>
  <c r="AA1004" i="4" s="1"/>
  <c r="X1003" i="4"/>
  <c r="Y1003" i="4"/>
  <c r="AA1003" i="4" s="1"/>
  <c r="X1002" i="4"/>
  <c r="Y1002" i="4"/>
  <c r="AA1002" i="4" s="1"/>
  <c r="X1001" i="4"/>
  <c r="Y1001" i="4"/>
  <c r="AA1001" i="4" s="1"/>
  <c r="X1000" i="4"/>
  <c r="Y1000" i="4"/>
  <c r="AA1000" i="4" s="1"/>
  <c r="X999" i="4"/>
  <c r="Y999" i="4"/>
  <c r="AA999" i="4" s="1"/>
  <c r="X998" i="4"/>
  <c r="Y998" i="4"/>
  <c r="AA998" i="4" s="1"/>
  <c r="X997" i="4"/>
  <c r="Y997" i="4"/>
  <c r="AA997" i="4" s="1"/>
  <c r="X996" i="4"/>
  <c r="Y996" i="4"/>
  <c r="AA996" i="4" s="1"/>
  <c r="X995" i="4"/>
  <c r="Y995" i="4"/>
  <c r="AA995" i="4" s="1"/>
  <c r="X994" i="4"/>
  <c r="Y994" i="4"/>
  <c r="AA994" i="4" s="1"/>
  <c r="X993" i="4"/>
  <c r="Y993" i="4"/>
  <c r="AA993" i="4" s="1"/>
  <c r="X992" i="4"/>
  <c r="Y992" i="4"/>
  <c r="AA992" i="4" s="1"/>
  <c r="X991" i="4"/>
  <c r="Y991" i="4"/>
  <c r="AA991" i="4" s="1"/>
  <c r="X990" i="4"/>
  <c r="Y990" i="4"/>
  <c r="AA990" i="4" s="1"/>
  <c r="X989" i="4"/>
  <c r="Y989" i="4"/>
  <c r="AA989" i="4" s="1"/>
  <c r="X988" i="4"/>
  <c r="Y988" i="4"/>
  <c r="AA988" i="4" s="1"/>
  <c r="X987" i="4"/>
  <c r="Y987" i="4"/>
  <c r="AA987" i="4" s="1"/>
  <c r="X986" i="4"/>
  <c r="Y986" i="4"/>
  <c r="AA986" i="4" s="1"/>
  <c r="X985" i="4"/>
  <c r="Y985" i="4"/>
  <c r="AA985" i="4" s="1"/>
  <c r="X984" i="4"/>
  <c r="Y984" i="4"/>
  <c r="AA984" i="4" s="1"/>
  <c r="X983" i="4"/>
  <c r="Y983" i="4"/>
  <c r="AA983" i="4" s="1"/>
  <c r="X982" i="4"/>
  <c r="Y982" i="4"/>
  <c r="AA982" i="4" s="1"/>
  <c r="X981" i="4"/>
  <c r="Y981" i="4"/>
  <c r="AA981" i="4" s="1"/>
  <c r="X980" i="4"/>
  <c r="Y980" i="4"/>
  <c r="AA980" i="4" s="1"/>
  <c r="X979" i="4"/>
  <c r="Y979" i="4"/>
  <c r="AA979" i="4" s="1"/>
  <c r="X978" i="4"/>
  <c r="Y978" i="4"/>
  <c r="AA978" i="4" s="1"/>
  <c r="X977" i="4"/>
  <c r="Y977" i="4"/>
  <c r="AA977" i="4" s="1"/>
  <c r="X976" i="4"/>
  <c r="Y976" i="4"/>
  <c r="AA976" i="4" s="1"/>
  <c r="X975" i="4"/>
  <c r="Y975" i="4"/>
  <c r="AA975" i="4" s="1"/>
  <c r="X974" i="4"/>
  <c r="Y974" i="4"/>
  <c r="AA974" i="4" s="1"/>
  <c r="X973" i="4"/>
  <c r="Y973" i="4"/>
  <c r="AA973" i="4" s="1"/>
  <c r="X972" i="4"/>
  <c r="Y972" i="4"/>
  <c r="AA972" i="4" s="1"/>
  <c r="X971" i="4"/>
  <c r="Y971" i="4"/>
  <c r="AA971" i="4" s="1"/>
  <c r="X970" i="4"/>
  <c r="Y970" i="4"/>
  <c r="AA970" i="4" s="1"/>
  <c r="X969" i="4"/>
  <c r="Y969" i="4"/>
  <c r="AA969" i="4" s="1"/>
  <c r="X968" i="4"/>
  <c r="Y968" i="4"/>
  <c r="AA968" i="4" s="1"/>
  <c r="X967" i="4"/>
  <c r="Y967" i="4"/>
  <c r="AA967" i="4" s="1"/>
  <c r="X966" i="4"/>
  <c r="Y966" i="4"/>
  <c r="AA966" i="4" s="1"/>
  <c r="X965" i="4"/>
  <c r="Y965" i="4"/>
  <c r="AA965" i="4" s="1"/>
  <c r="X964" i="4"/>
  <c r="Y964" i="4"/>
  <c r="AA964" i="4" s="1"/>
  <c r="X963" i="4"/>
  <c r="Y963" i="4"/>
  <c r="AA963" i="4" s="1"/>
  <c r="X962" i="4"/>
  <c r="Y962" i="4"/>
  <c r="AA962" i="4" s="1"/>
  <c r="X961" i="4"/>
  <c r="Y961" i="4"/>
  <c r="AA961" i="4" s="1"/>
  <c r="X960" i="4"/>
  <c r="Y960" i="4"/>
  <c r="AA960" i="4" s="1"/>
  <c r="X959" i="4"/>
  <c r="Y959" i="4"/>
  <c r="AA959" i="4" s="1"/>
  <c r="X958" i="4"/>
  <c r="Y958" i="4"/>
  <c r="AA958" i="4" s="1"/>
  <c r="X957" i="4"/>
  <c r="Y957" i="4"/>
  <c r="AA957" i="4" s="1"/>
  <c r="X956" i="4"/>
  <c r="Y956" i="4"/>
  <c r="AA956" i="4" s="1"/>
  <c r="X955" i="4"/>
  <c r="Y955" i="4"/>
  <c r="AA955" i="4" s="1"/>
  <c r="X954" i="4"/>
  <c r="Y954" i="4"/>
  <c r="AA954" i="4" s="1"/>
  <c r="X953" i="4"/>
  <c r="Y953" i="4"/>
  <c r="AA953" i="4" s="1"/>
  <c r="X952" i="4"/>
  <c r="Y952" i="4"/>
  <c r="AA952" i="4" s="1"/>
  <c r="X951" i="4"/>
  <c r="Y951" i="4"/>
  <c r="AA951" i="4" s="1"/>
  <c r="X950" i="4"/>
  <c r="Y950" i="4"/>
  <c r="AA950" i="4" s="1"/>
  <c r="X949" i="4"/>
  <c r="Y949" i="4"/>
  <c r="AA949" i="4" s="1"/>
  <c r="X948" i="4"/>
  <c r="Y948" i="4"/>
  <c r="AA948" i="4" s="1"/>
  <c r="X947" i="4"/>
  <c r="Y947" i="4"/>
  <c r="AA947" i="4" s="1"/>
  <c r="X946" i="4"/>
  <c r="Y946" i="4"/>
  <c r="AA946" i="4" s="1"/>
  <c r="X945" i="4"/>
  <c r="Y945" i="4"/>
  <c r="AA945" i="4" s="1"/>
  <c r="X944" i="4"/>
  <c r="Y944" i="4"/>
  <c r="AA944" i="4" s="1"/>
  <c r="X943" i="4"/>
  <c r="Y943" i="4"/>
  <c r="AA943" i="4" s="1"/>
  <c r="X941" i="4"/>
  <c r="Y941" i="4"/>
  <c r="AA941" i="4" s="1"/>
  <c r="X940" i="4"/>
  <c r="Y940" i="4"/>
  <c r="AA940" i="4" s="1"/>
  <c r="X939" i="4"/>
  <c r="Y939" i="4"/>
  <c r="AA939" i="4" s="1"/>
  <c r="X938" i="4"/>
  <c r="Y938" i="4"/>
  <c r="AA938" i="4" s="1"/>
  <c r="X937" i="4"/>
  <c r="Y937" i="4"/>
  <c r="AA937" i="4" s="1"/>
  <c r="X936" i="4"/>
  <c r="Y936" i="4"/>
  <c r="AA936" i="4" s="1"/>
  <c r="X935" i="4"/>
  <c r="Y935" i="4"/>
  <c r="AA935" i="4" s="1"/>
  <c r="X934" i="4"/>
  <c r="Y934" i="4"/>
  <c r="AA934" i="4" s="1"/>
  <c r="X933" i="4"/>
  <c r="Y933" i="4"/>
  <c r="AA933" i="4" s="1"/>
  <c r="X932" i="4"/>
  <c r="Y932" i="4"/>
  <c r="AA932" i="4" s="1"/>
  <c r="X931" i="4"/>
  <c r="Y931" i="4"/>
  <c r="AA931" i="4" s="1"/>
  <c r="X930" i="4"/>
  <c r="Y930" i="4"/>
  <c r="AA930" i="4" s="1"/>
  <c r="X929" i="4"/>
  <c r="Y929" i="4"/>
  <c r="AA929" i="4" s="1"/>
  <c r="X928" i="4"/>
  <c r="Y928" i="4"/>
  <c r="AA928" i="4" s="1"/>
  <c r="X927" i="4"/>
  <c r="Y927" i="4"/>
  <c r="AA927" i="4" s="1"/>
  <c r="X926" i="4"/>
  <c r="Y926" i="4"/>
  <c r="AA926" i="4" s="1"/>
  <c r="X925" i="4"/>
  <c r="Y925" i="4"/>
  <c r="AA925" i="4" s="1"/>
  <c r="X924" i="4"/>
  <c r="Y924" i="4"/>
  <c r="AA924" i="4" s="1"/>
  <c r="X923" i="4"/>
  <c r="Y923" i="4"/>
  <c r="AA923" i="4" s="1"/>
  <c r="X922" i="4"/>
  <c r="Y922" i="4"/>
  <c r="AA922" i="4" s="1"/>
  <c r="X921" i="4"/>
  <c r="Y921" i="4"/>
  <c r="AA921" i="4" s="1"/>
  <c r="X920" i="4"/>
  <c r="Y920" i="4"/>
  <c r="AA920" i="4" s="1"/>
  <c r="X919" i="4"/>
  <c r="Y919" i="4"/>
  <c r="AA919" i="4" s="1"/>
  <c r="X918" i="4"/>
  <c r="Y918" i="4"/>
  <c r="AA918" i="4" s="1"/>
  <c r="X917" i="4"/>
  <c r="Y917" i="4"/>
  <c r="AA917" i="4" s="1"/>
  <c r="X916" i="4"/>
  <c r="Y916" i="4"/>
  <c r="AA916" i="4" s="1"/>
  <c r="X915" i="4"/>
  <c r="Y915" i="4"/>
  <c r="AA915" i="4" s="1"/>
  <c r="X914" i="4"/>
  <c r="Y914" i="4"/>
  <c r="AA914" i="4" s="1"/>
  <c r="X913" i="4"/>
  <c r="Y913" i="4"/>
  <c r="AA913" i="4" s="1"/>
  <c r="X912" i="4"/>
  <c r="Y912" i="4"/>
  <c r="AA912" i="4" s="1"/>
  <c r="X911" i="4"/>
  <c r="Y911" i="4"/>
  <c r="AA911" i="4" s="1"/>
  <c r="X910" i="4"/>
  <c r="Y910" i="4"/>
  <c r="AA910" i="4" s="1"/>
  <c r="X909" i="4"/>
  <c r="Y909" i="4"/>
  <c r="AA909" i="4" s="1"/>
  <c r="X908" i="4"/>
  <c r="Y908" i="4"/>
  <c r="AA908" i="4" s="1"/>
  <c r="X907" i="4"/>
  <c r="Y907" i="4"/>
  <c r="AA907" i="4" s="1"/>
  <c r="X906" i="4"/>
  <c r="Y906" i="4"/>
  <c r="AA906" i="4" s="1"/>
  <c r="X905" i="4"/>
  <c r="Y905" i="4"/>
  <c r="AA905" i="4" s="1"/>
  <c r="X904" i="4"/>
  <c r="Y904" i="4"/>
  <c r="AA904" i="4" s="1"/>
  <c r="X903" i="4"/>
  <c r="Y903" i="4"/>
  <c r="AA903" i="4" s="1"/>
  <c r="X902" i="4"/>
  <c r="Y902" i="4"/>
  <c r="AA902" i="4" s="1"/>
  <c r="X901" i="4"/>
  <c r="Y901" i="4"/>
  <c r="AA901" i="4" s="1"/>
  <c r="X900" i="4"/>
  <c r="Y900" i="4"/>
  <c r="AA900" i="4" s="1"/>
  <c r="X899" i="4"/>
  <c r="Y899" i="4"/>
  <c r="AA899" i="4" s="1"/>
  <c r="X898" i="4"/>
  <c r="Y898" i="4"/>
  <c r="AA898" i="4" s="1"/>
  <c r="X897" i="4"/>
  <c r="Y897" i="4"/>
  <c r="AA897" i="4" s="1"/>
  <c r="X896" i="4"/>
  <c r="Y896" i="4"/>
  <c r="AA896" i="4" s="1"/>
  <c r="X895" i="4"/>
  <c r="Y895" i="4"/>
  <c r="AA895" i="4" s="1"/>
  <c r="X894" i="4"/>
  <c r="Y894" i="4"/>
  <c r="AA894" i="4" s="1"/>
  <c r="X893" i="4"/>
  <c r="Y893" i="4"/>
  <c r="AA893" i="4" s="1"/>
  <c r="X892" i="4"/>
  <c r="Y892" i="4"/>
  <c r="AA892" i="4" s="1"/>
  <c r="X891" i="4"/>
  <c r="Y891" i="4"/>
  <c r="AA891" i="4" s="1"/>
  <c r="X890" i="4"/>
  <c r="Y890" i="4"/>
  <c r="AA890" i="4" s="1"/>
  <c r="X889" i="4"/>
  <c r="Y889" i="4"/>
  <c r="AA889" i="4" s="1"/>
  <c r="X888" i="4"/>
  <c r="Y888" i="4"/>
  <c r="AA888" i="4" s="1"/>
  <c r="X887" i="4"/>
  <c r="Y887" i="4"/>
  <c r="AA887" i="4" s="1"/>
  <c r="X886" i="4"/>
  <c r="Y886" i="4"/>
  <c r="AA886" i="4" s="1"/>
  <c r="X885" i="4"/>
  <c r="Y885" i="4"/>
  <c r="AA885" i="4" s="1"/>
  <c r="X884" i="4"/>
  <c r="Y884" i="4"/>
  <c r="AA884" i="4" s="1"/>
  <c r="X883" i="4"/>
  <c r="Y883" i="4"/>
  <c r="AA883" i="4" s="1"/>
  <c r="X882" i="4"/>
  <c r="Y882" i="4"/>
  <c r="AA882" i="4" s="1"/>
  <c r="X881" i="4"/>
  <c r="Y881" i="4"/>
  <c r="AA881" i="4" s="1"/>
  <c r="X880" i="4"/>
  <c r="Y880" i="4"/>
  <c r="AA880" i="4" s="1"/>
  <c r="X879" i="4"/>
  <c r="Y879" i="4"/>
  <c r="AA879" i="4" s="1"/>
  <c r="X878" i="4"/>
  <c r="Y878" i="4"/>
  <c r="AA878" i="4" s="1"/>
  <c r="X877" i="4"/>
  <c r="Y877" i="4"/>
  <c r="AA877" i="4" s="1"/>
  <c r="X876" i="4"/>
  <c r="Y876" i="4"/>
  <c r="AA876" i="4" s="1"/>
  <c r="X875" i="4"/>
  <c r="Y875" i="4"/>
  <c r="AA875" i="4" s="1"/>
  <c r="X874" i="4"/>
  <c r="Y874" i="4"/>
  <c r="AA874" i="4" s="1"/>
  <c r="X873" i="4"/>
  <c r="Y873" i="4"/>
  <c r="AA873" i="4" s="1"/>
  <c r="X872" i="4"/>
  <c r="Y872" i="4"/>
  <c r="AA872" i="4" s="1"/>
  <c r="X871" i="4"/>
  <c r="Y871" i="4"/>
  <c r="AA871" i="4" s="1"/>
  <c r="X870" i="4"/>
  <c r="Y870" i="4"/>
  <c r="AA870" i="4" s="1"/>
  <c r="X869" i="4"/>
  <c r="Y869" i="4"/>
  <c r="AA869" i="4" s="1"/>
  <c r="X868" i="4"/>
  <c r="Y868" i="4"/>
  <c r="AA868" i="4" s="1"/>
  <c r="X867" i="4"/>
  <c r="Y867" i="4"/>
  <c r="AA867" i="4" s="1"/>
  <c r="X866" i="4"/>
  <c r="Y866" i="4"/>
  <c r="AA866" i="4" s="1"/>
  <c r="X865" i="4"/>
  <c r="Y865" i="4"/>
  <c r="AA865" i="4" s="1"/>
  <c r="X864" i="4"/>
  <c r="Y864" i="4"/>
  <c r="AA864" i="4" s="1"/>
  <c r="X863" i="4"/>
  <c r="Y863" i="4"/>
  <c r="AA863" i="4" s="1"/>
  <c r="X862" i="4"/>
  <c r="Y862" i="4"/>
  <c r="AA862" i="4" s="1"/>
  <c r="X861" i="4"/>
  <c r="Y861" i="4"/>
  <c r="AA861" i="4" s="1"/>
  <c r="X860" i="4"/>
  <c r="Y860" i="4"/>
  <c r="AA860" i="4" s="1"/>
  <c r="X858" i="4"/>
  <c r="Y858" i="4"/>
  <c r="AA858" i="4" s="1"/>
  <c r="X857" i="4"/>
  <c r="Y857" i="4"/>
  <c r="AA857" i="4" s="1"/>
  <c r="X856" i="4"/>
  <c r="Y856" i="4"/>
  <c r="AA856" i="4" s="1"/>
  <c r="X855" i="4"/>
  <c r="Y855" i="4"/>
  <c r="AA855" i="4" s="1"/>
  <c r="X854" i="4"/>
  <c r="Y854" i="4"/>
  <c r="AA854" i="4" s="1"/>
  <c r="X853" i="4"/>
  <c r="Y853" i="4"/>
  <c r="AA853" i="4" s="1"/>
  <c r="X852" i="4"/>
  <c r="Y852" i="4"/>
  <c r="AA852" i="4" s="1"/>
  <c r="X851" i="4"/>
  <c r="Y851" i="4"/>
  <c r="AA851" i="4" s="1"/>
  <c r="X850" i="4"/>
  <c r="Y850" i="4"/>
  <c r="AA850" i="4" s="1"/>
  <c r="X849" i="4"/>
  <c r="Y849" i="4"/>
  <c r="AA849" i="4" s="1"/>
  <c r="X848" i="4"/>
  <c r="Y848" i="4"/>
  <c r="AA848" i="4" s="1"/>
  <c r="X847" i="4"/>
  <c r="Y847" i="4"/>
  <c r="AA847" i="4" s="1"/>
  <c r="X846" i="4"/>
  <c r="Y846" i="4"/>
  <c r="AA846" i="4" s="1"/>
  <c r="X845" i="4"/>
  <c r="Y845" i="4"/>
  <c r="AA845" i="4" s="1"/>
  <c r="X844" i="4"/>
  <c r="Y844" i="4"/>
  <c r="AA844" i="4" s="1"/>
  <c r="X843" i="4"/>
  <c r="Y843" i="4"/>
  <c r="AA843" i="4" s="1"/>
  <c r="X842" i="4"/>
  <c r="Y842" i="4"/>
  <c r="AA842" i="4" s="1"/>
  <c r="X841" i="4"/>
  <c r="Y841" i="4"/>
  <c r="AA841" i="4" s="1"/>
  <c r="X840" i="4"/>
  <c r="Y840" i="4"/>
  <c r="AA840" i="4" s="1"/>
  <c r="X839" i="4"/>
  <c r="Y839" i="4"/>
  <c r="AA839" i="4" s="1"/>
  <c r="X838" i="4"/>
  <c r="Y838" i="4"/>
  <c r="AA838" i="4" s="1"/>
  <c r="X837" i="4"/>
  <c r="Y837" i="4"/>
  <c r="AA837" i="4" s="1"/>
  <c r="X836" i="4"/>
  <c r="Y836" i="4"/>
  <c r="AA836" i="4" s="1"/>
  <c r="X835" i="4"/>
  <c r="Y835" i="4"/>
  <c r="AA835" i="4" s="1"/>
  <c r="X834" i="4"/>
  <c r="Y834" i="4"/>
  <c r="AA834" i="4" s="1"/>
  <c r="X833" i="4"/>
  <c r="Y833" i="4"/>
  <c r="AA833" i="4" s="1"/>
  <c r="X832" i="4"/>
  <c r="Y832" i="4"/>
  <c r="AA832" i="4" s="1"/>
  <c r="X831" i="4"/>
  <c r="Y831" i="4"/>
  <c r="AA831" i="4" s="1"/>
  <c r="X830" i="4"/>
  <c r="Y830" i="4"/>
  <c r="AA830" i="4" s="1"/>
  <c r="X829" i="4"/>
  <c r="Y829" i="4"/>
  <c r="AA829" i="4" s="1"/>
  <c r="X828" i="4"/>
  <c r="Y828" i="4"/>
  <c r="AA828" i="4" s="1"/>
  <c r="X827" i="4"/>
  <c r="Y827" i="4"/>
  <c r="AA827" i="4" s="1"/>
  <c r="X826" i="4"/>
  <c r="Y826" i="4"/>
  <c r="AA826" i="4" s="1"/>
  <c r="X825" i="4"/>
  <c r="Y825" i="4"/>
  <c r="AA825" i="4" s="1"/>
  <c r="X824" i="4"/>
  <c r="Y824" i="4"/>
  <c r="AA824" i="4" s="1"/>
  <c r="X823" i="4"/>
  <c r="Y823" i="4"/>
  <c r="AA823" i="4" s="1"/>
  <c r="X822" i="4"/>
  <c r="Y822" i="4"/>
  <c r="AA822" i="4" s="1"/>
  <c r="X821" i="4"/>
  <c r="Y821" i="4"/>
  <c r="AA821" i="4" s="1"/>
  <c r="X820" i="4"/>
  <c r="Y820" i="4"/>
  <c r="AA820" i="4" s="1"/>
  <c r="X819" i="4"/>
  <c r="Y819" i="4"/>
  <c r="AA819" i="4" s="1"/>
  <c r="X818" i="4"/>
  <c r="Y818" i="4"/>
  <c r="AA818" i="4" s="1"/>
  <c r="X817" i="4"/>
  <c r="Y817" i="4"/>
  <c r="AA817" i="4" s="1"/>
  <c r="X816" i="4"/>
  <c r="Y816" i="4"/>
  <c r="AA816" i="4" s="1"/>
  <c r="X815" i="4"/>
  <c r="Y815" i="4"/>
  <c r="AA815" i="4" s="1"/>
  <c r="X814" i="4"/>
  <c r="Y814" i="4"/>
  <c r="AA814" i="4" s="1"/>
  <c r="X813" i="4"/>
  <c r="Y813" i="4"/>
  <c r="AA813" i="4" s="1"/>
  <c r="X812" i="4"/>
  <c r="Y812" i="4"/>
  <c r="AA812" i="4" s="1"/>
  <c r="X811" i="4"/>
  <c r="Y811" i="4"/>
  <c r="AA811" i="4" s="1"/>
  <c r="X810" i="4"/>
  <c r="Y810" i="4"/>
  <c r="AA810" i="4" s="1"/>
  <c r="X809" i="4"/>
  <c r="Y809" i="4"/>
  <c r="AA809" i="4" s="1"/>
  <c r="X808" i="4"/>
  <c r="Y808" i="4"/>
  <c r="AA808" i="4" s="1"/>
  <c r="X807" i="4"/>
  <c r="Y807" i="4"/>
  <c r="AA807" i="4" s="1"/>
  <c r="X806" i="4"/>
  <c r="Y806" i="4"/>
  <c r="AA806" i="4" s="1"/>
  <c r="X805" i="4"/>
  <c r="Y805" i="4"/>
  <c r="AA805" i="4" s="1"/>
  <c r="X804" i="4"/>
  <c r="Y804" i="4"/>
  <c r="AA804" i="4" s="1"/>
  <c r="X803" i="4"/>
  <c r="Y803" i="4"/>
  <c r="AA803" i="4" s="1"/>
  <c r="X802" i="4"/>
  <c r="Y802" i="4"/>
  <c r="AA802" i="4" s="1"/>
  <c r="X801" i="4"/>
  <c r="Y801" i="4"/>
  <c r="AA801" i="4" s="1"/>
  <c r="X800" i="4"/>
  <c r="Y800" i="4"/>
  <c r="AA800" i="4" s="1"/>
  <c r="X799" i="4"/>
  <c r="Y799" i="4"/>
  <c r="AA799" i="4" s="1"/>
  <c r="X798" i="4"/>
  <c r="Y798" i="4"/>
  <c r="AA798" i="4" s="1"/>
  <c r="X797" i="4"/>
  <c r="Y797" i="4"/>
  <c r="AA797" i="4" s="1"/>
  <c r="X796" i="4"/>
  <c r="Y796" i="4"/>
  <c r="AA796" i="4" s="1"/>
  <c r="X795" i="4"/>
  <c r="Y795" i="4"/>
  <c r="AA795" i="4" s="1"/>
  <c r="X794" i="4"/>
  <c r="Y794" i="4"/>
  <c r="AA794" i="4" s="1"/>
  <c r="X793" i="4"/>
  <c r="Y793" i="4"/>
  <c r="AA793" i="4" s="1"/>
  <c r="X792" i="4"/>
  <c r="Y792" i="4"/>
  <c r="AA792" i="4" s="1"/>
  <c r="X791" i="4"/>
  <c r="Y791" i="4"/>
  <c r="AA791" i="4" s="1"/>
  <c r="X790" i="4"/>
  <c r="Y790" i="4"/>
  <c r="AA790" i="4" s="1"/>
  <c r="X789" i="4"/>
  <c r="Y789" i="4"/>
  <c r="AA789" i="4" s="1"/>
  <c r="X788" i="4"/>
  <c r="Y788" i="4"/>
  <c r="AA788" i="4" s="1"/>
  <c r="X787" i="4"/>
  <c r="Y787" i="4"/>
  <c r="AA787" i="4" s="1"/>
  <c r="X786" i="4"/>
  <c r="Y786" i="4"/>
  <c r="AA786" i="4" s="1"/>
  <c r="X785" i="4"/>
  <c r="Y785" i="4"/>
  <c r="AA785" i="4" s="1"/>
  <c r="X784" i="4"/>
  <c r="Y784" i="4"/>
  <c r="AA784" i="4" s="1"/>
  <c r="X783" i="4"/>
  <c r="Y783" i="4"/>
  <c r="AA783" i="4" s="1"/>
  <c r="X782" i="4"/>
  <c r="Y782" i="4"/>
  <c r="AA782" i="4" s="1"/>
  <c r="X781" i="4"/>
  <c r="Y781" i="4"/>
  <c r="AA781" i="4" s="1"/>
  <c r="X780" i="4"/>
  <c r="Y780" i="4"/>
  <c r="AA780" i="4" s="1"/>
  <c r="X779" i="4"/>
  <c r="Y779" i="4"/>
  <c r="AA779" i="4" s="1"/>
  <c r="X778" i="4"/>
  <c r="Y778" i="4"/>
  <c r="AA778" i="4" s="1"/>
  <c r="X777" i="4"/>
  <c r="Y777" i="4"/>
  <c r="AA777" i="4" s="1"/>
  <c r="X776" i="4"/>
  <c r="Y776" i="4"/>
  <c r="AA776" i="4" s="1"/>
  <c r="X775" i="4"/>
  <c r="Y775" i="4"/>
  <c r="AA775" i="4" s="1"/>
  <c r="X774" i="4"/>
  <c r="Y774" i="4"/>
  <c r="AA774" i="4" s="1"/>
  <c r="X773" i="4"/>
  <c r="Y773" i="4"/>
  <c r="AA773" i="4" s="1"/>
  <c r="X772" i="4"/>
  <c r="Y772" i="4"/>
  <c r="AA772" i="4" s="1"/>
  <c r="X771" i="4"/>
  <c r="Y771" i="4"/>
  <c r="AA771" i="4" s="1"/>
  <c r="X770" i="4"/>
  <c r="Y770" i="4"/>
  <c r="AA770" i="4" s="1"/>
  <c r="X769" i="4"/>
  <c r="Y769" i="4"/>
  <c r="AA769" i="4" s="1"/>
  <c r="X768" i="4"/>
  <c r="Y768" i="4"/>
  <c r="AA768" i="4" s="1"/>
  <c r="X767" i="4"/>
  <c r="Y767" i="4"/>
  <c r="AA767" i="4" s="1"/>
  <c r="X766" i="4"/>
  <c r="Y766" i="4"/>
  <c r="AA766" i="4" s="1"/>
  <c r="X765" i="4"/>
  <c r="Y765" i="4"/>
  <c r="AA765" i="4" s="1"/>
  <c r="X764" i="4"/>
  <c r="Y764" i="4"/>
  <c r="AA764" i="4" s="1"/>
  <c r="X763" i="4"/>
  <c r="Y763" i="4"/>
  <c r="AA763" i="4" s="1"/>
  <c r="X762" i="4"/>
  <c r="Y762" i="4"/>
  <c r="AA762" i="4" s="1"/>
  <c r="X761" i="4"/>
  <c r="Y761" i="4"/>
  <c r="AA761" i="4" s="1"/>
  <c r="X760" i="4"/>
  <c r="Y760" i="4"/>
  <c r="AA760" i="4" s="1"/>
  <c r="X759" i="4"/>
  <c r="Y759" i="4"/>
  <c r="AA759" i="4" s="1"/>
  <c r="X758" i="4"/>
  <c r="Y758" i="4"/>
  <c r="AA758" i="4" s="1"/>
  <c r="X757" i="4"/>
  <c r="Y757" i="4"/>
  <c r="AA757" i="4" s="1"/>
  <c r="X756" i="4"/>
  <c r="Y756" i="4"/>
  <c r="AA756" i="4" s="1"/>
  <c r="X755" i="4"/>
  <c r="Y755" i="4"/>
  <c r="AA755" i="4" s="1"/>
  <c r="X754" i="4"/>
  <c r="Y754" i="4"/>
  <c r="AA754" i="4" s="1"/>
  <c r="X753" i="4"/>
  <c r="Y753" i="4"/>
  <c r="AA753" i="4" s="1"/>
  <c r="X752" i="4"/>
  <c r="Y752" i="4"/>
  <c r="AA752" i="4" s="1"/>
  <c r="X751" i="4"/>
  <c r="Y751" i="4"/>
  <c r="AA751" i="4" s="1"/>
  <c r="X750" i="4"/>
  <c r="Y750" i="4"/>
  <c r="AA750" i="4" s="1"/>
  <c r="X749" i="4"/>
  <c r="Y749" i="4"/>
  <c r="AA749" i="4" s="1"/>
  <c r="X748" i="4"/>
  <c r="Y748" i="4"/>
  <c r="AA748" i="4" s="1"/>
  <c r="X747" i="4"/>
  <c r="Y747" i="4"/>
  <c r="AA747" i="4" s="1"/>
  <c r="X746" i="4"/>
  <c r="Y746" i="4"/>
  <c r="AA746" i="4" s="1"/>
  <c r="X745" i="4"/>
  <c r="Y745" i="4"/>
  <c r="AA745" i="4" s="1"/>
  <c r="X744" i="4"/>
  <c r="Y744" i="4"/>
  <c r="AA744" i="4" s="1"/>
  <c r="X743" i="4"/>
  <c r="Y743" i="4"/>
  <c r="AA743" i="4" s="1"/>
  <c r="X742" i="4"/>
  <c r="Y742" i="4"/>
  <c r="AA742" i="4" s="1"/>
  <c r="X741" i="4"/>
  <c r="Y741" i="4"/>
  <c r="AA741" i="4" s="1"/>
  <c r="X740" i="4"/>
  <c r="Y740" i="4"/>
  <c r="AA740" i="4" s="1"/>
  <c r="X739" i="4"/>
  <c r="Y739" i="4"/>
  <c r="AA739" i="4" s="1"/>
  <c r="X738" i="4"/>
  <c r="Y738" i="4"/>
  <c r="AA738" i="4" s="1"/>
  <c r="X737" i="4"/>
  <c r="Y737" i="4"/>
  <c r="AA737" i="4" s="1"/>
  <c r="X736" i="4"/>
  <c r="Y736" i="4"/>
  <c r="AA736" i="4" s="1"/>
  <c r="X735" i="4"/>
  <c r="Y735" i="4"/>
  <c r="AA735" i="4" s="1"/>
  <c r="X734" i="4"/>
  <c r="Y734" i="4"/>
  <c r="AA734" i="4" s="1"/>
  <c r="X733" i="4"/>
  <c r="Y733" i="4"/>
  <c r="AA733" i="4" s="1"/>
  <c r="X732" i="4"/>
  <c r="Y732" i="4"/>
  <c r="AA732" i="4" s="1"/>
  <c r="X731" i="4"/>
  <c r="Y731" i="4"/>
  <c r="AA731" i="4" s="1"/>
  <c r="X730" i="4"/>
  <c r="Y730" i="4"/>
  <c r="AA730" i="4" s="1"/>
  <c r="X729" i="4"/>
  <c r="Y729" i="4"/>
  <c r="AA729" i="4" s="1"/>
  <c r="X728" i="4"/>
  <c r="Y728" i="4"/>
  <c r="AA728" i="4" s="1"/>
  <c r="X727" i="4"/>
  <c r="Y727" i="4"/>
  <c r="AA727" i="4" s="1"/>
  <c r="X726" i="4"/>
  <c r="Y726" i="4"/>
  <c r="AA726" i="4" s="1"/>
  <c r="X725" i="4"/>
  <c r="Y725" i="4"/>
  <c r="AA725" i="4" s="1"/>
  <c r="X724" i="4"/>
  <c r="Y724" i="4"/>
  <c r="AA724" i="4" s="1"/>
  <c r="X723" i="4"/>
  <c r="Y723" i="4"/>
  <c r="AA723" i="4" s="1"/>
  <c r="X722" i="4"/>
  <c r="Y722" i="4"/>
  <c r="AA722" i="4" s="1"/>
  <c r="X721" i="4"/>
  <c r="Y721" i="4"/>
  <c r="AA721" i="4" s="1"/>
  <c r="X720" i="4"/>
  <c r="Y720" i="4"/>
  <c r="AA720" i="4" s="1"/>
  <c r="X719" i="4"/>
  <c r="Y719" i="4"/>
  <c r="AA719" i="4" s="1"/>
  <c r="X718" i="4"/>
  <c r="Y718" i="4"/>
  <c r="AA718" i="4" s="1"/>
  <c r="X717" i="4"/>
  <c r="Y717" i="4"/>
  <c r="AA717" i="4" s="1"/>
  <c r="X716" i="4"/>
  <c r="Y716" i="4"/>
  <c r="AA716" i="4" s="1"/>
  <c r="X715" i="4"/>
  <c r="Y715" i="4"/>
  <c r="AA715" i="4" s="1"/>
  <c r="X714" i="4"/>
  <c r="Y714" i="4"/>
  <c r="AA714" i="4" s="1"/>
  <c r="X713" i="4"/>
  <c r="Y713" i="4"/>
  <c r="AA713" i="4" s="1"/>
  <c r="X712" i="4"/>
  <c r="Y712" i="4"/>
  <c r="AA712" i="4" s="1"/>
  <c r="X711" i="4"/>
  <c r="Y711" i="4"/>
  <c r="AA711" i="4" s="1"/>
  <c r="X710" i="4"/>
  <c r="Y710" i="4"/>
  <c r="AA710" i="4" s="1"/>
  <c r="X709" i="4"/>
  <c r="Y709" i="4"/>
  <c r="AA709" i="4" s="1"/>
  <c r="X708" i="4"/>
  <c r="Y708" i="4"/>
  <c r="AA708" i="4" s="1"/>
  <c r="X707" i="4"/>
  <c r="Y707" i="4"/>
  <c r="AA707" i="4" s="1"/>
  <c r="X706" i="4"/>
  <c r="Y706" i="4"/>
  <c r="AA706" i="4" s="1"/>
  <c r="X705" i="4"/>
  <c r="Y705" i="4"/>
  <c r="AA705" i="4" s="1"/>
  <c r="X704" i="4"/>
  <c r="Y704" i="4"/>
  <c r="AA704" i="4" s="1"/>
  <c r="X703" i="4"/>
  <c r="Y703" i="4"/>
  <c r="AA703" i="4" s="1"/>
  <c r="X702" i="4"/>
  <c r="Y702" i="4"/>
  <c r="AA702" i="4" s="1"/>
  <c r="X701" i="4"/>
  <c r="Y701" i="4"/>
  <c r="AA701" i="4" s="1"/>
  <c r="X700" i="4"/>
  <c r="Y700" i="4"/>
  <c r="AA700" i="4" s="1"/>
  <c r="X699" i="4"/>
  <c r="Y699" i="4"/>
  <c r="AA699" i="4" s="1"/>
  <c r="X698" i="4"/>
  <c r="Y698" i="4"/>
  <c r="AA698" i="4" s="1"/>
  <c r="X697" i="4"/>
  <c r="Y697" i="4"/>
  <c r="AA697" i="4" s="1"/>
  <c r="X696" i="4"/>
  <c r="Y696" i="4"/>
  <c r="AA696" i="4" s="1"/>
  <c r="X695" i="4"/>
  <c r="Y695" i="4"/>
  <c r="AA695" i="4" s="1"/>
  <c r="X694" i="4"/>
  <c r="Y694" i="4"/>
  <c r="AA694" i="4" s="1"/>
  <c r="X693" i="4"/>
  <c r="Y693" i="4"/>
  <c r="AA693" i="4" s="1"/>
  <c r="X692" i="4"/>
  <c r="Y692" i="4"/>
  <c r="AA692" i="4" s="1"/>
  <c r="X691" i="4"/>
  <c r="Y691" i="4"/>
  <c r="AA691" i="4" s="1"/>
  <c r="X690" i="4"/>
  <c r="Y690" i="4"/>
  <c r="AA690" i="4" s="1"/>
  <c r="X689" i="4"/>
  <c r="Y689" i="4"/>
  <c r="AA689" i="4" s="1"/>
  <c r="X687" i="4"/>
  <c r="Y687" i="4"/>
  <c r="AA687" i="4" s="1"/>
  <c r="X686" i="4"/>
  <c r="Y686" i="4"/>
  <c r="AA686" i="4" s="1"/>
  <c r="X685" i="4"/>
  <c r="Y685" i="4"/>
  <c r="AA685" i="4" s="1"/>
  <c r="X684" i="4"/>
  <c r="Y684" i="4"/>
  <c r="AA684" i="4" s="1"/>
  <c r="X683" i="4"/>
  <c r="Y683" i="4"/>
  <c r="AA683" i="4" s="1"/>
  <c r="X682" i="4"/>
  <c r="Y682" i="4"/>
  <c r="AA682" i="4" s="1"/>
  <c r="X681" i="4"/>
  <c r="Y681" i="4"/>
  <c r="AA681" i="4" s="1"/>
  <c r="X680" i="4"/>
  <c r="Y680" i="4"/>
  <c r="AA680" i="4" s="1"/>
  <c r="X679" i="4"/>
  <c r="Y679" i="4"/>
  <c r="AA679" i="4" s="1"/>
  <c r="X678" i="4"/>
  <c r="Y678" i="4"/>
  <c r="AA678" i="4" s="1"/>
  <c r="X677" i="4"/>
  <c r="Y677" i="4"/>
  <c r="AA677" i="4" s="1"/>
  <c r="X676" i="4"/>
  <c r="Y676" i="4"/>
  <c r="AA676" i="4" s="1"/>
  <c r="X675" i="4"/>
  <c r="Y675" i="4"/>
  <c r="AA675" i="4" s="1"/>
  <c r="X674" i="4"/>
  <c r="Y674" i="4"/>
  <c r="AA674" i="4" s="1"/>
  <c r="X673" i="4"/>
  <c r="Y673" i="4"/>
  <c r="AA673" i="4" s="1"/>
  <c r="X672" i="4"/>
  <c r="Y672" i="4"/>
  <c r="AA672" i="4" s="1"/>
  <c r="X671" i="4"/>
  <c r="Y671" i="4"/>
  <c r="AA671" i="4" s="1"/>
  <c r="X670" i="4"/>
  <c r="Y670" i="4"/>
  <c r="AA670" i="4" s="1"/>
  <c r="X669" i="4"/>
  <c r="Y669" i="4"/>
  <c r="AA669" i="4" s="1"/>
  <c r="X668" i="4"/>
  <c r="Y668" i="4"/>
  <c r="AA668" i="4" s="1"/>
  <c r="X667" i="4"/>
  <c r="Y667" i="4"/>
  <c r="AA667" i="4" s="1"/>
  <c r="X666" i="4"/>
  <c r="Y666" i="4"/>
  <c r="AA666" i="4" s="1"/>
  <c r="X665" i="4"/>
  <c r="Y665" i="4"/>
  <c r="AA665" i="4" s="1"/>
  <c r="X664" i="4"/>
  <c r="Y664" i="4"/>
  <c r="AA664" i="4" s="1"/>
  <c r="X663" i="4"/>
  <c r="Y663" i="4"/>
  <c r="AA663" i="4" s="1"/>
  <c r="X662" i="4"/>
  <c r="Y662" i="4"/>
  <c r="AA662" i="4" s="1"/>
  <c r="X661" i="4"/>
  <c r="Y661" i="4"/>
  <c r="AA661" i="4" s="1"/>
  <c r="X660" i="4"/>
  <c r="Y660" i="4"/>
  <c r="AA660" i="4" s="1"/>
  <c r="X659" i="4"/>
  <c r="Y659" i="4"/>
  <c r="AA659" i="4" s="1"/>
  <c r="X658" i="4"/>
  <c r="Y658" i="4"/>
  <c r="AA658" i="4" s="1"/>
  <c r="X657" i="4"/>
  <c r="Y657" i="4"/>
  <c r="AA657" i="4" s="1"/>
  <c r="X656" i="4"/>
  <c r="Y656" i="4"/>
  <c r="AA656" i="4" s="1"/>
  <c r="X655" i="4"/>
  <c r="Y655" i="4"/>
  <c r="AA655" i="4" s="1"/>
  <c r="X654" i="4"/>
  <c r="Y654" i="4"/>
  <c r="AA654" i="4" s="1"/>
  <c r="X653" i="4"/>
  <c r="Y653" i="4"/>
  <c r="AA653" i="4" s="1"/>
  <c r="X652" i="4"/>
  <c r="Y652" i="4"/>
  <c r="AA652" i="4" s="1"/>
  <c r="X651" i="4"/>
  <c r="Y651" i="4"/>
  <c r="AA651" i="4" s="1"/>
  <c r="X650" i="4"/>
  <c r="Y650" i="4"/>
  <c r="AA650" i="4" s="1"/>
  <c r="X649" i="4"/>
  <c r="Y649" i="4"/>
  <c r="AA649" i="4" s="1"/>
  <c r="X648" i="4"/>
  <c r="Y648" i="4"/>
  <c r="AA648" i="4" s="1"/>
  <c r="X647" i="4"/>
  <c r="Y647" i="4"/>
  <c r="AA647" i="4" s="1"/>
  <c r="X646" i="4"/>
  <c r="Y646" i="4"/>
  <c r="AA646" i="4" s="1"/>
  <c r="X645" i="4"/>
  <c r="Y645" i="4"/>
  <c r="AA645" i="4" s="1"/>
  <c r="X644" i="4"/>
  <c r="Y644" i="4"/>
  <c r="AA644" i="4" s="1"/>
  <c r="X643" i="4"/>
  <c r="Y643" i="4"/>
  <c r="AA643" i="4" s="1"/>
  <c r="X642" i="4"/>
  <c r="Y642" i="4"/>
  <c r="AA642" i="4" s="1"/>
  <c r="X641" i="4"/>
  <c r="Y641" i="4"/>
  <c r="AA641" i="4" s="1"/>
  <c r="X640" i="4"/>
  <c r="Y640" i="4"/>
  <c r="AA640" i="4" s="1"/>
  <c r="X639" i="4"/>
  <c r="Y639" i="4"/>
  <c r="AA639" i="4" s="1"/>
  <c r="X638" i="4"/>
  <c r="Y638" i="4"/>
  <c r="AA638" i="4" s="1"/>
  <c r="X637" i="4"/>
  <c r="Y637" i="4"/>
  <c r="AA637" i="4" s="1"/>
  <c r="X636" i="4"/>
  <c r="Y636" i="4"/>
  <c r="AA636" i="4" s="1"/>
  <c r="X635" i="4"/>
  <c r="Y635" i="4"/>
  <c r="AA635" i="4" s="1"/>
  <c r="X634" i="4"/>
  <c r="Y634" i="4"/>
  <c r="AA634" i="4" s="1"/>
  <c r="X633" i="4"/>
  <c r="Y633" i="4"/>
  <c r="AA633" i="4" s="1"/>
  <c r="X632" i="4"/>
  <c r="Y632" i="4"/>
  <c r="AA632" i="4" s="1"/>
  <c r="X631" i="4"/>
  <c r="Y631" i="4"/>
  <c r="AA631" i="4" s="1"/>
  <c r="X630" i="4"/>
  <c r="Y630" i="4"/>
  <c r="AA630" i="4" s="1"/>
  <c r="X629" i="4"/>
  <c r="Y629" i="4"/>
  <c r="AA629" i="4" s="1"/>
  <c r="X628" i="4"/>
  <c r="Y628" i="4"/>
  <c r="AA628" i="4" s="1"/>
  <c r="X627" i="4"/>
  <c r="Y627" i="4"/>
  <c r="AA627" i="4" s="1"/>
  <c r="X626" i="4"/>
  <c r="Y626" i="4"/>
  <c r="AA626" i="4" s="1"/>
  <c r="X625" i="4"/>
  <c r="Y625" i="4"/>
  <c r="AA625" i="4" s="1"/>
  <c r="X624" i="4"/>
  <c r="Y624" i="4"/>
  <c r="AA624" i="4" s="1"/>
  <c r="X623" i="4"/>
  <c r="Y623" i="4"/>
  <c r="AA623" i="4" s="1"/>
  <c r="X622" i="4"/>
  <c r="Y622" i="4"/>
  <c r="AA622" i="4" s="1"/>
  <c r="X621" i="4"/>
  <c r="Y621" i="4"/>
  <c r="AA621" i="4" s="1"/>
  <c r="X620" i="4"/>
  <c r="Y620" i="4"/>
  <c r="AA620" i="4" s="1"/>
  <c r="X619" i="4"/>
  <c r="Y619" i="4"/>
  <c r="AA619" i="4" s="1"/>
  <c r="X618" i="4"/>
  <c r="Y618" i="4"/>
  <c r="AA618" i="4" s="1"/>
  <c r="X617" i="4"/>
  <c r="Y617" i="4"/>
  <c r="AA617" i="4" s="1"/>
  <c r="X616" i="4"/>
  <c r="Y616" i="4"/>
  <c r="AA616" i="4" s="1"/>
  <c r="X615" i="4"/>
  <c r="Y615" i="4"/>
  <c r="AA615" i="4" s="1"/>
  <c r="X614" i="4"/>
  <c r="Y614" i="4"/>
  <c r="AA614" i="4" s="1"/>
  <c r="X613" i="4"/>
  <c r="Y613" i="4"/>
  <c r="AA613" i="4" s="1"/>
  <c r="X612" i="4"/>
  <c r="Y612" i="4"/>
  <c r="AA612" i="4" s="1"/>
  <c r="X611" i="4"/>
  <c r="Y611" i="4"/>
  <c r="AA611" i="4" s="1"/>
  <c r="X610" i="4"/>
  <c r="Y610" i="4"/>
  <c r="AA610" i="4" s="1"/>
  <c r="X609" i="4"/>
  <c r="Y609" i="4"/>
  <c r="AA609" i="4" s="1"/>
  <c r="X608" i="4"/>
  <c r="Y608" i="4"/>
  <c r="AA608" i="4" s="1"/>
  <c r="X607" i="4"/>
  <c r="Y607" i="4"/>
  <c r="AA607" i="4" s="1"/>
  <c r="X606" i="4"/>
  <c r="Y606" i="4"/>
  <c r="AA606" i="4" s="1"/>
  <c r="X605" i="4"/>
  <c r="Y605" i="4"/>
  <c r="AA605" i="4" s="1"/>
  <c r="X604" i="4"/>
  <c r="Y604" i="4"/>
  <c r="AA604" i="4" s="1"/>
  <c r="X603" i="4"/>
  <c r="Y603" i="4"/>
  <c r="AA603" i="4" s="1"/>
  <c r="X602" i="4"/>
  <c r="Y602" i="4"/>
  <c r="AA602" i="4" s="1"/>
  <c r="X601" i="4"/>
  <c r="Y601" i="4"/>
  <c r="AA601" i="4" s="1"/>
  <c r="X600" i="4"/>
  <c r="Y600" i="4"/>
  <c r="AA600" i="4" s="1"/>
  <c r="X599" i="4"/>
  <c r="Y599" i="4"/>
  <c r="AA599" i="4" s="1"/>
  <c r="X598" i="4"/>
  <c r="Y598" i="4"/>
  <c r="AA598" i="4" s="1"/>
  <c r="X597" i="4"/>
  <c r="Y597" i="4"/>
  <c r="AA597" i="4" s="1"/>
  <c r="X596" i="4"/>
  <c r="Y596" i="4"/>
  <c r="AA596" i="4" s="1"/>
  <c r="X595" i="4"/>
  <c r="Y595" i="4"/>
  <c r="AA595" i="4" s="1"/>
  <c r="X594" i="4"/>
  <c r="Y594" i="4"/>
  <c r="AA594" i="4" s="1"/>
  <c r="X593" i="4"/>
  <c r="Y593" i="4"/>
  <c r="AA593" i="4" s="1"/>
  <c r="X592" i="4"/>
  <c r="Y592" i="4"/>
  <c r="AA592" i="4" s="1"/>
  <c r="X591" i="4"/>
  <c r="Y591" i="4"/>
  <c r="AA591" i="4" s="1"/>
  <c r="X590" i="4"/>
  <c r="Y590" i="4"/>
  <c r="AA590" i="4" s="1"/>
  <c r="X589" i="4"/>
  <c r="Y589" i="4"/>
  <c r="AA589" i="4" s="1"/>
  <c r="X588" i="4"/>
  <c r="Y588" i="4"/>
  <c r="AA588" i="4" s="1"/>
  <c r="X587" i="4"/>
  <c r="Y587" i="4"/>
  <c r="AA587" i="4" s="1"/>
  <c r="X586" i="4"/>
  <c r="Y586" i="4"/>
  <c r="AA586" i="4" s="1"/>
  <c r="X585" i="4"/>
  <c r="Y585" i="4"/>
  <c r="AA585" i="4" s="1"/>
  <c r="X584" i="4"/>
  <c r="Y584" i="4"/>
  <c r="AA584" i="4" s="1"/>
  <c r="X583" i="4"/>
  <c r="Y583" i="4"/>
  <c r="AA583" i="4" s="1"/>
  <c r="X582" i="4"/>
  <c r="Y582" i="4"/>
  <c r="AA582" i="4" s="1"/>
  <c r="X581" i="4"/>
  <c r="Y581" i="4"/>
  <c r="AA581" i="4" s="1"/>
  <c r="X580" i="4"/>
  <c r="Y580" i="4"/>
  <c r="AA580" i="4" s="1"/>
  <c r="X579" i="4"/>
  <c r="Y579" i="4"/>
  <c r="AA579" i="4" s="1"/>
  <c r="X578" i="4"/>
  <c r="Y578" i="4"/>
  <c r="AA578" i="4" s="1"/>
  <c r="X577" i="4"/>
  <c r="Y577" i="4"/>
  <c r="AA577" i="4" s="1"/>
  <c r="X576" i="4"/>
  <c r="Y576" i="4"/>
  <c r="AA576" i="4" s="1"/>
  <c r="X575" i="4"/>
  <c r="Y575" i="4"/>
  <c r="AA575" i="4" s="1"/>
  <c r="X574" i="4"/>
  <c r="Y574" i="4"/>
  <c r="AA574" i="4" s="1"/>
  <c r="X573" i="4"/>
  <c r="Y573" i="4"/>
  <c r="AA573" i="4" s="1"/>
  <c r="X572" i="4"/>
  <c r="Y572" i="4"/>
  <c r="AA572" i="4" s="1"/>
  <c r="X571" i="4"/>
  <c r="Y571" i="4"/>
  <c r="AA571" i="4" s="1"/>
  <c r="X570" i="4"/>
  <c r="Y570" i="4"/>
  <c r="AA570" i="4" s="1"/>
  <c r="X569" i="4"/>
  <c r="Y569" i="4"/>
  <c r="AA569" i="4" s="1"/>
  <c r="X568" i="4"/>
  <c r="Y568" i="4"/>
  <c r="AA568" i="4" s="1"/>
  <c r="X567" i="4"/>
  <c r="Y567" i="4"/>
  <c r="AA567" i="4" s="1"/>
  <c r="X566" i="4"/>
  <c r="Y566" i="4"/>
  <c r="AA566" i="4" s="1"/>
  <c r="Y565" i="4"/>
  <c r="AA565" i="4" s="1"/>
  <c r="X565" i="4"/>
  <c r="AB565" i="4" s="1"/>
  <c r="Y564" i="4"/>
  <c r="AA564" i="4" s="1"/>
  <c r="X564" i="4"/>
  <c r="AB564" i="4" s="1"/>
  <c r="Y563" i="4"/>
  <c r="AA563" i="4" s="1"/>
  <c r="X563" i="4"/>
  <c r="Y562" i="4"/>
  <c r="AA562" i="4" s="1"/>
  <c r="X562" i="4"/>
  <c r="X561" i="4"/>
  <c r="Y561" i="4"/>
  <c r="AA561" i="4" s="1"/>
  <c r="X560" i="4"/>
  <c r="Y560" i="4"/>
  <c r="AA560" i="4" s="1"/>
  <c r="Y559" i="4"/>
  <c r="AA559" i="4" s="1"/>
  <c r="X559" i="4"/>
  <c r="AB559" i="4" s="1"/>
  <c r="Y558" i="4"/>
  <c r="AA558" i="4" s="1"/>
  <c r="X558" i="4"/>
  <c r="AB558" i="4" s="1"/>
  <c r="X557" i="4"/>
  <c r="Y557" i="4"/>
  <c r="AA557" i="4" s="1"/>
  <c r="X556" i="4"/>
  <c r="Y556" i="4"/>
  <c r="AA556" i="4" s="1"/>
  <c r="X555" i="4"/>
  <c r="Y555" i="4"/>
  <c r="AA555" i="4" s="1"/>
  <c r="X554" i="4"/>
  <c r="Y554" i="4"/>
  <c r="AA554" i="4" s="1"/>
  <c r="X553" i="4"/>
  <c r="Y553" i="4"/>
  <c r="AA553" i="4" s="1"/>
  <c r="X552" i="4"/>
  <c r="Y552" i="4"/>
  <c r="AA552" i="4" s="1"/>
  <c r="X551" i="4"/>
  <c r="Y551" i="4"/>
  <c r="AA551" i="4" s="1"/>
  <c r="X550" i="4"/>
  <c r="Y550" i="4"/>
  <c r="AA550" i="4" s="1"/>
  <c r="X549" i="4"/>
  <c r="Y549" i="4"/>
  <c r="AA549" i="4" s="1"/>
  <c r="Y548" i="4"/>
  <c r="AA548" i="4" s="1"/>
  <c r="X548" i="4"/>
  <c r="X547" i="4"/>
  <c r="Y547" i="4"/>
  <c r="AA547" i="4" s="1"/>
  <c r="Y546" i="4"/>
  <c r="AA546" i="4" s="1"/>
  <c r="X546" i="4"/>
  <c r="AB546" i="4" s="1"/>
  <c r="X545" i="4"/>
  <c r="Y545" i="4"/>
  <c r="AA545" i="4" s="1"/>
  <c r="X544" i="4"/>
  <c r="Y544" i="4"/>
  <c r="AA544" i="4" s="1"/>
  <c r="X543" i="4"/>
  <c r="Y543" i="4"/>
  <c r="AA543" i="4" s="1"/>
  <c r="Y542" i="4"/>
  <c r="AA542" i="4" s="1"/>
  <c r="X542" i="4"/>
  <c r="X541" i="4"/>
  <c r="Y541" i="4"/>
  <c r="AA541" i="4" s="1"/>
  <c r="Y540" i="4"/>
  <c r="AA540" i="4" s="1"/>
  <c r="X540" i="4"/>
  <c r="AB540" i="4" s="1"/>
  <c r="X539" i="4"/>
  <c r="Y539" i="4"/>
  <c r="AA539" i="4" s="1"/>
  <c r="X538" i="4"/>
  <c r="Y538" i="4"/>
  <c r="AA538" i="4" s="1"/>
  <c r="X537" i="4"/>
  <c r="Y537" i="4"/>
  <c r="AA537" i="4" s="1"/>
  <c r="Y536" i="4"/>
  <c r="AA536" i="4" s="1"/>
  <c r="X536" i="4"/>
  <c r="X535" i="4"/>
  <c r="Y535" i="4"/>
  <c r="AA535" i="4" s="1"/>
  <c r="X534" i="4"/>
  <c r="Y534" i="4"/>
  <c r="AA534" i="4" s="1"/>
  <c r="X533" i="4"/>
  <c r="Y533" i="4"/>
  <c r="AA533" i="4" s="1"/>
  <c r="Y532" i="4"/>
  <c r="AA532" i="4" s="1"/>
  <c r="X532" i="4"/>
  <c r="Y531" i="4"/>
  <c r="AA531" i="4" s="1"/>
  <c r="X531" i="4"/>
  <c r="AB531" i="4" s="1"/>
  <c r="X530" i="4"/>
  <c r="Y530" i="4"/>
  <c r="AA530" i="4" s="1"/>
  <c r="X529" i="4"/>
  <c r="Y529" i="4"/>
  <c r="AA529" i="4" s="1"/>
  <c r="X528" i="4"/>
  <c r="Y528" i="4"/>
  <c r="AA528" i="4" s="1"/>
  <c r="X527" i="4"/>
  <c r="Y527" i="4"/>
  <c r="AA527" i="4" s="1"/>
  <c r="X526" i="4"/>
  <c r="Y526" i="4"/>
  <c r="AA526" i="4" s="1"/>
  <c r="X525" i="4"/>
  <c r="Y525" i="4"/>
  <c r="AA525" i="4" s="1"/>
  <c r="Y524" i="4"/>
  <c r="AA524" i="4" s="1"/>
  <c r="X524" i="4"/>
  <c r="X523" i="4"/>
  <c r="Y523" i="4"/>
  <c r="AA523" i="4" s="1"/>
  <c r="Y522" i="4"/>
  <c r="AA522" i="4" s="1"/>
  <c r="X522" i="4"/>
  <c r="AB522" i="4" s="1"/>
  <c r="X521" i="4"/>
  <c r="Y521" i="4"/>
  <c r="AA521" i="4" s="1"/>
  <c r="X520" i="4"/>
  <c r="Y520" i="4"/>
  <c r="AA520" i="4" s="1"/>
  <c r="Y519" i="4"/>
  <c r="AA519" i="4" s="1"/>
  <c r="X519" i="4"/>
  <c r="AB519" i="4" s="1"/>
  <c r="X518" i="4"/>
  <c r="Y518" i="4"/>
  <c r="AA518" i="4" s="1"/>
  <c r="X517" i="4"/>
  <c r="Y517" i="4"/>
  <c r="AA517" i="4" s="1"/>
  <c r="X515" i="4"/>
  <c r="Y515" i="4"/>
  <c r="AA515" i="4" s="1"/>
  <c r="X514" i="4"/>
  <c r="Y514" i="4"/>
  <c r="AA514" i="4" s="1"/>
  <c r="X513" i="4"/>
  <c r="Y513" i="4"/>
  <c r="AA513" i="4" s="1"/>
  <c r="X512" i="4"/>
  <c r="Y512" i="4"/>
  <c r="AA512" i="4" s="1"/>
  <c r="X511" i="4"/>
  <c r="Y511" i="4"/>
  <c r="AA511" i="4" s="1"/>
  <c r="X510" i="4"/>
  <c r="Y510" i="4"/>
  <c r="AA510" i="4" s="1"/>
  <c r="X509" i="4"/>
  <c r="Y509" i="4"/>
  <c r="AA509" i="4" s="1"/>
  <c r="X508" i="4"/>
  <c r="Y508" i="4"/>
  <c r="AA508" i="4" s="1"/>
  <c r="X507" i="4"/>
  <c r="Y507" i="4"/>
  <c r="AA507" i="4" s="1"/>
  <c r="X506" i="4"/>
  <c r="Y506" i="4"/>
  <c r="AA506" i="4" s="1"/>
  <c r="X505" i="4"/>
  <c r="Y505" i="4"/>
  <c r="AA505" i="4" s="1"/>
  <c r="X504" i="4"/>
  <c r="Y504" i="4"/>
  <c r="AA504" i="4" s="1"/>
  <c r="X503" i="4"/>
  <c r="Y503" i="4"/>
  <c r="AA503" i="4" s="1"/>
  <c r="X502" i="4"/>
  <c r="Y502" i="4"/>
  <c r="AA502" i="4" s="1"/>
  <c r="X501" i="4"/>
  <c r="Y501" i="4"/>
  <c r="AA501" i="4" s="1"/>
  <c r="X500" i="4"/>
  <c r="Y500" i="4"/>
  <c r="AA500" i="4" s="1"/>
  <c r="X499" i="4"/>
  <c r="Y499" i="4"/>
  <c r="AA499" i="4" s="1"/>
  <c r="X498" i="4"/>
  <c r="Y498" i="4"/>
  <c r="AA498" i="4" s="1"/>
  <c r="Y497" i="4"/>
  <c r="AA497" i="4" s="1"/>
  <c r="X497" i="4"/>
  <c r="AB497" i="4" s="1"/>
  <c r="X496" i="4"/>
  <c r="Y496" i="4"/>
  <c r="AA496" i="4" s="1"/>
  <c r="Y495" i="4"/>
  <c r="AA495" i="4" s="1"/>
  <c r="X495" i="4"/>
  <c r="Y494" i="4"/>
  <c r="AA494" i="4" s="1"/>
  <c r="X494" i="4"/>
  <c r="AB494" i="4" s="1"/>
  <c r="X493" i="4"/>
  <c r="Y493" i="4"/>
  <c r="AA493" i="4" s="1"/>
  <c r="X492" i="4"/>
  <c r="Y492" i="4"/>
  <c r="AA492" i="4" s="1"/>
  <c r="X491" i="4"/>
  <c r="Y491" i="4"/>
  <c r="AA491" i="4" s="1"/>
  <c r="X490" i="4"/>
  <c r="Y490" i="4"/>
  <c r="AA490" i="4" s="1"/>
  <c r="Y489" i="4"/>
  <c r="AA489" i="4" s="1"/>
  <c r="X489" i="4"/>
  <c r="Y488" i="4"/>
  <c r="AA488" i="4" s="1"/>
  <c r="X488" i="4"/>
  <c r="AB488" i="4" s="1"/>
  <c r="X487" i="4"/>
  <c r="Y487" i="4"/>
  <c r="AA487" i="4" s="1"/>
  <c r="X486" i="4"/>
  <c r="Y486" i="4"/>
  <c r="AA486" i="4" s="1"/>
  <c r="X485" i="4"/>
  <c r="Y485" i="4"/>
  <c r="AA485" i="4" s="1"/>
  <c r="Y484" i="4"/>
  <c r="AA484" i="4" s="1"/>
  <c r="X484" i="4"/>
  <c r="X483" i="4"/>
  <c r="Y483" i="4"/>
  <c r="AA483" i="4" s="1"/>
  <c r="X482" i="4"/>
  <c r="Y482" i="4"/>
  <c r="AA482" i="4" s="1"/>
  <c r="Y481" i="4"/>
  <c r="AA481" i="4" s="1"/>
  <c r="X481" i="4"/>
  <c r="Y480" i="4"/>
  <c r="AA480" i="4" s="1"/>
  <c r="X480" i="4"/>
  <c r="AB480" i="4" s="1"/>
  <c r="X479" i="4"/>
  <c r="Y479" i="4"/>
  <c r="AA479" i="4" s="1"/>
  <c r="Y478" i="4"/>
  <c r="AA478" i="4" s="1"/>
  <c r="X478" i="4"/>
  <c r="Y477" i="4"/>
  <c r="AA477" i="4" s="1"/>
  <c r="X477" i="4"/>
  <c r="X476" i="4"/>
  <c r="Y476" i="4"/>
  <c r="AA476" i="4" s="1"/>
  <c r="X475" i="4"/>
  <c r="Y475" i="4"/>
  <c r="AA475" i="4" s="1"/>
  <c r="Y474" i="4"/>
  <c r="AA474" i="4" s="1"/>
  <c r="X474" i="4"/>
  <c r="AB474" i="4" s="1"/>
  <c r="Y473" i="4"/>
  <c r="AA473" i="4" s="1"/>
  <c r="X473" i="4"/>
  <c r="AB473" i="4" s="1"/>
  <c r="X472" i="4"/>
  <c r="Y472" i="4"/>
  <c r="AA472" i="4" s="1"/>
  <c r="Y471" i="4"/>
  <c r="AA471" i="4" s="1"/>
  <c r="X471" i="4"/>
  <c r="X470" i="4"/>
  <c r="Y470" i="4"/>
  <c r="AA470" i="4" s="1"/>
  <c r="X469" i="4"/>
  <c r="Y469" i="4"/>
  <c r="AA469" i="4" s="1"/>
  <c r="Y468" i="4"/>
  <c r="AA468" i="4" s="1"/>
  <c r="X468" i="4"/>
  <c r="AB468" i="4" s="1"/>
  <c r="X467" i="4"/>
  <c r="Y467" i="4"/>
  <c r="AA467" i="4" s="1"/>
  <c r="Y466" i="4"/>
  <c r="AA466" i="4" s="1"/>
  <c r="X466" i="4"/>
  <c r="X465" i="4"/>
  <c r="Y465" i="4"/>
  <c r="AA465" i="4" s="1"/>
  <c r="Y464" i="4"/>
  <c r="AA464" i="4" s="1"/>
  <c r="X464" i="4"/>
  <c r="AB464" i="4" s="1"/>
  <c r="Y463" i="4"/>
  <c r="AA463" i="4" s="1"/>
  <c r="X463" i="4"/>
  <c r="X462" i="4"/>
  <c r="Y462" i="4"/>
  <c r="AA462" i="4" s="1"/>
  <c r="X461" i="4"/>
  <c r="Y461" i="4"/>
  <c r="AA461" i="4" s="1"/>
  <c r="Y460" i="4"/>
  <c r="AA460" i="4" s="1"/>
  <c r="X460" i="4"/>
  <c r="Y459" i="4"/>
  <c r="AA459" i="4" s="1"/>
  <c r="X459" i="4"/>
  <c r="Y458" i="4"/>
  <c r="AA458" i="4" s="1"/>
  <c r="X458" i="4"/>
  <c r="AB458" i="4" s="1"/>
  <c r="X457" i="4"/>
  <c r="Y457" i="4"/>
  <c r="AA457" i="4" s="1"/>
  <c r="X456" i="4"/>
  <c r="Y456" i="4"/>
  <c r="AA456" i="4" s="1"/>
  <c r="Y455" i="4"/>
  <c r="AA455" i="4" s="1"/>
  <c r="X455" i="4"/>
  <c r="AB455" i="4" s="1"/>
  <c r="Y454" i="4"/>
  <c r="AA454" i="4" s="1"/>
  <c r="X454" i="4"/>
  <c r="Y453" i="4"/>
  <c r="AA453" i="4" s="1"/>
  <c r="X453" i="4"/>
  <c r="Y452" i="4"/>
  <c r="AA452" i="4" s="1"/>
  <c r="X452" i="4"/>
  <c r="AB452" i="4" s="1"/>
  <c r="Y451" i="4"/>
  <c r="AA451" i="4" s="1"/>
  <c r="X451" i="4"/>
  <c r="X450" i="4"/>
  <c r="Y450" i="4"/>
  <c r="AA450" i="4" s="1"/>
  <c r="Y449" i="4"/>
  <c r="AA449" i="4" s="1"/>
  <c r="X449" i="4"/>
  <c r="AB449" i="4" s="1"/>
  <c r="X448" i="4"/>
  <c r="Y448" i="4"/>
  <c r="AA448" i="4" s="1"/>
  <c r="Y447" i="4"/>
  <c r="AA447" i="4" s="1"/>
  <c r="X447" i="4"/>
  <c r="X446" i="4"/>
  <c r="Y446" i="4"/>
  <c r="AA446" i="4" s="1"/>
  <c r="X445" i="4"/>
  <c r="Y445" i="4"/>
  <c r="AA445" i="4" s="1"/>
  <c r="X444" i="4"/>
  <c r="Y444" i="4"/>
  <c r="AA444" i="4" s="1"/>
  <c r="X443" i="4"/>
  <c r="Y443" i="4"/>
  <c r="AA443" i="4" s="1"/>
  <c r="Y442" i="4"/>
  <c r="AA442" i="4" s="1"/>
  <c r="X442" i="4"/>
  <c r="X441" i="4"/>
  <c r="Y441" i="4"/>
  <c r="AA441" i="4" s="1"/>
  <c r="X440" i="4"/>
  <c r="Y440" i="4"/>
  <c r="AA440" i="4" s="1"/>
  <c r="Y439" i="4"/>
  <c r="AA439" i="4" s="1"/>
  <c r="X439" i="4"/>
  <c r="Y438" i="4"/>
  <c r="AA438" i="4" s="1"/>
  <c r="X438" i="4"/>
  <c r="AB438" i="4" s="1"/>
  <c r="X437" i="4"/>
  <c r="Y437" i="4"/>
  <c r="AA437" i="4" s="1"/>
  <c r="X436" i="4"/>
  <c r="Y436" i="4"/>
  <c r="AA436" i="4" s="1"/>
  <c r="X435" i="4"/>
  <c r="Y435" i="4"/>
  <c r="AA435" i="4" s="1"/>
  <c r="X434" i="4"/>
  <c r="Y434" i="4"/>
  <c r="AA434" i="4" s="1"/>
  <c r="X433" i="4"/>
  <c r="Y433" i="4"/>
  <c r="AA433" i="4" s="1"/>
  <c r="Y432" i="4"/>
  <c r="AA432" i="4" s="1"/>
  <c r="X432" i="4"/>
  <c r="AB432" i="4" s="1"/>
  <c r="Y431" i="4"/>
  <c r="AA431" i="4" s="1"/>
  <c r="X431" i="4"/>
  <c r="AB431" i="4" s="1"/>
  <c r="Y430" i="4"/>
  <c r="AA430" i="4" s="1"/>
  <c r="X430" i="4"/>
  <c r="Y429" i="4"/>
  <c r="AA429" i="4" s="1"/>
  <c r="X429" i="4"/>
  <c r="X427" i="4"/>
  <c r="Y427" i="4"/>
  <c r="AA427" i="4" s="1"/>
  <c r="X426" i="4"/>
  <c r="Y426" i="4"/>
  <c r="AA426" i="4" s="1"/>
  <c r="X425" i="4"/>
  <c r="Y425" i="4"/>
  <c r="AA425" i="4" s="1"/>
  <c r="X424" i="4"/>
  <c r="Y424" i="4"/>
  <c r="AA424" i="4" s="1"/>
  <c r="X423" i="4"/>
  <c r="Y423" i="4"/>
  <c r="AA423" i="4" s="1"/>
  <c r="X422" i="4"/>
  <c r="Y422" i="4"/>
  <c r="AA422" i="4" s="1"/>
  <c r="X421" i="4"/>
  <c r="Y421" i="4"/>
  <c r="AA421" i="4" s="1"/>
  <c r="X420" i="4"/>
  <c r="Y420" i="4"/>
  <c r="AA420" i="4" s="1"/>
  <c r="X419" i="4"/>
  <c r="Y419" i="4"/>
  <c r="AA419" i="4" s="1"/>
  <c r="X418" i="4"/>
  <c r="Y418" i="4"/>
  <c r="AA418" i="4" s="1"/>
  <c r="X417" i="4"/>
  <c r="Y417" i="4"/>
  <c r="AA417" i="4" s="1"/>
  <c r="X416" i="4"/>
  <c r="Y416" i="4"/>
  <c r="AA416" i="4" s="1"/>
  <c r="X415" i="4"/>
  <c r="Y415" i="4"/>
  <c r="AA415" i="4" s="1"/>
  <c r="X414" i="4"/>
  <c r="Y414" i="4"/>
  <c r="AA414" i="4" s="1"/>
  <c r="X413" i="4"/>
  <c r="Y413" i="4"/>
  <c r="AA413" i="4" s="1"/>
  <c r="X412" i="4"/>
  <c r="Y412" i="4"/>
  <c r="AA412" i="4" s="1"/>
  <c r="X411" i="4"/>
  <c r="Y411" i="4"/>
  <c r="AA411" i="4" s="1"/>
  <c r="X410" i="4"/>
  <c r="Y410" i="4"/>
  <c r="AA410" i="4" s="1"/>
  <c r="X409" i="4"/>
  <c r="Y409" i="4"/>
  <c r="AA409" i="4" s="1"/>
  <c r="X408" i="4"/>
  <c r="Y408" i="4"/>
  <c r="AA408" i="4" s="1"/>
  <c r="X407" i="4"/>
  <c r="Y407" i="4"/>
  <c r="AA407" i="4" s="1"/>
  <c r="X406" i="4"/>
  <c r="Y406" i="4"/>
  <c r="AA406" i="4" s="1"/>
  <c r="X405" i="4"/>
  <c r="Y405" i="4"/>
  <c r="AA405" i="4" s="1"/>
  <c r="Y404" i="4"/>
  <c r="AA404" i="4" s="1"/>
  <c r="X404" i="4"/>
  <c r="X403" i="4"/>
  <c r="Y403" i="4"/>
  <c r="AA403" i="4" s="1"/>
  <c r="X402" i="4"/>
  <c r="Y402" i="4"/>
  <c r="AA402" i="4" s="1"/>
  <c r="Y401" i="4"/>
  <c r="AA401" i="4" s="1"/>
  <c r="X401" i="4"/>
  <c r="AB401" i="4" s="1"/>
  <c r="Y400" i="4"/>
  <c r="AA400" i="4" s="1"/>
  <c r="X400" i="4"/>
  <c r="AB400" i="4" s="1"/>
  <c r="X399" i="4"/>
  <c r="Y399" i="4"/>
  <c r="AA399" i="4" s="1"/>
  <c r="X398" i="4"/>
  <c r="Y398" i="4"/>
  <c r="AA398" i="4" s="1"/>
  <c r="X397" i="4"/>
  <c r="Y397" i="4"/>
  <c r="AA397" i="4" s="1"/>
  <c r="Y396" i="4"/>
  <c r="AA396" i="4" s="1"/>
  <c r="X396" i="4"/>
  <c r="Y395" i="4"/>
  <c r="AA395" i="4" s="1"/>
  <c r="X395" i="4"/>
  <c r="AB395" i="4" s="1"/>
  <c r="Y394" i="4"/>
  <c r="AA394" i="4" s="1"/>
  <c r="X394" i="4"/>
  <c r="AB394" i="4" s="1"/>
  <c r="Y393" i="4"/>
  <c r="AA393" i="4" s="1"/>
  <c r="X393" i="4"/>
  <c r="Y392" i="4"/>
  <c r="AA392" i="4" s="1"/>
  <c r="X392" i="4"/>
  <c r="Y391" i="4"/>
  <c r="AA391" i="4" s="1"/>
  <c r="X391" i="4"/>
  <c r="AB391" i="4" s="1"/>
  <c r="Y390" i="4"/>
  <c r="AA390" i="4" s="1"/>
  <c r="X390" i="4"/>
  <c r="Y389" i="4"/>
  <c r="AA389" i="4" s="1"/>
  <c r="X389" i="4"/>
  <c r="AB389" i="4" s="1"/>
  <c r="Y388" i="4"/>
  <c r="AA388" i="4" s="1"/>
  <c r="X388" i="4"/>
  <c r="AB388" i="4" s="1"/>
  <c r="Y387" i="4"/>
  <c r="AA387" i="4" s="1"/>
  <c r="X387" i="4"/>
  <c r="Y386" i="4"/>
  <c r="AA386" i="4" s="1"/>
  <c r="X386" i="4"/>
  <c r="Y385" i="4"/>
  <c r="AA385" i="4" s="1"/>
  <c r="X385" i="4"/>
  <c r="AB385" i="4" s="1"/>
  <c r="Y384" i="4"/>
  <c r="AA384" i="4" s="1"/>
  <c r="X384" i="4"/>
  <c r="Y383" i="4"/>
  <c r="AA383" i="4" s="1"/>
  <c r="X383" i="4"/>
  <c r="AB383" i="4" s="1"/>
  <c r="X382" i="4"/>
  <c r="Y382" i="4"/>
  <c r="AA382" i="4" s="1"/>
  <c r="Y381" i="4"/>
  <c r="AA381" i="4" s="1"/>
  <c r="X381" i="4"/>
  <c r="X380" i="4"/>
  <c r="Y380" i="4"/>
  <c r="AA380" i="4" s="1"/>
  <c r="X379" i="4"/>
  <c r="Y379" i="4"/>
  <c r="AA379" i="4" s="1"/>
  <c r="X378" i="4"/>
  <c r="Y378" i="4"/>
  <c r="AA378" i="4" s="1"/>
  <c r="Y377" i="4"/>
  <c r="AA377" i="4" s="1"/>
  <c r="X377" i="4"/>
  <c r="X376" i="4"/>
  <c r="Y376" i="4"/>
  <c r="AA376" i="4" s="1"/>
  <c r="Y375" i="4"/>
  <c r="AA375" i="4" s="1"/>
  <c r="X375" i="4"/>
  <c r="Y374" i="4"/>
  <c r="AA374" i="4" s="1"/>
  <c r="X374" i="4"/>
  <c r="Y373" i="4"/>
  <c r="AA373" i="4" s="1"/>
  <c r="X373" i="4"/>
  <c r="AB373" i="4" s="1"/>
  <c r="X372" i="4"/>
  <c r="Y372" i="4"/>
  <c r="AA372" i="4" s="1"/>
  <c r="Y371" i="4"/>
  <c r="AA371" i="4" s="1"/>
  <c r="X371" i="4"/>
  <c r="AB371" i="4" s="1"/>
  <c r="Y370" i="4"/>
  <c r="AA370" i="4" s="1"/>
  <c r="X370" i="4"/>
  <c r="AB370" i="4" s="1"/>
  <c r="X369" i="4"/>
  <c r="Y369" i="4"/>
  <c r="AA369" i="4" s="1"/>
  <c r="Y368" i="4"/>
  <c r="AA368" i="4" s="1"/>
  <c r="X368" i="4"/>
  <c r="X367" i="4"/>
  <c r="Y367" i="4"/>
  <c r="AA367" i="4" s="1"/>
  <c r="X366" i="4"/>
  <c r="Y366" i="4"/>
  <c r="AA366" i="4" s="1"/>
  <c r="Y365" i="4"/>
  <c r="AA365" i="4" s="1"/>
  <c r="X365" i="4"/>
  <c r="AB365" i="4" s="1"/>
  <c r="Y364" i="4"/>
  <c r="AA364" i="4" s="1"/>
  <c r="X364" i="4"/>
  <c r="AB364" i="4" s="1"/>
  <c r="Y363" i="4"/>
  <c r="AA363" i="4" s="1"/>
  <c r="X363" i="4"/>
  <c r="Y362" i="4"/>
  <c r="AA362" i="4" s="1"/>
  <c r="X362" i="4"/>
  <c r="Y361" i="4"/>
  <c r="AA361" i="4" s="1"/>
  <c r="X361" i="4"/>
  <c r="AB361" i="4" s="1"/>
  <c r="Y360" i="4"/>
  <c r="AA360" i="4" s="1"/>
  <c r="X360" i="4"/>
  <c r="Y359" i="4"/>
  <c r="AA359" i="4" s="1"/>
  <c r="X359" i="4"/>
  <c r="AB359" i="4" s="1"/>
  <c r="Y358" i="4"/>
  <c r="AA358" i="4" s="1"/>
  <c r="X358" i="4"/>
  <c r="AB358" i="4" s="1"/>
  <c r="X357" i="4"/>
  <c r="Y357" i="4"/>
  <c r="AA357" i="4" s="1"/>
  <c r="Y356" i="4"/>
  <c r="AA356" i="4" s="1"/>
  <c r="X356" i="4"/>
  <c r="X355" i="4"/>
  <c r="Y355" i="4"/>
  <c r="AA355" i="4" s="1"/>
  <c r="Y354" i="4"/>
  <c r="AA354" i="4" s="1"/>
  <c r="X354" i="4"/>
  <c r="X353" i="4"/>
  <c r="Y353" i="4"/>
  <c r="AA353" i="4" s="1"/>
  <c r="Y352" i="4"/>
  <c r="AA352" i="4" s="1"/>
  <c r="X352" i="4"/>
  <c r="AB352" i="4" s="1"/>
  <c r="X351" i="4"/>
  <c r="Y351" i="4"/>
  <c r="AA351" i="4" s="1"/>
  <c r="Y350" i="4"/>
  <c r="AA350" i="4" s="1"/>
  <c r="X350" i="4"/>
  <c r="Y349" i="4"/>
  <c r="AA349" i="4" s="1"/>
  <c r="X349" i="4"/>
  <c r="AB349" i="4" s="1"/>
  <c r="X348" i="4"/>
  <c r="Y348" i="4"/>
  <c r="AA348" i="4" s="1"/>
  <c r="X347" i="4"/>
  <c r="Y347" i="4"/>
  <c r="AA347" i="4" s="1"/>
  <c r="Y346" i="4"/>
  <c r="AA346" i="4" s="1"/>
  <c r="X346" i="4"/>
  <c r="AB346" i="4" s="1"/>
  <c r="Y345" i="4"/>
  <c r="AA345" i="4" s="1"/>
  <c r="X345" i="4"/>
  <c r="X344" i="4"/>
  <c r="Y344" i="4"/>
  <c r="AA344" i="4" s="1"/>
  <c r="X343" i="4"/>
  <c r="Y343" i="4"/>
  <c r="AA343" i="4" s="1"/>
  <c r="Y342" i="4"/>
  <c r="AA342" i="4" s="1"/>
  <c r="X342" i="4"/>
  <c r="X341" i="4"/>
  <c r="Y341" i="4"/>
  <c r="AA341" i="4" s="1"/>
  <c r="X340" i="4"/>
  <c r="Y340" i="4"/>
  <c r="AA340" i="4" s="1"/>
  <c r="X339" i="4"/>
  <c r="Y339" i="4"/>
  <c r="AA339" i="4" s="1"/>
  <c r="X338" i="4"/>
  <c r="Y338" i="4"/>
  <c r="AA338" i="4" s="1"/>
  <c r="X337" i="4"/>
  <c r="Y337" i="4"/>
  <c r="AA337" i="4" s="1"/>
  <c r="X336" i="4"/>
  <c r="Y336" i="4"/>
  <c r="AA336" i="4" s="1"/>
  <c r="X335" i="4"/>
  <c r="Y335" i="4"/>
  <c r="AA335" i="4" s="1"/>
  <c r="X334" i="4"/>
  <c r="Y334" i="4"/>
  <c r="AA334" i="4" s="1"/>
  <c r="X333" i="4"/>
  <c r="Y333" i="4"/>
  <c r="AA333" i="4" s="1"/>
  <c r="X332" i="4"/>
  <c r="Y332" i="4"/>
  <c r="AA332" i="4" s="1"/>
  <c r="X331" i="4"/>
  <c r="Y331" i="4"/>
  <c r="AA331" i="4" s="1"/>
  <c r="X330" i="4"/>
  <c r="Y330" i="4"/>
  <c r="AA330" i="4" s="1"/>
  <c r="X329" i="4"/>
  <c r="Y329" i="4"/>
  <c r="AA329" i="4" s="1"/>
  <c r="X328" i="4"/>
  <c r="Y328" i="4"/>
  <c r="AA328" i="4" s="1"/>
  <c r="X327" i="4"/>
  <c r="Y327" i="4"/>
  <c r="AA327" i="4" s="1"/>
  <c r="X326" i="4"/>
  <c r="Y326" i="4"/>
  <c r="AA326" i="4" s="1"/>
  <c r="X325" i="4"/>
  <c r="Y325" i="4"/>
  <c r="AA325" i="4" s="1"/>
  <c r="X324" i="4"/>
  <c r="Y324" i="4"/>
  <c r="AA324" i="4" s="1"/>
  <c r="Y323" i="4"/>
  <c r="AA323" i="4" s="1"/>
  <c r="X323" i="4"/>
  <c r="AB323" i="4" s="1"/>
  <c r="Y322" i="4"/>
  <c r="AA322" i="4" s="1"/>
  <c r="X322" i="4"/>
  <c r="AB322" i="4" s="1"/>
  <c r="Y321" i="4"/>
  <c r="AA321" i="4" s="1"/>
  <c r="X321" i="4"/>
  <c r="X320" i="4"/>
  <c r="Y320" i="4"/>
  <c r="AA320" i="4" s="1"/>
  <c r="Y319" i="4"/>
  <c r="AA319" i="4" s="1"/>
  <c r="X319" i="4"/>
  <c r="AB319" i="4" s="1"/>
  <c r="Y318" i="4"/>
  <c r="AA318" i="4" s="1"/>
  <c r="X318" i="4"/>
  <c r="Y317" i="4"/>
  <c r="AA317" i="4" s="1"/>
  <c r="X317" i="4"/>
  <c r="AB317" i="4" s="1"/>
  <c r="X316" i="4"/>
  <c r="Y316" i="4"/>
  <c r="AA316" i="4" s="1"/>
  <c r="Y315" i="4"/>
  <c r="AA315" i="4" s="1"/>
  <c r="X315" i="4"/>
  <c r="X314" i="4"/>
  <c r="Y314" i="4"/>
  <c r="AA314" i="4" s="1"/>
  <c r="Y313" i="4"/>
  <c r="AA313" i="4" s="1"/>
  <c r="X313" i="4"/>
  <c r="AB313" i="4" s="1"/>
  <c r="X312" i="4"/>
  <c r="Y312" i="4"/>
  <c r="AA312" i="4" s="1"/>
  <c r="X311" i="4"/>
  <c r="Y311" i="4"/>
  <c r="AA311" i="4" s="1"/>
  <c r="Y310" i="4"/>
  <c r="AA310" i="4" s="1"/>
  <c r="X310" i="4"/>
  <c r="AB310" i="4" s="1"/>
  <c r="Y309" i="4"/>
  <c r="AA309" i="4" s="1"/>
  <c r="X309" i="4"/>
  <c r="Y308" i="4"/>
  <c r="AA308" i="4" s="1"/>
  <c r="X308" i="4"/>
  <c r="X307" i="4"/>
  <c r="Y307" i="4"/>
  <c r="AA307" i="4" s="1"/>
  <c r="X306" i="4"/>
  <c r="Y306" i="4"/>
  <c r="AA306" i="4" s="1"/>
  <c r="X305" i="4"/>
  <c r="Y305" i="4"/>
  <c r="AA305" i="4" s="1"/>
  <c r="X304" i="4"/>
  <c r="Y304" i="4"/>
  <c r="AA304" i="4" s="1"/>
  <c r="Y303" i="4"/>
  <c r="AA303" i="4" s="1"/>
  <c r="X303" i="4"/>
  <c r="Y302" i="4"/>
  <c r="AA302" i="4" s="1"/>
  <c r="X302" i="4"/>
  <c r="Y301" i="4"/>
  <c r="AA301" i="4" s="1"/>
  <c r="X301" i="4"/>
  <c r="AB301" i="4" s="1"/>
  <c r="Y300" i="4"/>
  <c r="AA300" i="4" s="1"/>
  <c r="X300" i="4"/>
  <c r="Y299" i="4"/>
  <c r="AA299" i="4" s="1"/>
  <c r="X299" i="4"/>
  <c r="AB299" i="4" s="1"/>
  <c r="Y298" i="4"/>
  <c r="AA298" i="4" s="1"/>
  <c r="X298" i="4"/>
  <c r="AB298" i="4" s="1"/>
  <c r="Y297" i="4"/>
  <c r="AA297" i="4" s="1"/>
  <c r="X297" i="4"/>
  <c r="Y296" i="4"/>
  <c r="AA296" i="4" s="1"/>
  <c r="X296" i="4"/>
  <c r="Y295" i="4"/>
  <c r="AA295" i="4" s="1"/>
  <c r="X295" i="4"/>
  <c r="AB295" i="4" s="1"/>
  <c r="X294" i="4"/>
  <c r="Y294" i="4"/>
  <c r="AA294" i="4" s="1"/>
  <c r="Y293" i="4"/>
  <c r="AA293" i="4" s="1"/>
  <c r="X293" i="4"/>
  <c r="AB293" i="4" s="1"/>
  <c r="X292" i="4"/>
  <c r="Y292" i="4"/>
  <c r="AA292" i="4" s="1"/>
  <c r="Y291" i="4"/>
  <c r="AA291" i="4" s="1"/>
  <c r="X291" i="4"/>
  <c r="Y290" i="4"/>
  <c r="AA290" i="4" s="1"/>
  <c r="X290" i="4"/>
  <c r="X289" i="4"/>
  <c r="Y289" i="4"/>
  <c r="AA289" i="4" s="1"/>
  <c r="Y288" i="4"/>
  <c r="AA288" i="4" s="1"/>
  <c r="X288" i="4"/>
  <c r="X287" i="4"/>
  <c r="Y287" i="4"/>
  <c r="AA287" i="4" s="1"/>
  <c r="Y286" i="4"/>
  <c r="AA286" i="4" s="1"/>
  <c r="X286" i="4"/>
  <c r="AB286" i="4" s="1"/>
  <c r="Y285" i="4"/>
  <c r="AA285" i="4" s="1"/>
  <c r="X285" i="4"/>
  <c r="X284" i="4"/>
  <c r="Y284" i="4"/>
  <c r="AA284" i="4" s="1"/>
  <c r="X283" i="4"/>
  <c r="Y283" i="4"/>
  <c r="AA283" i="4" s="1"/>
  <c r="Y282" i="4"/>
  <c r="AA282" i="4" s="1"/>
  <c r="X282" i="4"/>
  <c r="Y281" i="4"/>
  <c r="AA281" i="4" s="1"/>
  <c r="X281" i="4"/>
  <c r="AB281" i="4" s="1"/>
  <c r="Y280" i="4"/>
  <c r="AA280" i="4" s="1"/>
  <c r="X280" i="4"/>
  <c r="AB280" i="4" s="1"/>
  <c r="Y279" i="4"/>
  <c r="AA279" i="4" s="1"/>
  <c r="X279" i="4"/>
  <c r="X278" i="4"/>
  <c r="Y278" i="4"/>
  <c r="AA278" i="4" s="1"/>
  <c r="X277" i="4"/>
  <c r="Y277" i="4"/>
  <c r="AA277" i="4" s="1"/>
  <c r="Y276" i="4"/>
  <c r="AA276" i="4" s="1"/>
  <c r="X276" i="4"/>
  <c r="X275" i="4"/>
  <c r="Y275" i="4"/>
  <c r="AA275" i="4" s="1"/>
  <c r="Y274" i="4"/>
  <c r="AA274" i="4" s="1"/>
  <c r="X274" i="4"/>
  <c r="AB274" i="4" s="1"/>
  <c r="X273" i="4"/>
  <c r="Y273" i="4"/>
  <c r="AA273" i="4" s="1"/>
  <c r="X272" i="4"/>
  <c r="Y272" i="4"/>
  <c r="AA272" i="4" s="1"/>
  <c r="X271" i="4"/>
  <c r="Y271" i="4"/>
  <c r="AA271" i="4" s="1"/>
  <c r="X270" i="4"/>
  <c r="Y270" i="4"/>
  <c r="AA270" i="4" s="1"/>
  <c r="Y269" i="4"/>
  <c r="AA269" i="4" s="1"/>
  <c r="X269" i="4"/>
  <c r="AB269" i="4" s="1"/>
  <c r="Y268" i="4"/>
  <c r="AA268" i="4" s="1"/>
  <c r="X268" i="4"/>
  <c r="AB268" i="4" s="1"/>
  <c r="X267" i="4"/>
  <c r="Y267" i="4"/>
  <c r="AA267" i="4" s="1"/>
  <c r="X266" i="4"/>
  <c r="Y266" i="4"/>
  <c r="AA266" i="4" s="1"/>
  <c r="Y265" i="4"/>
  <c r="AA265" i="4" s="1"/>
  <c r="X265" i="4"/>
  <c r="AB265" i="4" s="1"/>
  <c r="Y264" i="4"/>
  <c r="AA264" i="4" s="1"/>
  <c r="X264" i="4"/>
  <c r="Y263" i="4"/>
  <c r="AA263" i="4" s="1"/>
  <c r="X263" i="4"/>
  <c r="AB263" i="4" s="1"/>
  <c r="X262" i="4"/>
  <c r="Y262" i="4"/>
  <c r="AA262" i="4" s="1"/>
  <c r="Y261" i="4"/>
  <c r="AA261" i="4" s="1"/>
  <c r="X261" i="4"/>
  <c r="X260" i="4"/>
  <c r="Y260" i="4"/>
  <c r="AA260" i="4" s="1"/>
  <c r="X259" i="4"/>
  <c r="Y259" i="4"/>
  <c r="AA259" i="4" s="1"/>
  <c r="Y258" i="4"/>
  <c r="AA258" i="4" s="1"/>
  <c r="X258" i="4"/>
  <c r="X257" i="4"/>
  <c r="Y257" i="4"/>
  <c r="AA257" i="4" s="1"/>
  <c r="X256" i="4"/>
  <c r="Y256" i="4"/>
  <c r="AA256" i="4" s="1"/>
  <c r="Y255" i="4"/>
  <c r="AA255" i="4" s="1"/>
  <c r="X255" i="4"/>
  <c r="X254" i="4"/>
  <c r="Y254" i="4"/>
  <c r="AA254" i="4" s="1"/>
  <c r="X252" i="4"/>
  <c r="Y252" i="4"/>
  <c r="AA252" i="4" s="1"/>
  <c r="X251" i="4"/>
  <c r="Y251" i="4"/>
  <c r="AA251" i="4" s="1"/>
  <c r="X250" i="4"/>
  <c r="Y250" i="4"/>
  <c r="AA250" i="4" s="1"/>
  <c r="X249" i="4"/>
  <c r="Y249" i="4"/>
  <c r="AA249" i="4" s="1"/>
  <c r="X248" i="4"/>
  <c r="Y248" i="4"/>
  <c r="AA248" i="4" s="1"/>
  <c r="X247" i="4"/>
  <c r="Y247" i="4"/>
  <c r="AA247" i="4" s="1"/>
  <c r="X246" i="4"/>
  <c r="Y246" i="4"/>
  <c r="AA246" i="4" s="1"/>
  <c r="X245" i="4"/>
  <c r="Y245" i="4"/>
  <c r="AA245" i="4" s="1"/>
  <c r="X244" i="4"/>
  <c r="Y244" i="4"/>
  <c r="AA244" i="4" s="1"/>
  <c r="X243" i="4"/>
  <c r="Y243" i="4"/>
  <c r="AA243" i="4" s="1"/>
  <c r="X242" i="4"/>
  <c r="Y242" i="4"/>
  <c r="AA242" i="4" s="1"/>
  <c r="X241" i="4"/>
  <c r="Y241" i="4"/>
  <c r="AA241" i="4" s="1"/>
  <c r="X240" i="4"/>
  <c r="Y240" i="4"/>
  <c r="AA240" i="4" s="1"/>
  <c r="X239" i="4"/>
  <c r="Y239" i="4"/>
  <c r="AA239" i="4" s="1"/>
  <c r="X238" i="4"/>
  <c r="Y238" i="4"/>
  <c r="AA238" i="4" s="1"/>
  <c r="X237" i="4"/>
  <c r="Y237" i="4"/>
  <c r="AA237" i="4" s="1"/>
  <c r="X236" i="4"/>
  <c r="Y236" i="4"/>
  <c r="AA236" i="4" s="1"/>
  <c r="X235" i="4"/>
  <c r="Y235" i="4"/>
  <c r="AA235" i="4" s="1"/>
  <c r="X234" i="4"/>
  <c r="Y234" i="4"/>
  <c r="AA234" i="4" s="1"/>
  <c r="X233" i="4"/>
  <c r="Y233" i="4"/>
  <c r="AA233" i="4" s="1"/>
  <c r="X232" i="4"/>
  <c r="Y232" i="4"/>
  <c r="AA232" i="4" s="1"/>
  <c r="X231" i="4"/>
  <c r="Y231" i="4"/>
  <c r="AA231" i="4" s="1"/>
  <c r="X230" i="4"/>
  <c r="Y230" i="4"/>
  <c r="AA230" i="4" s="1"/>
  <c r="X229" i="4"/>
  <c r="Y229" i="4"/>
  <c r="AA229" i="4" s="1"/>
  <c r="X228" i="4"/>
  <c r="Y228" i="4"/>
  <c r="AA228" i="4" s="1"/>
  <c r="X227" i="4"/>
  <c r="Y227" i="4"/>
  <c r="AA227" i="4" s="1"/>
  <c r="X226" i="4"/>
  <c r="Y226" i="4"/>
  <c r="AA226" i="4" s="1"/>
  <c r="X225" i="4"/>
  <c r="Y225" i="4"/>
  <c r="AA225" i="4" s="1"/>
  <c r="X224" i="4"/>
  <c r="Y224" i="4"/>
  <c r="AA224" i="4" s="1"/>
  <c r="X223" i="4"/>
  <c r="Y223" i="4"/>
  <c r="AA223" i="4" s="1"/>
  <c r="X222" i="4"/>
  <c r="Y222" i="4"/>
  <c r="AA222" i="4" s="1"/>
  <c r="X221" i="4"/>
  <c r="Y221" i="4"/>
  <c r="AA221" i="4" s="1"/>
  <c r="X220" i="4"/>
  <c r="Y220" i="4"/>
  <c r="AA220" i="4" s="1"/>
  <c r="X219" i="4"/>
  <c r="Y219" i="4"/>
  <c r="AA219" i="4" s="1"/>
  <c r="X218" i="4"/>
  <c r="Y218" i="4"/>
  <c r="AA218" i="4" s="1"/>
  <c r="X217" i="4"/>
  <c r="Y217" i="4"/>
  <c r="AA217" i="4" s="1"/>
  <c r="X216" i="4"/>
  <c r="Y216" i="4"/>
  <c r="AA216" i="4" s="1"/>
  <c r="X215" i="4"/>
  <c r="Y215" i="4"/>
  <c r="AA215" i="4" s="1"/>
  <c r="X214" i="4"/>
  <c r="Y214" i="4"/>
  <c r="AA214" i="4" s="1"/>
  <c r="X213" i="4"/>
  <c r="Y213" i="4"/>
  <c r="AA213" i="4" s="1"/>
  <c r="X212" i="4"/>
  <c r="Y212" i="4"/>
  <c r="AA212" i="4" s="1"/>
  <c r="X211" i="4"/>
  <c r="Y211" i="4"/>
  <c r="AA211" i="4" s="1"/>
  <c r="X210" i="4"/>
  <c r="Y210" i="4"/>
  <c r="AA210" i="4" s="1"/>
  <c r="X209" i="4"/>
  <c r="Y209" i="4"/>
  <c r="AA209" i="4" s="1"/>
  <c r="X208" i="4"/>
  <c r="Y208" i="4"/>
  <c r="AA208" i="4" s="1"/>
  <c r="X207" i="4"/>
  <c r="Y207" i="4"/>
  <c r="AA207" i="4" s="1"/>
  <c r="X206" i="4"/>
  <c r="Y206" i="4"/>
  <c r="AA206" i="4" s="1"/>
  <c r="X205" i="4"/>
  <c r="Y205" i="4"/>
  <c r="AA205" i="4" s="1"/>
  <c r="X204" i="4"/>
  <c r="Y204" i="4"/>
  <c r="AA204" i="4" s="1"/>
  <c r="X203" i="4"/>
  <c r="Y203" i="4"/>
  <c r="AA203" i="4" s="1"/>
  <c r="X202" i="4"/>
  <c r="Y202" i="4"/>
  <c r="AA202" i="4" s="1"/>
  <c r="X201" i="4"/>
  <c r="Y201" i="4"/>
  <c r="AA201" i="4" s="1"/>
  <c r="X200" i="4"/>
  <c r="Y200" i="4"/>
  <c r="AA200" i="4" s="1"/>
  <c r="X199" i="4"/>
  <c r="Y199" i="4"/>
  <c r="AA199" i="4" s="1"/>
  <c r="X198" i="4"/>
  <c r="Y198" i="4"/>
  <c r="AA198" i="4" s="1"/>
  <c r="X197" i="4"/>
  <c r="Y197" i="4"/>
  <c r="AA197" i="4" s="1"/>
  <c r="X196" i="4"/>
  <c r="Y196" i="4"/>
  <c r="AA196" i="4" s="1"/>
  <c r="X195" i="4"/>
  <c r="Y195" i="4"/>
  <c r="AA195" i="4" s="1"/>
  <c r="X194" i="4"/>
  <c r="Y194" i="4"/>
  <c r="AA194" i="4" s="1"/>
  <c r="X193" i="4"/>
  <c r="Y193" i="4"/>
  <c r="AA193" i="4" s="1"/>
  <c r="X192" i="4"/>
  <c r="Y192" i="4"/>
  <c r="AA192" i="4" s="1"/>
  <c r="X191" i="4"/>
  <c r="Y191" i="4"/>
  <c r="AA191" i="4" s="1"/>
  <c r="X190" i="4"/>
  <c r="Y190" i="4"/>
  <c r="AA190" i="4" s="1"/>
  <c r="X189" i="4"/>
  <c r="Y189" i="4"/>
  <c r="AA189" i="4" s="1"/>
  <c r="X188" i="4"/>
  <c r="Y188" i="4"/>
  <c r="AA188" i="4" s="1"/>
  <c r="X187" i="4"/>
  <c r="Y187" i="4"/>
  <c r="AA187" i="4" s="1"/>
  <c r="X186" i="4"/>
  <c r="Y186" i="4"/>
  <c r="AA186" i="4" s="1"/>
  <c r="X185" i="4"/>
  <c r="Y185" i="4"/>
  <c r="AA185" i="4" s="1"/>
  <c r="X184" i="4"/>
  <c r="Y184" i="4"/>
  <c r="AA184" i="4" s="1"/>
  <c r="X183" i="4"/>
  <c r="Y183" i="4"/>
  <c r="AA183" i="4" s="1"/>
  <c r="X182" i="4"/>
  <c r="Y182" i="4"/>
  <c r="AA182" i="4" s="1"/>
  <c r="X181" i="4"/>
  <c r="Y181" i="4"/>
  <c r="AA181" i="4" s="1"/>
  <c r="X180" i="4"/>
  <c r="Y180" i="4"/>
  <c r="AA180" i="4" s="1"/>
  <c r="X179" i="4"/>
  <c r="Y179" i="4"/>
  <c r="AA179" i="4" s="1"/>
  <c r="X178" i="4"/>
  <c r="Y178" i="4"/>
  <c r="AA178" i="4" s="1"/>
  <c r="AC179" i="4" s="1"/>
  <c r="X177" i="4"/>
  <c r="Y177" i="4"/>
  <c r="AA177" i="4" s="1"/>
  <c r="X176" i="4"/>
  <c r="Y176" i="4"/>
  <c r="AA176" i="4" s="1"/>
  <c r="X175" i="4"/>
  <c r="Y175" i="4"/>
  <c r="AA175" i="4" s="1"/>
  <c r="X174" i="4"/>
  <c r="Y174" i="4"/>
  <c r="AA174" i="4" s="1"/>
  <c r="X173" i="4"/>
  <c r="Y173" i="4"/>
  <c r="AA173" i="4" s="1"/>
  <c r="X172" i="4"/>
  <c r="Y172" i="4"/>
  <c r="AA172" i="4" s="1"/>
  <c r="X171" i="4"/>
  <c r="Y171" i="4"/>
  <c r="AA171" i="4" s="1"/>
  <c r="X170" i="4"/>
  <c r="Y170" i="4"/>
  <c r="AA170" i="4" s="1"/>
  <c r="X169" i="4"/>
  <c r="Y169" i="4"/>
  <c r="AA169" i="4" s="1"/>
  <c r="X168" i="4"/>
  <c r="Y168" i="4"/>
  <c r="AA168" i="4" s="1"/>
  <c r="X167" i="4"/>
  <c r="Y167" i="4"/>
  <c r="AA167" i="4" s="1"/>
  <c r="X166" i="4"/>
  <c r="Y166" i="4"/>
  <c r="AA166" i="4" s="1"/>
  <c r="X164" i="4"/>
  <c r="Y164" i="4"/>
  <c r="AA164" i="4" s="1"/>
  <c r="X163" i="4"/>
  <c r="Y163" i="4"/>
  <c r="AA163" i="4" s="1"/>
  <c r="X162" i="4"/>
  <c r="Y162" i="4"/>
  <c r="AA162" i="4" s="1"/>
  <c r="X161" i="4"/>
  <c r="Y161" i="4"/>
  <c r="AA161" i="4" s="1"/>
  <c r="X160" i="4"/>
  <c r="Y160" i="4"/>
  <c r="AA160" i="4" s="1"/>
  <c r="X159" i="4"/>
  <c r="Y159" i="4"/>
  <c r="AA159" i="4" s="1"/>
  <c r="X158" i="4"/>
  <c r="Y158" i="4"/>
  <c r="AA158" i="4" s="1"/>
  <c r="X157" i="4"/>
  <c r="Y157" i="4"/>
  <c r="AA157" i="4" s="1"/>
  <c r="X156" i="4"/>
  <c r="Y156" i="4"/>
  <c r="AA156" i="4" s="1"/>
  <c r="X155" i="4"/>
  <c r="Y155" i="4"/>
  <c r="AA155" i="4" s="1"/>
  <c r="X154" i="4"/>
  <c r="Y154" i="4"/>
  <c r="AA154" i="4" s="1"/>
  <c r="X153" i="4"/>
  <c r="Y153" i="4"/>
  <c r="AA153" i="4" s="1"/>
  <c r="X152" i="4"/>
  <c r="Y152" i="4"/>
  <c r="AA152" i="4" s="1"/>
  <c r="X151" i="4"/>
  <c r="Y151" i="4"/>
  <c r="AA151" i="4" s="1"/>
  <c r="X150" i="4"/>
  <c r="Y150" i="4"/>
  <c r="AA150" i="4" s="1"/>
  <c r="X149" i="4"/>
  <c r="Y149" i="4"/>
  <c r="AA149" i="4" s="1"/>
  <c r="X148" i="4"/>
  <c r="Y148" i="4"/>
  <c r="AA148" i="4" s="1"/>
  <c r="X147" i="4"/>
  <c r="Y147" i="4"/>
  <c r="AA147" i="4" s="1"/>
  <c r="X146" i="4"/>
  <c r="Y146" i="4"/>
  <c r="AA146" i="4" s="1"/>
  <c r="X145" i="4"/>
  <c r="Y145" i="4"/>
  <c r="AA145" i="4" s="1"/>
  <c r="X144" i="4"/>
  <c r="Y144" i="4"/>
  <c r="AA144" i="4" s="1"/>
  <c r="X143" i="4"/>
  <c r="Y143" i="4"/>
  <c r="AA143" i="4" s="1"/>
  <c r="X142" i="4"/>
  <c r="Y142" i="4"/>
  <c r="AA142" i="4" s="1"/>
  <c r="X141" i="4"/>
  <c r="Y141" i="4"/>
  <c r="AA141" i="4" s="1"/>
  <c r="X140" i="4"/>
  <c r="Y140" i="4"/>
  <c r="AA140" i="4" s="1"/>
  <c r="X139" i="4"/>
  <c r="Y139" i="4"/>
  <c r="AA139" i="4" s="1"/>
  <c r="X138" i="4"/>
  <c r="Y138" i="4"/>
  <c r="AA138" i="4" s="1"/>
  <c r="X137" i="4"/>
  <c r="Y137" i="4"/>
  <c r="AA137" i="4" s="1"/>
  <c r="X136" i="4"/>
  <c r="Y136" i="4"/>
  <c r="AA136" i="4" s="1"/>
  <c r="X135" i="4"/>
  <c r="Y135" i="4"/>
  <c r="AA135" i="4" s="1"/>
  <c r="X134" i="4"/>
  <c r="Y134" i="4"/>
  <c r="AA134" i="4" s="1"/>
  <c r="X133" i="4"/>
  <c r="Y133" i="4"/>
  <c r="AA133" i="4" s="1"/>
  <c r="X132" i="4"/>
  <c r="Y132" i="4"/>
  <c r="AA132" i="4" s="1"/>
  <c r="X131" i="4"/>
  <c r="Y131" i="4"/>
  <c r="AA131" i="4" s="1"/>
  <c r="X130" i="4"/>
  <c r="Y130" i="4"/>
  <c r="AA130" i="4" s="1"/>
  <c r="X129" i="4"/>
  <c r="Y129" i="4"/>
  <c r="AA129" i="4" s="1"/>
  <c r="X128" i="4"/>
  <c r="Y128" i="4"/>
  <c r="AA128" i="4" s="1"/>
  <c r="X127" i="4"/>
  <c r="Y127" i="4"/>
  <c r="AA127" i="4" s="1"/>
  <c r="X126" i="4"/>
  <c r="Y126" i="4"/>
  <c r="AA126" i="4" s="1"/>
  <c r="X125" i="4"/>
  <c r="Y125" i="4"/>
  <c r="AA125" i="4" s="1"/>
  <c r="X124" i="4"/>
  <c r="Y124" i="4"/>
  <c r="AA124" i="4" s="1"/>
  <c r="X123" i="4"/>
  <c r="Y123" i="4"/>
  <c r="AA123" i="4" s="1"/>
  <c r="X122" i="4"/>
  <c r="Y122" i="4"/>
  <c r="AA122" i="4" s="1"/>
  <c r="X121" i="4"/>
  <c r="Y121" i="4"/>
  <c r="AA121" i="4" s="1"/>
  <c r="X120" i="4"/>
  <c r="Y120" i="4"/>
  <c r="AA120" i="4" s="1"/>
  <c r="X119" i="4"/>
  <c r="Y119" i="4"/>
  <c r="AA119" i="4" s="1"/>
  <c r="X118" i="4"/>
  <c r="Y118" i="4"/>
  <c r="AA118" i="4" s="1"/>
  <c r="X117" i="4"/>
  <c r="Y117" i="4"/>
  <c r="AA117" i="4" s="1"/>
  <c r="X116" i="4"/>
  <c r="Y116" i="4"/>
  <c r="AA116" i="4" s="1"/>
  <c r="X115" i="4"/>
  <c r="Y115" i="4"/>
  <c r="AA115" i="4" s="1"/>
  <c r="X114" i="4"/>
  <c r="Y114" i="4"/>
  <c r="AA114" i="4" s="1"/>
  <c r="X113" i="4"/>
  <c r="Y113" i="4"/>
  <c r="AA113" i="4" s="1"/>
  <c r="X112" i="4"/>
  <c r="Y112" i="4"/>
  <c r="AA112" i="4" s="1"/>
  <c r="X111" i="4"/>
  <c r="Y111" i="4"/>
  <c r="AA111" i="4" s="1"/>
  <c r="X110" i="4"/>
  <c r="Y110" i="4"/>
  <c r="AA110" i="4" s="1"/>
  <c r="X109" i="4"/>
  <c r="Y109" i="4"/>
  <c r="AA109" i="4" s="1"/>
  <c r="X108" i="4"/>
  <c r="Y108" i="4"/>
  <c r="AA108" i="4" s="1"/>
  <c r="X107" i="4"/>
  <c r="Y107" i="4"/>
  <c r="AA107" i="4" s="1"/>
  <c r="X106" i="4"/>
  <c r="Y106" i="4"/>
  <c r="AA106" i="4" s="1"/>
  <c r="X105" i="4"/>
  <c r="Y105" i="4"/>
  <c r="AA105" i="4" s="1"/>
  <c r="X104" i="4"/>
  <c r="Y104" i="4"/>
  <c r="AA104" i="4" s="1"/>
  <c r="X103" i="4"/>
  <c r="Y103" i="4"/>
  <c r="AA103" i="4" s="1"/>
  <c r="X102" i="4"/>
  <c r="Y102" i="4"/>
  <c r="AA102" i="4" s="1"/>
  <c r="X101" i="4"/>
  <c r="Y101" i="4"/>
  <c r="AA101" i="4" s="1"/>
  <c r="X100" i="4"/>
  <c r="Y100" i="4"/>
  <c r="AA100" i="4" s="1"/>
  <c r="X99" i="4"/>
  <c r="Y99" i="4"/>
  <c r="AA99" i="4" s="1"/>
  <c r="X98" i="4"/>
  <c r="Y98" i="4"/>
  <c r="AA98" i="4" s="1"/>
  <c r="X97" i="4"/>
  <c r="Y97" i="4"/>
  <c r="AA97" i="4" s="1"/>
  <c r="X96" i="4"/>
  <c r="Y96" i="4"/>
  <c r="AA96" i="4" s="1"/>
  <c r="X95" i="4"/>
  <c r="Y95" i="4"/>
  <c r="AA95" i="4" s="1"/>
  <c r="X94" i="4"/>
  <c r="Y94" i="4"/>
  <c r="AA94" i="4" s="1"/>
  <c r="X93" i="4"/>
  <c r="Y93" i="4"/>
  <c r="AA93" i="4" s="1"/>
  <c r="X92" i="4"/>
  <c r="Y92" i="4"/>
  <c r="AA92" i="4" s="1"/>
  <c r="X91" i="4"/>
  <c r="Y91" i="4"/>
  <c r="AA91" i="4" s="1"/>
  <c r="X90" i="4"/>
  <c r="Y90" i="4"/>
  <c r="AA90" i="4" s="1"/>
  <c r="X89" i="4"/>
  <c r="Y89" i="4"/>
  <c r="AA89" i="4" s="1"/>
  <c r="X88" i="4"/>
  <c r="Y88" i="4"/>
  <c r="AA88" i="4" s="1"/>
  <c r="X87" i="4"/>
  <c r="Y87" i="4"/>
  <c r="AA87" i="4" s="1"/>
  <c r="X86" i="4"/>
  <c r="Y86" i="4"/>
  <c r="AA86" i="4" s="1"/>
  <c r="X85" i="4"/>
  <c r="Y85" i="4"/>
  <c r="AA85" i="4" s="1"/>
  <c r="X84" i="4"/>
  <c r="Y84" i="4"/>
  <c r="AA84" i="4" s="1"/>
  <c r="X83" i="4"/>
  <c r="Y83" i="4"/>
  <c r="AA83" i="4" s="1"/>
  <c r="X82" i="4"/>
  <c r="Y82" i="4"/>
  <c r="AA82" i="4" s="1"/>
  <c r="X81" i="4"/>
  <c r="Y81" i="4"/>
  <c r="AA81" i="4" s="1"/>
  <c r="X80" i="4"/>
  <c r="Y80" i="4"/>
  <c r="AA80" i="4" s="1"/>
  <c r="X79" i="4"/>
  <c r="Y79" i="4"/>
  <c r="AA79" i="4" s="1"/>
  <c r="X78" i="4"/>
  <c r="Y78" i="4"/>
  <c r="AA78" i="4" s="1"/>
  <c r="X77" i="4"/>
  <c r="Y77" i="4"/>
  <c r="AA77" i="4" s="1"/>
  <c r="X76" i="4"/>
  <c r="Y76" i="4"/>
  <c r="AA76" i="4" s="1"/>
  <c r="X75" i="4"/>
  <c r="Y75" i="4"/>
  <c r="AA75" i="4" s="1"/>
  <c r="X74" i="4"/>
  <c r="Y74" i="4"/>
  <c r="AA74" i="4" s="1"/>
  <c r="X73" i="4"/>
  <c r="Y73" i="4"/>
  <c r="AA73" i="4" s="1"/>
  <c r="X72" i="4"/>
  <c r="Y72" i="4"/>
  <c r="AA72" i="4" s="1"/>
  <c r="X71" i="4"/>
  <c r="Y71" i="4"/>
  <c r="AA71" i="4" s="1"/>
  <c r="X70" i="4"/>
  <c r="Y70" i="4"/>
  <c r="AA70" i="4" s="1"/>
  <c r="X69" i="4"/>
  <c r="Y69" i="4"/>
  <c r="AA69" i="4" s="1"/>
  <c r="X68" i="4"/>
  <c r="Y68" i="4"/>
  <c r="AA68" i="4" s="1"/>
  <c r="X67" i="4"/>
  <c r="Y67" i="4"/>
  <c r="AA67" i="4" s="1"/>
  <c r="X66" i="4"/>
  <c r="Y66" i="4"/>
  <c r="AA66" i="4" s="1"/>
  <c r="X65" i="4"/>
  <c r="Y65" i="4"/>
  <c r="AA65" i="4" s="1"/>
  <c r="X64" i="4"/>
  <c r="Y64" i="4"/>
  <c r="AA64" i="4" s="1"/>
  <c r="X63" i="4"/>
  <c r="Y63" i="4"/>
  <c r="AA63" i="4" s="1"/>
  <c r="X62" i="4"/>
  <c r="Y62" i="4"/>
  <c r="AA62" i="4" s="1"/>
  <c r="X61" i="4"/>
  <c r="Y61" i="4"/>
  <c r="AA61" i="4" s="1"/>
  <c r="X60" i="4"/>
  <c r="Y60" i="4"/>
  <c r="AA60" i="4" s="1"/>
  <c r="X59" i="4"/>
  <c r="Y59" i="4"/>
  <c r="AA59" i="4" s="1"/>
  <c r="X58" i="4"/>
  <c r="Y58" i="4"/>
  <c r="AA58" i="4" s="1"/>
  <c r="X57" i="4"/>
  <c r="Y57" i="4"/>
  <c r="AA57" i="4" s="1"/>
  <c r="X56" i="4"/>
  <c r="Y56" i="4"/>
  <c r="AA56" i="4" s="1"/>
  <c r="X55" i="4"/>
  <c r="Y55" i="4"/>
  <c r="AA55" i="4" s="1"/>
  <c r="X54" i="4"/>
  <c r="Y54" i="4"/>
  <c r="AA54" i="4" s="1"/>
  <c r="X53" i="4"/>
  <c r="Y53" i="4"/>
  <c r="AA53" i="4" s="1"/>
  <c r="X52" i="4"/>
  <c r="Y52" i="4"/>
  <c r="AA52" i="4" s="1"/>
  <c r="X51" i="4"/>
  <c r="Y51" i="4"/>
  <c r="AA51" i="4" s="1"/>
  <c r="X50" i="4"/>
  <c r="Y50" i="4"/>
  <c r="AA50" i="4" s="1"/>
  <c r="X49" i="4"/>
  <c r="Y49" i="4"/>
  <c r="AA49" i="4" s="1"/>
  <c r="X48" i="4"/>
  <c r="Y48" i="4"/>
  <c r="AA48" i="4" s="1"/>
  <c r="X47" i="4"/>
  <c r="Y47" i="4"/>
  <c r="AA47" i="4" s="1"/>
  <c r="X46" i="4"/>
  <c r="Y46" i="4"/>
  <c r="AA46" i="4" s="1"/>
  <c r="X45" i="4"/>
  <c r="Y45" i="4"/>
  <c r="AA45" i="4" s="1"/>
  <c r="X44" i="4"/>
  <c r="Y44" i="4"/>
  <c r="AA44" i="4" s="1"/>
  <c r="X43" i="4"/>
  <c r="Y43" i="4"/>
  <c r="AA43" i="4" s="1"/>
  <c r="X42" i="4"/>
  <c r="Y42" i="4"/>
  <c r="AA42" i="4" s="1"/>
  <c r="X41" i="4"/>
  <c r="Y41" i="4"/>
  <c r="AA41" i="4" s="1"/>
  <c r="X40" i="4"/>
  <c r="Y40" i="4"/>
  <c r="AA40" i="4" s="1"/>
  <c r="X39" i="4"/>
  <c r="Y39" i="4"/>
  <c r="AA39" i="4" s="1"/>
  <c r="X38" i="4"/>
  <c r="Y38" i="4"/>
  <c r="AA38" i="4" s="1"/>
  <c r="X37" i="4"/>
  <c r="Y37" i="4"/>
  <c r="AA37" i="4" s="1"/>
  <c r="X36" i="4"/>
  <c r="Y36" i="4"/>
  <c r="AA36" i="4" s="1"/>
  <c r="X35" i="4"/>
  <c r="Y35" i="4"/>
  <c r="AA35" i="4" s="1"/>
  <c r="X34" i="4"/>
  <c r="Y34" i="4"/>
  <c r="AA34" i="4" s="1"/>
  <c r="X33" i="4"/>
  <c r="Y33" i="4"/>
  <c r="AA33" i="4" s="1"/>
  <c r="X32" i="4"/>
  <c r="Y32" i="4"/>
  <c r="AA32" i="4" s="1"/>
  <c r="X31" i="4"/>
  <c r="Y31" i="4"/>
  <c r="AA31" i="4" s="1"/>
  <c r="X30" i="4"/>
  <c r="Y30" i="4"/>
  <c r="AA30" i="4" s="1"/>
  <c r="X29" i="4"/>
  <c r="Y29" i="4"/>
  <c r="AA29" i="4" s="1"/>
  <c r="X28" i="4"/>
  <c r="Y28" i="4"/>
  <c r="AA28" i="4" s="1"/>
  <c r="X27" i="4"/>
  <c r="Y27" i="4"/>
  <c r="AA27" i="4" s="1"/>
  <c r="X26" i="4"/>
  <c r="Y26" i="4"/>
  <c r="AA26" i="4" s="1"/>
  <c r="X25" i="4"/>
  <c r="Y25" i="4"/>
  <c r="AA25" i="4" s="1"/>
  <c r="X24" i="4"/>
  <c r="Y24" i="4"/>
  <c r="AA24" i="4" s="1"/>
  <c r="X23" i="4"/>
  <c r="Y23" i="4"/>
  <c r="AA23" i="4" s="1"/>
  <c r="X22" i="4"/>
  <c r="Y22" i="4"/>
  <c r="AA22" i="4" s="1"/>
  <c r="X21" i="4"/>
  <c r="Y21" i="4"/>
  <c r="AA21" i="4" s="1"/>
  <c r="X20" i="4"/>
  <c r="Y20" i="4"/>
  <c r="AA20" i="4" s="1"/>
  <c r="X19" i="4"/>
  <c r="Y19" i="4"/>
  <c r="AA19" i="4" s="1"/>
  <c r="X18" i="4"/>
  <c r="Y18" i="4"/>
  <c r="AA18" i="4" s="1"/>
  <c r="X17" i="4"/>
  <c r="Y17" i="4"/>
  <c r="AA17" i="4" s="1"/>
  <c r="X16" i="4"/>
  <c r="Y16" i="4"/>
  <c r="AA16" i="4" s="1"/>
  <c r="X15" i="4"/>
  <c r="Y15" i="4"/>
  <c r="AA15" i="4" s="1"/>
  <c r="X14" i="4"/>
  <c r="Y14" i="4"/>
  <c r="AA14" i="4" s="1"/>
  <c r="X13" i="4"/>
  <c r="Y13" i="4"/>
  <c r="AA13" i="4" s="1"/>
  <c r="X12" i="4"/>
  <c r="Y12" i="4"/>
  <c r="AA12" i="4" s="1"/>
  <c r="X11" i="4"/>
  <c r="Y11" i="4"/>
  <c r="AA11" i="4" s="1"/>
  <c r="X10" i="4"/>
  <c r="Y10" i="4"/>
  <c r="AA10" i="4" s="1"/>
  <c r="X9" i="4"/>
  <c r="Y9" i="4"/>
  <c r="AA9" i="4" s="1"/>
  <c r="X8" i="4"/>
  <c r="Y8" i="4"/>
  <c r="AA8" i="4" s="1"/>
  <c r="X7" i="4"/>
  <c r="Y7" i="4"/>
  <c r="AA7" i="4" s="1"/>
  <c r="X6" i="4"/>
  <c r="Y6" i="4"/>
  <c r="AA6" i="4" s="1"/>
  <c r="X5" i="4"/>
  <c r="Y5" i="4"/>
  <c r="AA5" i="4" s="1"/>
  <c r="X4" i="4"/>
  <c r="Y4" i="4"/>
  <c r="AA4" i="4" s="1"/>
  <c r="X3" i="4"/>
  <c r="Y3" i="4"/>
  <c r="AA3" i="4" s="1"/>
  <c r="AB1280" i="4"/>
  <c r="AB1110" i="4"/>
  <c r="AB859" i="4"/>
  <c r="AB688" i="4"/>
  <c r="AB516" i="4"/>
  <c r="AB428" i="4"/>
  <c r="AB253" i="4"/>
  <c r="AB942" i="4"/>
  <c r="AB165" i="4"/>
  <c r="AB1133" i="4" l="1"/>
  <c r="AB1075" i="4"/>
  <c r="AB1081" i="4"/>
  <c r="AB1087" i="4"/>
  <c r="AB1282" i="4"/>
  <c r="AB520" i="4"/>
  <c r="AB761" i="4"/>
  <c r="AB785" i="4"/>
  <c r="AB1188" i="4"/>
  <c r="AB773" i="4"/>
  <c r="AB176" i="4"/>
  <c r="AB369" i="4"/>
  <c r="AB521" i="4"/>
  <c r="AB569" i="4"/>
  <c r="AB768" i="4"/>
  <c r="AB1016" i="4"/>
  <c r="AB1274" i="4"/>
  <c r="AB1287" i="4"/>
  <c r="AB1299" i="4"/>
  <c r="AB173" i="4"/>
  <c r="AB554" i="4"/>
  <c r="AB783" i="4"/>
  <c r="AB843" i="4"/>
  <c r="AB928" i="4"/>
  <c r="AB1013" i="4"/>
  <c r="AB1101" i="4"/>
  <c r="AB1192" i="4"/>
  <c r="AB169" i="4"/>
  <c r="AB851" i="4"/>
  <c r="AB255" i="4"/>
  <c r="AB261" i="4"/>
  <c r="AB279" i="4"/>
  <c r="AB285" i="4"/>
  <c r="AB291" i="4"/>
  <c r="AB297" i="4"/>
  <c r="AB303" i="4"/>
  <c r="AB309" i="4"/>
  <c r="AB315" i="4"/>
  <c r="AB321" i="4"/>
  <c r="AB345" i="4"/>
  <c r="AB363" i="4"/>
  <c r="AB375" i="4"/>
  <c r="AB381" i="4"/>
  <c r="AB387" i="4"/>
  <c r="AB393" i="4"/>
  <c r="AB430" i="4"/>
  <c r="AB442" i="4"/>
  <c r="AB454" i="4"/>
  <c r="AB460" i="4"/>
  <c r="AB466" i="4"/>
  <c r="AB478" i="4"/>
  <c r="AB484" i="4"/>
  <c r="AB563" i="4"/>
  <c r="AB1034" i="4"/>
  <c r="AB1040" i="4"/>
  <c r="AB1050" i="4"/>
  <c r="AB1074" i="4"/>
  <c r="AB1080" i="4"/>
  <c r="AB1092" i="4"/>
  <c r="AB1153" i="4"/>
  <c r="AB1305" i="4"/>
  <c r="AB340" i="4"/>
  <c r="AB376" i="4"/>
  <c r="AB576" i="4"/>
  <c r="AB781" i="4"/>
  <c r="AB853" i="4"/>
  <c r="AB353" i="4"/>
  <c r="AB848" i="4"/>
  <c r="AB1018" i="4"/>
  <c r="AB258" i="4"/>
  <c r="AB264" i="4"/>
  <c r="AB276" i="4"/>
  <c r="AB282" i="4"/>
  <c r="AB288" i="4"/>
  <c r="AB300" i="4"/>
  <c r="AB318" i="4"/>
  <c r="AB342" i="4"/>
  <c r="AB354" i="4"/>
  <c r="AB360" i="4"/>
  <c r="AB384" i="4"/>
  <c r="AB390" i="4"/>
  <c r="AB396" i="4"/>
  <c r="AB439" i="4"/>
  <c r="AB451" i="4"/>
  <c r="AB463" i="4"/>
  <c r="AB481" i="4"/>
  <c r="AB524" i="4"/>
  <c r="AB542" i="4"/>
  <c r="AB548" i="4"/>
  <c r="AB1031" i="4"/>
  <c r="AB1047" i="4"/>
  <c r="AB1059" i="4"/>
  <c r="AB1065" i="4"/>
  <c r="AB1077" i="4"/>
  <c r="AB1089" i="4"/>
  <c r="AB1120" i="4"/>
  <c r="AB1296" i="4"/>
  <c r="AB252" i="4"/>
  <c r="AB337" i="4"/>
  <c r="AB506" i="4"/>
  <c r="AB766" i="4"/>
  <c r="AB790" i="4"/>
  <c r="AB856" i="4"/>
  <c r="AB1187" i="4"/>
  <c r="AB1193" i="4"/>
  <c r="AB1272" i="4"/>
  <c r="AB1285" i="4"/>
  <c r="AB88" i="4"/>
  <c r="AB290" i="4"/>
  <c r="AB296" i="4"/>
  <c r="AB302" i="4"/>
  <c r="AB308" i="4"/>
  <c r="AB350" i="4"/>
  <c r="AB356" i="4"/>
  <c r="AB362" i="4"/>
  <c r="AB368" i="4"/>
  <c r="AB374" i="4"/>
  <c r="AB386" i="4"/>
  <c r="AB392" i="4"/>
  <c r="AB404" i="4"/>
  <c r="AB429" i="4"/>
  <c r="AB447" i="4"/>
  <c r="AB453" i="4"/>
  <c r="AB459" i="4"/>
  <c r="AB471" i="4"/>
  <c r="AB477" i="4"/>
  <c r="AB489" i="4"/>
  <c r="AB495" i="4"/>
  <c r="AB532" i="4"/>
  <c r="AB562" i="4"/>
  <c r="AB1039" i="4"/>
  <c r="AB1055" i="4"/>
  <c r="AB1061" i="4"/>
  <c r="AB1067" i="4"/>
  <c r="AB1073" i="4"/>
  <c r="AB1079" i="4"/>
  <c r="AB1085" i="4"/>
  <c r="AB1355" i="4"/>
  <c r="AB1354" i="4"/>
  <c r="AB1353" i="4"/>
  <c r="AB1352" i="4"/>
  <c r="AB1351" i="4"/>
  <c r="AB1350" i="4"/>
  <c r="AB1349" i="4"/>
  <c r="AB1348" i="4"/>
  <c r="AB1347" i="4"/>
  <c r="AB1346" i="4"/>
  <c r="AB1345" i="4"/>
  <c r="AB1344" i="4"/>
  <c r="AB1343" i="4"/>
  <c r="AB1342" i="4"/>
  <c r="AB1341" i="4"/>
  <c r="AB1340" i="4"/>
  <c r="AB1339" i="4"/>
  <c r="AB1338" i="4"/>
  <c r="AB1337" i="4"/>
  <c r="AB1336" i="4"/>
  <c r="AB1335" i="4"/>
  <c r="AB1334" i="4"/>
  <c r="AB1333" i="4"/>
  <c r="AB1332" i="4"/>
  <c r="AB1331" i="4"/>
  <c r="AB1330" i="4"/>
  <c r="AB1329" i="4"/>
  <c r="AB1328" i="4"/>
  <c r="AB1327" i="4"/>
  <c r="AB1326" i="4"/>
  <c r="AB1325" i="4"/>
  <c r="AB1324" i="4"/>
  <c r="AB1323" i="4"/>
  <c r="AB1322" i="4"/>
  <c r="AB1321" i="4"/>
  <c r="AB1320" i="4"/>
  <c r="AB1319" i="4"/>
  <c r="AB1318" i="4"/>
  <c r="AB1317" i="4"/>
  <c r="AB1316" i="4"/>
  <c r="AB1315" i="4"/>
  <c r="AB1314" i="4"/>
  <c r="AB1313" i="4"/>
  <c r="AB1312" i="4"/>
  <c r="AB1311" i="4"/>
  <c r="AB1310" i="4"/>
  <c r="AB1309" i="4"/>
  <c r="AB1308" i="4"/>
  <c r="AB1307" i="4"/>
  <c r="AB1306" i="4"/>
  <c r="AB1303" i="4"/>
  <c r="AB1302" i="4"/>
  <c r="AB1301" i="4"/>
  <c r="AB1300" i="4"/>
  <c r="AB1297" i="4"/>
  <c r="AB1295" i="4"/>
  <c r="AB1294" i="4"/>
  <c r="AB1293" i="4"/>
  <c r="AB1292" i="4"/>
  <c r="AB1291" i="4"/>
  <c r="AB1289" i="4"/>
  <c r="AB1286" i="4"/>
  <c r="AB1284" i="4"/>
  <c r="AB1281" i="4"/>
  <c r="AB1278" i="4"/>
  <c r="AB1276" i="4"/>
  <c r="AB1275" i="4"/>
  <c r="AB1273" i="4"/>
  <c r="AB1191" i="4"/>
  <c r="AB769" i="4"/>
  <c r="AB765" i="4"/>
  <c r="AB762" i="4"/>
  <c r="AB533" i="4"/>
  <c r="AB530" i="4"/>
  <c r="AB1270" i="4"/>
  <c r="AB1269" i="4"/>
  <c r="AB1268" i="4"/>
  <c r="AB1267" i="4"/>
  <c r="AB1266" i="4"/>
  <c r="AB1265" i="4"/>
  <c r="AB1264" i="4"/>
  <c r="AB1263" i="4"/>
  <c r="AB1262" i="4"/>
  <c r="AB1261" i="4"/>
  <c r="AB1260" i="4"/>
  <c r="AB1259" i="4"/>
  <c r="AB1258" i="4"/>
  <c r="AB1257" i="4"/>
  <c r="AB1256" i="4"/>
  <c r="AB1255" i="4"/>
  <c r="AB1254" i="4"/>
  <c r="AB1253" i="4"/>
  <c r="AB1252" i="4"/>
  <c r="AB1251" i="4"/>
  <c r="AB1250" i="4"/>
  <c r="AB1249" i="4"/>
  <c r="AB1248" i="4"/>
  <c r="AB1247" i="4"/>
  <c r="AB1246" i="4"/>
  <c r="AB1245" i="4"/>
  <c r="AB1244" i="4"/>
  <c r="AB1243" i="4"/>
  <c r="AB1242" i="4"/>
  <c r="AB1241" i="4"/>
  <c r="AB1240" i="4"/>
  <c r="AB1239" i="4"/>
  <c r="AB1238" i="4"/>
  <c r="AB1237" i="4"/>
  <c r="AB1236" i="4"/>
  <c r="AB1235" i="4"/>
  <c r="AB1234" i="4"/>
  <c r="AB1233" i="4"/>
  <c r="AB1232" i="4"/>
  <c r="AB1231" i="4"/>
  <c r="AB1230" i="4"/>
  <c r="AB1229" i="4"/>
  <c r="AB1228" i="4"/>
  <c r="AB1227" i="4"/>
  <c r="AB1226" i="4"/>
  <c r="AB1225" i="4"/>
  <c r="AB1224" i="4"/>
  <c r="AB1223" i="4"/>
  <c r="AB1222" i="4"/>
  <c r="AB1221" i="4"/>
  <c r="AB1220" i="4"/>
  <c r="AB1219" i="4"/>
  <c r="AB1218" i="4"/>
  <c r="AB1217" i="4"/>
  <c r="AB1216" i="4"/>
  <c r="AB1215" i="4"/>
  <c r="AB1214" i="4"/>
  <c r="AB1213" i="4"/>
  <c r="AB1212" i="4"/>
  <c r="AB1211" i="4"/>
  <c r="AB1210" i="4"/>
  <c r="AB1209" i="4"/>
  <c r="AB1208" i="4"/>
  <c r="AB1207" i="4"/>
  <c r="AB1206" i="4"/>
  <c r="AB1205" i="4"/>
  <c r="AB1204" i="4"/>
  <c r="AB1203" i="4"/>
  <c r="AB1202" i="4"/>
  <c r="AB1201" i="4"/>
  <c r="AB1200" i="4"/>
  <c r="AB1199" i="4"/>
  <c r="AB1198" i="4"/>
  <c r="AB1197" i="4"/>
  <c r="AB1196" i="4"/>
  <c r="AB1194" i="4"/>
  <c r="AB1189" i="4"/>
  <c r="AB1186" i="4"/>
  <c r="AB774" i="4"/>
  <c r="AB536" i="4"/>
  <c r="AB1185" i="4"/>
  <c r="AB1184" i="4"/>
  <c r="AB1183" i="4"/>
  <c r="AB1182" i="4"/>
  <c r="AB1181" i="4"/>
  <c r="AB1180" i="4"/>
  <c r="AB1179" i="4"/>
  <c r="AB1178" i="4"/>
  <c r="AB1177" i="4"/>
  <c r="AB1176" i="4"/>
  <c r="AB1175" i="4"/>
  <c r="AB1174" i="4"/>
  <c r="AB1173" i="4"/>
  <c r="AB1172" i="4"/>
  <c r="AB1171" i="4"/>
  <c r="AB1170" i="4"/>
  <c r="AB1169" i="4"/>
  <c r="AB1168" i="4"/>
  <c r="AB1167" i="4"/>
  <c r="AB1166" i="4"/>
  <c r="AB1165" i="4"/>
  <c r="AB1164" i="4"/>
  <c r="AB1163" i="4"/>
  <c r="AB1162" i="4"/>
  <c r="AB1161" i="4"/>
  <c r="AB1160" i="4"/>
  <c r="AB1159" i="4"/>
  <c r="AB1158" i="4"/>
  <c r="AB1157" i="4"/>
  <c r="AB1156" i="4"/>
  <c r="AB1155" i="4"/>
  <c r="AB1154" i="4"/>
  <c r="AB1152" i="4"/>
  <c r="AB1151" i="4"/>
  <c r="AB1150" i="4"/>
  <c r="AB1149" i="4"/>
  <c r="AB1148" i="4"/>
  <c r="AB1147" i="4"/>
  <c r="AB1146" i="4"/>
  <c r="AB1145" i="4"/>
  <c r="AB1144" i="4"/>
  <c r="AB1143" i="4"/>
  <c r="AB1142" i="4"/>
  <c r="AB1141" i="4"/>
  <c r="AB1140" i="4"/>
  <c r="AB1139" i="4"/>
  <c r="AB1138" i="4"/>
  <c r="AB1137" i="4"/>
  <c r="AB1136" i="4"/>
  <c r="AB1135" i="4"/>
  <c r="AB1134" i="4"/>
  <c r="AB1132" i="4"/>
  <c r="AB1131" i="4"/>
  <c r="AB1130" i="4"/>
  <c r="AB1129" i="4"/>
  <c r="AB1128" i="4"/>
  <c r="AB1127" i="4"/>
  <c r="AB1126" i="4"/>
  <c r="AB1125" i="4"/>
  <c r="AB1124" i="4"/>
  <c r="AB1123" i="4"/>
  <c r="AB1122" i="4"/>
  <c r="AB1121" i="4"/>
  <c r="AB1119" i="4"/>
  <c r="AB1118" i="4"/>
  <c r="AB1117" i="4"/>
  <c r="AB1116" i="4"/>
  <c r="AB1114" i="4"/>
  <c r="AB1113" i="4"/>
  <c r="AB1112" i="4"/>
  <c r="AB1111" i="4"/>
  <c r="AB1109" i="4"/>
  <c r="AB1108" i="4"/>
  <c r="AB1107" i="4"/>
  <c r="AB1106" i="4"/>
  <c r="AB1105" i="4"/>
  <c r="AB1104" i="4"/>
  <c r="AB1103" i="4"/>
  <c r="AB1102" i="4"/>
  <c r="AB1017" i="4"/>
  <c r="AB1015" i="4"/>
  <c r="AB862" i="4"/>
  <c r="AB857" i="4"/>
  <c r="AB854" i="4"/>
  <c r="AB798" i="4"/>
  <c r="AB793" i="4"/>
  <c r="AB782" i="4"/>
  <c r="AB767" i="4"/>
  <c r="AB763" i="4"/>
  <c r="AB760" i="4"/>
  <c r="AB550" i="4"/>
  <c r="AB539" i="4"/>
  <c r="AB507" i="4"/>
  <c r="AB1100" i="4"/>
  <c r="AB1099" i="4"/>
  <c r="AB1098" i="4"/>
  <c r="AB1097" i="4"/>
  <c r="AB1096" i="4"/>
  <c r="AB1095" i="4"/>
  <c r="AB1093" i="4"/>
  <c r="AB1091" i="4"/>
  <c r="AB1090" i="4"/>
  <c r="AB1088" i="4"/>
  <c r="AB1086" i="4"/>
  <c r="AB1084" i="4"/>
  <c r="AB1083" i="4"/>
  <c r="AB1082" i="4"/>
  <c r="AB1078" i="4"/>
  <c r="AB1072" i="4"/>
  <c r="AB1071" i="4"/>
  <c r="AB1070" i="4"/>
  <c r="AB1069" i="4"/>
  <c r="AB1068" i="4"/>
  <c r="AB1066" i="4"/>
  <c r="AB1063" i="4"/>
  <c r="AB1062" i="4"/>
  <c r="AB1060" i="4"/>
  <c r="AB1057" i="4"/>
  <c r="AB1056" i="4"/>
  <c r="AB1054" i="4"/>
  <c r="AB1053" i="4"/>
  <c r="AB1052" i="4"/>
  <c r="AB1049" i="4"/>
  <c r="AB1048" i="4"/>
  <c r="AB1042" i="4"/>
  <c r="AB1038" i="4"/>
  <c r="AB1037" i="4"/>
  <c r="AB1036" i="4"/>
  <c r="AB1033" i="4"/>
  <c r="AB1032" i="4"/>
  <c r="AB1028" i="4"/>
  <c r="AB1027" i="4"/>
  <c r="AB1026" i="4"/>
  <c r="AB1025" i="4"/>
  <c r="AB1024" i="4"/>
  <c r="AB1023" i="4"/>
  <c r="AB1022" i="4"/>
  <c r="AB1021" i="4"/>
  <c r="AB1020" i="4"/>
  <c r="AB1019" i="4"/>
  <c r="AB1014" i="4"/>
  <c r="AB861" i="4"/>
  <c r="AB858" i="4"/>
  <c r="AB849" i="4"/>
  <c r="AB799" i="4"/>
  <c r="AB795" i="4"/>
  <c r="AB786" i="4"/>
  <c r="AB779" i="4"/>
  <c r="AB772" i="4"/>
  <c r="AB764" i="4"/>
  <c r="AB538" i="4"/>
  <c r="AB515" i="4"/>
  <c r="AB1012" i="4"/>
  <c r="AB1011" i="4"/>
  <c r="AB1010" i="4"/>
  <c r="AB1009" i="4"/>
  <c r="AB1008" i="4"/>
  <c r="AB1007" i="4"/>
  <c r="AB1006" i="4"/>
  <c r="AB1005" i="4"/>
  <c r="AB1004" i="4"/>
  <c r="AB1003" i="4"/>
  <c r="AB1002" i="4"/>
  <c r="AB1001" i="4"/>
  <c r="AB1000" i="4"/>
  <c r="AB999" i="4"/>
  <c r="AB998" i="4"/>
  <c r="AB997" i="4"/>
  <c r="AB996" i="4"/>
  <c r="AB995" i="4"/>
  <c r="AB994" i="4"/>
  <c r="AB993" i="4"/>
  <c r="AB992" i="4"/>
  <c r="AB991" i="4"/>
  <c r="AB990" i="4"/>
  <c r="AB989" i="4"/>
  <c r="AB988" i="4"/>
  <c r="AB987" i="4"/>
  <c r="AB986" i="4"/>
  <c r="AB985" i="4"/>
  <c r="AB984" i="4"/>
  <c r="AB983" i="4"/>
  <c r="AB982" i="4"/>
  <c r="AB981" i="4"/>
  <c r="AB980" i="4"/>
  <c r="AB979" i="4"/>
  <c r="AB978" i="4"/>
  <c r="AB977" i="4"/>
  <c r="AB976" i="4"/>
  <c r="AB975" i="4"/>
  <c r="AB974" i="4"/>
  <c r="AB973" i="4"/>
  <c r="AB972" i="4"/>
  <c r="AB971" i="4"/>
  <c r="AB970" i="4"/>
  <c r="AB969" i="4"/>
  <c r="AB968" i="4"/>
  <c r="AB967" i="4"/>
  <c r="AB966" i="4"/>
  <c r="AB965" i="4"/>
  <c r="AB964" i="4"/>
  <c r="AB963" i="4"/>
  <c r="AB962" i="4"/>
  <c r="AB961" i="4"/>
  <c r="AB960" i="4"/>
  <c r="AB959" i="4"/>
  <c r="AB958" i="4"/>
  <c r="AB957" i="4"/>
  <c r="AB956" i="4"/>
  <c r="AB955" i="4"/>
  <c r="AB954" i="4"/>
  <c r="AB953" i="4"/>
  <c r="AB952" i="4"/>
  <c r="AB951" i="4"/>
  <c r="AB950" i="4"/>
  <c r="AB949" i="4"/>
  <c r="AB948" i="4"/>
  <c r="AB947" i="4"/>
  <c r="AB946" i="4"/>
  <c r="AB945" i="4"/>
  <c r="AB944" i="4"/>
  <c r="AB943" i="4"/>
  <c r="AB941" i="4"/>
  <c r="AB940" i="4"/>
  <c r="AB939" i="4"/>
  <c r="AB938" i="4"/>
  <c r="AB937" i="4"/>
  <c r="AB936" i="4"/>
  <c r="AB935" i="4"/>
  <c r="AB934" i="4"/>
  <c r="AB933" i="4"/>
  <c r="AB932" i="4"/>
  <c r="AB931" i="4"/>
  <c r="AB930" i="4"/>
  <c r="AB929" i="4"/>
  <c r="AB864" i="4"/>
  <c r="AB860" i="4"/>
  <c r="AB855" i="4"/>
  <c r="AB850" i="4"/>
  <c r="AB846" i="4"/>
  <c r="AB844" i="4"/>
  <c r="AB801" i="4"/>
  <c r="AB796" i="4"/>
  <c r="AB792" i="4"/>
  <c r="AB787" i="4"/>
  <c r="AB512" i="4"/>
  <c r="AB927" i="4"/>
  <c r="AB926" i="4"/>
  <c r="AB925" i="4"/>
  <c r="AB924" i="4"/>
  <c r="AB923" i="4"/>
  <c r="AB922" i="4"/>
  <c r="AB921" i="4"/>
  <c r="AB920" i="4"/>
  <c r="AB919" i="4"/>
  <c r="AB918" i="4"/>
  <c r="AB917" i="4"/>
  <c r="AB916" i="4"/>
  <c r="AB915" i="4"/>
  <c r="AB914" i="4"/>
  <c r="AB913" i="4"/>
  <c r="AB912" i="4"/>
  <c r="AB911" i="4"/>
  <c r="AB910" i="4"/>
  <c r="AB909" i="4"/>
  <c r="AB908" i="4"/>
  <c r="AB907" i="4"/>
  <c r="AB906" i="4"/>
  <c r="AB905" i="4"/>
  <c r="AB904" i="4"/>
  <c r="AB903" i="4"/>
  <c r="AB902" i="4"/>
  <c r="AB901" i="4"/>
  <c r="AB900" i="4"/>
  <c r="AB899" i="4"/>
  <c r="AB898" i="4"/>
  <c r="AB897" i="4"/>
  <c r="AB896" i="4"/>
  <c r="AB895" i="4"/>
  <c r="AB894" i="4"/>
  <c r="AB893" i="4"/>
  <c r="AB892" i="4"/>
  <c r="AB891" i="4"/>
  <c r="AB890" i="4"/>
  <c r="AB889" i="4"/>
  <c r="AB888" i="4"/>
  <c r="AB887" i="4"/>
  <c r="AB886" i="4"/>
  <c r="AB885" i="4"/>
  <c r="AB884" i="4"/>
  <c r="AB883" i="4"/>
  <c r="AB882" i="4"/>
  <c r="AB881" i="4"/>
  <c r="AB880" i="4"/>
  <c r="AB879" i="4"/>
  <c r="AB878" i="4"/>
  <c r="AB877" i="4"/>
  <c r="AB876" i="4"/>
  <c r="AB875" i="4"/>
  <c r="AB874" i="4"/>
  <c r="AB873" i="4"/>
  <c r="AB872" i="4"/>
  <c r="AB871" i="4"/>
  <c r="AB870" i="4"/>
  <c r="AB869" i="4"/>
  <c r="AB868" i="4"/>
  <c r="AB867" i="4"/>
  <c r="AB866" i="4"/>
  <c r="AB865" i="4"/>
  <c r="AB863" i="4"/>
  <c r="AB852" i="4"/>
  <c r="AB847" i="4"/>
  <c r="AB845" i="4"/>
  <c r="AB800" i="4"/>
  <c r="AB789" i="4"/>
  <c r="AB784" i="4"/>
  <c r="AB778" i="4"/>
  <c r="AB776" i="4"/>
  <c r="AB541" i="4"/>
  <c r="AB525" i="4"/>
  <c r="AB511" i="4"/>
  <c r="AB842" i="4"/>
  <c r="AB841" i="4"/>
  <c r="AB840" i="4"/>
  <c r="AB839" i="4"/>
  <c r="AB838" i="4"/>
  <c r="AB837" i="4"/>
  <c r="AB836" i="4"/>
  <c r="AB835" i="4"/>
  <c r="AB834" i="4"/>
  <c r="AB833" i="4"/>
  <c r="AB832" i="4"/>
  <c r="AB831" i="4"/>
  <c r="AB830" i="4"/>
  <c r="AB829" i="4"/>
  <c r="AB828" i="4"/>
  <c r="AB827" i="4"/>
  <c r="AB826" i="4"/>
  <c r="AB825" i="4"/>
  <c r="AB824" i="4"/>
  <c r="AB823" i="4"/>
  <c r="AB822" i="4"/>
  <c r="AB821" i="4"/>
  <c r="AB820" i="4"/>
  <c r="AB819" i="4"/>
  <c r="AB818" i="4"/>
  <c r="AB817" i="4"/>
  <c r="AB816" i="4"/>
  <c r="AB815" i="4"/>
  <c r="AB814" i="4"/>
  <c r="AB813" i="4"/>
  <c r="AB812" i="4"/>
  <c r="AB811" i="4"/>
  <c r="AB810" i="4"/>
  <c r="AB809" i="4"/>
  <c r="AB808" i="4"/>
  <c r="AB807" i="4"/>
  <c r="AB806" i="4"/>
  <c r="AB805" i="4"/>
  <c r="AB804" i="4"/>
  <c r="AB803" i="4"/>
  <c r="AB802" i="4"/>
  <c r="AB797" i="4"/>
  <c r="AB794" i="4"/>
  <c r="AB791" i="4"/>
  <c r="AB788" i="4"/>
  <c r="AB780" i="4"/>
  <c r="AB770" i="4"/>
  <c r="AB549" i="4"/>
  <c r="AB537" i="4"/>
  <c r="AB527" i="4"/>
  <c r="AB514" i="4"/>
  <c r="AB509" i="4"/>
  <c r="AB759" i="4"/>
  <c r="AB758" i="4"/>
  <c r="AB757" i="4"/>
  <c r="AB756" i="4"/>
  <c r="AB755" i="4"/>
  <c r="AB754" i="4"/>
  <c r="AB753" i="4"/>
  <c r="AB752" i="4"/>
  <c r="AB751" i="4"/>
  <c r="AB750" i="4"/>
  <c r="AB749" i="4"/>
  <c r="AB748" i="4"/>
  <c r="AB747" i="4"/>
  <c r="AB746" i="4"/>
  <c r="AB745" i="4"/>
  <c r="AB744" i="4"/>
  <c r="AB743" i="4"/>
  <c r="AB742" i="4"/>
  <c r="AB741" i="4"/>
  <c r="AB740" i="4"/>
  <c r="AB739" i="4"/>
  <c r="AB738" i="4"/>
  <c r="AB737" i="4"/>
  <c r="AB736" i="4"/>
  <c r="AB735" i="4"/>
  <c r="AB734" i="4"/>
  <c r="AB733" i="4"/>
  <c r="AB732" i="4"/>
  <c r="AB731" i="4"/>
  <c r="AB730" i="4"/>
  <c r="AB729" i="4"/>
  <c r="AB728" i="4"/>
  <c r="AB727" i="4"/>
  <c r="AB726" i="4"/>
  <c r="AB725" i="4"/>
  <c r="AB724" i="4"/>
  <c r="AB723" i="4"/>
  <c r="AB722" i="4"/>
  <c r="AB721" i="4"/>
  <c r="AB720" i="4"/>
  <c r="AB719" i="4"/>
  <c r="AB718" i="4"/>
  <c r="AB717" i="4"/>
  <c r="AB716" i="4"/>
  <c r="AB715" i="4"/>
  <c r="AB714" i="4"/>
  <c r="AB713" i="4"/>
  <c r="AB712" i="4"/>
  <c r="AB711" i="4"/>
  <c r="AB710" i="4"/>
  <c r="AB709" i="4"/>
  <c r="AB708" i="4"/>
  <c r="AB707" i="4"/>
  <c r="AB706" i="4"/>
  <c r="AB705" i="4"/>
  <c r="AB704" i="4"/>
  <c r="AB703" i="4"/>
  <c r="AB702" i="4"/>
  <c r="AB701" i="4"/>
  <c r="AB700" i="4"/>
  <c r="AB699" i="4"/>
  <c r="AB698" i="4"/>
  <c r="AB697" i="4"/>
  <c r="AB696" i="4"/>
  <c r="AB695" i="4"/>
  <c r="AB694" i="4"/>
  <c r="AB693" i="4"/>
  <c r="AB692" i="4"/>
  <c r="AB691" i="4"/>
  <c r="AB690" i="4"/>
  <c r="AB689" i="4"/>
  <c r="AB687" i="4"/>
  <c r="AB686" i="4"/>
  <c r="AB685" i="4"/>
  <c r="AB684" i="4"/>
  <c r="AB683" i="4"/>
  <c r="AB682" i="4"/>
  <c r="AB681" i="4"/>
  <c r="AB680" i="4"/>
  <c r="AB679" i="4"/>
  <c r="AB678" i="4"/>
  <c r="AB677" i="4"/>
  <c r="AB676" i="4"/>
  <c r="AB675" i="4"/>
  <c r="AB573" i="4"/>
  <c r="AB570" i="4"/>
  <c r="AB567" i="4"/>
  <c r="AB560" i="4"/>
  <c r="AB557" i="4"/>
  <c r="AB556" i="4"/>
  <c r="AB555" i="4"/>
  <c r="AB528" i="4"/>
  <c r="AB518" i="4"/>
  <c r="AB674" i="4"/>
  <c r="AB673" i="4"/>
  <c r="AB672" i="4"/>
  <c r="AB671" i="4"/>
  <c r="AB670" i="4"/>
  <c r="AB669" i="4"/>
  <c r="AB668" i="4"/>
  <c r="AB667" i="4"/>
  <c r="AB666" i="4"/>
  <c r="AB665" i="4"/>
  <c r="AB664" i="4"/>
  <c r="AB663" i="4"/>
  <c r="AB662" i="4"/>
  <c r="AB661" i="4"/>
  <c r="AB660" i="4"/>
  <c r="AB659" i="4"/>
  <c r="AB658" i="4"/>
  <c r="AB657" i="4"/>
  <c r="AB656" i="4"/>
  <c r="AB655" i="4"/>
  <c r="AB654" i="4"/>
  <c r="AB653" i="4"/>
  <c r="AB652" i="4"/>
  <c r="AB651" i="4"/>
  <c r="AB650" i="4"/>
  <c r="AB649" i="4"/>
  <c r="AB648" i="4"/>
  <c r="AB647" i="4"/>
  <c r="AB646" i="4"/>
  <c r="AB645" i="4"/>
  <c r="AB644" i="4"/>
  <c r="AB643" i="4"/>
  <c r="AB642" i="4"/>
  <c r="AB641" i="4"/>
  <c r="AB640" i="4"/>
  <c r="AB639" i="4"/>
  <c r="AB638" i="4"/>
  <c r="AB637" i="4"/>
  <c r="AB636" i="4"/>
  <c r="AB635" i="4"/>
  <c r="AB634" i="4"/>
  <c r="AB633" i="4"/>
  <c r="AB632" i="4"/>
  <c r="AB631" i="4"/>
  <c r="AB630" i="4"/>
  <c r="AB629" i="4"/>
  <c r="AB628" i="4"/>
  <c r="AB627" i="4"/>
  <c r="AB626" i="4"/>
  <c r="AB625" i="4"/>
  <c r="AB624" i="4"/>
  <c r="AB623" i="4"/>
  <c r="AB622" i="4"/>
  <c r="AB621" i="4"/>
  <c r="AB620" i="4"/>
  <c r="AB619" i="4"/>
  <c r="AB618" i="4"/>
  <c r="AB617" i="4"/>
  <c r="AB616" i="4"/>
  <c r="AB615" i="4"/>
  <c r="AB614" i="4"/>
  <c r="AB613" i="4"/>
  <c r="AB612" i="4"/>
  <c r="AB611" i="4"/>
  <c r="AB610" i="4"/>
  <c r="AB609" i="4"/>
  <c r="AB608" i="4"/>
  <c r="AB607" i="4"/>
  <c r="AB606" i="4"/>
  <c r="AB605" i="4"/>
  <c r="AB604" i="4"/>
  <c r="AB603" i="4"/>
  <c r="AB602" i="4"/>
  <c r="AB601" i="4"/>
  <c r="AB600" i="4"/>
  <c r="AB599" i="4"/>
  <c r="AB598" i="4"/>
  <c r="AB597" i="4"/>
  <c r="AB596" i="4"/>
  <c r="AB595" i="4"/>
  <c r="AB594" i="4"/>
  <c r="AB593" i="4"/>
  <c r="AB592" i="4"/>
  <c r="AB591" i="4"/>
  <c r="AB590" i="4"/>
  <c r="AB589" i="4"/>
  <c r="AB588" i="4"/>
  <c r="AB587" i="4"/>
  <c r="AB586" i="4"/>
  <c r="AB585" i="4"/>
  <c r="AB584" i="4"/>
  <c r="AB583" i="4"/>
  <c r="AB582" i="4"/>
  <c r="AB581" i="4"/>
  <c r="AB580" i="4"/>
  <c r="AB579" i="4"/>
  <c r="AB578" i="4"/>
  <c r="AB577" i="4"/>
  <c r="AB575" i="4"/>
  <c r="AB574" i="4"/>
  <c r="AB572" i="4"/>
  <c r="AB571" i="4"/>
  <c r="AB568" i="4"/>
  <c r="AB566" i="4"/>
  <c r="AB561" i="4"/>
  <c r="AB534" i="4"/>
  <c r="AB517" i="4"/>
  <c r="AB505" i="4"/>
  <c r="AB504" i="4"/>
  <c r="AB503" i="4"/>
  <c r="AB502" i="4"/>
  <c r="AB501" i="4"/>
  <c r="AB500" i="4"/>
  <c r="AB499" i="4"/>
  <c r="AB498" i="4"/>
  <c r="AB496" i="4"/>
  <c r="AB493" i="4"/>
  <c r="AB492" i="4"/>
  <c r="AB491" i="4"/>
  <c r="AB490" i="4"/>
  <c r="AB487" i="4"/>
  <c r="AB486" i="4"/>
  <c r="AB485" i="4"/>
  <c r="AB483" i="4"/>
  <c r="AB482" i="4"/>
  <c r="AB479" i="4"/>
  <c r="AB476" i="4"/>
  <c r="AB475" i="4"/>
  <c r="AB472" i="4"/>
  <c r="AB470" i="4"/>
  <c r="AB469" i="4"/>
  <c r="AB467" i="4"/>
  <c r="AB465" i="4"/>
  <c r="AB462" i="4"/>
  <c r="AB461" i="4"/>
  <c r="AB457" i="4"/>
  <c r="AB456" i="4"/>
  <c r="AB450" i="4"/>
  <c r="AB448" i="4"/>
  <c r="AB446" i="4"/>
  <c r="AB445" i="4"/>
  <c r="AB444" i="4"/>
  <c r="AB443" i="4"/>
  <c r="AB441" i="4"/>
  <c r="AB440" i="4"/>
  <c r="AB437" i="4"/>
  <c r="AB436" i="4"/>
  <c r="AB435" i="4"/>
  <c r="AB434" i="4"/>
  <c r="AB433" i="4"/>
  <c r="AB427" i="4"/>
  <c r="AB426" i="4"/>
  <c r="AB425" i="4"/>
  <c r="AB424" i="4"/>
  <c r="AB423" i="4"/>
  <c r="AB422" i="4"/>
  <c r="AB421" i="4"/>
  <c r="AB367" i="4"/>
  <c r="AB366" i="4"/>
  <c r="AB348" i="4"/>
  <c r="AB347" i="4"/>
  <c r="AB523" i="4"/>
  <c r="AB508" i="4"/>
  <c r="AB420" i="4"/>
  <c r="AB419" i="4"/>
  <c r="AB418" i="4"/>
  <c r="AB417" i="4"/>
  <c r="AB416" i="4"/>
  <c r="AB415" i="4"/>
  <c r="AB414" i="4"/>
  <c r="AB413" i="4"/>
  <c r="AB412" i="4"/>
  <c r="AB411" i="4"/>
  <c r="AB410" i="4"/>
  <c r="AB409" i="4"/>
  <c r="AB408" i="4"/>
  <c r="AB407" i="4"/>
  <c r="AB406" i="4"/>
  <c r="AB405" i="4"/>
  <c r="AB403" i="4"/>
  <c r="AB402" i="4"/>
  <c r="AB399" i="4"/>
  <c r="AB398" i="4"/>
  <c r="AB397" i="4"/>
  <c r="AB382" i="4"/>
  <c r="AB380" i="4"/>
  <c r="AB379" i="4"/>
  <c r="AB378" i="4"/>
  <c r="AB377" i="4"/>
  <c r="AB372" i="4"/>
  <c r="AB357" i="4"/>
  <c r="AB355" i="4"/>
  <c r="AB351" i="4"/>
  <c r="AB344" i="4"/>
  <c r="AB343" i="4"/>
  <c r="AB341" i="4"/>
  <c r="AB339" i="4"/>
  <c r="AB338" i="4"/>
  <c r="AB171" i="4"/>
  <c r="AB84" i="4"/>
  <c r="AB526" i="4"/>
  <c r="AB336" i="4"/>
  <c r="AB335" i="4"/>
  <c r="AB334" i="4"/>
  <c r="AB333" i="4"/>
  <c r="AB332" i="4"/>
  <c r="AB331" i="4"/>
  <c r="AB330" i="4"/>
  <c r="AB329" i="4"/>
  <c r="AB328" i="4"/>
  <c r="AB327" i="4"/>
  <c r="AB326" i="4"/>
  <c r="AB325" i="4"/>
  <c r="AB324" i="4"/>
  <c r="AB320" i="4"/>
  <c r="AB316" i="4"/>
  <c r="AB314" i="4"/>
  <c r="AB312" i="4"/>
  <c r="AB311" i="4"/>
  <c r="AB307" i="4"/>
  <c r="AB306" i="4"/>
  <c r="AB305" i="4"/>
  <c r="AB304" i="4"/>
  <c r="AB294" i="4"/>
  <c r="AB292" i="4"/>
  <c r="AB289" i="4"/>
  <c r="AB287" i="4"/>
  <c r="AB284" i="4"/>
  <c r="AB283" i="4"/>
  <c r="AB278" i="4"/>
  <c r="AB277" i="4"/>
  <c r="AB275" i="4"/>
  <c r="AB273" i="4"/>
  <c r="AB272" i="4"/>
  <c r="AB271" i="4"/>
  <c r="AB270" i="4"/>
  <c r="AB267" i="4"/>
  <c r="AB266" i="4"/>
  <c r="AB262" i="4"/>
  <c r="AB260" i="4"/>
  <c r="AB259" i="4"/>
  <c r="AB257" i="4"/>
  <c r="AB256" i="4"/>
  <c r="AB254" i="4"/>
  <c r="AB178" i="4"/>
  <c r="AB177" i="4"/>
  <c r="AB172" i="4"/>
  <c r="AB552" i="4"/>
  <c r="AB543" i="4"/>
  <c r="AB251" i="4"/>
  <c r="AB250" i="4"/>
  <c r="AB249" i="4"/>
  <c r="AB248" i="4"/>
  <c r="AB247" i="4"/>
  <c r="AB246" i="4"/>
  <c r="AB245" i="4"/>
  <c r="AB244" i="4"/>
  <c r="AB243" i="4"/>
  <c r="AB242" i="4"/>
  <c r="AB241" i="4"/>
  <c r="AB240" i="4"/>
  <c r="AB239" i="4"/>
  <c r="AB238" i="4"/>
  <c r="AB237" i="4"/>
  <c r="AB236" i="4"/>
  <c r="AB235" i="4"/>
  <c r="AB234" i="4"/>
  <c r="AB233" i="4"/>
  <c r="AB232" i="4"/>
  <c r="AB231" i="4"/>
  <c r="AB230" i="4"/>
  <c r="AB229" i="4"/>
  <c r="AB228" i="4"/>
  <c r="AB227" i="4"/>
  <c r="AB226" i="4"/>
  <c r="AB225" i="4"/>
  <c r="AB224" i="4"/>
  <c r="AB223" i="4"/>
  <c r="AB222" i="4"/>
  <c r="AB221" i="4"/>
  <c r="AB220" i="4"/>
  <c r="AB219" i="4"/>
  <c r="AB218" i="4"/>
  <c r="AB217" i="4"/>
  <c r="AB216" i="4"/>
  <c r="AB215" i="4"/>
  <c r="AB214" i="4"/>
  <c r="AB213" i="4"/>
  <c r="AB212" i="4"/>
  <c r="AB211" i="4"/>
  <c r="AB210" i="4"/>
  <c r="AB209" i="4"/>
  <c r="AB208" i="4"/>
  <c r="AB207" i="4"/>
  <c r="AB206" i="4"/>
  <c r="AB205" i="4"/>
  <c r="AB204" i="4"/>
  <c r="AB203" i="4"/>
  <c r="AB202" i="4"/>
  <c r="AB201" i="4"/>
  <c r="AB200" i="4"/>
  <c r="AB199" i="4"/>
  <c r="AB198" i="4"/>
  <c r="AB197" i="4"/>
  <c r="AB196" i="4"/>
  <c r="AB195" i="4"/>
  <c r="AB194" i="4"/>
  <c r="AB193" i="4"/>
  <c r="AB192" i="4"/>
  <c r="AB191" i="4"/>
  <c r="AB190" i="4"/>
  <c r="AB189" i="4"/>
  <c r="AB188" i="4"/>
  <c r="AB187" i="4"/>
  <c r="AB186" i="4"/>
  <c r="AB185" i="4"/>
  <c r="AB184" i="4"/>
  <c r="AB183" i="4"/>
  <c r="AB182" i="4"/>
  <c r="AB181" i="4"/>
  <c r="AB180" i="4"/>
  <c r="AB179" i="4"/>
  <c r="AB175" i="4"/>
  <c r="AB174" i="4"/>
  <c r="AB170" i="4"/>
  <c r="AB87" i="4"/>
  <c r="AB85" i="4"/>
  <c r="AB545" i="4"/>
  <c r="AB535" i="4"/>
  <c r="AB168" i="4"/>
  <c r="AB167" i="4"/>
  <c r="AB166" i="4"/>
  <c r="AB164" i="4"/>
  <c r="AB163" i="4"/>
  <c r="AB162" i="4"/>
  <c r="AB161" i="4"/>
  <c r="AB160" i="4"/>
  <c r="AB159" i="4"/>
  <c r="AB158" i="4"/>
  <c r="AB157" i="4"/>
  <c r="AB156" i="4"/>
  <c r="AB155" i="4"/>
  <c r="AB154" i="4"/>
  <c r="AB153" i="4"/>
  <c r="AB152" i="4"/>
  <c r="AB151" i="4"/>
  <c r="AB150" i="4"/>
  <c r="AB149" i="4"/>
  <c r="AB148" i="4"/>
  <c r="AB147" i="4"/>
  <c r="AB146" i="4"/>
  <c r="AB145" i="4"/>
  <c r="AB144" i="4"/>
  <c r="AB143" i="4"/>
  <c r="AB142" i="4"/>
  <c r="AB141" i="4"/>
  <c r="AB140" i="4"/>
  <c r="AB139" i="4"/>
  <c r="AB138" i="4"/>
  <c r="AB137" i="4"/>
  <c r="AB136" i="4"/>
  <c r="AB135" i="4"/>
  <c r="AB134" i="4"/>
  <c r="AB133" i="4"/>
  <c r="AB132" i="4"/>
  <c r="AB131" i="4"/>
  <c r="AB130" i="4"/>
  <c r="AB129" i="4"/>
  <c r="AB128" i="4"/>
  <c r="AB127" i="4"/>
  <c r="AB126" i="4"/>
  <c r="AB125" i="4"/>
  <c r="AB124" i="4"/>
  <c r="AB123" i="4"/>
  <c r="AB122" i="4"/>
  <c r="AB121" i="4"/>
  <c r="AB120" i="4"/>
  <c r="AB119" i="4"/>
  <c r="AB118" i="4"/>
  <c r="AB117" i="4"/>
  <c r="AB116" i="4"/>
  <c r="AB115" i="4"/>
  <c r="AB114" i="4"/>
  <c r="AB113" i="4"/>
  <c r="AB112" i="4"/>
  <c r="AB111" i="4"/>
  <c r="AB110" i="4"/>
  <c r="AB109" i="4"/>
  <c r="AB108" i="4"/>
  <c r="AB107" i="4"/>
  <c r="AB106" i="4"/>
  <c r="AB105" i="4"/>
  <c r="AB104" i="4"/>
  <c r="AB103" i="4"/>
  <c r="AB102" i="4"/>
  <c r="AB101" i="4"/>
  <c r="AB100" i="4"/>
  <c r="AB99" i="4"/>
  <c r="AB98" i="4"/>
  <c r="AB97" i="4"/>
  <c r="AB96" i="4"/>
  <c r="AB95" i="4"/>
  <c r="AB94" i="4"/>
  <c r="AB93" i="4"/>
  <c r="AB92" i="4"/>
  <c r="AB91" i="4"/>
  <c r="AB90" i="4"/>
  <c r="AB89" i="4"/>
  <c r="AB86" i="4"/>
  <c r="AB551" i="4"/>
  <c r="AB547" i="4"/>
  <c r="AB544" i="4"/>
  <c r="AB529" i="4"/>
  <c r="AB513" i="4"/>
  <c r="AB83" i="4"/>
  <c r="AB82" i="4"/>
  <c r="AB81" i="4"/>
  <c r="AB80" i="4"/>
  <c r="AB79" i="4"/>
  <c r="AB78" i="4"/>
  <c r="AB77" i="4"/>
  <c r="AB76" i="4"/>
  <c r="AB75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B7" i="4"/>
  <c r="AB6" i="4"/>
  <c r="AB5" i="4"/>
  <c r="AB4" i="4"/>
  <c r="AB3" i="4"/>
  <c r="AB1304" i="4"/>
  <c r="AB1298" i="4"/>
  <c r="AB1290" i="4"/>
  <c r="AB1288" i="4"/>
  <c r="AB1283" i="4"/>
  <c r="AB1279" i="4"/>
  <c r="AB1277" i="4"/>
  <c r="AB1271" i="4"/>
  <c r="AB1190" i="4"/>
  <c r="AB777" i="4"/>
  <c r="AB775" i="4"/>
  <c r="AB771" i="4"/>
  <c r="AB553" i="4"/>
  <c r="AB5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Byer</author>
  </authors>
  <commentList>
    <comment ref="U1169" authorId="0" shapeId="0" xr:uid="{3650335C-7355-4466-A21B-8391AFD0EC8C}">
      <text>
        <r>
          <rPr>
            <sz val="11"/>
            <color theme="1"/>
            <rFont val="Aptos Narrow"/>
            <family val="2"/>
            <scheme val="minor"/>
          </rPr>
          <t>======
ID#AAABuwtIt4k
Sandro Manuel Souza Valdez    (2025-12-09 20:51:01)
TAPICERIA DE ASIENTO DE CONDUCTOR</t>
        </r>
      </text>
    </comment>
    <comment ref="U1350" authorId="1" shapeId="0" xr:uid="{B7A6AE41-5B06-4847-97A9-7FABFCFE0BEA}">
      <text>
        <r>
          <rPr>
            <b/>
            <sz val="9"/>
            <color indexed="81"/>
            <rFont val="Tahoma"/>
            <family val="2"/>
          </rPr>
          <t>Byer:</t>
        </r>
        <r>
          <rPr>
            <sz val="9"/>
            <color indexed="81"/>
            <rFont val="Tahoma"/>
            <family val="2"/>
          </rPr>
          <t xml:space="preserve">
ANTICONGELANTE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tc={154EFB45-BFAB-45A4-BAC1-6391D3FF2222}</author>
    <author>tc={05D949BA-F664-4BB8-B6A8-D1965A0E25D5}</author>
    <author>tc={2F2B4BFB-33D1-4CD7-9503-14EDCC410CA1}</author>
    <author>tc={38BBD3DE-9CFB-4BB7-B824-BE8CF352FBBA}</author>
    <author>user</author>
    <author>tc={066A0DAA-F1D4-4CE0-8FD5-9BC9566BEFC1}</author>
    <author>tc={E3C2312C-4AFA-4AB4-BED8-1DD7D07EC5D5}</author>
  </authors>
  <commentList>
    <comment ref="AD223" authorId="0" shapeId="0" xr:uid="{154EFB45-BFAB-45A4-BAC1-6391D3FF22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CON ELI, PAG DE 1500</t>
      </text>
    </comment>
    <comment ref="Q248" authorId="1" shapeId="0" xr:uid="{05D949BA-F664-4BB8-B6A8-D1965A0E25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SALDO A FAV SEM PASADA</t>
      </text>
    </comment>
    <comment ref="Q262" authorId="2" shapeId="0" xr:uid="{2F2B4BFB-33D1-4CD7-9503-14EDCC410CA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DE MAS
</t>
      </text>
    </comment>
    <comment ref="P263" authorId="3" shapeId="0" xr:uid="{38BBD3DE-9CFB-4BB7-B824-BE8CF352FB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cobran 4 días</t>
      </text>
    </comment>
    <comment ref="U290" authorId="4" shapeId="0" xr:uid="{3E29FB1A-1DB9-44C0-95B6-242C0D068D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Gasolina 05/02 pago con tar DIDI</t>
        </r>
      </text>
    </comment>
    <comment ref="Q346" authorId="5" shapeId="0" xr:uid="{066A0DAA-F1D4-4CE0-8FD5-9BC9566BEF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Hojalateria sem pasada</t>
      </text>
    </comment>
    <comment ref="N586" authorId="6" shapeId="0" xr:uid="{E3C2312C-4AFA-4AB4-BED8-1DD7D07EC5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CRUZA DOS TAG</t>
      </text>
    </comment>
  </commentList>
</comments>
</file>

<file path=xl/sharedStrings.xml><?xml version="1.0" encoding="utf-8"?>
<sst xmlns="http://schemas.openxmlformats.org/spreadsheetml/2006/main" count="27650" uniqueCount="1174">
  <si>
    <t>SEM</t>
  </si>
  <si>
    <t>CONDUCTOR</t>
  </si>
  <si>
    <t>AUTO</t>
  </si>
  <si>
    <t>ALEJANDRO PAZ CAMACHO</t>
  </si>
  <si>
    <t>MARCH|2020|TURQ|N15BKD</t>
  </si>
  <si>
    <t>RAUL FRANCISCO VAZQUEZ CORTE</t>
  </si>
  <si>
    <t>V DRIVE|2023|GRIS|MXW453C</t>
  </si>
  <si>
    <t>FRANCISCO RODOLFO GOMEZ URQUIZA ESCALANTE</t>
  </si>
  <si>
    <t>KIA RIO|2020|AZUL|LUE960C</t>
  </si>
  <si>
    <t>FRANCISCO ISLAS CHAVEZ</t>
  </si>
  <si>
    <t>AVEO|2024|GRIS|LRL009C</t>
  </si>
  <si>
    <t>ADALBERTO BELLO NAVARRO</t>
  </si>
  <si>
    <t>AVEO|2025|PERSUASION|MXM510C</t>
  </si>
  <si>
    <t>ADRIAN CRUZ CUADROS</t>
  </si>
  <si>
    <t>AVEO|2025|PERSUASION|MXM503C</t>
  </si>
  <si>
    <t>ALBERTO ARRIAGA MEJIA</t>
  </si>
  <si>
    <t>AVEO|2020|AZUL|D28BET</t>
  </si>
  <si>
    <t>ANGEL ALCANTARA CRUZ</t>
  </si>
  <si>
    <t>AVEO|2025|PERSUASION|MZN091C</t>
  </si>
  <si>
    <t>ARMANDO MARTINEZ VELAZQUEZ</t>
  </si>
  <si>
    <t>HYUNDAI|2022|PLATA|D40BKD</t>
  </si>
  <si>
    <t>CAMILO IESUA MEJIA DIAZ</t>
  </si>
  <si>
    <t>KIA RIO|2020|GRIS|NCK475B</t>
  </si>
  <si>
    <t>DAVID ARTURO GONZALEZ TELLEZ</t>
  </si>
  <si>
    <t>AVEO|2025|PERSUASION|MXM502C</t>
  </si>
  <si>
    <t>FERNANDO FUENTES OTERO</t>
  </si>
  <si>
    <t>AVEOH|2024|BLANCO|MWV156C</t>
  </si>
  <si>
    <t>FRANCISCO GOMEZ URQUIZA SILVA</t>
  </si>
  <si>
    <t>VERSA|2023|PLATA|NCT814A</t>
  </si>
  <si>
    <t>GERMAN LUSARRETA ROMERO</t>
  </si>
  <si>
    <t>AVEO|2021|GRIS|D51BHV</t>
  </si>
  <si>
    <t>JESUS ROSALES GARCIA</t>
  </si>
  <si>
    <t>AVEO|2026|ACERO|NEJ996C</t>
  </si>
  <si>
    <t>JONATHAN BERNAL RODRIGUEZ</t>
  </si>
  <si>
    <t>AVEO|2018|GRIS|X59AWG</t>
  </si>
  <si>
    <t>JOSE GUILLERMO HERNANDEZ RAMIREZ</t>
  </si>
  <si>
    <t>AVEO|2023|GRIS|MLC126A</t>
  </si>
  <si>
    <t>JOSE JUAN HERNANDEZ MEJIA</t>
  </si>
  <si>
    <t>VENTO|2020|GRIS|A19BDY</t>
  </si>
  <si>
    <t>JUAN CARLOS ZEA CRUZ</t>
  </si>
  <si>
    <t>AVEO|2019|PLATA|NEL860A</t>
  </si>
  <si>
    <t>KRISTOPHER ALEXANDER TORREALBA RAMOS</t>
  </si>
  <si>
    <t>VENTO|2017|GRIS|MMA672C</t>
  </si>
  <si>
    <t>MARCO ANTONIO FARIAS AVILES</t>
  </si>
  <si>
    <t>BEAT|2019|OCRE|MAY730C</t>
  </si>
  <si>
    <t>OSCAR BLANCAS NORIEGA</t>
  </si>
  <si>
    <t>VENTO|2020|GRIS|R66BER</t>
  </si>
  <si>
    <t>RAYMUNDO CHAVEZ DELGADO</t>
  </si>
  <si>
    <t>AVEO|2026|ACERO|NEJ971C</t>
  </si>
  <si>
    <t>RICARDO HERNANDEZ ARIAS</t>
  </si>
  <si>
    <t>AVEO|2019|BLANCO|NBS225A</t>
  </si>
  <si>
    <t>SAUL DOMINGUEZ VAZQUEZ</t>
  </si>
  <si>
    <t>VERSA|2020|BLANCO|A35BHD</t>
  </si>
  <si>
    <t>SERGIO BALDERAS BAEZ</t>
  </si>
  <si>
    <t>AVEO|2022|AZUL|NZY685B</t>
  </si>
  <si>
    <t>YOSHUA YARETH VALDEZ HERNANDEZ</t>
  </si>
  <si>
    <t>KIA RIO|2017|ROJO|MYE912A</t>
  </si>
  <si>
    <t>JOSE AGUILAR SOTO</t>
  </si>
  <si>
    <t>RUBEN BERMEJO</t>
  </si>
  <si>
    <t>AVEO|2022|VINO|P62BHW</t>
  </si>
  <si>
    <t>FIDEL ALEJANDRO SANCHEZ VERGARA</t>
  </si>
  <si>
    <t>JOSE LUIS HERNANDEZ MEDINA</t>
  </si>
  <si>
    <t xml:space="preserve">ALFONSO GONZALEZ </t>
  </si>
  <si>
    <t>SWIFT|2017|ROJO|X89ALV</t>
  </si>
  <si>
    <t>CRISTIAN HERNANDEZ MUNGUIA</t>
  </si>
  <si>
    <t>AVEO|2026|ACERO|NEJ990C</t>
  </si>
  <si>
    <t>EDUARDO LICONA GODINEZ</t>
  </si>
  <si>
    <t>KIA RIO|2020|ROJO|MFP751C</t>
  </si>
  <si>
    <t>FERNANDO GARRIDO GARNICA</t>
  </si>
  <si>
    <t>AVEO|2018|ROJO|R51BKD</t>
  </si>
  <si>
    <t>GABRIEL JIMENEZ BAUTISTA</t>
  </si>
  <si>
    <t>BYD|2026|VERDE|78F032</t>
  </si>
  <si>
    <t>IVAN MOGUEL PULIDO</t>
  </si>
  <si>
    <t>KIA RIO|2023|ROJO|H99BLC</t>
  </si>
  <si>
    <t>RUBI ROBLES SALMERON</t>
  </si>
  <si>
    <t>BEAT|2020|GRIS|NFN014B</t>
  </si>
  <si>
    <t>VICTOR HUGO RUIZ CASTILLO</t>
  </si>
  <si>
    <t>VERSA|2021|BLANCO|MEE228C</t>
  </si>
  <si>
    <t>TOLENTINO JOSETH PEREZ GONZALEZ</t>
  </si>
  <si>
    <t>MARCH|2019|TURQ|MAY737C</t>
  </si>
  <si>
    <t>ADOLFO LOPEZ MARTINEZ</t>
  </si>
  <si>
    <t>VERSA|2020|ROJO|NLP172B</t>
  </si>
  <si>
    <t>NICASIO EMOS CONTRERAS</t>
  </si>
  <si>
    <t>AVEO|2025|PERSUASION|MZN057C</t>
  </si>
  <si>
    <t>OSCAR CONTRERAS ZUÑIGA</t>
  </si>
  <si>
    <t>DIEGO ISAID PULIDO</t>
  </si>
  <si>
    <t>AVEO|2023|VINO|R22BMR</t>
  </si>
  <si>
    <t>XAVIER ALAN LARA JIMENEZ</t>
  </si>
  <si>
    <t>KEVIN ALEXIS MERLOS CORTES</t>
  </si>
  <si>
    <t>OSCAR IVAN MIÑON RAMIREZ</t>
  </si>
  <si>
    <t>DANIEL CASTAÑEDA LOPEZ</t>
  </si>
  <si>
    <t>JOEL RAUL PEREA PEÑA</t>
  </si>
  <si>
    <t>JAVIER MEDINA JAIMES</t>
  </si>
  <si>
    <t>AVEO|2026|ROJO|NEZ101C</t>
  </si>
  <si>
    <t>AVEO|2026|GRIS|NEZ115C</t>
  </si>
  <si>
    <t>AVEO|2026|ROJO|NEZ108C</t>
  </si>
  <si>
    <t>VERSA|2022|GRIS|NES596C</t>
  </si>
  <si>
    <t>AVEO|2022|AZUL|MUF515A</t>
  </si>
  <si>
    <t>YOSHUA JARETH VALDEZ HERNANDEZ</t>
  </si>
  <si>
    <t>JUAN PABLO COLIN HERMENEGILDO</t>
  </si>
  <si>
    <t>AVEO|2022|AZUL|PCH9635</t>
  </si>
  <si>
    <t>AVEO|2026|GRIS|NEZ118C</t>
  </si>
  <si>
    <t>AVEO|2026|GRIS|NEZ110C</t>
  </si>
  <si>
    <t>JORGE IVAN PALOMINO PEREZ FIGUEROA</t>
  </si>
  <si>
    <t>VENTO|2019|BLANCO|LUE965C</t>
  </si>
  <si>
    <t>JESUS AURELIO NUNGARAY CASTILLO</t>
  </si>
  <si>
    <t>MARCH|2021|ROJO|NZU5163</t>
  </si>
  <si>
    <t>TOMAS ARIAS ESPINOSA</t>
  </si>
  <si>
    <t>DAVID ROMERO JAIME</t>
  </si>
  <si>
    <t>IVAN GENARO BOCANEGRA MARTINEZ</t>
  </si>
  <si>
    <t>DIEGO DIAZ BARRIGA GARCIA</t>
  </si>
  <si>
    <t>ALFONSO GONZALEZ MORALES</t>
  </si>
  <si>
    <t>VENTO|2018|AMARILLO|NJJ912C</t>
  </si>
  <si>
    <t>ALAN DAVID SALAZAR HERNANDEZ</t>
  </si>
  <si>
    <t>LUIS EDGARDO AYALA ALVAREZ</t>
  </si>
  <si>
    <t>RODOLFO VILLEDA MACIAS</t>
  </si>
  <si>
    <t>MARCH|2020|GRIS|NEJ984C</t>
  </si>
  <si>
    <t>YANIZ MANUEL SILVA PUPO</t>
  </si>
  <si>
    <t>VENTO|2020|GRIS|NES586C</t>
  </si>
  <si>
    <t>PEDRO ARELLANO PEREZ</t>
  </si>
  <si>
    <t>ALEJANDRA URBAN VALENCIA</t>
  </si>
  <si>
    <t>ANA YAEL RAMIREZ VELASCO</t>
  </si>
  <si>
    <t>VERSA|2021|BLANCO|NEJ957C</t>
  </si>
  <si>
    <t>RAFAEL HUERTA MONDRAGON</t>
  </si>
  <si>
    <t>AVEO|2026|BLANCO|NJG467C</t>
  </si>
  <si>
    <t>AVEO|2026|BLANCO|NJG485C</t>
  </si>
  <si>
    <t>AVEO|2026|BLANCO|NJG464C</t>
  </si>
  <si>
    <t>AVEO|2026|BLANCO|NJG470C</t>
  </si>
  <si>
    <t>BRYAN OMAR HERNANDEZ ANTUNEZ</t>
  </si>
  <si>
    <t>AVEO|2026|BLANCO|NJJ925</t>
  </si>
  <si>
    <t>IGNACIO ISRAEL GONZALEZ RUIZ</t>
  </si>
  <si>
    <t>SAUL GONZALEZ RIVAS</t>
  </si>
  <si>
    <t>SALVADOR REGALADO CORDOVA</t>
  </si>
  <si>
    <t>ABRAHAM RODRIGUEZ GONZALEZ</t>
  </si>
  <si>
    <t>CESAR AXEL SANTIAGO GARCIA</t>
  </si>
  <si>
    <t>QUIRINO FLORES ROQUE</t>
  </si>
  <si>
    <t>EDUARDO RIVERA LAVIN</t>
  </si>
  <si>
    <t>AVEOH|2026|BLANCO|NJG467C</t>
  </si>
  <si>
    <t>LUIS AXEL RODRIGUEZ RANGEL</t>
  </si>
  <si>
    <t>ADOLFO ANGEL ESTRADA RODRIGUEZ</t>
  </si>
  <si>
    <t>AVEOH|2026|ACERO|NEJ990C</t>
  </si>
  <si>
    <t>AVEOH|2026|ROJO|NEZ108C</t>
  </si>
  <si>
    <t>AVEOH|2026|ROJO|NEZ101C</t>
  </si>
  <si>
    <t>AVEOH|2026|ACERO|NEJ996C</t>
  </si>
  <si>
    <t>AVEOH|2026|BLANCO|NJG470C</t>
  </si>
  <si>
    <t>AVEOH|2026|BLANCO|NJG485C</t>
  </si>
  <si>
    <t>AVEOH|2026|BLANCO|NJG464C</t>
  </si>
  <si>
    <t>AVEOH|2026|ACERO|NEJ971C</t>
  </si>
  <si>
    <t>AVEOH|2026|BLANCO|NJJ925C</t>
  </si>
  <si>
    <t>ARMANDO CARDENAS TRUJILLO</t>
  </si>
  <si>
    <t>ABRAHAM RODRIGUEZ HERNANDEZ</t>
  </si>
  <si>
    <t>SIN ASIGNAR</t>
  </si>
  <si>
    <t xml:space="preserve">RODOLFO VILLEDA MACIAS </t>
  </si>
  <si>
    <t>ANGEL ADOLFO ESTRADA RODRIGUEZ</t>
  </si>
  <si>
    <t>AVEOH|2026|BLANCO|NJG451C</t>
  </si>
  <si>
    <t>VERSA|2021|AZUL|NMC875C</t>
  </si>
  <si>
    <t>KIA|2025|AZUL|NMC863C</t>
  </si>
  <si>
    <t>AVANZA|2024|GRIS|NMC849C</t>
  </si>
  <si>
    <t>BMW|2025|NEGRA|40K216</t>
  </si>
  <si>
    <t>VERSA|2021|AZUL|</t>
  </si>
  <si>
    <t>MARCH|2023|GRIS|</t>
  </si>
  <si>
    <t>KIA|2025|AZUL|</t>
  </si>
  <si>
    <t>AVANZA|2024|GRIS|</t>
  </si>
  <si>
    <t xml:space="preserve">SIN ASIGNAR </t>
  </si>
  <si>
    <t>JESUS BRAYAN LOPEZ ORTIZ</t>
  </si>
  <si>
    <t xml:space="preserve">GABRIEL JIMENEZ BAUTISTA </t>
  </si>
  <si>
    <t>SIN ASIGNAR ( en arreglo)</t>
  </si>
  <si>
    <t>AVEO H|2026|BLANCO|NJJ925C</t>
  </si>
  <si>
    <t>VENTO|2018|AMARILLO|PED1652</t>
  </si>
  <si>
    <t>AVEO H|2026|BLANCO</t>
  </si>
  <si>
    <t>HOJALATERIA</t>
  </si>
  <si>
    <t>VICTOR HUGO RUIZ CASTILLO
RUBI ROBLES SALMERON</t>
  </si>
  <si>
    <t>EDSON GABRIEL AMBRIZ ALVARADO</t>
  </si>
  <si>
    <t>JORGE ALEJANDRO HERNANDEZ VALLEJO</t>
  </si>
  <si>
    <t>JUAN CARLOS CASTRO CASTILLO</t>
  </si>
  <si>
    <t>JORGE LUIS MEJIA LEOBARDO</t>
  </si>
  <si>
    <t>EMMANUEL LARA HERNANDEZ</t>
  </si>
  <si>
    <t>FERNANDO OSORNIO VILLASANA</t>
  </si>
  <si>
    <t>ULISES SANCHEZ HERNANDEZ</t>
  </si>
  <si>
    <t>VENTA</t>
  </si>
  <si>
    <t>EDSON GABRIEL ABRIZ ALVARADO</t>
  </si>
  <si>
    <t>AVANZA|2025|BLANCA|</t>
  </si>
  <si>
    <t>VENDIDO</t>
  </si>
  <si>
    <t>JOSE LUIS PEDRAZA AVILA</t>
  </si>
  <si>
    <t>FREDY PANTALEON VILLALOBOS</t>
  </si>
  <si>
    <t>RAUL NABOR MORIN MEJIA</t>
  </si>
  <si>
    <t>ALEJANDRO VELAZQUEZ VARGAS</t>
  </si>
  <si>
    <t>ALAN AURELIO ORTEGA ORDOÑEZ</t>
  </si>
  <si>
    <t>VERONICA LOPEZ POBLANO</t>
  </si>
  <si>
    <t>JOSE PABLO AGUILAR HERNANDEZ</t>
  </si>
  <si>
    <t>EMILIANO SOLANO SALAZAR</t>
  </si>
  <si>
    <t>ANTONIO GUZMAN BARRON</t>
  </si>
  <si>
    <t>ROBERTO HERNANDEZ GRANADOS</t>
  </si>
  <si>
    <t>AVANZA|2025|BLANCA|NPP846C</t>
  </si>
  <si>
    <t>AVANZA|2021|BLANCA|</t>
  </si>
  <si>
    <t>VENTO|2020|ROJO|NPU174C</t>
  </si>
  <si>
    <t>KIA RIO|2020|GRIS|</t>
  </si>
  <si>
    <t>VERONICA POBLANO LOPEZ</t>
  </si>
  <si>
    <t>GERARDO MIGUEL SANTILLAN VILLANUEVA</t>
  </si>
  <si>
    <t>EN TALLER</t>
  </si>
  <si>
    <t>EN TRAYECTO</t>
  </si>
  <si>
    <t>AVEO|2026|</t>
  </si>
  <si>
    <t>VERSA|2024|AZUL|</t>
  </si>
  <si>
    <t>VERSA|2021|BLANCO</t>
  </si>
  <si>
    <t>MARCH|2022|BLANCO|MGC417C</t>
  </si>
  <si>
    <t>TAG</t>
  </si>
  <si>
    <t>SOCIO</t>
  </si>
  <si>
    <t>PLATAFORMA</t>
  </si>
  <si>
    <t>APP</t>
  </si>
  <si>
    <t>GANANCIA</t>
  </si>
  <si>
    <t>IMPUESTOS</t>
  </si>
  <si>
    <t>P. AJUSANT</t>
  </si>
  <si>
    <t>SEGURO</t>
  </si>
  <si>
    <t>EFECTIVO</t>
  </si>
  <si>
    <t>PAGO A  TERCEROS</t>
  </si>
  <si>
    <t>UBER tot</t>
  </si>
  <si>
    <t>RENTA</t>
  </si>
  <si>
    <t>SEM PASADA</t>
  </si>
  <si>
    <t>FIANZA</t>
  </si>
  <si>
    <t>MULTA</t>
  </si>
  <si>
    <t>HOJALATERO</t>
  </si>
  <si>
    <t>DESCUENTOS</t>
  </si>
  <si>
    <t xml:space="preserve">FA </t>
  </si>
  <si>
    <t>TOTAL</t>
  </si>
  <si>
    <t>PAGOS</t>
  </si>
  <si>
    <t>DEVOLUCIONES</t>
  </si>
  <si>
    <t>PAGADO</t>
  </si>
  <si>
    <t>ADEUDO</t>
  </si>
  <si>
    <t>GANANCIAS TOTALES</t>
  </si>
  <si>
    <t>COMENTARIOS</t>
  </si>
  <si>
    <t>AVEO|2021|OCRE|NEB156A</t>
  </si>
  <si>
    <t>OHLM023012552</t>
  </si>
  <si>
    <t>ASHC</t>
  </si>
  <si>
    <t>IVETH</t>
  </si>
  <si>
    <t>UBER</t>
  </si>
  <si>
    <t>NEB156A</t>
  </si>
  <si>
    <t>ARACELI CASTILLO GUERRERO</t>
  </si>
  <si>
    <t>-</t>
  </si>
  <si>
    <t>CESAR PIÑA BARONA</t>
  </si>
  <si>
    <t>OHLM023658024</t>
  </si>
  <si>
    <t>CLAUDIA LEAÑOS</t>
  </si>
  <si>
    <t>U64</t>
  </si>
  <si>
    <t>OHLM023012487</t>
  </si>
  <si>
    <t>JORGE VAZQUEZ HERNANDEZ</t>
  </si>
  <si>
    <t>JOSE GUADALUPE GARCIA MORALES</t>
  </si>
  <si>
    <t>OHLM031409071</t>
  </si>
  <si>
    <t>VERSA|2017|ACERO|X24APU</t>
  </si>
  <si>
    <t>OHLM023720345</t>
  </si>
  <si>
    <t>X24APU</t>
  </si>
  <si>
    <t>VENTO|2017|GRIS|NZV7888</t>
  </si>
  <si>
    <t>OHLM023720279</t>
  </si>
  <si>
    <t>BAJA DE PLACAS</t>
  </si>
  <si>
    <t>ULISES ITIEL CASTILLO AVILA</t>
  </si>
  <si>
    <t>OHLM031397326</t>
  </si>
  <si>
    <t>ABRAHAM ESCOBEDO ESCALANTE</t>
  </si>
  <si>
    <t>PÉRDIDA</t>
  </si>
  <si>
    <t>DIEGO SANCHEZ</t>
  </si>
  <si>
    <t>OHLM023720329</t>
  </si>
  <si>
    <t>EDGAR GEOVANY URIBE</t>
  </si>
  <si>
    <t>OHLM023720337</t>
  </si>
  <si>
    <t>IRAM HERNANDEZ</t>
  </si>
  <si>
    <t>OHLM023720311</t>
  </si>
  <si>
    <t>OHLM017365206</t>
  </si>
  <si>
    <t>PAGADO | 21 ENE</t>
  </si>
  <si>
    <t>FERNANDO ESQUIVEL SOSA</t>
  </si>
  <si>
    <t>OHLM031409055</t>
  </si>
  <si>
    <t>JUAN CARLOS MUÑOZ</t>
  </si>
  <si>
    <t>OHLM023720287</t>
  </si>
  <si>
    <t>PAGADO | 30 ENE</t>
  </si>
  <si>
    <t>PAGADO | 4 FEB</t>
  </si>
  <si>
    <t>PAGADO | 29 ENE |4 FEB</t>
  </si>
  <si>
    <t>SIN CONDUCTOR</t>
  </si>
  <si>
    <t>PAGADO 8 FEB</t>
  </si>
  <si>
    <t>OHLM031491772</t>
  </si>
  <si>
    <t>OHLM031491780</t>
  </si>
  <si>
    <t>RETIRO CAJERO</t>
  </si>
  <si>
    <t>COMPENSACIÓN DE SALDOS</t>
  </si>
  <si>
    <t xml:space="preserve">PAGADO 5 FEB </t>
  </si>
  <si>
    <t>Pendiente</t>
  </si>
  <si>
    <t>PENDIENTE</t>
  </si>
  <si>
    <t>Devolución Fianza</t>
  </si>
  <si>
    <t>MARIO ALBERTO ROJAS</t>
  </si>
  <si>
    <t>RODOLFO AVANTES</t>
  </si>
  <si>
    <t>SIN TAG</t>
  </si>
  <si>
    <t>Devuelto</t>
  </si>
  <si>
    <t>OHLM031409063</t>
  </si>
  <si>
    <t>JULIO CESAR LOPEZ</t>
  </si>
  <si>
    <t>OHLM023012479</t>
  </si>
  <si>
    <t>JOSE ALFREDO MUÑOZ</t>
  </si>
  <si>
    <t>OHLM023720352</t>
  </si>
  <si>
    <t>NESTOR NOE HERNANDEZ</t>
  </si>
  <si>
    <t>BYER</t>
  </si>
  <si>
    <t>JAIME VALENCIA</t>
  </si>
  <si>
    <t>MANUEL GARCIA MARTINEZ</t>
  </si>
  <si>
    <t>YARETH ABRAHAM MORALES</t>
  </si>
  <si>
    <t>1965 NAYE BBVA</t>
  </si>
  <si>
    <t>2300 NAYE BBVA</t>
  </si>
  <si>
    <t>NAYE BBVA</t>
  </si>
  <si>
    <t>NAYE BBVA Se acordo pagar en 2 exhibiciones de 559 a partir del 21 de abril</t>
  </si>
  <si>
    <t>EDGAR DAMIAN MARTINEZ</t>
  </si>
  <si>
    <t>PAGO DE FIANZA S15 2000</t>
  </si>
  <si>
    <t>NAYE BBVA DIDI</t>
  </si>
  <si>
    <t>pagado</t>
  </si>
  <si>
    <t>pagado DIDI</t>
  </si>
  <si>
    <t>pagado S15</t>
  </si>
  <si>
    <t>se depositan 300</t>
  </si>
  <si>
    <t>PAGA EL VIERNES 02 DE MAYO</t>
  </si>
  <si>
    <t>DEUDOR</t>
  </si>
  <si>
    <t>SE QUEDA A SU FAVOR 40</t>
  </si>
  <si>
    <t>QUEDA A SU FAVOR TODO PARA LA PROXIMA SEMANA</t>
  </si>
  <si>
    <t>TRANSFIRIO 06-05 NAYE BBVA</t>
  </si>
  <si>
    <t>PAGADO, A SU FAVOR 38</t>
  </si>
  <si>
    <t>2400 NAYE BBVA</t>
  </si>
  <si>
    <t>OHLM032370082</t>
  </si>
  <si>
    <t>OHLM032370140</t>
  </si>
  <si>
    <t>OHLM032370132</t>
  </si>
  <si>
    <t>Deudor</t>
  </si>
  <si>
    <t>OHLM032370108</t>
  </si>
  <si>
    <t>OHLM032370116</t>
  </si>
  <si>
    <t>OHLM032370124</t>
  </si>
  <si>
    <t>81 a su favor</t>
  </si>
  <si>
    <t>MARIA DEL CARMEN ALVARADO ALEJO</t>
  </si>
  <si>
    <t>OHLM032370157</t>
  </si>
  <si>
    <t>ALEJANDRO CABALLERO POMPA</t>
  </si>
  <si>
    <t>JOSE DE JESUS PEREZ GARCIA</t>
  </si>
  <si>
    <t>se depositan 800</t>
  </si>
  <si>
    <t>quedan pendientes 600 de adelanto</t>
  </si>
  <si>
    <t>200 DE NICO PAGADO</t>
  </si>
  <si>
    <t>1500 DE NICO PAGADO</t>
  </si>
  <si>
    <t xml:space="preserve">QUEDO SALDADO CON SANTIAGO </t>
  </si>
  <si>
    <t>300 DE ROSA (SALDO PENDIENTE SE VA A DESCONTAR)</t>
  </si>
  <si>
    <t>JUAN FERNANDO GUTIERREZ FELIX</t>
  </si>
  <si>
    <t>100 DE ROSA PAGADO</t>
  </si>
  <si>
    <t>OHLM032762148</t>
  </si>
  <si>
    <t>ROSA BBVA</t>
  </si>
  <si>
    <t>nAYE BBVA</t>
  </si>
  <si>
    <t>OHLM032762130</t>
  </si>
  <si>
    <t>AJUSTE DE FIANZA Y HOJALATERIA</t>
  </si>
  <si>
    <t>DESCUENTO TOTAL Y DEVOLUCIÓN A NICO</t>
  </si>
  <si>
    <t>SALDO A CUENTA por venta de llantas</t>
  </si>
  <si>
    <t>DEPOSITAR 3,800 (ROSA LE DEBE 70) +15 PROX SEM</t>
  </si>
  <si>
    <t>OHLM032762114</t>
  </si>
  <si>
    <t>ROMMINA LUGO</t>
  </si>
  <si>
    <t>OHLM032762171</t>
  </si>
  <si>
    <t>BBVA NAYE</t>
  </si>
  <si>
    <t>ALAN ALCANTARA CRUZ</t>
  </si>
  <si>
    <t>SALDO PENDIENTE</t>
  </si>
  <si>
    <t>SE DEPOSITAN 61 A Nico</t>
  </si>
  <si>
    <t>se depositan 2100, restan 49 sig sem</t>
  </si>
  <si>
    <t>PAGA EN SEMANA 26</t>
  </si>
  <si>
    <t>SIN PAGO</t>
  </si>
  <si>
    <t>nAYE BBVA PENDIENTE SIG SEM 12%</t>
  </si>
  <si>
    <t>Paga el fin</t>
  </si>
  <si>
    <t>RETIRO SIN TARJETA DE 1400</t>
  </si>
  <si>
    <t>SE PAGA CON SALDO DE FIANZA</t>
  </si>
  <si>
    <t>SIN DEVOLUCIÓN</t>
  </si>
  <si>
    <t>PABLO MANUEL CARDENAS</t>
  </si>
  <si>
    <t>INICIA EL SABADO 21 DE JUNIO 7 pm</t>
  </si>
  <si>
    <t>12% SEM 27</t>
  </si>
  <si>
    <t>GABRIEL FRANCO</t>
  </si>
  <si>
    <t>pendientes 40 s27</t>
  </si>
  <si>
    <t>JUAN CARLOS MEDINA LIMON</t>
  </si>
  <si>
    <t>RICARDO OMAR CAMACHO ZUÑIGA</t>
  </si>
  <si>
    <t>RICARDO SANCHEZ ASTORGA</t>
  </si>
  <si>
    <t>JGD</t>
  </si>
  <si>
    <t>PAGA YUL</t>
  </si>
  <si>
    <t>PAGA EN SEMANA 28 CON 12%</t>
  </si>
  <si>
    <t>OHLM035994292</t>
  </si>
  <si>
    <t>OHLM035993526</t>
  </si>
  <si>
    <t>PENDIENTES -22 SIG SEM</t>
  </si>
  <si>
    <t>OHLM032762106</t>
  </si>
  <si>
    <t>RECIBO EN EFECTIVO Y 12% LO RESTANTE</t>
  </si>
  <si>
    <t>LUIS ANGEL CASTAÑEDA</t>
  </si>
  <si>
    <t>PAGADO JG</t>
  </si>
  <si>
    <t>OHLM032370090</t>
  </si>
  <si>
    <t>JESUS ALBERTO CORTES</t>
  </si>
  <si>
    <t>SE TOMA DE SU FIANZA PARA PAGAR SU ADEUDO</t>
  </si>
  <si>
    <t>Depositar 1,300 -29 S29</t>
  </si>
  <si>
    <t>1,350 en efectivo - 1,000 en transferencia</t>
  </si>
  <si>
    <t>Deposito JG</t>
  </si>
  <si>
    <t>Pagado a JG</t>
  </si>
  <si>
    <t>CUENTA SALDADA CON FIANZA</t>
  </si>
  <si>
    <t>SE DEPOSITAN 800 -52 S30</t>
  </si>
  <si>
    <t>PAGADO A JG</t>
  </si>
  <si>
    <t>SE DEPOSITAN DOS PAGOS DE 500 Y 500 EN EFECTIVO QUE LE DI A JULIO</t>
  </si>
  <si>
    <t>ADEUDO EN DOS EXHIBICIONES</t>
  </si>
  <si>
    <t>DEPOSITO 3,000</t>
  </si>
  <si>
    <t>SE PAGAN 200 -22 S31</t>
  </si>
  <si>
    <t>JUAN DIEGO GONZALEZ PEREZ</t>
  </si>
  <si>
    <t>SE QUEDA A CUENTA DE REPARACIÓN PARA VENTO PED</t>
  </si>
  <si>
    <t>PEND 417 S32</t>
  </si>
  <si>
    <t>ACUMULAR A SEMANA SIG + 700 EN EFECTIVO 07-08</t>
  </si>
  <si>
    <t>PAGA JORGE</t>
  </si>
  <si>
    <t>PAGADO A JORGE</t>
  </si>
  <si>
    <t>NAYE BBVA DEVUELTO A ASHC BANORTE</t>
  </si>
  <si>
    <t>PAGA EL LUNES</t>
  </si>
  <si>
    <t>DANIEL CRUZ RODRIGUEZ</t>
  </si>
  <si>
    <t>ASHC BANORTE</t>
  </si>
  <si>
    <t>SE DEPOSITAN 1000 PENDIENTES 38 S33</t>
  </si>
  <si>
    <t xml:space="preserve">NAYE BBVA </t>
  </si>
  <si>
    <t>DEUDOR CON RESGUARDO DE CELULAR</t>
  </si>
  <si>
    <t>PAGADO POR JG</t>
  </si>
  <si>
    <t>OHLM035994284</t>
  </si>
  <si>
    <t>NAYE BBVA DEVUELTO A ASHC BANORTE + 330 EFECTIVO</t>
  </si>
  <si>
    <t>ROUS BBVA DEVUELTO A ASHC BANORTE</t>
  </si>
  <si>
    <t>PAGADO POR BYER</t>
  </si>
  <si>
    <t>SE DEPOSITAN 1000 PENDIENTES 23 S34</t>
  </si>
  <si>
    <t>NAYE BBVA 100, EFECTIVO 500</t>
  </si>
  <si>
    <t>PAGADO NAYE BBVA</t>
  </si>
  <si>
    <t>SANTIAGO BANORTE</t>
  </si>
  <si>
    <t xml:space="preserve"> </t>
  </si>
  <si>
    <t>ROSA BBVA DEVUELTO A ASHC BANORTE</t>
  </si>
  <si>
    <t>SE REALIZA RETIRO DE 1000 PENDIENTES 14 S35</t>
  </si>
  <si>
    <t>BANORTE ASHC</t>
  </si>
  <si>
    <t>RUBEN BERMEJO RUIZ</t>
  </si>
  <si>
    <t>CUENTA SANTIAGO</t>
  </si>
  <si>
    <t>DESCONTAR 500 DE NICO SE PAGAN 1,100 PEN 51</t>
  </si>
  <si>
    <t>MIGUEL INOCENTE TORRES</t>
  </si>
  <si>
    <t>VENTO|2019|BLANCO|MGC410C</t>
  </si>
  <si>
    <t>A CUENTA PED</t>
  </si>
  <si>
    <t>NAYE BBVA DEVUELTO A ASHC BANCOMER</t>
  </si>
  <si>
    <t>PAGADO BBVA NAYE</t>
  </si>
  <si>
    <t>TRABAJO 2 DÍAS CON SUELDO Y 5 COMO CONDUCTOR</t>
  </si>
  <si>
    <t>REVISAR</t>
  </si>
  <si>
    <t>GABRIEL LUNA</t>
  </si>
  <si>
    <t>DIDI</t>
  </si>
  <si>
    <t>YUL BBVA DEVUELTO A JG, PAGADA GASOLINA</t>
  </si>
  <si>
    <t>DESCONTAR 500 DE NICO 34 PEND S37</t>
  </si>
  <si>
    <t>VENTO|2020|GRIS|MGC414C</t>
  </si>
  <si>
    <t>PENDIENTES POR ENFERMEDAD</t>
  </si>
  <si>
    <t>PAGADO BYER</t>
  </si>
  <si>
    <t>DEVUELTO NAYE BBVA</t>
  </si>
  <si>
    <t>SE LE PAGAN 200 PEND 24 S38</t>
  </si>
  <si>
    <t>pagado en efectivo (RECIBE GABO)</t>
  </si>
  <si>
    <t>JULIO RICARDO GONZALEZ GARCIA</t>
  </si>
  <si>
    <t>NAYE BBVA DEV A SANTIAGO BAN</t>
  </si>
  <si>
    <t>naye bbva</t>
  </si>
  <si>
    <t>DAVID MARTINEZ</t>
  </si>
  <si>
    <t>EFECT JG</t>
  </si>
  <si>
    <t>PENDIENTES A PAGO</t>
  </si>
  <si>
    <t>GONZALO LEYVA MORLAN</t>
  </si>
  <si>
    <t>PAGA HOY</t>
  </si>
  <si>
    <t xml:space="preserve">PAGA EL VIERNES  </t>
  </si>
  <si>
    <t>PAGO CON MONTO DE FIANZA</t>
  </si>
  <si>
    <t>DANIEL OMKIN GARCIA</t>
  </si>
  <si>
    <t>DIDI ASHC 2500 JG + FIANZA</t>
  </si>
  <si>
    <t>PENDIENTES</t>
  </si>
  <si>
    <t>PAGO CUBIERTO PARA ADEUDO ASHC</t>
  </si>
  <si>
    <t>DEJA CELULAR A CAMBIO</t>
  </si>
  <si>
    <t>paga el viernes</t>
  </si>
  <si>
    <t>EFECTIVO ENTREGADO A YUL</t>
  </si>
  <si>
    <t>MAS SEM 39</t>
  </si>
  <si>
    <t xml:space="preserve">ACUMULADO </t>
  </si>
  <si>
    <t xml:space="preserve">DIDI  </t>
  </si>
  <si>
    <t>JESUS DAVILA CASTAÑEDA</t>
  </si>
  <si>
    <t>????</t>
  </si>
  <si>
    <t>EL COCHE FALLO 3 DÍAS</t>
  </si>
  <si>
    <t>1600 santi pend PPTO</t>
  </si>
  <si>
    <t>EXTRA 1,000 DEL GOLPE</t>
  </si>
  <si>
    <t>LOS DEBE JORGE</t>
  </si>
  <si>
    <t>ASHC BANORTE (SON DE YUL)</t>
  </si>
  <si>
    <t>12% sem 42</t>
  </si>
  <si>
    <t>MARTIN ALEJANDRO CRUZ TORRES</t>
  </si>
  <si>
    <t>ESTA SEMANA NO PAGARÁ HASTA LA SIG</t>
  </si>
  <si>
    <t>NO PAGARÁ</t>
  </si>
  <si>
    <t>LUNES 12%</t>
  </si>
  <si>
    <t>PAGADO POR NAYE</t>
  </si>
  <si>
    <t>OHLM036759058</t>
  </si>
  <si>
    <t>2,450 EN TRANSF  SAN BANO Y 500 EFECT YUL</t>
  </si>
  <si>
    <t>NAYE BBVA DEV JG</t>
  </si>
  <si>
    <t>OHLM036752301</t>
  </si>
  <si>
    <t>DEV A JG</t>
  </si>
  <si>
    <t>PAGA CON FIANZA</t>
  </si>
  <si>
    <t>1,229 TRANS SAN BANO - 500 EFECT</t>
  </si>
  <si>
    <t>OHLM036759082</t>
  </si>
  <si>
    <t>OHLM0367590666</t>
  </si>
  <si>
    <t>OHML036752319</t>
  </si>
  <si>
    <t>ALEJANDRO LUCIO GONZALEZ</t>
  </si>
  <si>
    <t>A CUENTA DE SANTI</t>
  </si>
  <si>
    <t>PAGA ASHC</t>
  </si>
  <si>
    <t>OHLM038285797</t>
  </si>
  <si>
    <t>SALDADO ASHC</t>
  </si>
  <si>
    <t>PAGADO POR ASHC</t>
  </si>
  <si>
    <t>PAGA 12/11 ANTES DE LAS 5</t>
  </si>
  <si>
    <t>DESCUENTO DE FIANZA</t>
  </si>
  <si>
    <t>PAGARA DIARIO 700 A PARTIR DE 11/11 ASHC BANORTE</t>
  </si>
  <si>
    <t>PAGA 1,400 11/11 Y RESTANTE EL 13/11 ASHC BANORTE</t>
  </si>
  <si>
    <t>LUIS JOARI RODRIGUEZ ZUÑIGA</t>
  </si>
  <si>
    <t>SALDADO CON FIANZA</t>
  </si>
  <si>
    <t>MENOS 200 GAS NAYE</t>
  </si>
  <si>
    <t>OHLM03149178</t>
  </si>
  <si>
    <t>DEV A JORGE</t>
  </si>
  <si>
    <t>PAGADO A JGD</t>
  </si>
  <si>
    <t>EFECTIVO ROUS</t>
  </si>
  <si>
    <t>PAGA CON CUENTA ASHC</t>
  </si>
  <si>
    <t>PAGA CON SALDO A FAVOR DE ASHC</t>
  </si>
  <si>
    <t>PAGA EL VIERNES</t>
  </si>
  <si>
    <t>PAGA EL JUEVES</t>
  </si>
  <si>
    <t>PAGADO CON MONTO A FAVOR DE UBER</t>
  </si>
  <si>
    <t>OHLM038285763</t>
  </si>
  <si>
    <t>OHLM038285755</t>
  </si>
  <si>
    <t>OHLM038285722</t>
  </si>
  <si>
    <t>OHLM038285730</t>
  </si>
  <si>
    <t>PAGADO CON MONTO A FAVOR DE BYER</t>
  </si>
  <si>
    <t>OHLM038285771</t>
  </si>
  <si>
    <t>OHLM038285813</t>
  </si>
  <si>
    <t>ALAN XAVIER LARA JIMENEZ</t>
  </si>
  <si>
    <t>SE PAGA CON CUENTA A FAVOR DE BYER</t>
  </si>
  <si>
    <t>TRANSFIERE A ASHC</t>
  </si>
  <si>
    <t>OHLM038285821</t>
  </si>
  <si>
    <t>OHLM037480332</t>
  </si>
  <si>
    <t>OHLM036759090</t>
  </si>
  <si>
    <t>TRANSFERENCIA A ASHC BANORTE</t>
  </si>
  <si>
    <t>ASHC BANORTE + 740 QUE PAGARÁ ÉL DE LA VERIFICACIÓN</t>
  </si>
  <si>
    <t>2000 ASHC BANORTE Y 450 DE GASOLINA FACTURAS</t>
  </si>
  <si>
    <t>OHLM038285805</t>
  </si>
  <si>
    <t>OHLM035935635</t>
  </si>
  <si>
    <t>JGD BANORTE</t>
  </si>
  <si>
    <t>MARCH|2021|BLANCO|MGC417C</t>
  </si>
  <si>
    <t>OHML037480316</t>
  </si>
  <si>
    <t>OHLM037480340</t>
  </si>
  <si>
    <t>OHLM037480324</t>
  </si>
  <si>
    <t>SALDO ASHC</t>
  </si>
  <si>
    <t>PAGADO POR ASHC + $31 PEND S51</t>
  </si>
  <si>
    <t>PAGADO POR ASHC, PAGA $700 20 DE DIC A FAVOR</t>
  </si>
  <si>
    <t>$445 PAGADO POR ASHC + 656 ASHC BANORTE 17 DIC+DA 700 PESOS 20 DE DIC</t>
  </si>
  <si>
    <t>PAGADO POR JGD</t>
  </si>
  <si>
    <t>$877 ASHC BANORTE 18 DIC $140 ASHC BANORTE 18 DIC</t>
  </si>
  <si>
    <t>$1805 ASHC BANORTE 17 DIC</t>
  </si>
  <si>
    <t>$700 ASHC BANORTE 16 DIC + $700 ASHC BANORTE 18 DIC+$700 ASHC BANORTE 20 DIC, PAGA 21 DIC TRANS ASHC</t>
  </si>
  <si>
    <t xml:space="preserve">$288 PAGADO POR ASHC </t>
  </si>
  <si>
    <t>$1300 ASHC BANORTE 16 DIC</t>
  </si>
  <si>
    <t>$1850 ASHC BANORTE 17 DIC, PAGA EL 19 $514</t>
  </si>
  <si>
    <t>$800 ASHC BANORTE 17 DIC</t>
  </si>
  <si>
    <t>$1900 ASHC BANORTE 18 DIC</t>
  </si>
  <si>
    <t>$914 ASHC BANORTE 17 DIC</t>
  </si>
  <si>
    <t>EN ACUERDO CON SANTIAGO</t>
  </si>
  <si>
    <t>$1502 ASHC BANORTE 17 DIC</t>
  </si>
  <si>
    <t>$491 ASHC BANORTE 17 DIC</t>
  </si>
  <si>
    <t>$2000 ASHC BANORTE 15 DIC</t>
  </si>
  <si>
    <t>$708 ASHC BANORTE 16 DIC</t>
  </si>
  <si>
    <t>$29 PENDIENTES S51</t>
  </si>
  <si>
    <t>$2947 EN CUENTA ASHC</t>
  </si>
  <si>
    <t>JUAN PABLO HERNANDEZ ALMAZAN</t>
  </si>
  <si>
    <t>ENTREGA EFEC A 740 ASHC EL 13 DE DIC + 187 EN CUENTA ASHC</t>
  </si>
  <si>
    <t>PAGA POR TRANSFERENCIA SABADO 20 DE DICIEMBRE, ASHC BANORTE</t>
  </si>
  <si>
    <t>$216 ASHC UN 23 DIC</t>
  </si>
  <si>
    <t>ASHC_DIDI</t>
  </si>
  <si>
    <t xml:space="preserve">$700 ASHC BANO 22 DE DIC, $3100 A BANO </t>
  </si>
  <si>
    <t>$1,100 ASHC BBVA 22 DIC</t>
  </si>
  <si>
    <t>$2,287 ASHC BANO 23 DIC</t>
  </si>
  <si>
    <t>$1500 BANORTE</t>
  </si>
  <si>
    <t>$580 EFECTIVO A YUL 22 DIC</t>
  </si>
  <si>
    <t>$7 ASHC BANO 23 DIC + $1,250 BANO 23 DIC</t>
  </si>
  <si>
    <t>$1,071 ASHC BANO 23 DIC</t>
  </si>
  <si>
    <t>$1,000 ASHC BANO 23 DIC</t>
  </si>
  <si>
    <t>$1,000 ASHC BANO 23 DIC, $375 23 DE DICIEMBRE</t>
  </si>
  <si>
    <t>$645 ASHC BANO 23 DIC</t>
  </si>
  <si>
    <t>$545 EFECTIVO A YUL 22 DIC</t>
  </si>
  <si>
    <t>$700 ASHC BANO 23 DIC</t>
  </si>
  <si>
    <t>PAGA SABADO</t>
  </si>
  <si>
    <t>$181 ASHC BANO 23 DIC</t>
  </si>
  <si>
    <t>NO VA A PAGAR POR ESTUDIOS MEDICOS, LUNES SE PONE AL CORRIENTE</t>
  </si>
  <si>
    <t>$281 ASHC BBVA 22 DIC + $2,000 EN 2 EXHIBICIONES</t>
  </si>
  <si>
    <t>PAGADO POR ASHC $900, PEND 33 S52</t>
  </si>
  <si>
    <t>$2500 ASHC BANO 24 DIC, ABONA 600 26 DE DIC</t>
  </si>
  <si>
    <t>$149 ASHC BANO 24 DIC</t>
  </si>
  <si>
    <t>$2,000 ASHC BANO 23 DIC</t>
  </si>
  <si>
    <t>PAGA LUNES</t>
  </si>
  <si>
    <t>PAGA 700 EL 29 DE DIC, 700 30 DIC, ASHC BANO</t>
  </si>
  <si>
    <t>OHLM038626776</t>
  </si>
  <si>
    <t xml:space="preserve">1,144 ASHC BANO 31 DIC </t>
  </si>
  <si>
    <t>OHLM038626768</t>
  </si>
  <si>
    <t>PAGA EL LUNES CON EL 12% ADICIONAL</t>
  </si>
  <si>
    <t>$1913 29 DE DIC ASHC BANORTE</t>
  </si>
  <si>
    <t>OHLM038626743</t>
  </si>
  <si>
    <t>$936 30 DE DIC, ASHC BANORTE</t>
  </si>
  <si>
    <t>$1200 30 DE DIC ASHC, $1600 2 DE ENERO, $341 3 DE DIC BANO</t>
  </si>
  <si>
    <t>$300 ASHC BANORTE 3 DE ENERO</t>
  </si>
  <si>
    <t>OHLM038626750</t>
  </si>
  <si>
    <t>DEP EN EFEC $1500 31 DE DIC, $660 2 ENERO</t>
  </si>
  <si>
    <t xml:space="preserve"> SU FIANZA Y CUENTA ES PROPORCIONAL</t>
  </si>
  <si>
    <t>1,100 ASHC BANO 29 DIC, 300 ASHC BANO 31 DIC</t>
  </si>
  <si>
    <t>$29 ASHC BANO 3 DE ENERO</t>
  </si>
  <si>
    <t xml:space="preserve">DA 7000 EL VIERNES </t>
  </si>
  <si>
    <t xml:space="preserve">ULTIMO PAGO DE FIANZA </t>
  </si>
  <si>
    <t>$700 1RO DE DICIEMBRE</t>
  </si>
  <si>
    <t>$290 31 DE DIC, ASHC BANO</t>
  </si>
  <si>
    <t>OHLM038628194</t>
  </si>
  <si>
    <t>$2000 31 DE DIC ASHC BANORTE</t>
  </si>
  <si>
    <t>FIANZA PENDIENTE POR TEMAS MEDICOS, $2000 31 DE DIC AZTECA ASHC + 1100 01 ENE</t>
  </si>
  <si>
    <t>PAGA EL DOMINGO</t>
  </si>
  <si>
    <t>OHLM038626735</t>
  </si>
  <si>
    <t>TRANSFIERE FIANZA INICIAL A ASHC</t>
  </si>
  <si>
    <t>LLAVE</t>
  </si>
  <si>
    <t>P. A ANT</t>
  </si>
  <si>
    <t>P T</t>
  </si>
  <si>
    <t>UBER
GANANCIA</t>
  </si>
  <si>
    <t>A PAGAR</t>
  </si>
  <si>
    <t>DEV</t>
  </si>
  <si>
    <t>GANANCIAS 
TOTALES</t>
  </si>
  <si>
    <t>Anticipo F</t>
  </si>
  <si>
    <t>OHLM038285789</t>
  </si>
  <si>
    <t>SE CONDONA ADEUDO Y SE AJUSTA DEUDO 2025</t>
  </si>
  <si>
    <r>
      <t xml:space="preserve">DA RENTA POR FUERA HOJALATERIA 11/18, </t>
    </r>
    <r>
      <rPr>
        <b/>
        <sz val="10"/>
        <color rgb="FF000000"/>
        <rFont val="Aptos Narrow"/>
        <family val="2"/>
        <scheme val="minor"/>
      </rPr>
      <t>PAGA 2,800 11 ENE</t>
    </r>
  </si>
  <si>
    <r>
      <t>TRABAJA DIDI-ASHC</t>
    </r>
    <r>
      <rPr>
        <b/>
        <sz val="10"/>
        <color rgb="FF000000"/>
        <rFont val="Aptos Narrow"/>
        <family val="2"/>
        <scheme val="minor"/>
      </rPr>
      <t>, PAGO 2,857 10 ENE (273 DE DIDI ATRASOS)</t>
    </r>
  </si>
  <si>
    <r>
      <rPr>
        <sz val="10"/>
        <color rgb="FF000000"/>
        <rFont val="Calibri"/>
        <family val="2"/>
      </rPr>
      <t xml:space="preserve">TRABAJA AMBAS APPS | </t>
    </r>
    <r>
      <rPr>
        <b/>
        <sz val="10"/>
        <color rgb="FF000000"/>
        <rFont val="Calibri"/>
        <family val="2"/>
      </rPr>
      <t xml:space="preserve">PAGO 7 ENE 1,200 + 1,000 10 ENE </t>
    </r>
    <r>
      <rPr>
        <b/>
        <sz val="10"/>
        <color rgb="FFFF0000"/>
        <rFont val="Calibri"/>
        <family val="2"/>
      </rPr>
      <t>GESTIONAR PAGO URGE</t>
    </r>
  </si>
  <si>
    <t>FIANZA 7/11 PAGO 7 ENE 1,100 + 1,085 8 ENE</t>
  </si>
  <si>
    <r>
      <t xml:space="preserve">ADEUDO SEM ANT - </t>
    </r>
    <r>
      <rPr>
        <b/>
        <sz val="10"/>
        <color theme="1"/>
        <rFont val="Aptos Narrow"/>
        <family val="2"/>
        <scheme val="minor"/>
      </rPr>
      <t>PROB FAM HIJA LEUSEM PAGA EL LUNES</t>
    </r>
    <r>
      <rPr>
        <sz val="10"/>
        <color theme="1"/>
        <rFont val="Aptos Narrow"/>
        <family val="2"/>
        <scheme val="minor"/>
      </rPr>
      <t xml:space="preserve"> SE CONDONA LA CUENTA</t>
    </r>
  </si>
  <si>
    <t>HOJALATERIA 2/5 PAGA HASTA LA SEM 3 SIN DESC DE HOJ</t>
  </si>
  <si>
    <t>FIANZA 5/10 PAGO 7 ENE 902</t>
  </si>
  <si>
    <r>
      <t>CTA PROP 2 DIAS PQ SALIO CDMX,HOJALATERIA 11/26 -</t>
    </r>
    <r>
      <rPr>
        <b/>
        <sz val="10"/>
        <color rgb="FF000000"/>
        <rFont val="Aptos Narrow"/>
        <family val="2"/>
        <scheme val="minor"/>
      </rPr>
      <t xml:space="preserve"> 1,300 9 ENE + 1,000 11 ENE</t>
    </r>
    <r>
      <rPr>
        <sz val="10"/>
        <color rgb="FF000000"/>
        <rFont val="Aptos Narrow"/>
        <family val="2"/>
        <scheme val="minor"/>
      </rPr>
      <t xml:space="preserve"> 8ene 1000</t>
    </r>
  </si>
  <si>
    <r>
      <t>PAGO TRANSF ASHC</t>
    </r>
    <r>
      <rPr>
        <b/>
        <sz val="10"/>
        <color rgb="FF000000"/>
        <rFont val="Calibri"/>
        <family val="2"/>
      </rPr>
      <t xml:space="preserve"> 5 ENE 610, 473 9 ENE, 375 10 ENE, 400 10 ENE, 500 11 ENE, 306 11 ENE</t>
    </r>
  </si>
  <si>
    <r>
      <t xml:space="preserve"> FIANZA 5/10 -  </t>
    </r>
    <r>
      <rPr>
        <b/>
        <sz val="10"/>
        <color rgb="FF000000"/>
        <rFont val="Calibri"/>
        <family val="2"/>
      </rPr>
      <t>PAGO 800 6 ENE</t>
    </r>
  </si>
  <si>
    <t>SE COBRA CTA COMPL EN DIDI</t>
  </si>
  <si>
    <t xml:space="preserve"> FIANZA 6/11</t>
  </si>
  <si>
    <t>CTA PROPDEL LUNES 2,500, RESTO DE SEM 2700</t>
  </si>
  <si>
    <t>PAGA 1,800 10 ENE</t>
  </si>
  <si>
    <t>REDUCCION DE CTA 1/2</t>
  </si>
  <si>
    <r>
      <t xml:space="preserve">FIANZA 3/11 PAGO 7 ENE 605 </t>
    </r>
    <r>
      <rPr>
        <b/>
        <sz val="10"/>
        <color rgb="FFFF0000"/>
        <rFont val="Aptos Narrow"/>
        <family val="2"/>
        <scheme val="minor"/>
      </rPr>
      <t>NO CONTESTA</t>
    </r>
  </si>
  <si>
    <t>CTA PROPAL JUEVES, ABANDONA AUTO, NO SE LE REGRESA FIANZA NI PAGO.</t>
  </si>
  <si>
    <r>
      <t xml:space="preserve">FIANZA 3/10 </t>
    </r>
    <r>
      <rPr>
        <b/>
        <sz val="10"/>
        <color rgb="FF000000"/>
        <rFont val="Calibri"/>
        <family val="2"/>
      </rPr>
      <t>PAGO 7 ENE 1,000 Y 500 11 ENE</t>
    </r>
  </si>
  <si>
    <t>CTA PROP 4 DÍAS, SE BAJA VIE, ADEUDA HOJTRIA, LLAVE, Y LAV INTER (SIN DEV DE FIANZA)</t>
  </si>
  <si>
    <t>CTA LUNES 2,500, MAR-DOM 2700, FIANZA 10/10 - QUEDA CON ROUS PAGO EN DOS EXHIBISIONES S2 746.5  Y S3 746.5 +12%</t>
  </si>
  <si>
    <t>HOJALATERIA 11/23</t>
  </si>
  <si>
    <t>PAGA 192 6 ENE</t>
  </si>
  <si>
    <t>FIANZA 7/10, PAGA ADEUDO 2/2 | PAGO 7 ENE 391</t>
  </si>
  <si>
    <r>
      <t>SEM 817 A FAVOR, ADEUDO DE GOLPE 2018, $5000 SEMANALES -</t>
    </r>
    <r>
      <rPr>
        <b/>
        <sz val="10"/>
        <color rgb="FF000000"/>
        <rFont val="Aptos Narrow"/>
        <family val="2"/>
        <scheme val="minor"/>
      </rPr>
      <t xml:space="preserve"> DEPOSITA 3,000 6 ENE (</t>
    </r>
    <r>
      <rPr>
        <sz val="10"/>
        <color rgb="FF000000"/>
        <rFont val="Aptos Narrow"/>
        <family val="2"/>
        <scheme val="minor"/>
      </rPr>
      <t>900 A CUENTA Y 2,100 GLPE PED)</t>
    </r>
  </si>
  <si>
    <t>DEV FIANZA 7/10</t>
  </si>
  <si>
    <t>ULTIMO PAGO DE FIANZA</t>
  </si>
  <si>
    <t>DEV DE FIANZA 3/7</t>
  </si>
  <si>
    <r>
      <t xml:space="preserve">TRABAJA APP JG UBER, HOJALATERIA 12/15 - </t>
    </r>
    <r>
      <rPr>
        <b/>
        <sz val="10"/>
        <color rgb="FF000000"/>
        <rFont val="Aptos Narrow"/>
        <family val="2"/>
        <scheme val="minor"/>
      </rPr>
      <t>PAGA 700 7 ENE</t>
    </r>
  </si>
  <si>
    <t xml:space="preserve"> ADEUDO SEMANA PASADA A 12%,HOJALATERIA 7/8</t>
  </si>
  <si>
    <t>CTA PROP TRABAJO EN PLAT 1 DÍA 2,500 SEM RESTANTE 2,700.. FIANZA 6/11</t>
  </si>
  <si>
    <r>
      <t xml:space="preserve">FIANZA 4/9  - </t>
    </r>
    <r>
      <rPr>
        <b/>
        <sz val="10"/>
        <color rgb="FF000000"/>
        <rFont val="Aptos Narrow"/>
        <family val="2"/>
        <scheme val="minor"/>
      </rPr>
      <t>PAGA 2,182 7 ENE</t>
    </r>
  </si>
  <si>
    <t>FIANZA 4/11</t>
  </si>
  <si>
    <t>OPERACION</t>
  </si>
  <si>
    <r>
      <rPr>
        <sz val="10"/>
        <color rgb="FF000000"/>
        <rFont val="Calibri"/>
        <family val="2"/>
      </rPr>
      <t xml:space="preserve">HOJALATERIA 7/18,PROMESA DE PAGO DIA MARTES </t>
    </r>
    <r>
      <rPr>
        <b/>
        <sz val="10"/>
        <color rgb="FFFF0000"/>
        <rFont val="Calibri"/>
        <family val="2"/>
      </rPr>
      <t xml:space="preserve">NO CONTESTA. </t>
    </r>
    <r>
      <rPr>
        <b/>
        <sz val="10"/>
        <color rgb="FF000000"/>
        <rFont val="Calibri"/>
        <family val="2"/>
      </rPr>
      <t>PAGA 503 10 ENE Y 200 11 ENE</t>
    </r>
  </si>
  <si>
    <t>FIANZA 4/10, PROM PAGO DIA MARTES, PAGA 2,000 7 ENE</t>
  </si>
  <si>
    <t>NO CONTESTA</t>
  </si>
  <si>
    <t>PAGO 7 ENE 2,500</t>
  </si>
  <si>
    <t>PAGO 5 ENE 2,000</t>
  </si>
  <si>
    <t>CTA PROP 5.5 DÍAS, FIANZA 1/8</t>
  </si>
  <si>
    <r>
      <t xml:space="preserve">CTA PROP 5 DÍAS, FIANZA 1/10 </t>
    </r>
    <r>
      <rPr>
        <b/>
        <sz val="10"/>
        <color rgb="FF000000"/>
        <rFont val="Calibri"/>
        <family val="2"/>
      </rPr>
      <t>PAGA 571 6 ENE</t>
    </r>
  </si>
  <si>
    <r>
      <t xml:space="preserve">FIANZA 7/11 - </t>
    </r>
    <r>
      <rPr>
        <b/>
        <sz val="10"/>
        <color rgb="FF000000"/>
        <rFont val="Aptos Narrow"/>
        <family val="2"/>
        <scheme val="minor"/>
      </rPr>
      <t>PAGA 1,400 6 ENE</t>
    </r>
  </si>
  <si>
    <t>CTA PROP TRABAJO EN FLOTILLA</t>
  </si>
  <si>
    <t>OHLM03237015</t>
  </si>
  <si>
    <t>GENERA EN DIDI COMO SOCIO</t>
  </si>
  <si>
    <t>P12ENE 600 P14ENE 700 P16ENE 1000 P18ENE 1300</t>
  </si>
  <si>
    <t>PAGO 15 ENE 1000</t>
  </si>
  <si>
    <t>OHLM02372032</t>
  </si>
  <si>
    <t>SE DIO 2,000 DE FIANZA EN EFECTIVO</t>
  </si>
  <si>
    <t>OHLM03140907</t>
  </si>
  <si>
    <t>INICIA MIER 7 26_CTA Y FIANZ PROP 5 DÍAS</t>
  </si>
  <si>
    <t>INICIA MAR 6 26_CTA Y FIANZ PROP 5.5 DÍAS DEJA EN GARANTÍA 2 CARTERAS ORIG TOMY Y MKOR PAGO 16 ENE</t>
  </si>
  <si>
    <t>INICIA JUE 8 26 ENTREGA 1000 FIANZA EN EFE MAÑANA PAGA UNA PARTE</t>
  </si>
  <si>
    <t>INICIA 5 ENE 26 DEJA EN GARANTÍA LAPTOP</t>
  </si>
  <si>
    <t>OHLM03864557</t>
  </si>
  <si>
    <t>FIANZA 8/11 SE BAJA DEL AUTO 15 ENE CON ADEUDO Y NOS QUEDAMOS CON LA FIANZA</t>
  </si>
  <si>
    <t>PAGO 14 ENE 835</t>
  </si>
  <si>
    <t>PIDIO Q EL DESC FUERA HASTA LA SEM 3</t>
  </si>
  <si>
    <t>OHLM038638839</t>
  </si>
  <si>
    <t>IVETT</t>
  </si>
  <si>
    <t>FIANZA 6/10  PAGO 15 ENE EN EFECTIVO A ASHC</t>
  </si>
  <si>
    <t>P14ENE 1000|P14ENE 1400|P18ENE 1300</t>
  </si>
  <si>
    <t>HOJALATERIA 12/26 P14ENE 1000 P18N 500</t>
  </si>
  <si>
    <t>HOY PAGA</t>
  </si>
  <si>
    <t>HOJALAT 1/6 SE EMPIEZA A DESCONTAR DEBIDO A QUE NO FUE ARREGLADO A LA FECHA ACORDADA CON ROSA QUE ES 15DIC25| PENDIENTE COMPRA DE ANTENA Y DESCUENTO A CONDUCTOR</t>
  </si>
  <si>
    <t>SE DESC 1.5 POR INGRESAR MECANC FIANZA 6/10</t>
  </si>
  <si>
    <r>
      <t xml:space="preserve"> FIANZA 7/11 - </t>
    </r>
    <r>
      <rPr>
        <b/>
        <sz val="10"/>
        <color theme="1"/>
        <rFont val="Aptos Narrow"/>
        <family val="2"/>
        <scheme val="minor"/>
      </rPr>
      <t>PAGO 14 ENE 140</t>
    </r>
  </si>
  <si>
    <t xml:space="preserve">FIANZA 7/10 </t>
  </si>
  <si>
    <t>FIANZA 4/11| HOJALATERIA 3 DE 11 ACUERDO CON ASHC</t>
  </si>
  <si>
    <t>REDUCCION DE CTA 2/2</t>
  </si>
  <si>
    <t>SE COMUNICARÁ MÁS TARDE</t>
  </si>
  <si>
    <t>FIANZA 4/11 SE TUVO CONTACTO Y HASTA EL DOM PAGA</t>
  </si>
  <si>
    <t>FIANZA 4/10 PAGA 13 ENE 1400 PAGO MIER 15 1150</t>
  </si>
  <si>
    <t>DESC 1 DÍA INACTIVO|REPARACIÓN ESTEREO|1/2 DEV SEM 1 746</t>
  </si>
  <si>
    <t>HOJALAT 12/23 ADEUDO AUT JGD</t>
  </si>
  <si>
    <t>PENDIENTE ARREGLO DE CAJUELA SEM 3</t>
  </si>
  <si>
    <t>FIANZA 8/10 PAGA 236 CON INTERÉS</t>
  </si>
  <si>
    <t>OHLM038645594</t>
  </si>
  <si>
    <r>
      <t xml:space="preserve">FIANZA 7/11 </t>
    </r>
    <r>
      <rPr>
        <b/>
        <sz val="10"/>
        <color theme="1"/>
        <rFont val="Aptos Narrow"/>
        <family val="2"/>
        <scheme val="minor"/>
      </rPr>
      <t>PAGO 14 ENE 762</t>
    </r>
  </si>
  <si>
    <t>FIANZA 5/9</t>
  </si>
  <si>
    <t>CTA PROP 4 DÍAS HOLT 8/9 RUBÍ CON ADEUDO + INTERÉS</t>
  </si>
  <si>
    <t>FIANZA 2/10 PAGO 14 ENE 1150</t>
  </si>
  <si>
    <t>FIANZA 8/11 TRANSF</t>
  </si>
  <si>
    <t>PAGA 2,500 13 ENE</t>
  </si>
  <si>
    <t>PAGO 14 ENE 2000</t>
  </si>
  <si>
    <t>HOJALATERIA 13 DE 15</t>
  </si>
  <si>
    <t>DEV FIANZA 8/10 PAGO 14 ENE</t>
  </si>
  <si>
    <t>DEV DE FIANZA 4/7</t>
  </si>
  <si>
    <t>CTA PROP 3 DÍAS SE PASA A ASHC</t>
  </si>
  <si>
    <t>ULTIMO PAGO HOJALATERIA EN VISTO</t>
  </si>
  <si>
    <t>GOLPE KIA Y BYD PENDIENTE CON ASHC</t>
  </si>
  <si>
    <t>GOLPE FASCIA PENDIENTE 1500 POR KIA, PEND Q CONFIRME SEM DE ARREGLO PAGA 16</t>
  </si>
  <si>
    <t>PROMESA DE PAGO 19 ENE ACUERDO CON BYER</t>
  </si>
  <si>
    <t>PENDIENTE CAMBIO DE COCHE VENTO O KIA PAGO 16 ENE  510</t>
  </si>
  <si>
    <r>
      <t>INGRESA MIE 7 SE CONSIDERA 1.5 DÍAS</t>
    </r>
    <r>
      <rPr>
        <b/>
        <sz val="10"/>
        <color theme="1"/>
        <rFont val="Aptos Narrow"/>
        <family val="2"/>
        <scheme val="minor"/>
      </rPr>
      <t xml:space="preserve"> PAGO 14 ENE 207</t>
    </r>
  </si>
  <si>
    <t>ESTE ADEUDO LO ABSORBE ASHC</t>
  </si>
  <si>
    <t>OHLM038638821</t>
  </si>
  <si>
    <t>INGRESA SAB 10 CON 2 DÍAS</t>
  </si>
  <si>
    <t>INGRESA 10 ENE (1 DÍA) FIANZA 2K X TRANS ASH BAZ</t>
  </si>
  <si>
    <t>ADEUDO DE LAS SEM2 +12% - P 20ENE $1000 P21ENE$1000-P22ENE $1000-P24ENE $2000 P26$1150 P27 $850</t>
  </si>
  <si>
    <t xml:space="preserve">ADEUDO DE LAS SEM2 +12% </t>
  </si>
  <si>
    <t>P21ENE 1000 P22ENE 1000 P23 ENE $1000 P24 $1000 P25$1000</t>
  </si>
  <si>
    <t>FIANZA DEVUELTA 2,000</t>
  </si>
  <si>
    <t>FIANZA 2 DE 10</t>
  </si>
  <si>
    <t>FIANZA 2 DE 10 CTA 3 DÍAS P20ENE EFE 1455</t>
  </si>
  <si>
    <t>BAJA DEL AUTO 15 ENE . SE PAGAN 3 DIAS</t>
  </si>
  <si>
    <t>FIANZA CUBIERTA PENE20$2,646</t>
  </si>
  <si>
    <t>FIANZA CUBIERTA |</t>
  </si>
  <si>
    <t>FIANZA 7/10  P20ENE $1300</t>
  </si>
  <si>
    <t>FIANZA CUBIERTA P20ENE 1600 EFE P22 ENE $500 P23 ENE 500 P26 ENE 700</t>
  </si>
  <si>
    <t>HOJALATERIA 13/26 P20ENE 1600 EFE</t>
  </si>
  <si>
    <t>FIANZA PAGADA P21 2000</t>
  </si>
  <si>
    <t>HOJALAT 1/6 SE EMPIEZA A DESCONTAR DEBIDO A QUE NO FUE ARREGLADO A LA FECHA ACORDADA CON ROSA QUE ES 15DIC25| PENDIENTE COMPRA DE ANTENA Y DESCUENTO A CONDUCTOR-P21ENE $2000</t>
  </si>
  <si>
    <t xml:space="preserve"> FIANZA 6/10-P21ENE$186</t>
  </si>
  <si>
    <t xml:space="preserve"> FIANZA 7/11  P20ENE $1,021</t>
  </si>
  <si>
    <t>FIANZA 7/11</t>
  </si>
  <si>
    <t>FIANZA 5/11| HOJALATERIA 3 DE 11 ACUERDO CON ASHC</t>
  </si>
  <si>
    <t>FIANZA CUBIERTA. SE PAGA CON RETIRO SIN TARJETA EL DIF QUEDA EN LA SIG SEM</t>
  </si>
  <si>
    <t>CUBRE ADEUDO CON FIANZA</t>
  </si>
  <si>
    <t xml:space="preserve">FIANZA 4/11  </t>
  </si>
  <si>
    <t>FIANZA 4/10  ( P20 ENE$1000 P21 ENE $1200, P22 ENE $500</t>
  </si>
  <si>
    <t>ESTABA PENDIENTE SU ULTIMA FIANZA</t>
  </si>
  <si>
    <t xml:space="preserve">FIANZA 8/10 </t>
  </si>
  <si>
    <t xml:space="preserve">FIANZA 7/11 </t>
  </si>
  <si>
    <t>FIANZA CUBIERTA</t>
  </si>
  <si>
    <t>HOJALATERIA 9/9 P22ENE $800</t>
  </si>
  <si>
    <t>FIANZA 3/11 PENE20$1,151</t>
  </si>
  <si>
    <t>FIANZA 8/11 TRANSF -P20ENE $450-P21$610</t>
  </si>
  <si>
    <t>FIANZA PAGADA P20ENE$2,500</t>
  </si>
  <si>
    <t>HOJALATERIA 13 DE 15- P 23 ENE $1000</t>
  </si>
  <si>
    <t>BAJA DEV FIANZA. FINALIZA LA DEV EN SEM4</t>
  </si>
  <si>
    <t>BAJA DEV FIANZA</t>
  </si>
  <si>
    <t>SE BAJA EN LA SEM 3 Y SE CUBRE ADEUD CON SU FIANZA</t>
  </si>
  <si>
    <t>GOLPE KIA Y BYD PENDIENTE CON ASHC NO ESTA EN FIANZAS</t>
  </si>
  <si>
    <t xml:space="preserve">FIANZA PAGADA/ MULTA 2025 </t>
  </si>
  <si>
    <t>TENIA PENDIENTE 500 DE FIANZA-P20ENE $507 21/01 NAYELI LO MANDO A LA CTA DE SANTIAGO</t>
  </si>
  <si>
    <t>FIANZA 3 DE 11</t>
  </si>
  <si>
    <t>FIANZA PAGADA  (CAMBIO DE COCHE VENTO O KIA PAGO 16 ENE  510)</t>
  </si>
  <si>
    <t>INICIA CON ESTE AUTO ENERO 16 CAMBIA DE AUTO EL 22 ENERO</t>
  </si>
  <si>
    <t>GENERA EN DIDI COMO SOCIO-P20ENE$2,500 P21 ENE $200</t>
  </si>
  <si>
    <t>SE CONSIDERA INICIO ENE 17</t>
  </si>
  <si>
    <t>OHLM03276214</t>
  </si>
  <si>
    <t>P 20ENE$1,000</t>
  </si>
  <si>
    <t xml:space="preserve">FIANZA 3/11 PENE20$1,151, PAGO 27/01 </t>
  </si>
  <si>
    <t>CAMBIO DE AUTO DEL VENTO 2017 GRIS AL VENTO 2018 AMARILLO</t>
  </si>
  <si>
    <t>INICIA CON ESTE AUTO ENERO 16 ( QUE PASA COMN EL ADEUDO SE NETEA, PAGA 28/01 ASHC DEP 300, 22 A FAV</t>
  </si>
  <si>
    <t>DIO 2000 EN EFECTIVO DE FIANZA</t>
  </si>
  <si>
    <t>PRIMER PAGO DE HOJALAT</t>
  </si>
  <si>
    <t>TRANS MERCADO PAGO 30 DE ENE</t>
  </si>
  <si>
    <t>PAGA EL 30/01 716 MPASHC</t>
  </si>
  <si>
    <t>SE BAJO EL 24/01 SE COBRA SOLO MEDIO DIA</t>
  </si>
  <si>
    <t>30 ENE BANORTE$1002</t>
  </si>
  <si>
    <t>OHLM03864555</t>
  </si>
  <si>
    <t>DIO2K DE FIANZA</t>
  </si>
  <si>
    <t>ADEUDO DE LAS SEM2 +12% - P 20ENE $1000 P21ENE$1000-P22ENE $1000 DOM 08 PAGA 800</t>
  </si>
  <si>
    <t>COMO AJUSTO EL SALDO A FAVOR</t>
  </si>
  <si>
    <t>DIO 2000 PARA LA FIANZA/ $547 ASHC</t>
  </si>
  <si>
    <t>SE COBRA DESDE EL 24 | FIANZA DE 1000 EFECT</t>
  </si>
  <si>
    <t>$290 29/01 ASHC AZTECA</t>
  </si>
  <si>
    <t>FIANZA 4 DE 11</t>
  </si>
  <si>
    <t>A PARTIR DEL 23/01</t>
  </si>
  <si>
    <t>FIANZA 5/10, SE COBRAN DE LA CUENTA DE AVEO, RESTAN 617, 28/01 PAGA 500 ASHC BANORTE</t>
  </si>
  <si>
    <t>AVEOH|2026|BLANCO|NJG485</t>
  </si>
  <si>
    <t xml:space="preserve">P2401 </t>
  </si>
  <si>
    <t>SE BAJO EL MARTES VER SI SE COBRARA</t>
  </si>
  <si>
    <t>DEV DE FIANZA COMPLETA S4</t>
  </si>
  <si>
    <t>FIANZA 5/11| HOJALATERIA 3 Y 4 DE 11 ACUERDO CON ASHC</t>
  </si>
  <si>
    <t>SE CARGAN 2 HOJALATERIA</t>
  </si>
  <si>
    <t>FIANZA 2 DE 10 CTA 3 DÍAS P20ENE EFE 1455, SE AJUSTA, PAGA CON CUENTA AH2026/</t>
  </si>
  <si>
    <t>MARTES 2500, 2600 28/01</t>
  </si>
  <si>
    <t>P2901 380. SE AJUSTO IMPUESTOS</t>
  </si>
  <si>
    <t xml:space="preserve"> FIANZA  8/11/ $122 A ASHC BANO 29/01</t>
  </si>
  <si>
    <t>PAGA 1429 A ASHC BANO 26/01, TRANS 27 ENE DE 1600 A BANO ASHC, 28/01 $500 BANO/ $1200 30/01 ASHC</t>
  </si>
  <si>
    <t>A PARTIR DEL 23/01, SE AJUSTA Y SE PAGA LO 1414 PROPORCIONAL, PAGA ASHC</t>
  </si>
  <si>
    <t>DEV DE FIANZA EN SEM 5 FINALIZA</t>
  </si>
  <si>
    <t>SE BAJO EL JUEVES A LAS 13.00</t>
  </si>
  <si>
    <t xml:space="preserve">PAGA 600 27/01 ASHC BANORTE, 600 28/01 ASHC BANORTE </t>
  </si>
  <si>
    <t>SE CONSIDERAM 7 PESOS QUE QUEDARON A FAVOR/ DEPOSITA A ASHC 27 ENE A BANORTE</t>
  </si>
  <si>
    <t>OHLM03276210</t>
  </si>
  <si>
    <t>A PARTIR DEL 23/01 2K EN EFECTIVO PARA FIANZA</t>
  </si>
  <si>
    <t xml:space="preserve">FIANZA CUBIERTA </t>
  </si>
  <si>
    <t>TRANSFER DE 2000 FIANZA. DEV 62</t>
  </si>
  <si>
    <t>DIO 1500 EN EFECTIVO DE FIANZA/ $700 29 ENE</t>
  </si>
  <si>
    <t>PAGA ASHC 27/01</t>
  </si>
  <si>
    <t>P02FEB 2500 HOJALATERIA-458 A FAVOR SE VA PARA HOJALATERIA</t>
  </si>
  <si>
    <t>03/02 $2360</t>
  </si>
  <si>
    <t>P ASHC 662</t>
  </si>
  <si>
    <t>PRIMER PAGO HOJALATERIA</t>
  </si>
  <si>
    <t>AJUS AUT 1/2 DIA ASCH 170</t>
  </si>
  <si>
    <t>SOLO PARA CUADRE DE TABLA</t>
  </si>
  <si>
    <t>P 03 FEB</t>
  </si>
  <si>
    <t>28 EN SE LE CAMBIO VEHICULO AL NCT814A-P ASHC 214</t>
  </si>
  <si>
    <t>P03FEB 1100/ ASHC BANO $630 04/02 09FEB 1339</t>
  </si>
  <si>
    <t>P ASHC 02 FEB AJUSTE PLAT ASHC</t>
  </si>
  <si>
    <t>P ASHC 3550</t>
  </si>
  <si>
    <t>SE SALDA Y SE DEVUELVEN 3550/ ULTM HOJ</t>
  </si>
  <si>
    <t>P ASHC 316</t>
  </si>
  <si>
    <t>$2400 03/02 ASHC BANO 07FEB 300 231</t>
  </si>
  <si>
    <t>P 4FEB 639, EL TAG NO CORRESPONDE A EL</t>
  </si>
  <si>
    <t>p ASHC 5252</t>
  </si>
  <si>
    <t>P 04 FEB 973</t>
  </si>
  <si>
    <t>P ASHC 852</t>
  </si>
  <si>
    <t>P3FEB 500</t>
  </si>
  <si>
    <t>P 05FEB CON 12% INTERES NO ES SALDO A FAVOR</t>
  </si>
  <si>
    <t>P ASCH 1600</t>
  </si>
  <si>
    <t>P 03FEB 200</t>
  </si>
  <si>
    <t xml:space="preserve">AJUSTE PARA TABLA </t>
  </si>
  <si>
    <t>DEP $50 04/02 ASHC</t>
  </si>
  <si>
    <t>P ASCH 1873</t>
  </si>
  <si>
    <t>P 02FEB 2500-P06FEB 100</t>
  </si>
  <si>
    <t>P ASHC 2983</t>
  </si>
  <si>
    <t>P 05 FEB 2000</t>
  </si>
  <si>
    <t>DEV 1821+879 PAG DE MÁS QUEDA TABLA PAGADO</t>
  </si>
  <si>
    <t>PASO CON IVETTE-P 04FEB, 5FEB 500,06 FEB 429</t>
  </si>
  <si>
    <t>4 DÍAS DE CUENTA, S/M, PENALIZACION FIANZA. BAJA EL 30/01 P ASHC $1634</t>
  </si>
  <si>
    <t>ULTIMA FIANZA PASHC 500</t>
  </si>
  <si>
    <t>P 03FEB 500 04/02 $520</t>
  </si>
  <si>
    <t xml:space="preserve">SE DIVIDE EN 2 SU ADEUDO, PG CON F, </t>
  </si>
  <si>
    <t>03/02 FEB $898</t>
  </si>
  <si>
    <t>P ASHC 1886</t>
  </si>
  <si>
    <t>P 04FEB 1500,05FEB 1000, 06FEB 1000 +08 FEB 1500</t>
  </si>
  <si>
    <t>P ASHC 1923</t>
  </si>
  <si>
    <t>P ASHC 1404</t>
  </si>
  <si>
    <t>P ASHC 3079</t>
  </si>
  <si>
    <t>P ASHC 1383</t>
  </si>
  <si>
    <t>7 FEB $2000</t>
  </si>
  <si>
    <t>P ASHC 2401</t>
  </si>
  <si>
    <t>P ASHC 820</t>
  </si>
  <si>
    <t>PAGO CON GASOLINA</t>
  </si>
  <si>
    <t>P 2FEB 2564</t>
  </si>
  <si>
    <t>P ASHC02FEB 2887</t>
  </si>
  <si>
    <t>P 03FEB 2500</t>
  </si>
  <si>
    <t>P ASHC02FEB 2178</t>
  </si>
  <si>
    <t>2K DE FIANZA- P ASHC 547</t>
  </si>
  <si>
    <t>P05 FEB 580 CON12% INT NO ES SALDO A FAVOR</t>
  </si>
  <si>
    <t>P ASHC 250</t>
  </si>
  <si>
    <t>03/02 PAGA $428 AZTECA ASHC</t>
  </si>
  <si>
    <t>SIN ANT FIANZA AUT ASHC. 15 FEB 1000 15 FEB 20</t>
  </si>
  <si>
    <t>BAJA</t>
  </si>
  <si>
    <t>INICIA 04FEB 4.5 DIAS|2000 EFEC FIANZA 14FEB 6 EFEC</t>
  </si>
  <si>
    <t>P 09FEB 500</t>
  </si>
  <si>
    <t>P 10FEB 800 P12 FEB  151</t>
  </si>
  <si>
    <t>ANTICIPO DE FIANZA 2K TRANSFER MP ASHC</t>
  </si>
  <si>
    <t>NA</t>
  </si>
  <si>
    <t>P 09 FEB 2500</t>
  </si>
  <si>
    <t>11 FEB 1427</t>
  </si>
  <si>
    <t>11 FEB 1127</t>
  </si>
  <si>
    <t>P 13 FEB 810</t>
  </si>
  <si>
    <t>P 10FEB 2000 P 11FEB 1300</t>
  </si>
  <si>
    <t>P 09FEB 1155</t>
  </si>
  <si>
    <t>P 11FEB 500 P13FEB 540,300EFEC P14FEB131</t>
  </si>
  <si>
    <t>SIG SEM SE CONTINUA CON LA HOJALATERIA 14 FEB 1300</t>
  </si>
  <si>
    <t>LA SEM 7 SE EMPIEZA A PAGAR</t>
  </si>
  <si>
    <t>14 FEB 700</t>
  </si>
  <si>
    <t>357 AJUSTE EN FIANZA QUE ESTABA INCORRECTA DE NOV</t>
  </si>
  <si>
    <t>P 09FEB 2000 -13 FEB 1000 - 14FEB 1300-15FEB 244</t>
  </si>
  <si>
    <t xml:space="preserve">357 FIANZA </t>
  </si>
  <si>
    <t>P 11 FEB 400 EFEC YUL</t>
  </si>
  <si>
    <t>11 FEB $2900 14FEB 100</t>
  </si>
  <si>
    <t>13 FEB 1000 15FEB  1300 16 FEB 246</t>
  </si>
  <si>
    <t>14 FEB 700 15 FEB 700+250</t>
  </si>
  <si>
    <t>P 11FEB 1387</t>
  </si>
  <si>
    <t>P 14 FEB 1523</t>
  </si>
  <si>
    <t>P 11 FEB 1200 P14FEB 1743-16 FEB 800</t>
  </si>
  <si>
    <t>por cuadre ya que no debe</t>
  </si>
  <si>
    <t>P 09FEB 445</t>
  </si>
  <si>
    <t>P 10 FEB 2159</t>
  </si>
  <si>
    <t>P13FEB 1207</t>
  </si>
  <si>
    <t>P 13 FEB 1959</t>
  </si>
  <si>
    <t>GAS $700 se paga 1,310 EN EFE 10FEB  11 FEB 400 GASOLINA ROSA AJUSTO EL MONTO</t>
  </si>
  <si>
    <t>11  FEB 677</t>
  </si>
  <si>
    <t>458 A FAVOR P HOJA SEM PAS P 09 FEB 1500</t>
  </si>
  <si>
    <t>10/02 PAGA $3000 AZTECA ASHC</t>
  </si>
  <si>
    <t>SE COBRA CUANDO PAGUE A IVETTE</t>
  </si>
  <si>
    <t>OHLM038718698</t>
  </si>
  <si>
    <t>P19FEB $1050 EFEC</t>
  </si>
  <si>
    <t>NO DEJO FIANZA P17 FEB 1042</t>
  </si>
  <si>
    <t>P17FEB  857</t>
  </si>
  <si>
    <t>P17FEB  2258</t>
  </si>
  <si>
    <t>P 17FEB 2500</t>
  </si>
  <si>
    <t>P17FEB  4936</t>
  </si>
  <si>
    <t>P17FEB 986</t>
  </si>
  <si>
    <t>OHLM038645636</t>
  </si>
  <si>
    <t>P17FEB 1618</t>
  </si>
  <si>
    <t>P17FEB   2842</t>
  </si>
  <si>
    <t>P17FEB   2530</t>
  </si>
  <si>
    <t>P17FEB   3696</t>
  </si>
  <si>
    <t>P20FEB 1500</t>
  </si>
  <si>
    <t>se hace a jus</t>
  </si>
  <si>
    <t xml:space="preserve">P17FEB   </t>
  </si>
  <si>
    <t>P17FEB   191</t>
  </si>
  <si>
    <t>P17FEB   2000 - P18FEB 1000-P22 FEB 500-400</t>
  </si>
  <si>
    <t>P17FEB   621</t>
  </si>
  <si>
    <t>P18FEB 27</t>
  </si>
  <si>
    <t>P17FEB   29</t>
  </si>
  <si>
    <t>P 17FEB 370 P20FEB 445 P22 354+430</t>
  </si>
  <si>
    <t>REGRESO DE FIANZA P19FEB 500</t>
  </si>
  <si>
    <t>SE PONE DE RENTA LO QUE GENERO EN LA SEMANA</t>
  </si>
  <si>
    <t>OHLM038645560</t>
  </si>
  <si>
    <t>1000 23 FEB</t>
  </si>
  <si>
    <t>P20FEB 1200</t>
  </si>
  <si>
    <t>P17FEB   1225</t>
  </si>
  <si>
    <t>P17FEB   603</t>
  </si>
  <si>
    <t>P 16FEB 2500</t>
  </si>
  <si>
    <t>OHLM038645602</t>
  </si>
  <si>
    <t>P17FEB   4,667</t>
  </si>
  <si>
    <t>OHLM038718722</t>
  </si>
  <si>
    <t>P17FEB   1300 Y 27 A FAVOR PARA LA SEM 8</t>
  </si>
  <si>
    <t>SE MOVIO LA MULTA PARA LA SIG SEMANA 17 FEB 170</t>
  </si>
  <si>
    <t>P18FEB 2000 -19FEB 1000</t>
  </si>
  <si>
    <t>OHLM038718680</t>
  </si>
  <si>
    <t>17 FEB 1000 20FEB 250</t>
  </si>
  <si>
    <t>OHLM038718706</t>
  </si>
  <si>
    <t>P20FEB 370</t>
  </si>
  <si>
    <t>P17FEB    666</t>
  </si>
  <si>
    <t>P17FEB   4975</t>
  </si>
  <si>
    <t>P17FEB   1677</t>
  </si>
  <si>
    <t>16 FEB 700</t>
  </si>
  <si>
    <t>OHLM038645586</t>
  </si>
  <si>
    <t>P17FEB   2372</t>
  </si>
  <si>
    <t>P17FEB   6389</t>
  </si>
  <si>
    <t>GOÑI</t>
  </si>
  <si>
    <t>P17FEB   195</t>
  </si>
  <si>
    <t>SELE COBRABN INT POR INCUMPLIR</t>
  </si>
  <si>
    <t>P17FEB   466</t>
  </si>
  <si>
    <t>OHLM038645552</t>
  </si>
  <si>
    <t>P17FEB   3262</t>
  </si>
  <si>
    <t>16 FEB 1020</t>
  </si>
  <si>
    <t>OHLM038718672</t>
  </si>
  <si>
    <t>FEB 16 1788</t>
  </si>
  <si>
    <t>P 18FEB 100</t>
  </si>
  <si>
    <t>OHLM038645628</t>
  </si>
  <si>
    <t>P 17 FEB 767</t>
  </si>
  <si>
    <t>610 DE VERIFICACION. LUNES ENVIO PAGO DE 2500 CON FECHA DE 15FEB POR ELLO NO SE DESCONTO. SE QUITO EL 12% P20 2100 EFECT</t>
  </si>
  <si>
    <t xml:space="preserve">OHLM032762106
</t>
  </si>
  <si>
    <t>P18FEB 3000</t>
  </si>
  <si>
    <t>BAJARON A EDSON EL SABADO 21</t>
  </si>
  <si>
    <t>P 23FEB 127</t>
  </si>
  <si>
    <t>P24FEB 869</t>
  </si>
  <si>
    <t>P 24 FEB 763</t>
  </si>
  <si>
    <t>P24FEB 1051</t>
  </si>
  <si>
    <t>P26 FEB 1600</t>
  </si>
  <si>
    <t>PAGO CON SU TARJETA UNAS BALATAS- 1 DIA DE CUENTA ESTUVO AQUÍ CON SU AUTO Y ARREGLO LA BOLSA DE AIRE P24FEB 564</t>
  </si>
  <si>
    <t>P245 FEB 1669</t>
  </si>
  <si>
    <t>P 24FEB 2500</t>
  </si>
  <si>
    <t>P23FEB4309</t>
  </si>
  <si>
    <t>P23FEB 70</t>
  </si>
  <si>
    <t>P23FEB 1984 ESTA PEND EL ANTICONGELANTE</t>
  </si>
  <si>
    <t>COMPRO BIRLOS P24FEB 638</t>
  </si>
  <si>
    <t>P24 FEB 579</t>
  </si>
  <si>
    <t>P23FEB 3746</t>
  </si>
  <si>
    <t>P23FEB BRYAN OMAR</t>
  </si>
  <si>
    <t>37 A FAVOR PORQUE PAGO DE MAS. 25FEB 1230</t>
  </si>
  <si>
    <t>P23FEB 3195</t>
  </si>
  <si>
    <t>P24FEB 1859</t>
  </si>
  <si>
    <t>P24FEB 1300 P01MAR 1000</t>
  </si>
  <si>
    <t>P24FFEB 1911</t>
  </si>
  <si>
    <t>P24FEB 665</t>
  </si>
  <si>
    <t>P24FEB 452</t>
  </si>
  <si>
    <t>316 A FAVOR POR PAGO DE MAS  27FEB 350 28 FEB 200-300-200-250 28 FEB 1000</t>
  </si>
  <si>
    <t>P24FEB 500</t>
  </si>
  <si>
    <t>26FEB ENTREGA AUTO POR TEMAS SALUD ESPOSA E IRA PAGANDO EN LA SEMANA . QUEDARIA LIQUIDADO EL 04MAR</t>
  </si>
  <si>
    <t>P23FEB 4547</t>
  </si>
  <si>
    <t>P24FEB 2150</t>
  </si>
  <si>
    <t>P24FEB 2500 P25FEB 100</t>
  </si>
  <si>
    <t>P24FEB 3162</t>
  </si>
  <si>
    <t>HABIA QUEDADO EN PAGAR LA MITAD Y LA OTRA ESTA SEM SE LE CALCU INTERESE SOBRE 1/2</t>
  </si>
  <si>
    <t>P24FEB 334 COMPLETADO PAGO</t>
  </si>
  <si>
    <t>MEDIO DIA DE CUENTA POR EL LUNES DE CONTINGENCIA. 900 RETIRO SIN TARJETA P23FEB</t>
  </si>
  <si>
    <t>P 25FEB 377 P 27FEB 500</t>
  </si>
  <si>
    <t>A FAV 28 POR PAGO DE MAS. P24FEB 1000 P25FEB 1270</t>
  </si>
  <si>
    <t>3 A FAVOR POR PAGO DE MAS- P27FEB 200</t>
  </si>
  <si>
    <t>P 25FEB 377</t>
  </si>
  <si>
    <t>P 24FEB 2056</t>
  </si>
  <si>
    <t>P25FEB 1300 P27FEB 700</t>
  </si>
  <si>
    <t>P24FEB</t>
  </si>
  <si>
    <t>P23FEB  3300</t>
  </si>
  <si>
    <t>P23 FEB 152</t>
  </si>
  <si>
    <t>SE BAJO EL 21 FEB 6 DIAS DE CUENTA</t>
  </si>
  <si>
    <t>P23FEB 2097</t>
  </si>
  <si>
    <t>P23FEB</t>
  </si>
  <si>
    <t>P27FEB 2854</t>
  </si>
  <si>
    <t>P24 FEB 1000 25 FEB 498</t>
  </si>
  <si>
    <t>P24FEB 2500 p27feb 1500 P02mar1000</t>
  </si>
  <si>
    <t>P24 FEB 3000</t>
  </si>
  <si>
    <t>SE AJUSTO SEM 7 la fianza SE BAJO EL 17 FEB</t>
  </si>
  <si>
    <t>ANTICIPO FIANZA 1920.P850 P267 09/03</t>
  </si>
  <si>
    <t>DEJO IPHONE 7 EN GARANTIA. P05MAR 400</t>
  </si>
  <si>
    <t>ANTICIPO FIANZA 2000 P05MAR 348</t>
  </si>
  <si>
    <t>ANTICIPO FIANZA 2000 TRANSF. P03MAR</t>
  </si>
  <si>
    <t>ANTICIPO FIANZA 2000 TRANSF. AJUSTE YA QUE S ELE PAGO</t>
  </si>
  <si>
    <t>ANTICIPO FIANZA 2000.  P06MAR976</t>
  </si>
  <si>
    <t>P03MAR</t>
  </si>
  <si>
    <t>BAJA 26FEB. 26 FUE A SERVICIO TODO EL DIA. P03MAR 1500 P13MAR 700</t>
  </si>
  <si>
    <t>BAJA  25FEB 10AM</t>
  </si>
  <si>
    <t>P03MAR 938</t>
  </si>
  <si>
    <t>P05MAR1000</t>
  </si>
  <si>
    <t>PAGO DEL 17FEB NO ENVIO EN TIEMPO</t>
  </si>
  <si>
    <t>ADEUDO 1228*12%</t>
  </si>
  <si>
    <t>P04MAR 852</t>
  </si>
  <si>
    <t>SE HACE AJUSTE DE GOLPES Y TAPETE CON FIANZA.P03MAR</t>
  </si>
  <si>
    <t>P03MAR 2500</t>
  </si>
  <si>
    <t>P06MAR 832</t>
  </si>
  <si>
    <t>AJUSTE YA QUE SE LE PAGO</t>
  </si>
  <si>
    <t>P07MAR500</t>
  </si>
  <si>
    <t>P07MAR1500</t>
  </si>
  <si>
    <t>1/2 DIA DEL 18 DE FEB NO CIRC.P03MAR</t>
  </si>
  <si>
    <t>1/2 DIA DEL 17 DE FEB NO CIRC. P03MAR</t>
  </si>
  <si>
    <t>P0503  900, SE APLICA 700 A HOJ Y 200 A ESTA LINEA</t>
  </si>
  <si>
    <t>ADEUDO 200*12%. P05MAR 137</t>
  </si>
  <si>
    <t>08mar 448</t>
  </si>
  <si>
    <t>HOJALATERIA SIN 12%</t>
  </si>
  <si>
    <t>ADEUDO 1,666*12% P.</t>
  </si>
  <si>
    <t>P03MAR 4006</t>
  </si>
  <si>
    <t>P03MAR2500</t>
  </si>
  <si>
    <t>1/2 CONT SEM ANTEPASADA.P03MAR</t>
  </si>
  <si>
    <t>ADEUDO 3094*12% P07MAR 1000</t>
  </si>
  <si>
    <t>ADEUDO 500*12% P07MAR 3000</t>
  </si>
  <si>
    <t>P06MAR</t>
  </si>
  <si>
    <t>ESTUVO EN SER TODO ELD IA</t>
  </si>
  <si>
    <t>P04 MAR 203</t>
  </si>
  <si>
    <t>ADEUDO 3576+12%, 1/2 DSCTO POR CONT.P03MAR 800 SE VA 700 A AVEO 2019 Y LA DIF A 2023 P0903 3700</t>
  </si>
  <si>
    <t>P03MAR 800 SE VA 700 A AVEO 2019 Y LA DIF A 2023</t>
  </si>
  <si>
    <t>P03MAR 648</t>
  </si>
  <si>
    <t>P02MAR561</t>
  </si>
  <si>
    <t>BAJA  26 FEB 13.00. P03MAR</t>
  </si>
  <si>
    <t>SOL AJUS DEL 17 FEB.P03MAR</t>
  </si>
  <si>
    <t>P05MAR243</t>
  </si>
  <si>
    <t>P03MAR 1570</t>
  </si>
  <si>
    <t>601 saldo a favor 09MAR2800</t>
  </si>
  <si>
    <t>P03MAR 3000</t>
  </si>
  <si>
    <t>SALDO A FAVOR PARA LA SEM 10</t>
  </si>
  <si>
    <t>OHLM038645610</t>
  </si>
  <si>
    <t>P11MAR 3000 LA DIF ES GOÑI $1071</t>
  </si>
  <si>
    <t>1.800K ANT TRANSF, P11 DE MARZO A BYER</t>
  </si>
  <si>
    <t>P14MAR 2500</t>
  </si>
  <si>
    <t>P10MAR400 P11MAR 300+400 P13MAR500</t>
  </si>
  <si>
    <t>P10MAR</t>
  </si>
  <si>
    <t>P14MAR 970</t>
  </si>
  <si>
    <t>P10MAR2557</t>
  </si>
  <si>
    <t>P15MAR2000</t>
  </si>
  <si>
    <t>P11MAR 1567 P14mar230</t>
  </si>
  <si>
    <t>p13mar1000</t>
  </si>
  <si>
    <t>p12mar1063 p14mar 700</t>
  </si>
  <si>
    <t>P10MAR 2500</t>
  </si>
  <si>
    <t>P13MAR 51</t>
  </si>
  <si>
    <t>P13MAR 358</t>
  </si>
  <si>
    <t>SE APOYO POR LO QUE NO GENERA INT</t>
  </si>
  <si>
    <t>pDE 2000 SE ABONO 1500P1303700</t>
  </si>
  <si>
    <t>PDE 2000 SE ABONO 500</t>
  </si>
  <si>
    <t>MURIO SU PAPA SE AJUSTA DIAS SE COBRA 3.5 DE CTA  P09MAR993</t>
  </si>
  <si>
    <t>P11MAR 400</t>
  </si>
  <si>
    <t>PAGA 1HOJAL HASTA PONERSE AL CORRIENTE CON IVETTE</t>
  </si>
  <si>
    <t>P13MAR1206</t>
  </si>
  <si>
    <t>SE COBRA .06% YA QUE CUMPLIO PARCIALMENTE ACUERDO. P1403  750</t>
  </si>
  <si>
    <t>P11MAR 1800</t>
  </si>
  <si>
    <t>SE AJUS 1 DIA POR SERVICIO TODO EL DIA.P10MAR1500</t>
  </si>
  <si>
    <t>EN DIC NO SE CONS SU ANT DE FIANZA SEM 9 TOCABA PAGAR 145</t>
  </si>
  <si>
    <t>P11MAR 650 P1303 539</t>
  </si>
  <si>
    <t>P11MAR   957 SE AJUSTARON 3963 PARA QUE NO APARECIERA ADEUDO POR EL RENGLON 598</t>
  </si>
  <si>
    <t>P09MAR3700 P15670 P16 600</t>
  </si>
  <si>
    <t>P09MAR3700 SE LE ABONARON LOS 700</t>
  </si>
  <si>
    <t>AJUSTE SE LE PAGO AL CONDUCTOR</t>
  </si>
  <si>
    <t>P11MAR899</t>
  </si>
  <si>
    <t>P11MAR952</t>
  </si>
  <si>
    <t>P13MAR 1000. Saldo a favor</t>
  </si>
  <si>
    <t>P09MAR 1000</t>
  </si>
  <si>
    <t>P10MAR 942</t>
  </si>
  <si>
    <t>SALDO A FAVOR 18 PARA LA SEM 10</t>
  </si>
  <si>
    <t>OHLM038729281</t>
  </si>
  <si>
    <t>AÑO</t>
  </si>
  <si>
    <t>Suma de GANANCIAS TOTALES</t>
  </si>
  <si>
    <t>Total general</t>
  </si>
  <si>
    <t>Total 2026</t>
  </si>
  <si>
    <t>META</t>
  </si>
  <si>
    <t>PRÉSTAMOS</t>
  </si>
  <si>
    <t>OHLM038645578</t>
  </si>
  <si>
    <t>P FOCOS H9</t>
  </si>
  <si>
    <t>P1803</t>
  </si>
  <si>
    <t>P20 MAR 1500</t>
  </si>
  <si>
    <t>P19MAR 500+400 P22ABR 300+350</t>
  </si>
  <si>
    <t>CAMBIO AL MARCH DE GOÑI ADEUDO REAL -253 PAGO 18/03 SE AJUSTA PARA QUE NO APAREZCA COMO DEUDOR</t>
  </si>
  <si>
    <t>P19MAR</t>
  </si>
  <si>
    <t>17/03 y 18/03</t>
  </si>
  <si>
    <t>17/03-18/03</t>
  </si>
  <si>
    <t>SE DESC 1 DIA PORQUE EST EN SERV. LEOBARDO</t>
  </si>
  <si>
    <t>ACUERDO PAGO 3500,P1703 1000 P 1803 665</t>
  </si>
  <si>
    <t>900 EN EFEC</t>
  </si>
  <si>
    <t>p1803 881</t>
  </si>
  <si>
    <t>P17/03</t>
  </si>
  <si>
    <t>AJUT 1/2 NO CIRCULA MIERCOLES</t>
  </si>
  <si>
    <t>P20MAR420</t>
  </si>
  <si>
    <t>P18/03 1300 P20/03  1000 P22MAR 900+1120</t>
  </si>
  <si>
    <t>P18/03 1300</t>
  </si>
  <si>
    <t>17/03/2026/18/03 280  19/03/2025   20</t>
  </si>
  <si>
    <t>PEND COT IZACION HOJALATERIA</t>
  </si>
  <si>
    <t>P 1803</t>
  </si>
  <si>
    <t>DEV MULTA SE HABIA COBRADO DE MAS</t>
  </si>
  <si>
    <t>200 NO PAG SEM PASADA P16/03 P17/03 100</t>
  </si>
  <si>
    <t>INT 12% A $2,006. ENVIO RECETA 1.5 MENOS P1703</t>
  </si>
  <si>
    <t xml:space="preserve">P20/03 500 SE BAJA EL DIA DE HOY </t>
  </si>
  <si>
    <t>2PAGOS 16/17 MARZO 19/03 400</t>
  </si>
  <si>
    <t>P18/03</t>
  </si>
  <si>
    <t>PAGO A CUENTA DE PRESTAMO 1/</t>
  </si>
  <si>
    <t>JDG</t>
  </si>
  <si>
    <t>AJUSTE PARA REPORTE</t>
  </si>
  <si>
    <t>SE COBRO 214 DE MAS P16/03</t>
  </si>
  <si>
    <t>AJUSTE</t>
  </si>
  <si>
    <t>16/03/2026 - 19/03</t>
  </si>
  <si>
    <t>P1703</t>
  </si>
  <si>
    <t>P1703  P1903</t>
  </si>
  <si>
    <t>ESTA CON GOÑI NO PAGO</t>
  </si>
  <si>
    <t>P25/03 1800,200,1000</t>
  </si>
  <si>
    <t>26/03 1000 27/03 989</t>
  </si>
  <si>
    <t>P2403 2500</t>
  </si>
  <si>
    <t>ADRIAN GUITIERREZ MARTINEZ</t>
  </si>
  <si>
    <t>300 GASOLINA. ANT GUITARRA</t>
  </si>
  <si>
    <t>P24/03 1434</t>
  </si>
  <si>
    <t>ALBERTO ANTHAR MORALES BAEZ</t>
  </si>
  <si>
    <t>CAMBIO DE AUTO. 27/03 1400 28/03 29/03 500 y600</t>
  </si>
  <si>
    <t>27/03 1400 APL PARCIAL</t>
  </si>
  <si>
    <t>26/03 215</t>
  </si>
  <si>
    <t>P2503 1000</t>
  </si>
  <si>
    <t>26/03 $1943</t>
  </si>
  <si>
    <t>P24/03 X 2 1300 APL PARCIAL 28/03 600+212</t>
  </si>
  <si>
    <t>P24/03 1300 APL PARCIAL</t>
  </si>
  <si>
    <t>ELIZABETH VELASCO ALANIZ</t>
  </si>
  <si>
    <t>FELIPE GONZALEZ CASTRO</t>
  </si>
  <si>
    <t>PRESTAMO ESTA CON IVETTE PERO SE DESCOMPUSO SU AUTO 25/03 EFEC 595</t>
  </si>
  <si>
    <t>$40 ELECTRICO LIMPIA PARABRISAS 24/03 200 +80 se poncho la llanta</t>
  </si>
  <si>
    <t>$560 4 llantas y faros H11$450 EFEC 6 A FAVOR</t>
  </si>
  <si>
    <t>P2403 800 P2603  1097</t>
  </si>
  <si>
    <t>P23/03 2500</t>
  </si>
  <si>
    <t>P24/03 1880 Y 1120</t>
  </si>
  <si>
    <t>24/03 2,520</t>
  </si>
  <si>
    <t>P26/03 350 27/03 300 28/03 500</t>
  </si>
  <si>
    <t>24/03  $619</t>
  </si>
  <si>
    <t>BAJA 20/03  A LAS 14.00 HRS TIENE FIANZA ACUM P20SE APLICA PARA CONC CTA NO SE APLICO EL PAGO EN LA SEM 11 DEL 20/03 POR 500 SINO HASTA EL CIERRE PORQUE ERA PARTE DE DICHO CIERRE</t>
  </si>
  <si>
    <t>24/03 1000</t>
  </si>
  <si>
    <t>26/03 1000 28/03 500</t>
  </si>
  <si>
    <t>P2503 1099</t>
  </si>
  <si>
    <t>P24/03 1,100 30MZ4000</t>
  </si>
  <si>
    <t>24/03 580</t>
  </si>
  <si>
    <t>BAJA 18/03 EL 18 PAGO DE 500</t>
  </si>
  <si>
    <t>27/03   1789</t>
  </si>
  <si>
    <t xml:space="preserve">P2503 1300 </t>
  </si>
  <si>
    <t>P24/03 1637 28/03 1121</t>
  </si>
  <si>
    <t>24/03 3000 26/03 1500</t>
  </si>
  <si>
    <t>DA RENTA POR FUERA HOJALATERIA 11/18, PAGA 2,800 11 ENE</t>
  </si>
  <si>
    <t>TRABAJA DIDI-ASHC, PAGO 2,857 10 ENE (273 DE DIDI ATRASOS)</t>
  </si>
  <si>
    <t>TRABAJA AMBAS APPS | PAGO 7 ENE 1,200 + 1,000 10 ENE GESTIONAR PAGO URGE</t>
  </si>
  <si>
    <t>ADEUDO SEM ANT - PROB FAM HIJA LEUSEM PAGA EL LUNES SE CONDONA LA CUENTA</t>
  </si>
  <si>
    <t>CTA PROP 2 DIAS PQ SALIO CDMX,HOJALATERIA 11/26 - 1,300 9 ENE + 1,000 11 ENE 8ene 1000</t>
  </si>
  <si>
    <t>PAGO TRANSF ASHC 5 ENE 610, 473 9 ENE, 375 10 ENE, 400 10 ENE, 500 11 ENE, 306 11 ENE</t>
  </si>
  <si>
    <t xml:space="preserve"> FIANZA 5/10 -  PAGO 800 6 ENE</t>
  </si>
  <si>
    <t>FIANZA 3/11 PAGO 7 ENE 605 NO CONTESTA</t>
  </si>
  <si>
    <t>FIANZA 3/10 PAGO 7 ENE 1,000 Y 500 11 ENE</t>
  </si>
  <si>
    <t>SEM 817 A FAVOR, ADEUDO DE GOLPE 2018, $5000 SEMANALES - DEPOSITA 3,000 6 ENE (900 A CUENTA Y 2,100 GLPE PED)</t>
  </si>
  <si>
    <t>TRABAJA APP JG UBER, HOJALATERIA 12/15 - PAGA 700 7 ENE</t>
  </si>
  <si>
    <t>FIANZA 4/9  - PAGA 2,182 7 ENE</t>
  </si>
  <si>
    <t>HOJALATERIA 7/18,PROMESA DE PAGO DIA MARTES NO CONTESTA. PAGA 503 10 ENE Y 200 11 ENE</t>
  </si>
  <si>
    <t>CTA PROP 5 DÍAS, FIANZA 1/10 PAGA 571 6 ENE</t>
  </si>
  <si>
    <t>FIANZA 7/11 - PAGA 1,400 6 ENE</t>
  </si>
  <si>
    <t xml:space="preserve"> FIANZA 7/11 - PAGO 14 ENE 140</t>
  </si>
  <si>
    <t>FIANZA 7/11 PAGO 14 ENE 762</t>
  </si>
  <si>
    <t>INGRESA MIE 7 SE CONSIDERA 1.5 DÍAS PAGO 14 ENE 207</t>
  </si>
  <si>
    <t>COMENTARIO</t>
  </si>
  <si>
    <t>Suma de FIANZA</t>
  </si>
  <si>
    <t>Cuenta de META</t>
  </si>
  <si>
    <t>Total 2025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</si>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</sst>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.0;[Red]\-#,##0.0"/>
  </numFmts>
  <fonts count="25" x14ac:knownFonts="1">
    <font>
      <sz val="10"/>
      <color theme="1"/>
      <name val="Calibri Light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rgb="FF00B0F0"/>
      <name val="Calibri"/>
      <family val="2"/>
    </font>
    <font>
      <sz val="10"/>
      <color rgb="FF000000"/>
      <name val="Calibri"/>
      <family val="2"/>
    </font>
    <font>
      <i/>
      <sz val="10"/>
      <color theme="1"/>
      <name val="Calibri"/>
      <family val="2"/>
    </font>
    <font>
      <sz val="8"/>
      <color rgb="FF000000"/>
      <name val="Arial"/>
      <family val="2"/>
    </font>
    <font>
      <sz val="10"/>
      <name val="Calibri"/>
      <family val="2"/>
    </font>
    <font>
      <sz val="11"/>
      <name val="Aptos Narrow"/>
      <family val="2"/>
      <scheme val="minor"/>
    </font>
    <font>
      <sz val="10"/>
      <color rgb="FF00B050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0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Calibri Light"/>
      <family val="2"/>
    </font>
  </fonts>
  <fills count="11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rgb="FFFFE598"/>
      </patternFill>
    </fill>
    <fill>
      <patternFill patternType="solid">
        <fgColor theme="9" tint="0.59999389629810485"/>
        <bgColor rgb="FFFFE59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43" fontId="13" fillId="0" borderId="0" applyFont="0" applyFill="0" applyBorder="0" applyAlignment="0" applyProtection="0"/>
    <xf numFmtId="43" fontId="24" fillId="0" borderId="0" applyFont="0" applyFill="0" applyBorder="0" applyAlignment="0" applyProtection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2" fillId="3" borderId="0" xfId="0" applyFont="1" applyFill="1"/>
    <xf numFmtId="0" fontId="0" fillId="3" borderId="0" xfId="0" applyFill="1"/>
    <xf numFmtId="0" fontId="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1" fillId="0" borderId="0" xfId="1" applyFont="1" applyAlignment="1">
      <alignment horizontal="right"/>
    </xf>
    <xf numFmtId="0" fontId="3" fillId="0" borderId="0" xfId="1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left" vertical="center"/>
    </xf>
    <xf numFmtId="38" fontId="1" fillId="2" borderId="2" xfId="1" applyNumberFormat="1" applyFont="1" applyFill="1" applyBorder="1" applyAlignment="1">
      <alignment horizontal="center" vertical="center"/>
    </xf>
    <xf numFmtId="38" fontId="1" fillId="2" borderId="2" xfId="1" applyNumberFormat="1" applyFont="1" applyFill="1" applyBorder="1" applyAlignment="1">
      <alignment horizontal="right" vertical="center"/>
    </xf>
    <xf numFmtId="38" fontId="1" fillId="2" borderId="3" xfId="1" applyNumberFormat="1" applyFont="1" applyFill="1" applyBorder="1" applyAlignment="1">
      <alignment horizontal="right" vertical="center"/>
    </xf>
    <xf numFmtId="38" fontId="1" fillId="4" borderId="2" xfId="1" applyNumberFormat="1" applyFont="1" applyFill="1" applyBorder="1" applyAlignment="1">
      <alignment horizontal="center" vertical="center"/>
    </xf>
    <xf numFmtId="6" fontId="1" fillId="2" borderId="2" xfId="1" applyNumberFormat="1" applyFont="1" applyFill="1" applyBorder="1" applyAlignment="1">
      <alignment horizontal="center" vertical="center"/>
    </xf>
    <xf numFmtId="0" fontId="1" fillId="0" borderId="0" xfId="1" applyFont="1"/>
    <xf numFmtId="0" fontId="5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38" fontId="1" fillId="0" borderId="0" xfId="1" applyNumberFormat="1" applyFont="1"/>
    <xf numFmtId="38" fontId="1" fillId="0" borderId="0" xfId="1" applyNumberFormat="1" applyFont="1" applyAlignment="1">
      <alignment horizontal="right"/>
    </xf>
    <xf numFmtId="0" fontId="5" fillId="0" borderId="0" xfId="1" applyFont="1"/>
    <xf numFmtId="38" fontId="6" fillId="0" borderId="0" xfId="1" applyNumberFormat="1" applyFont="1"/>
    <xf numFmtId="38" fontId="6" fillId="0" borderId="0" xfId="1" applyNumberFormat="1" applyFont="1" applyAlignment="1">
      <alignment vertical="center" wrapText="1"/>
    </xf>
    <xf numFmtId="38" fontId="4" fillId="0" borderId="0" xfId="1" applyNumberFormat="1" applyFont="1"/>
    <xf numFmtId="0" fontId="4" fillId="0" borderId="0" xfId="1" applyFont="1" applyAlignment="1">
      <alignment vertical="center"/>
    </xf>
    <xf numFmtId="0" fontId="4" fillId="0" borderId="0" xfId="1" applyFont="1"/>
    <xf numFmtId="38" fontId="7" fillId="0" borderId="0" xfId="1" applyNumberFormat="1" applyFont="1"/>
    <xf numFmtId="38" fontId="8" fillId="0" borderId="0" xfId="1" applyNumberFormat="1" applyFont="1" applyAlignment="1">
      <alignment vertical="center" wrapText="1"/>
    </xf>
    <xf numFmtId="0" fontId="9" fillId="0" borderId="0" xfId="1" applyFont="1" applyAlignment="1">
      <alignment horizontal="center"/>
    </xf>
    <xf numFmtId="0" fontId="9" fillId="0" borderId="0" xfId="1" applyFont="1"/>
    <xf numFmtId="0" fontId="9" fillId="0" borderId="0" xfId="1" applyFont="1" applyAlignment="1">
      <alignment vertical="center"/>
    </xf>
    <xf numFmtId="38" fontId="9" fillId="0" borderId="0" xfId="1" applyNumberFormat="1" applyFont="1"/>
    <xf numFmtId="38" fontId="9" fillId="0" borderId="0" xfId="1" applyNumberFormat="1" applyFont="1" applyAlignment="1">
      <alignment horizontal="right"/>
    </xf>
    <xf numFmtId="0" fontId="10" fillId="0" borderId="0" xfId="1" applyFont="1"/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left"/>
    </xf>
    <xf numFmtId="38" fontId="11" fillId="0" borderId="0" xfId="1" applyNumberFormat="1" applyFont="1"/>
    <xf numFmtId="0" fontId="12" fillId="0" borderId="0" xfId="1" applyFont="1"/>
    <xf numFmtId="0" fontId="1" fillId="5" borderId="0" xfId="1" applyFont="1" applyFill="1"/>
    <xf numFmtId="38" fontId="1" fillId="6" borderId="0" xfId="1" applyNumberFormat="1" applyFont="1" applyFill="1"/>
    <xf numFmtId="0" fontId="13" fillId="0" borderId="0" xfId="1" applyFont="1"/>
    <xf numFmtId="38" fontId="1" fillId="7" borderId="0" xfId="1" applyNumberFormat="1" applyFont="1" applyFill="1"/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/>
    <xf numFmtId="0" fontId="2" fillId="8" borderId="0" xfId="1" applyFont="1" applyFill="1"/>
    <xf numFmtId="0" fontId="2" fillId="0" borderId="0" xfId="1" applyFont="1" applyAlignment="1">
      <alignment wrapText="1"/>
    </xf>
    <xf numFmtId="0" fontId="3" fillId="0" borderId="5" xfId="1" applyBorder="1" applyAlignment="1">
      <alignment horizontal="center" vertical="center"/>
    </xf>
    <xf numFmtId="38" fontId="2" fillId="0" borderId="0" xfId="1" applyNumberFormat="1" applyFont="1"/>
    <xf numFmtId="38" fontId="1" fillId="2" borderId="1" xfId="0" applyNumberFormat="1" applyFont="1" applyFill="1" applyBorder="1" applyAlignment="1">
      <alignment horizontal="center" vertical="center"/>
    </xf>
    <xf numFmtId="38" fontId="1" fillId="2" borderId="4" xfId="0" applyNumberFormat="1" applyFont="1" applyFill="1" applyBorder="1" applyAlignment="1">
      <alignment horizontal="center" vertical="center" wrapText="1"/>
    </xf>
    <xf numFmtId="38" fontId="1" fillId="4" borderId="1" xfId="0" applyNumberFormat="1" applyFont="1" applyFill="1" applyBorder="1" applyAlignment="1">
      <alignment horizontal="center" vertical="center"/>
    </xf>
    <xf numFmtId="38" fontId="1" fillId="9" borderId="1" xfId="0" applyNumberFormat="1" applyFont="1" applyFill="1" applyBorder="1" applyAlignment="1">
      <alignment horizontal="center" vertical="center" wrapText="1"/>
    </xf>
    <xf numFmtId="38" fontId="1" fillId="10" borderId="1" xfId="0" applyNumberFormat="1" applyFont="1" applyFill="1" applyBorder="1" applyAlignment="1">
      <alignment horizontal="center" vertical="center" wrapText="1"/>
    </xf>
    <xf numFmtId="6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38" fontId="2" fillId="0" borderId="0" xfId="0" applyNumberFormat="1" applyFont="1"/>
    <xf numFmtId="38" fontId="16" fillId="0" borderId="0" xfId="0" applyNumberFormat="1" applyFont="1"/>
    <xf numFmtId="38" fontId="17" fillId="0" borderId="0" xfId="0" applyNumberFormat="1" applyFont="1"/>
    <xf numFmtId="38" fontId="1" fillId="0" borderId="0" xfId="0" applyNumberFormat="1" applyFont="1"/>
    <xf numFmtId="38" fontId="6" fillId="0" borderId="0" xfId="0" applyNumberFormat="1" applyFont="1"/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" fillId="0" borderId="0" xfId="0" applyFont="1" applyAlignment="1">
      <alignment horizontal="center"/>
    </xf>
    <xf numFmtId="38" fontId="2" fillId="0" borderId="0" xfId="3" applyNumberFormat="1" applyFont="1" applyFill="1"/>
    <xf numFmtId="15" fontId="2" fillId="0" borderId="0" xfId="0" applyNumberFormat="1" applyFont="1"/>
    <xf numFmtId="38" fontId="0" fillId="0" borderId="0" xfId="0" applyNumberFormat="1"/>
    <xf numFmtId="0" fontId="0" fillId="0" borderId="0" xfId="0" pivotButton="1"/>
    <xf numFmtId="16" fontId="2" fillId="0" borderId="0" xfId="0" applyNumberFormat="1" applyFont="1"/>
    <xf numFmtId="164" fontId="2" fillId="0" borderId="0" xfId="3" applyNumberFormat="1" applyFont="1" applyFill="1"/>
    <xf numFmtId="165" fontId="2" fillId="0" borderId="0" xfId="0" applyNumberFormat="1" applyFont="1"/>
  </cellXfs>
  <cellStyles count="4">
    <cellStyle name="Millares" xfId="3" builtinId="3"/>
    <cellStyle name="Millares 2" xfId="2" xr:uid="{C811831A-A547-4632-9449-5D63F00B7850}"/>
    <cellStyle name="Normal" xfId="0" builtinId="0"/>
    <cellStyle name="Normal 2" xfId="1" xr:uid="{F9D61B6B-98F6-49BD-8AA3-2F016773D581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[CONDUCTORES 1-11.xlsx]TABLAS BARRAS !TablaDinámica16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GANANCIAS TOTALES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BARRAS '!$D$3</c:f>
              <c:strCache>
                <c:ptCount val="1"/>
                <c:pt idx="0">
                  <c:v>Suma de GANANCIAS TOTALES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'TABLAS BARRAS '!$B$4:$C$18</c:f>
              <c:multiLvlStrCache>
                <c:ptCount val="12"/>
                <c:lvl>
                  <c:pt idx="0">
                    <c:v>2</c:v>
                  </c:pt>
                  <c:pt idx="1">
                    <c:v>3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2025</c:v>
                  </c:pt>
                  <c:pt idx="2">
                    <c:v>2026</c:v>
                  </c:pt>
                </c:lvl>
              </c:multiLvlStrCache>
            </c:multiLvlStrRef>
          </c:cat>
          <c:val>
            <c:numRef>
              <c:f>'TABLAS BARRAS '!$D$4:$D$18</c:f>
              <c:numCache>
                <c:formatCode>#,##0_);[Red]\(#,##0\)</c:formatCode>
                <c:ptCount val="12"/>
                <c:pt idx="0">
                  <c:v>-210.85200000000009</c:v>
                </c:pt>
                <c:pt idx="1">
                  <c:v>-1733.5503999999992</c:v>
                </c:pt>
                <c:pt idx="2">
                  <c:v>857.14285714285722</c:v>
                </c:pt>
                <c:pt idx="3">
                  <c:v>2999.5200000000004</c:v>
                </c:pt>
                <c:pt idx="4">
                  <c:v>2963.8571428571427</c:v>
                </c:pt>
                <c:pt idx="5">
                  <c:v>3199.7800000000007</c:v>
                </c:pt>
                <c:pt idx="6">
                  <c:v>3200.4599999999991</c:v>
                </c:pt>
                <c:pt idx="7">
                  <c:v>3199.7600000000011</c:v>
                </c:pt>
                <c:pt idx="8">
                  <c:v>2864.1428571428573</c:v>
                </c:pt>
                <c:pt idx="9">
                  <c:v>3424.4000000000015</c:v>
                </c:pt>
                <c:pt idx="10">
                  <c:v>3014.1438857142862</c:v>
                </c:pt>
                <c:pt idx="11">
                  <c:v>3399.66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F-46E7-A302-E7B2E2B2BC34}"/>
            </c:ext>
          </c:extLst>
        </c:ser>
        <c:ser>
          <c:idx val="1"/>
          <c:order val="1"/>
          <c:tx>
            <c:strRef>
              <c:f>'TABLAS BARRAS '!$E$3</c:f>
              <c:strCache>
                <c:ptCount val="1"/>
                <c:pt idx="0">
                  <c:v>Suma de FIANZA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'TABLAS BARRAS '!$B$4:$C$18</c:f>
              <c:multiLvlStrCache>
                <c:ptCount val="12"/>
                <c:lvl>
                  <c:pt idx="0">
                    <c:v>2</c:v>
                  </c:pt>
                  <c:pt idx="1">
                    <c:v>3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2025</c:v>
                  </c:pt>
                  <c:pt idx="2">
                    <c:v>2026</c:v>
                  </c:pt>
                </c:lvl>
              </c:multiLvlStrCache>
            </c:multiLvlStrRef>
          </c:cat>
          <c:val>
            <c:numRef>
              <c:f>'TABLAS BARRAS '!$E$4:$E$18</c:f>
              <c:numCache>
                <c:formatCode>General</c:formatCode>
                <c:ptCount val="12"/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E0BF-46E7-A302-E7B2E2B2BC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4523520"/>
        <c:axId val="1425601807"/>
      </c:barChart>
      <c:lineChart>
        <c:grouping val="standard"/>
        <c:varyColors val="0"/>
        <c:ser>
          <c:idx val="2"/>
          <c:order val="2"/>
          <c:tx>
            <c:strRef>
              <c:f>'TABLAS BARRAS '!$F$3</c:f>
              <c:strCache>
                <c:ptCount val="1"/>
                <c:pt idx="0">
                  <c:v>Cuenta de META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'TABLAS BARRAS '!$B$4:$C$18</c:f>
              <c:multiLvlStrCache>
                <c:ptCount val="12"/>
                <c:lvl>
                  <c:pt idx="0">
                    <c:v>2</c:v>
                  </c:pt>
                  <c:pt idx="1">
                    <c:v>3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2025</c:v>
                  </c:pt>
                  <c:pt idx="2">
                    <c:v>2026</c:v>
                  </c:pt>
                </c:lvl>
              </c:multiLvlStrCache>
            </c:multiLvlStrRef>
          </c:cat>
          <c:val>
            <c:numRef>
              <c:f>'TABLAS BARRAS '!$F$4:$F$18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69-40D7-944A-5977E676C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4936944"/>
        <c:axId val="894950864"/>
      </c:lineChart>
      <c:catAx>
        <c:axId val="2345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2"/>
            </a:solidFill>
            <a:round/>
            <a:headEnd type="non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25601807"/>
        <c:crossesAt val="0"/>
        <c:auto val="1"/>
        <c:lblAlgn val="ctr"/>
        <c:lblOffset val="100"/>
        <c:noMultiLvlLbl val="0"/>
      </c:catAx>
      <c:valAx>
        <c:axId val="1425601807"/>
        <c:scaling>
          <c:orientation val="minMax"/>
          <c:min val="-7500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4523520"/>
        <c:crossesAt val="1"/>
        <c:crossBetween val="between"/>
      </c:valAx>
      <c:valAx>
        <c:axId val="894950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4936944"/>
        <c:crosses val="max"/>
        <c:crossBetween val="between"/>
      </c:valAx>
      <c:catAx>
        <c:axId val="89493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4950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1685904</xdr:colOff>
      <xdr:row>2</xdr:row>
      <xdr:rowOff>76200</xdr:rowOff>
    </xdr:from>
    <xdr:to>
      <xdr:col>12</xdr:col>
      <xdr:colOff>674349</xdr:colOff>
      <xdr:row>33</xdr:row>
      <xdr:rowOff>132525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76F15A-5ABD-F258-6D78-4CFE0BE65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OneDrive\RESULTADOS_UBER\S7_ASHC_BYER_RESULTADOS%20UBER%20(1).xlsx" TargetMode="External"/><Relationship Id="rId1" Type="http://schemas.openxmlformats.org/officeDocument/2006/relationships/externalLinkPath" Target="file:///C:\Users\Usuario\OneDrive\RESULTADOS_UBER\S7_ASHC_BYER_RESULTADOS%20UBER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2d2bc7db329fb1a6/UBER_SEMANAL/S13_ASHC_BYER_RESULTADOS%20UBER.xlsb" TargetMode="External"/><Relationship Id="rId2" Type="http://schemas.openxmlformats.org/officeDocument/2006/relationships/externalLinkPath" Target="https://d.docs.live.net/2d2bc7db329fb1a6/UBER_SEMANAL/S13_ASHC_BYER_RESULTADOS%20UBER.xlsb" TargetMode="External"/><Relationship Id="rId1" Type="http://schemas.openxmlformats.org/officeDocument/2006/relationships/externalLinkPath" Target="/2d2bc7db329fb1a6/UBER_SEMANAL/S13_ASHC_BYER_RESULTADOS%20UBER.xlsb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d2bc7db329fb1a6/UBER_SEMANAL/INFORMES/20260216-20260223-payments_order-Arturo_Santiago_Hernandez_Castillo.xlsx" TargetMode="External"/><Relationship Id="rId1" Type="http://schemas.openxmlformats.org/officeDocument/2006/relationships/externalLinkPath" Target="file:///C:\Users\Usuario\OneDrive\UBER_SEMANAL\INFORMES\20260216-20260223-payments_order-Arturo_Santiago_Hernandez_Castill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d2bc7db329fb1a6/UBER_SEMANAL/INFORMES/20260223-20260302-payments_order-Arturo_Santiago_Hernandez_Castillo.xlsx" TargetMode="External"/><Relationship Id="rId1" Type="http://schemas.openxmlformats.org/officeDocument/2006/relationships/externalLinkPath" Target="file:///C:\Users\Usuario\OneDrive\UBER_SEMANAL\INFORMES\20260223-20260302-payments_order-Arturo_Santiago_Hernandez_Castil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"/>
      <sheetName val="Hoja4"/>
      <sheetName val="Conductores"/>
      <sheetName val="UBER 2026"/>
      <sheetName val="CTRL AUTOS"/>
      <sheetName val="DEUDORES ESP"/>
      <sheetName val="HOJALATERÍA"/>
      <sheetName val="DEUDORES BAJAS"/>
      <sheetName val="Hoja2"/>
      <sheetName val="Hoja1"/>
      <sheetName val="CALENDARIO V"/>
      <sheetName val="FIANZAS"/>
      <sheetName val="MULTAS"/>
      <sheetName val="MULTAS 2026"/>
      <sheetName val="ACUERDOS"/>
      <sheetName val="UBER 2025"/>
      <sheetName val="TAG"/>
      <sheetName val="HOJALPORCONDUCTOR"/>
      <sheetName val="DESCUENTOS CONDUCTORES"/>
      <sheetName val="LISTA"/>
      <sheetName val="SERVICIOS"/>
      <sheetName val="REVISIÓN MECANICA"/>
      <sheetName val="FACTURACIÓN SEMANAL"/>
      <sheetName val="PÓLIZAS"/>
      <sheetName val="Hoja3"/>
    </sheetNames>
    <sheetDataSet>
      <sheetData sheetId="0"/>
      <sheetData sheetId="1"/>
      <sheetData sheetId="2"/>
      <sheetData sheetId="3"/>
      <sheetData sheetId="4">
        <row r="1">
          <cell r="E1" t="str">
            <v>LLAVE</v>
          </cell>
          <cell r="F1" t="str">
            <v>PLACAS</v>
          </cell>
          <cell r="G1" t="str">
            <v>VEHICULO</v>
          </cell>
          <cell r="H1" t="str">
            <v>MODELO</v>
          </cell>
          <cell r="I1" t="str">
            <v>COLOR</v>
          </cell>
          <cell r="J1" t="str">
            <v xml:space="preserve">ENT. FED. </v>
          </cell>
          <cell r="K1" t="str">
            <v>PLATAFORMA</v>
          </cell>
          <cell r="L1" t="str">
            <v>SOCIO</v>
          </cell>
          <cell r="M1" t="str">
            <v>TAG</v>
          </cell>
          <cell r="N1" t="str">
            <v>TAG2</v>
          </cell>
          <cell r="O1" t="str">
            <v>CUENTA</v>
          </cell>
          <cell r="P1" t="str">
            <v># SERIE</v>
          </cell>
          <cell r="Q1" t="str">
            <v>IMEI</v>
          </cell>
          <cell r="R1" t="str">
            <v># GPS</v>
          </cell>
          <cell r="S1" t="str">
            <v>COMPRA</v>
          </cell>
          <cell r="T1" t="str">
            <v>FECHA COMPRA</v>
          </cell>
          <cell r="U1" t="str">
            <v>IMPORTE</v>
          </cell>
          <cell r="V1" t="str">
            <v>ASEGURADORA</v>
          </cell>
          <cell r="W1" t="str">
            <v>TITULAR DE POLIZA</v>
          </cell>
          <cell r="X1" t="str">
            <v>PÓLIZA</v>
          </cell>
          <cell r="Y1" t="str">
            <v>VIGENCIA</v>
          </cell>
          <cell r="Z1" t="str">
            <v>IMPORTE</v>
          </cell>
          <cell r="AA1" t="str">
            <v>ULT DIG
PLACA</v>
          </cell>
          <cell r="AB1" t="str">
            <v>SEMESTRE</v>
          </cell>
          <cell r="AC1" t="str">
            <v>ULTIMA V</v>
          </cell>
          <cell r="AD1" t="str">
            <v>F LÍMITE VERIF</v>
          </cell>
          <cell r="AE1" t="str">
            <v>FECHA UV</v>
          </cell>
          <cell r="AF1" t="str">
            <v>T. CIRC. (VIGENCIA</v>
          </cell>
          <cell r="AG1" t="str">
            <v>TENENCIA</v>
          </cell>
          <cell r="AH1" t="str">
            <v>ADEUDO</v>
          </cell>
        </row>
        <row r="2">
          <cell r="E2" t="str">
            <v>VENTO|2020|GRIS|R66BER</v>
          </cell>
          <cell r="F2" t="str">
            <v>R66BER</v>
          </cell>
          <cell r="G2" t="str">
            <v>VENTO</v>
          </cell>
          <cell r="H2">
            <v>2020</v>
          </cell>
          <cell r="I2" t="str">
            <v>GRIS</v>
          </cell>
          <cell r="J2" t="str">
            <v>CDMX</v>
          </cell>
          <cell r="K2" t="str">
            <v>ASHC</v>
          </cell>
          <cell r="L2" t="str">
            <v>ASHC</v>
          </cell>
          <cell r="M2" t="str">
            <v>OHLM023720329</v>
          </cell>
          <cell r="N2" t="str">
            <v>OHLM02372032</v>
          </cell>
          <cell r="O2">
            <v>2500</v>
          </cell>
          <cell r="P2" t="str">
            <v>MEX5G2606LT023653</v>
          </cell>
          <cell r="Q2" t="str">
            <v>86 81 66 05 66 53 37 1</v>
          </cell>
          <cell r="R2" t="str">
            <v>50-35-26-26-94 ACTIVO</v>
          </cell>
          <cell r="S2" t="str">
            <v>PARTICULAR</v>
          </cell>
          <cell r="T2">
            <v>43738</v>
          </cell>
          <cell r="U2">
            <v>233990</v>
          </cell>
          <cell r="V2" t="str">
            <v>AXA</v>
          </cell>
          <cell r="W2" t="str">
            <v>ARTURO SANTIAGO HERNANDEZ CASTILLO</v>
          </cell>
          <cell r="X2" t="str">
            <v>160234245600</v>
          </cell>
          <cell r="Y2">
            <v>46202</v>
          </cell>
          <cell r="Z2">
            <v>16217.68</v>
          </cell>
          <cell r="AA2">
            <v>6</v>
          </cell>
          <cell r="AB2">
            <v>2</v>
          </cell>
          <cell r="AC2">
            <v>46034</v>
          </cell>
          <cell r="AD2">
            <v>46265</v>
          </cell>
          <cell r="AE2" t="str">
            <v>🟢 A TIEMPO</v>
          </cell>
          <cell r="AF2">
            <v>47029</v>
          </cell>
          <cell r="AG2" t="str">
            <v>✔</v>
          </cell>
          <cell r="AH2" t="str">
            <v>SIN</v>
          </cell>
        </row>
        <row r="3">
          <cell r="E3" t="str">
            <v>AVEO|2022|AZUL|MUF515A</v>
          </cell>
          <cell r="F3" t="str">
            <v>MUF515A</v>
          </cell>
          <cell r="G3" t="str">
            <v>AVEO</v>
          </cell>
          <cell r="H3">
            <v>2022</v>
          </cell>
          <cell r="I3" t="str">
            <v>AZUL</v>
          </cell>
          <cell r="J3" t="str">
            <v>EDOMEX</v>
          </cell>
          <cell r="K3" t="str">
            <v>ASHC</v>
          </cell>
          <cell r="L3" t="str">
            <v>ASHC</v>
          </cell>
          <cell r="M3" t="str">
            <v>OHLM031491772</v>
          </cell>
          <cell r="N3" t="str">
            <v>OHLM03149177</v>
          </cell>
          <cell r="O3">
            <v>2500</v>
          </cell>
          <cell r="P3" t="str">
            <v>LSGHD52H4ND041033</v>
          </cell>
          <cell r="Q3" t="str">
            <v>86 81 66 05 59 60 79 3</v>
          </cell>
          <cell r="R3" t="str">
            <v>50-35-26-02-43 ACTIVO</v>
          </cell>
          <cell r="S3" t="str">
            <v>ROBO</v>
          </cell>
          <cell r="T3">
            <v>44589</v>
          </cell>
          <cell r="U3">
            <v>140000</v>
          </cell>
          <cell r="V3" t="str">
            <v>AXA</v>
          </cell>
          <cell r="W3" t="str">
            <v>ARTURO SANTIAGO HERNANDEZ CASTILLO</v>
          </cell>
          <cell r="X3" t="str">
            <v>160264365300</v>
          </cell>
          <cell r="Y3">
            <v>46345</v>
          </cell>
          <cell r="Z3">
            <v>12064.28</v>
          </cell>
          <cell r="AA3">
            <v>5</v>
          </cell>
          <cell r="AB3">
            <v>1</v>
          </cell>
          <cell r="AC3">
            <v>45869</v>
          </cell>
          <cell r="AD3">
            <v>46081</v>
          </cell>
          <cell r="AE3" t="str">
            <v>🔴 MULTA</v>
          </cell>
          <cell r="AF3">
            <v>47060</v>
          </cell>
          <cell r="AG3" t="str">
            <v>✔</v>
          </cell>
          <cell r="AH3">
            <v>5657</v>
          </cell>
        </row>
        <row r="4">
          <cell r="E4" t="str">
            <v>AVEO|2018|ROJO|R51BKD</v>
          </cell>
          <cell r="F4" t="str">
            <v>R51BKD</v>
          </cell>
          <cell r="G4" t="str">
            <v>AVEO</v>
          </cell>
          <cell r="H4">
            <v>2018</v>
          </cell>
          <cell r="I4" t="str">
            <v>ROJO</v>
          </cell>
          <cell r="J4" t="str">
            <v>CDMX</v>
          </cell>
          <cell r="K4" t="str">
            <v>BYER</v>
          </cell>
          <cell r="L4" t="str">
            <v>U64</v>
          </cell>
          <cell r="M4" t="str">
            <v xml:space="preserve">OHLM032762106
</v>
          </cell>
          <cell r="N4" t="str">
            <v>OHLM03276210</v>
          </cell>
          <cell r="O4">
            <v>2500</v>
          </cell>
          <cell r="P4" t="str">
            <v>LSGHD52H7JD047970</v>
          </cell>
          <cell r="Q4" t="str">
            <v>86 81 66 05 59 65 39 6</v>
          </cell>
          <cell r="R4" t="str">
            <v>50-35-26-12-17 ACTIVO</v>
          </cell>
          <cell r="S4" t="str">
            <v>SINIESTRO</v>
          </cell>
          <cell r="T4">
            <v>44690</v>
          </cell>
          <cell r="U4">
            <v>84000.02</v>
          </cell>
          <cell r="V4" t="str">
            <v>AXA</v>
          </cell>
          <cell r="W4" t="str">
            <v>ARTURO SANTIAGO HERNANDEZ CASTILLO</v>
          </cell>
          <cell r="X4" t="str">
            <v>150281561901</v>
          </cell>
          <cell r="Y4">
            <v>46223</v>
          </cell>
          <cell r="Z4">
            <v>12995.1</v>
          </cell>
          <cell r="AA4">
            <v>1</v>
          </cell>
          <cell r="AB4">
            <v>1</v>
          </cell>
          <cell r="AC4">
            <v>45979</v>
          </cell>
          <cell r="AD4">
            <v>46173</v>
          </cell>
          <cell r="AE4" t="str">
            <v>🟢 A TIEMPO</v>
          </cell>
          <cell r="AF4">
            <v>46889</v>
          </cell>
          <cell r="AG4" t="str">
            <v>✔</v>
          </cell>
          <cell r="AH4" t="str">
            <v>SIN</v>
          </cell>
        </row>
        <row r="5">
          <cell r="E5" t="str">
            <v>AVEO|2019|PLATA|NEL860A</v>
          </cell>
          <cell r="F5" t="str">
            <v>NEL860A</v>
          </cell>
          <cell r="G5" t="str">
            <v>AVEO</v>
          </cell>
          <cell r="H5">
            <v>2019</v>
          </cell>
          <cell r="I5" t="str">
            <v>PLATA</v>
          </cell>
          <cell r="J5" t="str">
            <v>EDOMEX</v>
          </cell>
          <cell r="K5" t="str">
            <v>ASHC</v>
          </cell>
          <cell r="L5" t="str">
            <v>ASHC</v>
          </cell>
          <cell r="M5" t="str">
            <v>OHLM032370132</v>
          </cell>
          <cell r="N5" t="str">
            <v>OHLM03237013</v>
          </cell>
          <cell r="O5">
            <v>2500</v>
          </cell>
          <cell r="P5" t="str">
            <v>LSGHD52H0KD129962</v>
          </cell>
          <cell r="Q5" t="str">
            <v>86 97 06 06 10 72 41 1</v>
          </cell>
          <cell r="R5" t="str">
            <v>55-35-26-26-42 ACTIVO</v>
          </cell>
          <cell r="S5" t="str">
            <v>PARTICULAR</v>
          </cell>
          <cell r="T5">
            <v>43647</v>
          </cell>
          <cell r="U5">
            <v>187068.97</v>
          </cell>
          <cell r="V5" t="str">
            <v>AXA</v>
          </cell>
          <cell r="W5" t="str">
            <v>ARTURO SANTIAGO HERNANDEZ CASTILLO</v>
          </cell>
          <cell r="X5" t="str">
            <v>150276766101</v>
          </cell>
          <cell r="Y5">
            <v>46198</v>
          </cell>
          <cell r="Z5">
            <v>12899.68</v>
          </cell>
          <cell r="AA5">
            <v>0</v>
          </cell>
          <cell r="AB5">
            <v>1</v>
          </cell>
          <cell r="AC5">
            <v>46001</v>
          </cell>
          <cell r="AD5">
            <v>46203</v>
          </cell>
          <cell r="AE5" t="str">
            <v>🟢 A TIEMPO</v>
          </cell>
          <cell r="AF5">
            <v>47247</v>
          </cell>
          <cell r="AG5" t="str">
            <v>✔</v>
          </cell>
          <cell r="AH5" t="str">
            <v>SIN</v>
          </cell>
        </row>
        <row r="6">
          <cell r="E6" t="str">
            <v>AVEO|2019|BLANCO|NBS225A</v>
          </cell>
          <cell r="F6" t="str">
            <v>NBS225A</v>
          </cell>
          <cell r="G6" t="str">
            <v>AVEO</v>
          </cell>
          <cell r="H6">
            <v>2019</v>
          </cell>
          <cell r="I6" t="str">
            <v>BLANCO</v>
          </cell>
          <cell r="J6" t="str">
            <v>EDOMEX</v>
          </cell>
          <cell r="K6" t="str">
            <v>ASHC</v>
          </cell>
          <cell r="L6" t="str">
            <v>ASHC</v>
          </cell>
          <cell r="M6" t="str">
            <v>OHLM038285797</v>
          </cell>
          <cell r="N6" t="str">
            <v>OHLM03828579</v>
          </cell>
          <cell r="O6">
            <v>2500</v>
          </cell>
          <cell r="P6" t="str">
            <v>LSGHD52H4KD090597</v>
          </cell>
          <cell r="Q6" t="str">
            <v>86 81 66 05 59 44 97 9</v>
          </cell>
          <cell r="R6" t="str">
            <v>50-35-26-28-19 ACTIVO</v>
          </cell>
          <cell r="S6" t="str">
            <v>PARTICULAR</v>
          </cell>
          <cell r="T6">
            <v>43612</v>
          </cell>
          <cell r="U6">
            <v>217000</v>
          </cell>
          <cell r="V6" t="str">
            <v>AXA</v>
          </cell>
          <cell r="W6" t="str">
            <v>ARTURO SANTIAGO HERNANDEZ CASTILLO</v>
          </cell>
          <cell r="X6" t="str">
            <v>150274772401</v>
          </cell>
          <cell r="Y6">
            <v>46187</v>
          </cell>
          <cell r="Z6">
            <v>13431.7</v>
          </cell>
          <cell r="AA6">
            <v>5</v>
          </cell>
          <cell r="AB6">
            <v>2</v>
          </cell>
          <cell r="AC6">
            <v>46034</v>
          </cell>
          <cell r="AD6">
            <v>46265</v>
          </cell>
          <cell r="AE6" t="str">
            <v>🟢 A TIEMPO</v>
          </cell>
          <cell r="AF6">
            <v>47179</v>
          </cell>
          <cell r="AG6" t="str">
            <v>✔</v>
          </cell>
          <cell r="AH6">
            <v>2262.8000000000002</v>
          </cell>
        </row>
        <row r="7">
          <cell r="E7" t="str">
            <v>MARCH|2020|TURQ|N15BKD</v>
          </cell>
          <cell r="F7" t="str">
            <v>N15BKD</v>
          </cell>
          <cell r="G7" t="str">
            <v>MARCH</v>
          </cell>
          <cell r="H7">
            <v>2020</v>
          </cell>
          <cell r="I7" t="str">
            <v>TURQ</v>
          </cell>
          <cell r="J7" t="str">
            <v>CDMX</v>
          </cell>
          <cell r="K7" t="str">
            <v>ASHC</v>
          </cell>
          <cell r="L7" t="str">
            <v>ASHC</v>
          </cell>
          <cell r="M7" t="str">
            <v>OHLM031409071</v>
          </cell>
          <cell r="N7" t="str">
            <v>OHLM03140907</v>
          </cell>
          <cell r="O7">
            <v>2600</v>
          </cell>
          <cell r="P7" t="str">
            <v>3N1CK3CD7LL243189</v>
          </cell>
          <cell r="Q7" t="str">
            <v>86 38 44 05 50 58 00 9</v>
          </cell>
          <cell r="R7" t="str">
            <v>50-35-26-28-01 ACTIVO</v>
          </cell>
          <cell r="S7" t="str">
            <v>ROBO</v>
          </cell>
          <cell r="T7">
            <v>44692</v>
          </cell>
          <cell r="U7">
            <v>119999.97</v>
          </cell>
          <cell r="V7" t="str">
            <v>AXA</v>
          </cell>
          <cell r="W7" t="str">
            <v>ARTURO SANTIAGO HERNANDEZ CASTILLO</v>
          </cell>
          <cell r="X7" t="str">
            <v>150282630101</v>
          </cell>
          <cell r="Y7">
            <v>46232</v>
          </cell>
          <cell r="Z7">
            <v>14428.53</v>
          </cell>
          <cell r="AA7">
            <v>5</v>
          </cell>
          <cell r="AB7">
            <v>2</v>
          </cell>
          <cell r="AC7">
            <v>46052</v>
          </cell>
          <cell r="AD7">
            <v>46265</v>
          </cell>
          <cell r="AE7" t="str">
            <v>🟢 A TIEMPO</v>
          </cell>
          <cell r="AF7">
            <v>46985</v>
          </cell>
          <cell r="AG7" t="str">
            <v>✔</v>
          </cell>
          <cell r="AH7" t="str">
            <v>SIN</v>
          </cell>
        </row>
        <row r="8">
          <cell r="E8" t="str">
            <v>KIA RIO|2017|ROJO|MYE912A</v>
          </cell>
          <cell r="F8" t="str">
            <v>MYE912A</v>
          </cell>
          <cell r="G8" t="str">
            <v>KIA RIO</v>
          </cell>
          <cell r="H8">
            <v>2017</v>
          </cell>
          <cell r="I8" t="str">
            <v>ROJO</v>
          </cell>
          <cell r="J8" t="str">
            <v>EDOMEX</v>
          </cell>
          <cell r="K8" t="str">
            <v>BYER</v>
          </cell>
          <cell r="L8" t="str">
            <v>U64</v>
          </cell>
          <cell r="M8" t="str">
            <v>OHLM032762130</v>
          </cell>
          <cell r="N8" t="str">
            <v>OHLM03276213</v>
          </cell>
          <cell r="O8">
            <v>2500</v>
          </cell>
          <cell r="P8" t="str">
            <v>KNADN4A39H6072940</v>
          </cell>
          <cell r="Q8" t="str">
            <v>86 81 66 05 59 53 16 0</v>
          </cell>
          <cell r="R8" t="str">
            <v>55-68-82-67-19 ACTIVO</v>
          </cell>
          <cell r="S8" t="str">
            <v>INUNDACIÓN</v>
          </cell>
          <cell r="T8">
            <v>45231</v>
          </cell>
          <cell r="U8">
            <v>120000</v>
          </cell>
          <cell r="V8" t="str">
            <v>AXA</v>
          </cell>
          <cell r="W8" t="str">
            <v>ARTURO SANTIAGO HERNANDEZ CASTILLO</v>
          </cell>
          <cell r="X8" t="str">
            <v>160271467200</v>
          </cell>
          <cell r="Y8">
            <v>46413</v>
          </cell>
          <cell r="Z8">
            <v>9929.58</v>
          </cell>
          <cell r="AA8">
            <v>2</v>
          </cell>
          <cell r="AB8">
            <v>1</v>
          </cell>
          <cell r="AC8">
            <v>45979</v>
          </cell>
          <cell r="AD8">
            <v>46173</v>
          </cell>
          <cell r="AE8" t="str">
            <v>🟢 A TIEMPO</v>
          </cell>
          <cell r="AF8">
            <v>47108</v>
          </cell>
          <cell r="AG8" t="str">
            <v>✔</v>
          </cell>
          <cell r="AH8">
            <v>3394.2</v>
          </cell>
        </row>
        <row r="9">
          <cell r="E9" t="str">
            <v>AVEO|2018|GRIS|X59AWG</v>
          </cell>
          <cell r="F9" t="str">
            <v>X59AWG</v>
          </cell>
          <cell r="G9" t="str">
            <v>AVEO</v>
          </cell>
          <cell r="H9">
            <v>2018</v>
          </cell>
          <cell r="I9" t="str">
            <v>GRIS</v>
          </cell>
          <cell r="J9" t="str">
            <v>CDMX</v>
          </cell>
          <cell r="K9" t="str">
            <v>ASHC</v>
          </cell>
          <cell r="L9" t="str">
            <v>ASHC</v>
          </cell>
          <cell r="M9" t="str">
            <v>OHLM031409063</v>
          </cell>
          <cell r="N9" t="str">
            <v>OHLM03140906</v>
          </cell>
          <cell r="O9">
            <v>2500</v>
          </cell>
          <cell r="P9" t="str">
            <v>LSGHD52HXJD050118</v>
          </cell>
          <cell r="Q9" t="str">
            <v>86 81 66 05 59 53 61 6</v>
          </cell>
          <cell r="R9" t="str">
            <v>50-35-26-11-91 ACTIVO</v>
          </cell>
          <cell r="S9" t="str">
            <v>PARTICULAR GSAL</v>
          </cell>
          <cell r="T9">
            <v>43210</v>
          </cell>
          <cell r="U9">
            <v>169585.01</v>
          </cell>
          <cell r="V9" t="str">
            <v>AXA</v>
          </cell>
          <cell r="W9" t="str">
            <v>ARTURO SANTIAGO HERNANDEZ CASTILLO</v>
          </cell>
          <cell r="X9" t="str">
            <v>150298085301</v>
          </cell>
          <cell r="Y9">
            <v>46338</v>
          </cell>
          <cell r="Z9">
            <v>12993.51</v>
          </cell>
          <cell r="AA9">
            <v>9</v>
          </cell>
          <cell r="AB9">
            <v>1</v>
          </cell>
          <cell r="AC9" t="str">
            <v>PND
ROUS</v>
          </cell>
          <cell r="AD9">
            <v>46203</v>
          </cell>
          <cell r="AE9" t="str">
            <v>🟢 A TIEMPO</v>
          </cell>
          <cell r="AF9">
            <v>46674</v>
          </cell>
          <cell r="AG9" t="str">
            <v>✔</v>
          </cell>
          <cell r="AH9" t="str">
            <v>SIN</v>
          </cell>
        </row>
        <row r="10">
          <cell r="E10" t="str">
            <v>BEAT|2020|GRIS|NFN014B</v>
          </cell>
          <cell r="F10" t="str">
            <v>NFN014B</v>
          </cell>
          <cell r="G10" t="str">
            <v>BEAT</v>
          </cell>
          <cell r="H10">
            <v>2020</v>
          </cell>
          <cell r="I10" t="str">
            <v>GRIS</v>
          </cell>
          <cell r="J10" t="str">
            <v>EDOMEX</v>
          </cell>
          <cell r="K10" t="str">
            <v>BYER</v>
          </cell>
          <cell r="L10" t="str">
            <v>U64</v>
          </cell>
          <cell r="M10" t="str">
            <v>OHLM032762148</v>
          </cell>
          <cell r="N10" t="str">
            <v>OHLM03276214</v>
          </cell>
          <cell r="O10">
            <v>2500</v>
          </cell>
          <cell r="P10" t="str">
            <v>MA6CB5CD9LT047100</v>
          </cell>
          <cell r="Q10" t="str">
            <v>86 81 66 05 59 45 40 6</v>
          </cell>
          <cell r="R10" t="str">
            <v>50-35-26-39-32 ACTIVO</v>
          </cell>
          <cell r="S10" t="str">
            <v>PARTICULAR LEON</v>
          </cell>
          <cell r="T10">
            <v>44610</v>
          </cell>
          <cell r="U10">
            <v>205000</v>
          </cell>
          <cell r="V10" t="str">
            <v>AXA</v>
          </cell>
          <cell r="W10" t="str">
            <v>ARTURO SANTIAGO HERNANDEZ CASTILLO</v>
          </cell>
          <cell r="X10" t="str">
            <v>160271448000</v>
          </cell>
          <cell r="Y10">
            <v>46410</v>
          </cell>
          <cell r="Z10">
            <v>11195.82</v>
          </cell>
          <cell r="AA10">
            <v>4</v>
          </cell>
          <cell r="AB10">
            <v>1</v>
          </cell>
          <cell r="AC10">
            <v>45957</v>
          </cell>
          <cell r="AD10">
            <v>46142</v>
          </cell>
          <cell r="AE10" t="str">
            <v>🟢 A TIEMPO</v>
          </cell>
          <cell r="AF10">
            <v>47458</v>
          </cell>
          <cell r="AG10" t="str">
            <v>✔</v>
          </cell>
          <cell r="AH10" t="str">
            <v>SIN</v>
          </cell>
        </row>
        <row r="11">
          <cell r="E11" t="str">
            <v>VENTO|2017|GRIS|MMA672C</v>
          </cell>
          <cell r="F11" t="str">
            <v>MMA672C</v>
          </cell>
          <cell r="G11" t="str">
            <v>VENTO</v>
          </cell>
          <cell r="H11">
            <v>2017</v>
          </cell>
          <cell r="I11" t="str">
            <v>GRIS</v>
          </cell>
          <cell r="J11" t="str">
            <v>EDOMEX</v>
          </cell>
          <cell r="K11" t="str">
            <v>ASHC</v>
          </cell>
          <cell r="L11" t="str">
            <v>ASHC</v>
          </cell>
          <cell r="M11" t="str">
            <v>OHLM023720279</v>
          </cell>
          <cell r="N11" t="str">
            <v>OHLM02372027</v>
          </cell>
          <cell r="O11">
            <v>2500</v>
          </cell>
          <cell r="P11" t="str">
            <v>MEX5H2600HT051064</v>
          </cell>
          <cell r="Q11" t="str">
            <v>86 81 66 05 59 72 32 7</v>
          </cell>
          <cell r="R11" t="str">
            <v>50-35-26-28-35 ACTIVO</v>
          </cell>
          <cell r="S11" t="str">
            <v>ROBO</v>
          </cell>
          <cell r="T11">
            <v>44698</v>
          </cell>
          <cell r="U11">
            <v>115500.04</v>
          </cell>
          <cell r="V11" t="str">
            <v>AXA</v>
          </cell>
          <cell r="W11" t="str">
            <v>ARTURO SANTIAGO HERNANDEZ CASTILLO</v>
          </cell>
          <cell r="X11" t="str">
            <v>150279495001</v>
          </cell>
          <cell r="Y11">
            <v>46210</v>
          </cell>
          <cell r="Z11">
            <v>14565.34</v>
          </cell>
          <cell r="AA11">
            <v>2</v>
          </cell>
          <cell r="AB11">
            <v>1</v>
          </cell>
          <cell r="AC11">
            <v>45920</v>
          </cell>
          <cell r="AD11">
            <v>46173</v>
          </cell>
          <cell r="AE11" t="str">
            <v>🟢 A TIEMPO</v>
          </cell>
          <cell r="AF11">
            <v>47729</v>
          </cell>
          <cell r="AG11" t="str">
            <v>✔</v>
          </cell>
          <cell r="AH11" t="str">
            <v>SIN</v>
          </cell>
        </row>
        <row r="12">
          <cell r="E12" t="str">
            <v>VERSA|2023|PLATA|NCT814A</v>
          </cell>
          <cell r="F12" t="str">
            <v>NCT814A</v>
          </cell>
          <cell r="G12" t="str">
            <v>VERSA</v>
          </cell>
          <cell r="H12">
            <v>2023</v>
          </cell>
          <cell r="I12" t="str">
            <v>PLATA</v>
          </cell>
          <cell r="J12" t="str">
            <v>EDOMEX</v>
          </cell>
          <cell r="K12" t="str">
            <v>ASHC</v>
          </cell>
          <cell r="L12" t="str">
            <v>ASHC</v>
          </cell>
          <cell r="M12" t="str">
            <v>OHLM031491780</v>
          </cell>
          <cell r="N12" t="str">
            <v>OHLM03149178</v>
          </cell>
          <cell r="O12">
            <v>2500</v>
          </cell>
          <cell r="P12" t="str">
            <v>3N1CN8AE8PL834301</v>
          </cell>
          <cell r="Q12" t="str">
            <v>86 81 66 05 59 59 55 5</v>
          </cell>
          <cell r="R12" t="str">
            <v>50-35-26-26-78 ACTIVO</v>
          </cell>
          <cell r="S12" t="str">
            <v>ROBO</v>
          </cell>
          <cell r="T12">
            <v>45351</v>
          </cell>
          <cell r="U12">
            <v>220000</v>
          </cell>
          <cell r="V12" t="str">
            <v>QUALITAS</v>
          </cell>
          <cell r="W12" t="str">
            <v>ARTURO SANTIAGO HERNANDEZ CASTILLO</v>
          </cell>
          <cell r="X12" t="str">
            <v>0005054083</v>
          </cell>
          <cell r="Y12">
            <v>46126</v>
          </cell>
          <cell r="Z12">
            <v>13551.69</v>
          </cell>
          <cell r="AA12">
            <v>4</v>
          </cell>
          <cell r="AB12">
            <v>1</v>
          </cell>
          <cell r="AC12">
            <v>45951</v>
          </cell>
          <cell r="AD12">
            <v>46142</v>
          </cell>
          <cell r="AE12" t="str">
            <v>🟢 A TIEMPO</v>
          </cell>
          <cell r="AF12">
            <v>47202</v>
          </cell>
          <cell r="AG12" t="str">
            <v>✔</v>
          </cell>
          <cell r="AH12" t="str">
            <v>SIN</v>
          </cell>
        </row>
        <row r="13">
          <cell r="E13" t="str">
            <v>HYUNDAI|2022|PLATA|D40BKD</v>
          </cell>
          <cell r="F13" t="str">
            <v>D40BKD</v>
          </cell>
          <cell r="G13" t="str">
            <v>HYUNDAI</v>
          </cell>
          <cell r="H13">
            <v>2022</v>
          </cell>
          <cell r="I13" t="str">
            <v>PLATA</v>
          </cell>
          <cell r="J13" t="str">
            <v>CDMX</v>
          </cell>
          <cell r="K13" t="str">
            <v>ASHC</v>
          </cell>
          <cell r="L13" t="str">
            <v>ASHC</v>
          </cell>
          <cell r="M13" t="str">
            <v>OHLM023658024</v>
          </cell>
          <cell r="N13" t="str">
            <v>OHLM02365802</v>
          </cell>
          <cell r="O13">
            <v>2500</v>
          </cell>
          <cell r="P13" t="str">
            <v>3KPC24B52NE167496</v>
          </cell>
          <cell r="Q13" t="str">
            <v>86 81 66 05 59 60 39 7</v>
          </cell>
          <cell r="R13" t="str">
            <v>50-35-26-39-24 ACTIVO</v>
          </cell>
          <cell r="S13" t="str">
            <v>PARTICULAR</v>
          </cell>
          <cell r="T13">
            <v>44660</v>
          </cell>
          <cell r="U13">
            <v>297900</v>
          </cell>
          <cell r="V13" t="str">
            <v>GNP</v>
          </cell>
          <cell r="W13" t="str">
            <v>ARTURO SANTIAGO HERNANDEZ CASTILLO</v>
          </cell>
          <cell r="X13" t="str">
            <v>00000660862277</v>
          </cell>
          <cell r="Y13">
            <v>46094</v>
          </cell>
          <cell r="Z13">
            <v>16880.61</v>
          </cell>
          <cell r="AA13">
            <v>0</v>
          </cell>
          <cell r="AB13">
            <v>1</v>
          </cell>
          <cell r="AC13">
            <v>46007</v>
          </cell>
          <cell r="AD13">
            <v>46203</v>
          </cell>
          <cell r="AE13" t="str">
            <v>🟢 A TIEMPO</v>
          </cell>
          <cell r="AF13">
            <v>46536</v>
          </cell>
          <cell r="AG13" t="str">
            <v>✔</v>
          </cell>
          <cell r="AH13" t="str">
            <v>SIN</v>
          </cell>
        </row>
        <row r="14">
          <cell r="E14" t="str">
            <v>KIA RIO|2020|GRIS|NCK475B</v>
          </cell>
          <cell r="F14" t="str">
            <v>NCK475B</v>
          </cell>
          <cell r="G14" t="str">
            <v>KIA RIO</v>
          </cell>
          <cell r="H14">
            <v>2020</v>
          </cell>
          <cell r="I14" t="str">
            <v>GRIS</v>
          </cell>
          <cell r="J14" t="str">
            <v>EDOMEX</v>
          </cell>
          <cell r="K14" t="str">
            <v>ASHC</v>
          </cell>
          <cell r="L14" t="str">
            <v>ASHC</v>
          </cell>
          <cell r="M14" t="str">
            <v>OHLM032370124</v>
          </cell>
          <cell r="N14" t="str">
            <v>OHLM03237012</v>
          </cell>
          <cell r="O14">
            <v>2500</v>
          </cell>
          <cell r="P14" t="str">
            <v>3KPA25AC2LE243681</v>
          </cell>
          <cell r="Q14" t="str">
            <v>86 81 66 05 59 60 32 2</v>
          </cell>
          <cell r="R14" t="str">
            <v>50-35-26-02-27 ACTIVO</v>
          </cell>
          <cell r="S14" t="str">
            <v>ROBO</v>
          </cell>
          <cell r="T14">
            <v>45364</v>
          </cell>
          <cell r="U14">
            <v>145999.99</v>
          </cell>
          <cell r="V14" t="str">
            <v>QUALITAS</v>
          </cell>
          <cell r="W14" t="str">
            <v>ARTURO SANTIAGO HERNANDEZ CASTILLO</v>
          </cell>
          <cell r="X14" t="str">
            <v>0005051978</v>
          </cell>
          <cell r="Y14">
            <v>46126</v>
          </cell>
          <cell r="Z14">
            <v>10939.84</v>
          </cell>
          <cell r="AA14">
            <v>5</v>
          </cell>
          <cell r="AB14">
            <v>2</v>
          </cell>
          <cell r="AC14">
            <v>46057</v>
          </cell>
          <cell r="AD14">
            <v>46265</v>
          </cell>
          <cell r="AE14" t="str">
            <v>🟢 A TIEMPO</v>
          </cell>
          <cell r="AF14">
            <v>47449</v>
          </cell>
          <cell r="AG14" t="str">
            <v>✔</v>
          </cell>
          <cell r="AH14" t="str">
            <v>SIN</v>
          </cell>
        </row>
        <row r="15">
          <cell r="E15" t="str">
            <v>AVEO|2022|AZUL|NZY685B</v>
          </cell>
          <cell r="F15" t="str">
            <v>NZY685B</v>
          </cell>
          <cell r="G15" t="str">
            <v>AVEO</v>
          </cell>
          <cell r="H15">
            <v>2022</v>
          </cell>
          <cell r="I15" t="str">
            <v>AZUL</v>
          </cell>
          <cell r="J15" t="str">
            <v>EDOMEX</v>
          </cell>
          <cell r="K15" t="str">
            <v>ASHC</v>
          </cell>
          <cell r="L15" t="str">
            <v>ASHC</v>
          </cell>
          <cell r="M15" t="str">
            <v>OHLM032370116</v>
          </cell>
          <cell r="N15" t="str">
            <v>OHLM03237011</v>
          </cell>
          <cell r="O15">
            <v>2500</v>
          </cell>
          <cell r="P15" t="str">
            <v>LSHGD52H0ND145566</v>
          </cell>
          <cell r="Q15" t="str">
            <v>86 81 66 05 59 60 80 1</v>
          </cell>
          <cell r="R15" t="str">
            <v>50-35-26-27-28 ACTIVO</v>
          </cell>
          <cell r="S15" t="str">
            <v>SINIESTRO</v>
          </cell>
          <cell r="T15">
            <v>45637</v>
          </cell>
          <cell r="U15">
            <v>85500</v>
          </cell>
          <cell r="V15" t="str">
            <v>AXA</v>
          </cell>
          <cell r="W15" t="str">
            <v>ARTURO SANTIAGO HERNANDEZ CASTILLO</v>
          </cell>
          <cell r="X15" t="str">
            <v>160277992200</v>
          </cell>
          <cell r="Y15">
            <v>46429</v>
          </cell>
          <cell r="Z15">
            <v>9920.39</v>
          </cell>
          <cell r="AA15">
            <v>5</v>
          </cell>
          <cell r="AB15">
            <v>2</v>
          </cell>
          <cell r="AC15">
            <v>46052</v>
          </cell>
          <cell r="AD15">
            <v>46265</v>
          </cell>
          <cell r="AE15" t="str">
            <v>🟢 A TIEMPO</v>
          </cell>
          <cell r="AF15">
            <v>47520</v>
          </cell>
          <cell r="AG15" t="str">
            <v>✔</v>
          </cell>
          <cell r="AH15">
            <v>2262.8000000000002</v>
          </cell>
        </row>
        <row r="16">
          <cell r="E16" t="str">
            <v>VENTO|2018|AMARILLO|NJJ912C</v>
          </cell>
          <cell r="F16" t="str">
            <v>NJJ912C</v>
          </cell>
          <cell r="G16" t="str">
            <v>VENTO</v>
          </cell>
          <cell r="H16">
            <v>2018</v>
          </cell>
          <cell r="I16" t="str">
            <v>AMARILLO</v>
          </cell>
          <cell r="J16" t="str">
            <v>EDOMEX</v>
          </cell>
          <cell r="K16" t="str">
            <v>ASHC</v>
          </cell>
          <cell r="L16" t="str">
            <v>ASHC</v>
          </cell>
          <cell r="M16" t="str">
            <v>OHLM031409055</v>
          </cell>
          <cell r="N16" t="str">
            <v>OHLM03140905</v>
          </cell>
          <cell r="O16">
            <v>2500</v>
          </cell>
          <cell r="P16" t="str">
            <v>MEX5G2609JT042162</v>
          </cell>
          <cell r="Q16" t="str">
            <v>86 81 66 05 97 56 41 1</v>
          </cell>
          <cell r="R16" t="str">
            <v>50-35-26-20-27 ACTIVO</v>
          </cell>
          <cell r="S16" t="str">
            <v>PARTICULAR</v>
          </cell>
          <cell r="T16">
            <v>45609</v>
          </cell>
          <cell r="U16">
            <v>155000</v>
          </cell>
          <cell r="V16" t="str">
            <v>AXA</v>
          </cell>
          <cell r="W16" t="str">
            <v>ARTURO SANTIAGO HERNANDEZ CASTILLO</v>
          </cell>
          <cell r="X16" t="str">
            <v>160271457000</v>
          </cell>
          <cell r="Y16">
            <v>46410</v>
          </cell>
          <cell r="Z16">
            <v>10668.1</v>
          </cell>
          <cell r="AA16">
            <v>2</v>
          </cell>
          <cell r="AB16">
            <v>2</v>
          </cell>
          <cell r="AC16">
            <v>46060</v>
          </cell>
          <cell r="AD16">
            <v>46356</v>
          </cell>
          <cell r="AE16" t="str">
            <v>🟢 A TIEMPO</v>
          </cell>
          <cell r="AF16">
            <v>46583</v>
          </cell>
          <cell r="AG16" t="str">
            <v>✔</v>
          </cell>
          <cell r="AH16">
            <v>18102.400000000001</v>
          </cell>
        </row>
        <row r="17">
          <cell r="E17" t="str">
            <v>KIA RIO|2020|ROJO|MFP751C</v>
          </cell>
          <cell r="F17" t="str">
            <v>MFP751C</v>
          </cell>
          <cell r="G17" t="str">
            <v>KIA RIO</v>
          </cell>
          <cell r="H17">
            <v>2020</v>
          </cell>
          <cell r="I17" t="str">
            <v>ROJO</v>
          </cell>
          <cell r="J17" t="str">
            <v>EDOMEX</v>
          </cell>
          <cell r="K17" t="str">
            <v>ASHC</v>
          </cell>
          <cell r="L17" t="str">
            <v>ASHC</v>
          </cell>
          <cell r="M17" t="str">
            <v>OHLM036759090</v>
          </cell>
          <cell r="N17" t="str">
            <v>OHLM03675909</v>
          </cell>
          <cell r="O17">
            <v>2500</v>
          </cell>
          <cell r="P17" t="str">
            <v>3KPA24AC4LE306189</v>
          </cell>
          <cell r="Q17" t="str">
            <v>86 40 35 05 36 38 89 7</v>
          </cell>
          <cell r="R17" t="str">
            <v>50-35-26-27-85 ACTIVO</v>
          </cell>
          <cell r="S17" t="str">
            <v>ROBO</v>
          </cell>
          <cell r="T17">
            <v>45682</v>
          </cell>
          <cell r="U17">
            <v>116000</v>
          </cell>
          <cell r="V17" t="str">
            <v>AXA</v>
          </cell>
          <cell r="W17" t="str">
            <v>ARTURO SANTIAGO HERNANDEZ CASTILLO</v>
          </cell>
          <cell r="X17" t="str">
            <v>160249354400</v>
          </cell>
          <cell r="Y17">
            <v>46257</v>
          </cell>
          <cell r="Z17">
            <v>13097.55</v>
          </cell>
          <cell r="AA17">
            <v>1</v>
          </cell>
          <cell r="AB17">
            <v>1</v>
          </cell>
          <cell r="AC17">
            <v>45923</v>
          </cell>
          <cell r="AD17">
            <v>46173</v>
          </cell>
          <cell r="AE17" t="str">
            <v>🟢 A TIEMPO</v>
          </cell>
          <cell r="AF17">
            <v>47710</v>
          </cell>
          <cell r="AG17" t="str">
            <v>✔</v>
          </cell>
          <cell r="AH17" t="str">
            <v>SIN</v>
          </cell>
        </row>
        <row r="18">
          <cell r="E18" t="str">
            <v>VERSA|2020|ROJO|NLP172B</v>
          </cell>
          <cell r="F18" t="str">
            <v>NLP172B</v>
          </cell>
          <cell r="G18" t="str">
            <v>VERSA</v>
          </cell>
          <cell r="H18">
            <v>2020</v>
          </cell>
          <cell r="I18" t="str">
            <v>ROJO</v>
          </cell>
          <cell r="J18" t="str">
            <v>EDOMEX</v>
          </cell>
          <cell r="K18" t="str">
            <v>ASHC</v>
          </cell>
          <cell r="L18" t="str">
            <v>ASHC</v>
          </cell>
          <cell r="M18" t="str">
            <v>OHLM032370108</v>
          </cell>
          <cell r="N18" t="str">
            <v>OHLM03237010</v>
          </cell>
          <cell r="O18">
            <v>2500</v>
          </cell>
          <cell r="P18" t="str">
            <v>3N1CN8AE5LL882123</v>
          </cell>
          <cell r="Q18" t="str">
            <v>86 38 44 05 48 49 35 8</v>
          </cell>
          <cell r="R18" t="str">
            <v>50-35-26-27-93 ACTIVO</v>
          </cell>
          <cell r="S18" t="str">
            <v>ROBO</v>
          </cell>
          <cell r="T18">
            <v>45675</v>
          </cell>
          <cell r="U18">
            <v>122500</v>
          </cell>
          <cell r="V18" t="str">
            <v>GNP</v>
          </cell>
          <cell r="W18" t="str">
            <v>ARTURO SANTIAGO HERNANDEZ CASTILLO</v>
          </cell>
          <cell r="X18" t="str">
            <v>00000660854936</v>
          </cell>
          <cell r="Y18">
            <v>46094</v>
          </cell>
          <cell r="Z18">
            <v>22479.86</v>
          </cell>
          <cell r="AA18">
            <v>2</v>
          </cell>
          <cell r="AB18">
            <v>1</v>
          </cell>
          <cell r="AC18" t="str">
            <v>PND
ROUS</v>
          </cell>
          <cell r="AD18">
            <v>46173</v>
          </cell>
          <cell r="AE18" t="str">
            <v>🟢 A TIEMPO</v>
          </cell>
          <cell r="AF18">
            <v>47551</v>
          </cell>
          <cell r="AG18" t="str">
            <v>✔</v>
          </cell>
          <cell r="AH18">
            <v>3394.2</v>
          </cell>
        </row>
        <row r="19">
          <cell r="E19" t="str">
            <v>AVEO|2024|GRIS|LRL009C</v>
          </cell>
          <cell r="F19" t="str">
            <v>LRL009C</v>
          </cell>
          <cell r="G19" t="str">
            <v>AVEO</v>
          </cell>
          <cell r="H19">
            <v>2024</v>
          </cell>
          <cell r="I19" t="str">
            <v>GRIS</v>
          </cell>
          <cell r="J19" t="str">
            <v>EDOMEX</v>
          </cell>
          <cell r="K19" t="str">
            <v>ASHC</v>
          </cell>
          <cell r="L19" t="str">
            <v>ASHC</v>
          </cell>
          <cell r="M19" t="str">
            <v>OHLM032762171</v>
          </cell>
          <cell r="N19" t="str">
            <v>OHLM03276217</v>
          </cell>
          <cell r="O19">
            <v>2500</v>
          </cell>
          <cell r="P19" t="str">
            <v>LZWPRMGN0RF853583</v>
          </cell>
          <cell r="Q19" t="str">
            <v>86 81 66 05 59 79 65 2</v>
          </cell>
          <cell r="R19" t="str">
            <v>50-35-26-41-20 ACTIVO</v>
          </cell>
          <cell r="S19" t="str">
            <v>SINIESTRO</v>
          </cell>
          <cell r="T19">
            <v>45679</v>
          </cell>
          <cell r="U19">
            <v>161000</v>
          </cell>
          <cell r="V19" t="str">
            <v>GNP</v>
          </cell>
          <cell r="W19" t="str">
            <v>ARTURO SANTIAGO HERNANDEZ CASTILLO</v>
          </cell>
          <cell r="X19" t="str">
            <v>00000686106931</v>
          </cell>
          <cell r="Y19">
            <v>46256</v>
          </cell>
          <cell r="Z19">
            <v>14729.15</v>
          </cell>
          <cell r="AA19">
            <v>9</v>
          </cell>
          <cell r="AB19">
            <v>1</v>
          </cell>
          <cell r="AC19">
            <v>46004</v>
          </cell>
          <cell r="AD19">
            <v>46203</v>
          </cell>
          <cell r="AE19" t="str">
            <v>🟢 A TIEMPO</v>
          </cell>
          <cell r="AF19">
            <v>47585</v>
          </cell>
          <cell r="AG19" t="str">
            <v>✔</v>
          </cell>
          <cell r="AH19" t="str">
            <v>SIN</v>
          </cell>
        </row>
        <row r="20">
          <cell r="E20" t="str">
            <v>SWIFT|2017|ROJO|X89ALV</v>
          </cell>
          <cell r="F20" t="str">
            <v>X89ALV</v>
          </cell>
          <cell r="G20" t="str">
            <v>SWIFT</v>
          </cell>
          <cell r="H20">
            <v>2017</v>
          </cell>
          <cell r="I20" t="str">
            <v>ROJO</v>
          </cell>
          <cell r="J20" t="str">
            <v>CDMX</v>
          </cell>
          <cell r="K20" t="str">
            <v>BYER</v>
          </cell>
          <cell r="L20" t="str">
            <v>BYER</v>
          </cell>
          <cell r="M20" t="str">
            <v>OHLM032370090</v>
          </cell>
          <cell r="N20" t="str">
            <v>OHLM03237009</v>
          </cell>
          <cell r="O20">
            <v>2500</v>
          </cell>
          <cell r="P20" t="str">
            <v>JS2ZC82S7H6303108</v>
          </cell>
          <cell r="Q20" t="str">
            <v>86 81 66 05 59 53 55 8</v>
          </cell>
          <cell r="R20" t="str">
            <v>50-35-26-39-40 ACTIVO</v>
          </cell>
          <cell r="S20" t="str">
            <v>SINIESTRO</v>
          </cell>
          <cell r="T20">
            <v>42691</v>
          </cell>
          <cell r="U20">
            <v>209990</v>
          </cell>
          <cell r="V20" t="str">
            <v>AXA</v>
          </cell>
          <cell r="W20" t="str">
            <v>ARTURO SANTIAGO HERNANDEZ CASTILLO</v>
          </cell>
          <cell r="X20" t="str">
            <v>160271453900</v>
          </cell>
          <cell r="Y20">
            <v>46407</v>
          </cell>
          <cell r="Z20">
            <v>9981.1299999999992</v>
          </cell>
          <cell r="AA20">
            <v>9</v>
          </cell>
          <cell r="AB20">
            <v>1</v>
          </cell>
          <cell r="AC20" t="str">
            <v>PND
ROUS</v>
          </cell>
          <cell r="AD20">
            <v>46203</v>
          </cell>
          <cell r="AE20" t="str">
            <v>🟢 A TIEMPO</v>
          </cell>
          <cell r="AF20">
            <v>46458</v>
          </cell>
          <cell r="AG20" t="str">
            <v>✔</v>
          </cell>
          <cell r="AH20" t="str">
            <v>SIN</v>
          </cell>
        </row>
        <row r="21">
          <cell r="E21" t="str">
            <v>VERSA|2020|BLANCO|A35BHD</v>
          </cell>
          <cell r="F21" t="str">
            <v>A35BHD</v>
          </cell>
          <cell r="G21" t="str">
            <v>VERSA</v>
          </cell>
          <cell r="H21">
            <v>2020</v>
          </cell>
          <cell r="I21" t="str">
            <v>BLANCO</v>
          </cell>
          <cell r="J21" t="str">
            <v>CDMX</v>
          </cell>
          <cell r="K21" t="str">
            <v>ASHC</v>
          </cell>
          <cell r="L21" t="str">
            <v>ASHC</v>
          </cell>
          <cell r="M21" t="str">
            <v>OHLM032370082</v>
          </cell>
          <cell r="N21" t="str">
            <v>OHLM03237008</v>
          </cell>
          <cell r="O21">
            <v>2500</v>
          </cell>
          <cell r="P21" t="str">
            <v>3N1CN8AE1LL912265</v>
          </cell>
          <cell r="Q21" t="str">
            <v>86 81 66 05 59 40 77 9</v>
          </cell>
          <cell r="R21" t="str">
            <v>50-35-26-26-34 ACTIVO</v>
          </cell>
          <cell r="S21" t="str">
            <v>PARTICULAR</v>
          </cell>
          <cell r="T21">
            <v>44112</v>
          </cell>
          <cell r="U21">
            <v>254000</v>
          </cell>
          <cell r="V21" t="str">
            <v>AXA</v>
          </cell>
          <cell r="W21" t="str">
            <v>ARTURO SANTIAGO HERNANDEZ CASTILLO</v>
          </cell>
          <cell r="X21" t="str">
            <v>160259612600</v>
          </cell>
          <cell r="Y21">
            <v>46317</v>
          </cell>
          <cell r="Z21">
            <v>13910.35</v>
          </cell>
          <cell r="AA21">
            <v>5</v>
          </cell>
          <cell r="AB21">
            <v>2</v>
          </cell>
          <cell r="AC21">
            <v>46052</v>
          </cell>
          <cell r="AD21">
            <v>46265</v>
          </cell>
          <cell r="AE21" t="str">
            <v>🟢 A TIEMPO</v>
          </cell>
          <cell r="AF21">
            <v>46323</v>
          </cell>
          <cell r="AG21" t="str">
            <v>✔</v>
          </cell>
          <cell r="AH21" t="str">
            <v>SIN</v>
          </cell>
        </row>
        <row r="22">
          <cell r="E22" t="str">
            <v>AVEO|2020|AZUL|D28BET</v>
          </cell>
          <cell r="F22" t="str">
            <v>D28BET</v>
          </cell>
          <cell r="G22" t="str">
            <v>AVEO</v>
          </cell>
          <cell r="H22">
            <v>2020</v>
          </cell>
          <cell r="I22" t="str">
            <v>AZUL</v>
          </cell>
          <cell r="J22" t="str">
            <v>CDMX</v>
          </cell>
          <cell r="K22" t="str">
            <v>ASHC</v>
          </cell>
          <cell r="L22" t="str">
            <v>ASHC</v>
          </cell>
          <cell r="M22" t="str">
            <v>OHLM032370140</v>
          </cell>
          <cell r="N22" t="str">
            <v>OHLM03237014</v>
          </cell>
          <cell r="O22">
            <v>2500</v>
          </cell>
          <cell r="P22" t="str">
            <v>LSGHD52H9LD020949</v>
          </cell>
          <cell r="Q22" t="str">
            <v>86 81 66 05 59 41 13 2</v>
          </cell>
          <cell r="R22" t="str">
            <v>50-35-26-41-12 ACTIVO</v>
          </cell>
          <cell r="S22" t="str">
            <v>PARTICULAR</v>
          </cell>
          <cell r="T22">
            <v>43732</v>
          </cell>
          <cell r="U22">
            <v>183448.28</v>
          </cell>
          <cell r="V22" t="str">
            <v>QUALITAS</v>
          </cell>
          <cell r="W22" t="str">
            <v>ARTURO SANTIAGO HERNANDEZ CASTILLO</v>
          </cell>
          <cell r="X22" t="str">
            <v>0005050454</v>
          </cell>
          <cell r="Y22">
            <v>46123</v>
          </cell>
          <cell r="Z22">
            <v>11009.76</v>
          </cell>
          <cell r="AA22">
            <v>8</v>
          </cell>
          <cell r="AB22">
            <v>1</v>
          </cell>
          <cell r="AC22">
            <v>45917</v>
          </cell>
          <cell r="AD22">
            <v>46112</v>
          </cell>
          <cell r="AE22" t="str">
            <v>🟡 CRÍTICO</v>
          </cell>
          <cell r="AF22">
            <v>46855</v>
          </cell>
          <cell r="AG22" t="str">
            <v>✔</v>
          </cell>
          <cell r="AH22" t="str">
            <v>SIN</v>
          </cell>
        </row>
        <row r="23">
          <cell r="E23" t="str">
            <v>MARCH|2021|ROJO|NZU5163</v>
          </cell>
          <cell r="F23" t="str">
            <v>NZU5163</v>
          </cell>
          <cell r="G23" t="str">
            <v>MARCH</v>
          </cell>
          <cell r="H23">
            <v>2021</v>
          </cell>
          <cell r="I23" t="str">
            <v>ROJO</v>
          </cell>
          <cell r="J23" t="str">
            <v>EDOMEX</v>
          </cell>
          <cell r="K23" t="str">
            <v>ASHC</v>
          </cell>
          <cell r="L23" t="str">
            <v>ASHC</v>
          </cell>
          <cell r="M23" t="str">
            <v>OHLM032370157</v>
          </cell>
          <cell r="N23" t="str">
            <v>OHLM03237015</v>
          </cell>
          <cell r="O23">
            <v>2500</v>
          </cell>
          <cell r="P23" t="str">
            <v>3N1CK3CE5ML219595</v>
          </cell>
          <cell r="Q23" t="str">
            <v>86 40 35 05 41 22 13 1</v>
          </cell>
          <cell r="R23" t="str">
            <v>50-35-26-37-67 ACTIVO</v>
          </cell>
          <cell r="S23" t="str">
            <v>PARTICULAR</v>
          </cell>
          <cell r="T23">
            <v>45731</v>
          </cell>
          <cell r="U23">
            <v>185000</v>
          </cell>
          <cell r="V23" t="str">
            <v>QUALITAS</v>
          </cell>
          <cell r="W23" t="str">
            <v>ARTURO SANTIAGO HERNANDEZ CASTILLO</v>
          </cell>
          <cell r="X23" t="str">
            <v>0005050459</v>
          </cell>
          <cell r="Y23">
            <v>46123</v>
          </cell>
          <cell r="Z23">
            <v>9818.9</v>
          </cell>
          <cell r="AA23">
            <v>3</v>
          </cell>
          <cell r="AB23">
            <v>1</v>
          </cell>
          <cell r="AC23">
            <v>45272</v>
          </cell>
          <cell r="AD23">
            <v>46142</v>
          </cell>
          <cell r="AE23" t="str">
            <v>🟢 A TIEMPO</v>
          </cell>
          <cell r="AF23">
            <v>46350</v>
          </cell>
          <cell r="AG23" t="str">
            <v>✔</v>
          </cell>
          <cell r="AH23" t="str">
            <v>SIN</v>
          </cell>
        </row>
        <row r="24">
          <cell r="E24" t="str">
            <v>KIA RIO|2023|ROJO|H99BLC</v>
          </cell>
          <cell r="F24" t="str">
            <v>H99BLC</v>
          </cell>
          <cell r="G24" t="str">
            <v>KIA RIO</v>
          </cell>
          <cell r="H24">
            <v>2023</v>
          </cell>
          <cell r="I24" t="str">
            <v>ROJO</v>
          </cell>
          <cell r="J24" t="str">
            <v>CDMX</v>
          </cell>
          <cell r="K24" t="str">
            <v>BYER</v>
          </cell>
          <cell r="L24" t="str">
            <v>U64</v>
          </cell>
          <cell r="M24" t="str">
            <v>OHLM035993526</v>
          </cell>
          <cell r="N24" t="str">
            <v>OHLM03599352</v>
          </cell>
          <cell r="O24">
            <v>2500</v>
          </cell>
          <cell r="P24" t="str">
            <v>3KPA24BC8PE547077</v>
          </cell>
          <cell r="Q24" t="str">
            <v>86 40 35 05 36 38 99 6</v>
          </cell>
          <cell r="R24" t="str">
            <v>50-35-26-26-86 ACTIVO</v>
          </cell>
          <cell r="S24" t="str">
            <v>PARTICULAR</v>
          </cell>
          <cell r="T24">
            <v>45808</v>
          </cell>
          <cell r="U24">
            <v>220000</v>
          </cell>
          <cell r="V24" t="str">
            <v>AXA</v>
          </cell>
          <cell r="W24" t="str">
            <v>ARTURO SANTIAGO HERNANDEZ CASTILLO</v>
          </cell>
          <cell r="X24" t="str">
            <v>160259628400</v>
          </cell>
          <cell r="Y24">
            <v>46317</v>
          </cell>
          <cell r="Z24">
            <v>13742.87</v>
          </cell>
          <cell r="AA24">
            <v>9</v>
          </cell>
          <cell r="AB24">
            <v>1</v>
          </cell>
          <cell r="AC24">
            <v>45833</v>
          </cell>
          <cell r="AD24">
            <v>46568</v>
          </cell>
          <cell r="AE24" t="str">
            <v>🟢 A TIEMPO</v>
          </cell>
          <cell r="AF24">
            <v>46040</v>
          </cell>
          <cell r="AG24" t="str">
            <v>✔</v>
          </cell>
          <cell r="AH24">
            <v>4525.6000000000004</v>
          </cell>
        </row>
        <row r="25">
          <cell r="E25" t="str">
            <v>BEAT|2019|OCRE|MAY730C</v>
          </cell>
          <cell r="F25" t="str">
            <v>MAY730C</v>
          </cell>
          <cell r="G25" t="str">
            <v>BEAT</v>
          </cell>
          <cell r="H25">
            <v>2019</v>
          </cell>
          <cell r="I25" t="str">
            <v>OCRE</v>
          </cell>
          <cell r="J25" t="str">
            <v>EDOMEX</v>
          </cell>
          <cell r="K25" t="str">
            <v>ASHC</v>
          </cell>
          <cell r="L25" t="str">
            <v>ASHC</v>
          </cell>
          <cell r="M25" t="str">
            <v>OHLM036759058</v>
          </cell>
          <cell r="N25" t="str">
            <v>OHLM03675905</v>
          </cell>
          <cell r="O25">
            <v>2500</v>
          </cell>
          <cell r="P25" t="str">
            <v>MA6CC5CD1KT055817</v>
          </cell>
          <cell r="Q25" t="str">
            <v>86 40 35 05 36 38 96 2</v>
          </cell>
          <cell r="R25" t="str">
            <v>50-35-26-02-35 ACTIVO</v>
          </cell>
          <cell r="S25" t="str">
            <v>PARTICULAR</v>
          </cell>
          <cell r="T25">
            <v>45818</v>
          </cell>
          <cell r="U25">
            <v>100000</v>
          </cell>
          <cell r="V25" t="str">
            <v>AXA</v>
          </cell>
          <cell r="W25" t="str">
            <v>ARTURO SANTIAGO HERNANDEZ CASTILLO</v>
          </cell>
          <cell r="X25" t="str">
            <v>160250315200</v>
          </cell>
          <cell r="Y25">
            <v>46263</v>
          </cell>
          <cell r="Z25">
            <v>13446.51</v>
          </cell>
          <cell r="AA25">
            <v>0</v>
          </cell>
          <cell r="AB25">
            <v>1</v>
          </cell>
          <cell r="AC25">
            <v>45867</v>
          </cell>
          <cell r="AD25">
            <v>46203</v>
          </cell>
          <cell r="AE25" t="str">
            <v>🟢 A TIEMPO</v>
          </cell>
          <cell r="AF25">
            <v>47668</v>
          </cell>
          <cell r="AG25" t="str">
            <v>✔</v>
          </cell>
          <cell r="AH25" t="str">
            <v>SIN</v>
          </cell>
        </row>
        <row r="26">
          <cell r="E26" t="str">
            <v>MARCH|2019|TURQ|MAY737C</v>
          </cell>
          <cell r="F26" t="str">
            <v>MAY737C</v>
          </cell>
          <cell r="G26" t="str">
            <v>MARCH</v>
          </cell>
          <cell r="H26">
            <v>2019</v>
          </cell>
          <cell r="I26" t="str">
            <v>TURQ</v>
          </cell>
          <cell r="J26" t="str">
            <v>EDOMEX</v>
          </cell>
          <cell r="K26" t="str">
            <v>BYER</v>
          </cell>
          <cell r="L26" t="str">
            <v>BYER</v>
          </cell>
          <cell r="M26" t="str">
            <v>OHLM0367590666</v>
          </cell>
          <cell r="N26" t="str">
            <v>OHLM03675906</v>
          </cell>
          <cell r="O26">
            <v>2500</v>
          </cell>
          <cell r="P26" t="str">
            <v>3N1CK3CD9KL210628</v>
          </cell>
          <cell r="Q26" t="str">
            <v>86 40 35 05 36 39 44 0</v>
          </cell>
          <cell r="R26" t="str">
            <v>55-40-28-57-08 ACTIVO</v>
          </cell>
          <cell r="S26" t="str">
            <v>PARTICULAR</v>
          </cell>
          <cell r="T26">
            <v>45818</v>
          </cell>
          <cell r="U26">
            <v>96000</v>
          </cell>
          <cell r="V26" t="str">
            <v>GNP</v>
          </cell>
          <cell r="W26" t="str">
            <v>MARIA DE JESUS CASTILLO GUERERO</v>
          </cell>
          <cell r="X26" t="str">
            <v>069104089417201</v>
          </cell>
          <cell r="Y26">
            <v>46239</v>
          </cell>
          <cell r="Z26">
            <v>7362.94</v>
          </cell>
          <cell r="AA26">
            <v>7</v>
          </cell>
          <cell r="AB26">
            <v>1</v>
          </cell>
          <cell r="AC26">
            <v>45903</v>
          </cell>
          <cell r="AD26">
            <v>46112</v>
          </cell>
          <cell r="AE26" t="str">
            <v>🟡 CRÍTICO</v>
          </cell>
          <cell r="AF26">
            <v>47668</v>
          </cell>
          <cell r="AG26" t="str">
            <v>✔</v>
          </cell>
          <cell r="AH26" t="str">
            <v>SIN</v>
          </cell>
        </row>
        <row r="27">
          <cell r="E27" t="str">
            <v>AVEO|2021|GRIS|D51BHV</v>
          </cell>
          <cell r="F27" t="str">
            <v>D51BHV</v>
          </cell>
          <cell r="G27" t="str">
            <v>AVEO</v>
          </cell>
          <cell r="H27">
            <v>2021</v>
          </cell>
          <cell r="I27" t="str">
            <v>GRIS</v>
          </cell>
          <cell r="J27" t="str">
            <v>CDMX</v>
          </cell>
          <cell r="K27" t="str">
            <v>ASHC</v>
          </cell>
          <cell r="L27" t="str">
            <v>ASHC</v>
          </cell>
          <cell r="M27" t="str">
            <v>OHLM037480324</v>
          </cell>
          <cell r="N27" t="str">
            <v>OHLM03748032</v>
          </cell>
          <cell r="O27">
            <v>2500</v>
          </cell>
          <cell r="P27" t="str">
            <v>LSGHD52H6MD123683</v>
          </cell>
          <cell r="Q27" t="str">
            <v>86 40 35 05 36 38 95 4</v>
          </cell>
          <cell r="R27" t="str">
            <v>50-36-24-40-71 ACTIVO</v>
          </cell>
          <cell r="S27" t="str">
            <v>PARTICULAR</v>
          </cell>
          <cell r="T27">
            <v>45886</v>
          </cell>
          <cell r="U27">
            <v>175000</v>
          </cell>
          <cell r="V27" t="str">
            <v>AXA</v>
          </cell>
          <cell r="W27" t="str">
            <v>ARTURO SANTIAGO HERNANDEZ CASTILLO</v>
          </cell>
          <cell r="X27" t="str">
            <v>160249353200</v>
          </cell>
          <cell r="Y27">
            <v>46257</v>
          </cell>
          <cell r="Z27">
            <v>13616.54</v>
          </cell>
          <cell r="AA27">
            <v>1</v>
          </cell>
          <cell r="AB27">
            <v>1</v>
          </cell>
          <cell r="AC27">
            <v>45986</v>
          </cell>
          <cell r="AD27">
            <v>46173</v>
          </cell>
          <cell r="AE27" t="str">
            <v>🟢 A TIEMPO</v>
          </cell>
          <cell r="AF27">
            <v>46560</v>
          </cell>
          <cell r="AG27" t="str">
            <v>✔</v>
          </cell>
          <cell r="AH27" t="str">
            <v>SIN</v>
          </cell>
        </row>
        <row r="28">
          <cell r="E28" t="str">
            <v>VERSA|2021|BLANCO|MEE228C</v>
          </cell>
          <cell r="F28" t="str">
            <v>MEE228C</v>
          </cell>
          <cell r="G28" t="str">
            <v>VERSA</v>
          </cell>
          <cell r="H28">
            <v>2021</v>
          </cell>
          <cell r="I28" t="str">
            <v>GRIS</v>
          </cell>
          <cell r="J28" t="str">
            <v>EDOMEX</v>
          </cell>
          <cell r="K28" t="str">
            <v>ASHC</v>
          </cell>
          <cell r="L28" t="str">
            <v>ASHC</v>
          </cell>
          <cell r="M28" t="str">
            <v>OHLM036759082</v>
          </cell>
          <cell r="N28" t="str">
            <v>OHLM03675908</v>
          </cell>
          <cell r="O28">
            <v>2500</v>
          </cell>
          <cell r="P28" t="str">
            <v>3N1CN8AE0MK852244</v>
          </cell>
          <cell r="Q28" t="str">
            <v>86 40 35 05 36 39 14 3</v>
          </cell>
          <cell r="R28" t="str">
            <v>55-40-36-16-13 ACTIVO</v>
          </cell>
          <cell r="S28" t="str">
            <v>PARTICULAR</v>
          </cell>
          <cell r="T28">
            <v>45908</v>
          </cell>
          <cell r="U28">
            <v>175000</v>
          </cell>
          <cell r="V28" t="str">
            <v>AXA</v>
          </cell>
          <cell r="W28" t="str">
            <v>ARTURO SANTIAGO HERNANDEZ CASTILLO</v>
          </cell>
          <cell r="X28" t="str">
            <v>160250286700</v>
          </cell>
          <cell r="Y28">
            <v>46263</v>
          </cell>
          <cell r="Z28">
            <v>15231.99</v>
          </cell>
          <cell r="AA28">
            <v>8</v>
          </cell>
          <cell r="AB28">
            <v>1</v>
          </cell>
          <cell r="AC28">
            <v>45884</v>
          </cell>
          <cell r="AD28">
            <v>46112</v>
          </cell>
          <cell r="AE28" t="str">
            <v>🟡 CRÍTICO</v>
          </cell>
          <cell r="AF28">
            <v>47693</v>
          </cell>
          <cell r="AG28" t="str">
            <v>✔</v>
          </cell>
          <cell r="AH28" t="str">
            <v>SIN</v>
          </cell>
        </row>
        <row r="29">
          <cell r="E29" t="str">
            <v>AVEO|2023|VINO|R22BMR</v>
          </cell>
          <cell r="F29" t="str">
            <v>R22BMR</v>
          </cell>
          <cell r="G29" t="str">
            <v>AVEO</v>
          </cell>
          <cell r="H29">
            <v>2023</v>
          </cell>
          <cell r="I29" t="str">
            <v>VINO</v>
          </cell>
          <cell r="J29" t="str">
            <v>CDMX</v>
          </cell>
          <cell r="K29" t="str">
            <v>ASHC</v>
          </cell>
          <cell r="L29" t="str">
            <v>ASHC</v>
          </cell>
          <cell r="M29" t="str">
            <v>OHML037480316</v>
          </cell>
          <cell r="N29" t="str">
            <v>OHML03748031</v>
          </cell>
          <cell r="O29">
            <v>2500</v>
          </cell>
          <cell r="P29" t="str">
            <v>LSGHD52H6PD116690</v>
          </cell>
          <cell r="Q29" t="str">
            <v>86 40 35 05 37 66 41 7</v>
          </cell>
          <cell r="R29" t="str">
            <v>50-36-71-81-73 ACTIVO</v>
          </cell>
          <cell r="S29" t="str">
            <v>PARTICULAR</v>
          </cell>
          <cell r="T29">
            <v>45904</v>
          </cell>
          <cell r="U29">
            <v>193000</v>
          </cell>
          <cell r="V29" t="str">
            <v>AXA</v>
          </cell>
          <cell r="W29" t="str">
            <v>ARTURO SANTIAGO HERNANDEZ CASTILLO</v>
          </cell>
          <cell r="X29" t="str">
            <v>160251696600</v>
          </cell>
          <cell r="Y29">
            <v>46271</v>
          </cell>
          <cell r="Z29">
            <v>14598.05</v>
          </cell>
          <cell r="AA29">
            <v>2</v>
          </cell>
          <cell r="AB29">
            <v>1</v>
          </cell>
          <cell r="AC29">
            <v>45268</v>
          </cell>
          <cell r="AD29">
            <v>46173</v>
          </cell>
          <cell r="AE29" t="str">
            <v>🟢 A TIEMPO</v>
          </cell>
          <cell r="AF29">
            <v>46358</v>
          </cell>
          <cell r="AG29" t="str">
            <v>✔</v>
          </cell>
          <cell r="AH29" t="str">
            <v>SIN</v>
          </cell>
        </row>
        <row r="30">
          <cell r="E30" t="str">
            <v>AVEO|2022|VINO|P62BHW</v>
          </cell>
          <cell r="F30" t="str">
            <v>P62BHW</v>
          </cell>
          <cell r="G30" t="str">
            <v>AVEO</v>
          </cell>
          <cell r="H30">
            <v>2022</v>
          </cell>
          <cell r="I30" t="str">
            <v>VINO</v>
          </cell>
          <cell r="J30" t="str">
            <v>CDMX</v>
          </cell>
          <cell r="K30" t="str">
            <v>ASHC</v>
          </cell>
          <cell r="L30" t="str">
            <v>ASHC</v>
          </cell>
          <cell r="M30" t="str">
            <v>OHLM038285730</v>
          </cell>
          <cell r="N30" t="str">
            <v>OHLM03828573</v>
          </cell>
          <cell r="O30">
            <v>2500</v>
          </cell>
          <cell r="P30" t="str">
            <v>LSGHD52HXND066812</v>
          </cell>
          <cell r="Q30" t="str">
            <v>86 97 06 06 34 72 73 4</v>
          </cell>
          <cell r="R30" t="str">
            <v>50-36-24-13-58 ACTIVO</v>
          </cell>
          <cell r="S30" t="str">
            <v>PARTICULAR</v>
          </cell>
          <cell r="T30">
            <v>45904</v>
          </cell>
          <cell r="U30">
            <v>193000</v>
          </cell>
          <cell r="V30" t="str">
            <v>AXA</v>
          </cell>
          <cell r="W30" t="str">
            <v>ARTURO SANTIAGO HERNANDEZ CASTILLO</v>
          </cell>
          <cell r="X30" t="str">
            <v>160251696100</v>
          </cell>
          <cell r="Y30">
            <v>46271</v>
          </cell>
          <cell r="Z30">
            <v>14348.67</v>
          </cell>
          <cell r="AA30">
            <v>2</v>
          </cell>
          <cell r="AB30">
            <v>1</v>
          </cell>
          <cell r="AC30">
            <v>45433</v>
          </cell>
          <cell r="AD30">
            <v>46173</v>
          </cell>
          <cell r="AE30" t="str">
            <v>🟢 A TIEMPO</v>
          </cell>
          <cell r="AF30">
            <v>46855</v>
          </cell>
          <cell r="AG30" t="str">
            <v>✔</v>
          </cell>
          <cell r="AH30" t="str">
            <v>SIN</v>
          </cell>
        </row>
        <row r="31">
          <cell r="E31" t="str">
            <v>AVEO|2023|GRIS|MLC126A</v>
          </cell>
          <cell r="F31" t="str">
            <v>MLC126A</v>
          </cell>
          <cell r="G31" t="str">
            <v>AVEO</v>
          </cell>
          <cell r="H31">
            <v>2023</v>
          </cell>
          <cell r="I31" t="str">
            <v>GRIS</v>
          </cell>
          <cell r="J31" t="str">
            <v>EDOMEX</v>
          </cell>
          <cell r="K31" t="str">
            <v>ASHC</v>
          </cell>
          <cell r="L31" t="str">
            <v>ASHC</v>
          </cell>
          <cell r="M31" t="str">
            <v>OHLM037480332</v>
          </cell>
          <cell r="N31" t="str">
            <v>OHLM03748033</v>
          </cell>
          <cell r="O31">
            <v>2500</v>
          </cell>
          <cell r="P31" t="str">
            <v>LSGHD52H3PD126884</v>
          </cell>
          <cell r="Q31" t="str">
            <v>86 40 35 05 37 66 34 2</v>
          </cell>
          <cell r="R31" t="str">
            <v>50-36-71-80-58 ACTIVO</v>
          </cell>
          <cell r="S31" t="str">
            <v>PARTICULAR</v>
          </cell>
          <cell r="T31">
            <v>45908</v>
          </cell>
          <cell r="U31">
            <v>195000</v>
          </cell>
          <cell r="V31" t="str">
            <v>AXA</v>
          </cell>
          <cell r="W31" t="str">
            <v>ARTURO SANTIAGO HERNANDEZ CASTILLO</v>
          </cell>
          <cell r="X31" t="str">
            <v>160252298100</v>
          </cell>
          <cell r="Y31">
            <v>46275</v>
          </cell>
          <cell r="Z31">
            <v>15583.28</v>
          </cell>
          <cell r="AA31">
            <v>6</v>
          </cell>
          <cell r="AB31">
            <v>1</v>
          </cell>
          <cell r="AC31">
            <v>45912</v>
          </cell>
          <cell r="AD31">
            <v>46081</v>
          </cell>
          <cell r="AE31" t="str">
            <v>🔴 MULTA</v>
          </cell>
          <cell r="AF31">
            <v>47016</v>
          </cell>
          <cell r="AG31" t="str">
            <v>✔</v>
          </cell>
          <cell r="AH31">
            <v>6514.2000000000007</v>
          </cell>
        </row>
        <row r="32">
          <cell r="E32" t="str">
            <v>AVEO|2025|PERSUASION|MXM503C</v>
          </cell>
          <cell r="F32" t="str">
            <v>MXM503C</v>
          </cell>
          <cell r="G32" t="str">
            <v>AVEO</v>
          </cell>
          <cell r="H32">
            <v>2025</v>
          </cell>
          <cell r="I32" t="str">
            <v>PERSUASIÓN</v>
          </cell>
          <cell r="J32" t="str">
            <v>EDOMEX</v>
          </cell>
          <cell r="K32" t="str">
            <v>ASHC</v>
          </cell>
          <cell r="L32" t="str">
            <v>ASHC</v>
          </cell>
          <cell r="M32" t="str">
            <v>OHLM038285813</v>
          </cell>
          <cell r="N32" t="str">
            <v>OHLM03828581</v>
          </cell>
          <cell r="O32">
            <v>2700</v>
          </cell>
          <cell r="P32" t="str">
            <v>LZWPRMGN7SF127547</v>
          </cell>
          <cell r="Q32" t="str">
            <v>86 40 35 05 37 62 70 5</v>
          </cell>
          <cell r="R32" t="str">
            <v>50-36-71-81-40 ACTIVO</v>
          </cell>
          <cell r="S32" t="str">
            <v>AGENCIA</v>
          </cell>
          <cell r="T32">
            <v>45951</v>
          </cell>
          <cell r="U32">
            <v>285900</v>
          </cell>
          <cell r="V32" t="str">
            <v>ABASEGUROS</v>
          </cell>
          <cell r="W32" t="str">
            <v>ARTURO SANTIAGO HERNANDEZ CASTILLO</v>
          </cell>
          <cell r="X32" t="str">
            <v>BI 45111550</v>
          </cell>
          <cell r="Y32">
            <v>46316</v>
          </cell>
          <cell r="Z32">
            <v>0</v>
          </cell>
          <cell r="AA32">
            <v>3</v>
          </cell>
          <cell r="AB32">
            <v>1</v>
          </cell>
          <cell r="AC32">
            <v>45982</v>
          </cell>
          <cell r="AD32">
            <v>46712</v>
          </cell>
          <cell r="AE32" t="str">
            <v>🟢 A TIEMPO</v>
          </cell>
          <cell r="AF32">
            <v>47785</v>
          </cell>
          <cell r="AG32" t="str">
            <v>✔</v>
          </cell>
          <cell r="AH32" t="str">
            <v>SIN</v>
          </cell>
        </row>
        <row r="33">
          <cell r="E33" t="str">
            <v>AVEO|2025|PERSUASION|MXM510C</v>
          </cell>
          <cell r="F33" t="str">
            <v>MXM510C</v>
          </cell>
          <cell r="G33" t="str">
            <v>AVEO</v>
          </cell>
          <cell r="H33">
            <v>2025</v>
          </cell>
          <cell r="I33" t="str">
            <v>PERSUASIÓN</v>
          </cell>
          <cell r="J33" t="str">
            <v>EDOMEX</v>
          </cell>
          <cell r="K33" t="str">
            <v>ASHC</v>
          </cell>
          <cell r="L33" t="str">
            <v>ASHC</v>
          </cell>
          <cell r="M33" t="str">
            <v>OHLM038285821</v>
          </cell>
          <cell r="N33" t="str">
            <v>OHLM03828582</v>
          </cell>
          <cell r="O33">
            <v>2700</v>
          </cell>
          <cell r="P33" t="str">
            <v>LZWPRMGN7SF127600</v>
          </cell>
          <cell r="Q33" t="str">
            <v>IMEI inválido</v>
          </cell>
          <cell r="R33" t="str">
            <v>Num Invalido</v>
          </cell>
          <cell r="S33" t="str">
            <v>AGENCIA</v>
          </cell>
          <cell r="T33">
            <v>45951</v>
          </cell>
          <cell r="U33">
            <v>285900</v>
          </cell>
          <cell r="V33" t="str">
            <v>ABASEGUROS</v>
          </cell>
          <cell r="W33" t="str">
            <v>ARTURO SANTIAGO HERNANDEZ CASTILLO</v>
          </cell>
          <cell r="X33" t="str">
            <v>BI 45111552</v>
          </cell>
          <cell r="Y33">
            <v>46316</v>
          </cell>
          <cell r="Z33">
            <v>0</v>
          </cell>
          <cell r="AA33">
            <v>0</v>
          </cell>
          <cell r="AB33">
            <v>1</v>
          </cell>
          <cell r="AC33">
            <v>45981</v>
          </cell>
          <cell r="AD33">
            <v>46711</v>
          </cell>
          <cell r="AE33" t="str">
            <v>🟢 A TIEMPO</v>
          </cell>
          <cell r="AF33">
            <v>47785</v>
          </cell>
          <cell r="AG33" t="str">
            <v>✔</v>
          </cell>
          <cell r="AH33" t="str">
            <v>SIN</v>
          </cell>
        </row>
        <row r="34">
          <cell r="E34" t="str">
            <v>AVEO|2025|PERSUASION|MXM502C</v>
          </cell>
          <cell r="F34" t="str">
            <v>MXM502C</v>
          </cell>
          <cell r="G34" t="str">
            <v>AVEO</v>
          </cell>
          <cell r="H34">
            <v>2025</v>
          </cell>
          <cell r="I34" t="str">
            <v>PERSUASIÓN</v>
          </cell>
          <cell r="J34" t="str">
            <v>EDOMEX</v>
          </cell>
          <cell r="K34" t="str">
            <v>ASHC</v>
          </cell>
          <cell r="L34" t="str">
            <v>ASHC</v>
          </cell>
          <cell r="M34" t="str">
            <v>OHLM038285805</v>
          </cell>
          <cell r="N34" t="str">
            <v>OHLM03828580</v>
          </cell>
          <cell r="O34">
            <v>2700</v>
          </cell>
          <cell r="P34" t="str">
            <v>LZWPRMGN7SF127550</v>
          </cell>
          <cell r="Q34" t="str">
            <v>86 40 35 05 39 82 90 7</v>
          </cell>
          <cell r="R34" t="str">
            <v>50-36-71-88-43 ACTIVO</v>
          </cell>
          <cell r="S34" t="str">
            <v>AGENCIA</v>
          </cell>
          <cell r="T34">
            <v>45951</v>
          </cell>
          <cell r="U34">
            <v>285900</v>
          </cell>
          <cell r="V34" t="str">
            <v>ABASEGUROS</v>
          </cell>
          <cell r="W34" t="str">
            <v>ARTURO SANTIAGO HERNANDEZ CASTILLO</v>
          </cell>
          <cell r="X34" t="str">
            <v>BI 45111551</v>
          </cell>
          <cell r="Y34">
            <v>46316</v>
          </cell>
          <cell r="Z34">
            <v>0</v>
          </cell>
          <cell r="AA34">
            <v>2</v>
          </cell>
          <cell r="AB34">
            <v>1</v>
          </cell>
          <cell r="AC34">
            <v>45979</v>
          </cell>
          <cell r="AD34">
            <v>46709</v>
          </cell>
          <cell r="AE34" t="str">
            <v>🟢 A TIEMPO</v>
          </cell>
          <cell r="AF34">
            <v>47785</v>
          </cell>
          <cell r="AG34" t="str">
            <v>✔</v>
          </cell>
          <cell r="AH34" t="str">
            <v>SIN</v>
          </cell>
        </row>
        <row r="35">
          <cell r="E35" t="str">
            <v>AVEO|2025|PERSUASION|MZN091C</v>
          </cell>
          <cell r="F35" t="str">
            <v>MZN091C</v>
          </cell>
          <cell r="G35" t="str">
            <v>AVEO</v>
          </cell>
          <cell r="H35">
            <v>2025</v>
          </cell>
          <cell r="I35" t="str">
            <v>PERSUASIÓN</v>
          </cell>
          <cell r="J35" t="str">
            <v>EDOMEX</v>
          </cell>
          <cell r="K35" t="str">
            <v>ASHC</v>
          </cell>
          <cell r="L35" t="str">
            <v>ASHC</v>
          </cell>
          <cell r="M35" t="str">
            <v>OHLM038626768</v>
          </cell>
          <cell r="N35" t="str">
            <v>OHLM03862676</v>
          </cell>
          <cell r="O35">
            <v>2700</v>
          </cell>
          <cell r="P35" t="str">
            <v>LZWPRMGN9SF127758</v>
          </cell>
          <cell r="Q35" t="str">
            <v>IMEI inválido</v>
          </cell>
          <cell r="R35" t="str">
            <v>Num Invalido</v>
          </cell>
          <cell r="S35" t="str">
            <v>AGENCIA</v>
          </cell>
          <cell r="T35">
            <v>45957</v>
          </cell>
          <cell r="U35">
            <v>285900</v>
          </cell>
          <cell r="V35" t="str">
            <v>ABASEGUROS</v>
          </cell>
          <cell r="W35" t="str">
            <v>ARTURO SANTIAGO HERNANDEZ CASTILLO</v>
          </cell>
          <cell r="X35" t="str">
            <v>BI 45111723</v>
          </cell>
          <cell r="Y35">
            <v>46322</v>
          </cell>
          <cell r="Z35">
            <v>0</v>
          </cell>
          <cell r="AA35">
            <v>1</v>
          </cell>
          <cell r="AB35">
            <v>1</v>
          </cell>
          <cell r="AC35">
            <v>45985</v>
          </cell>
          <cell r="AD35">
            <v>46715</v>
          </cell>
          <cell r="AE35" t="str">
            <v>🟢 A TIEMPO</v>
          </cell>
          <cell r="AF35">
            <v>47805</v>
          </cell>
          <cell r="AG35" t="str">
            <v>✔</v>
          </cell>
          <cell r="AH35" t="str">
            <v>SIN</v>
          </cell>
        </row>
        <row r="36">
          <cell r="E36" t="str">
            <v>AVEO|2025|PERSUASION|MZN057C</v>
          </cell>
          <cell r="F36" t="str">
            <v>MZN057C</v>
          </cell>
          <cell r="G36" t="str">
            <v>AVEO</v>
          </cell>
          <cell r="H36">
            <v>2025</v>
          </cell>
          <cell r="I36" t="str">
            <v>PERSUASIÓN</v>
          </cell>
          <cell r="J36" t="str">
            <v>EDOMEX</v>
          </cell>
          <cell r="K36" t="str">
            <v>ASHC</v>
          </cell>
          <cell r="L36" t="str">
            <v>ASHC</v>
          </cell>
          <cell r="M36" t="str">
            <v>OHLM038626735</v>
          </cell>
          <cell r="N36" t="str">
            <v>OHLM03862673</v>
          </cell>
          <cell r="O36">
            <v>2000</v>
          </cell>
          <cell r="P36" t="str">
            <v>LZWPRMGN9SF127582</v>
          </cell>
          <cell r="Q36" t="str">
            <v>86 40 35 05 39 84 58 0</v>
          </cell>
          <cell r="R36" t="str">
            <v>58-36-71-88-50 ACTIVO</v>
          </cell>
          <cell r="S36" t="str">
            <v>AGENCIA</v>
          </cell>
          <cell r="T36">
            <v>45957</v>
          </cell>
          <cell r="U36">
            <v>285900</v>
          </cell>
          <cell r="V36" t="str">
            <v>ABASEGUROS</v>
          </cell>
          <cell r="W36" t="str">
            <v>ARTURO SANTIAGO HERNANDEZ CASTILLO</v>
          </cell>
          <cell r="X36" t="str">
            <v>BI 45111722</v>
          </cell>
          <cell r="Y36">
            <v>46322</v>
          </cell>
          <cell r="Z36">
            <v>0</v>
          </cell>
          <cell r="AA36">
            <v>7</v>
          </cell>
          <cell r="AB36">
            <v>1</v>
          </cell>
          <cell r="AC36">
            <v>45988</v>
          </cell>
          <cell r="AD36">
            <v>46718</v>
          </cell>
          <cell r="AE36" t="str">
            <v>🟢 A TIEMPO</v>
          </cell>
          <cell r="AF36">
            <v>47805</v>
          </cell>
          <cell r="AG36" t="str">
            <v>✔</v>
          </cell>
          <cell r="AH36" t="str">
            <v>SIN</v>
          </cell>
        </row>
        <row r="37">
          <cell r="E37" t="str">
            <v>AVEOH|2024|BLANCO|MWV156C</v>
          </cell>
          <cell r="F37" t="str">
            <v>MWV156C</v>
          </cell>
          <cell r="G37" t="str">
            <v>AVEOH</v>
          </cell>
          <cell r="H37">
            <v>2024</v>
          </cell>
          <cell r="I37" t="str">
            <v>BLANCO</v>
          </cell>
          <cell r="J37" t="str">
            <v>EDOMEX</v>
          </cell>
          <cell r="K37" t="str">
            <v>ASHC</v>
          </cell>
          <cell r="L37" t="str">
            <v>ASHC</v>
          </cell>
          <cell r="M37" t="str">
            <v>OHLM038626743</v>
          </cell>
          <cell r="N37" t="str">
            <v>OHLM03862674</v>
          </cell>
          <cell r="O37">
            <v>2500</v>
          </cell>
          <cell r="P37" t="str">
            <v>LZWPPMGN7RF015279</v>
          </cell>
          <cell r="Q37" t="str">
            <v>86 40 35 05 37 66 64 9</v>
          </cell>
          <cell r="R37" t="str">
            <v>50-36-71-81-65 ACTIVO</v>
          </cell>
          <cell r="S37" t="str">
            <v>PARTICULAR</v>
          </cell>
          <cell r="T37">
            <v>45997</v>
          </cell>
          <cell r="U37">
            <v>215000</v>
          </cell>
          <cell r="V37" t="str">
            <v>AXA</v>
          </cell>
          <cell r="W37" t="str">
            <v>BEATRIZ YULIANA EMOS RUEDA</v>
          </cell>
          <cell r="X37" t="str">
            <v>160268348000</v>
          </cell>
          <cell r="Y37">
            <v>46367</v>
          </cell>
          <cell r="Z37">
            <v>12649.38</v>
          </cell>
          <cell r="AA37">
            <v>6</v>
          </cell>
          <cell r="AB37">
            <v>2</v>
          </cell>
          <cell r="AC37">
            <v>45568</v>
          </cell>
          <cell r="AD37">
            <v>46298</v>
          </cell>
          <cell r="AE37" t="str">
            <v>🟢 A TIEMPO</v>
          </cell>
          <cell r="AF37">
            <v>47778</v>
          </cell>
          <cell r="AG37" t="str">
            <v>✔</v>
          </cell>
          <cell r="AH37" t="str">
            <v>SIN</v>
          </cell>
        </row>
        <row r="38">
          <cell r="E38" t="str">
            <v>VENTO|2020|GRIS|A19BDY</v>
          </cell>
          <cell r="F38" t="str">
            <v>A19BDY</v>
          </cell>
          <cell r="G38" t="str">
            <v>VENTO</v>
          </cell>
          <cell r="H38">
            <v>2020</v>
          </cell>
          <cell r="I38" t="str">
            <v>GRIS</v>
          </cell>
          <cell r="J38" t="str">
            <v>CDMX</v>
          </cell>
          <cell r="K38" t="str">
            <v>ASHC</v>
          </cell>
          <cell r="L38" t="str">
            <v>ASHC</v>
          </cell>
          <cell r="M38" t="str">
            <v>OHLM038626750</v>
          </cell>
          <cell r="N38" t="str">
            <v>OHLM03862675</v>
          </cell>
          <cell r="O38">
            <v>2500</v>
          </cell>
          <cell r="P38" t="str">
            <v>MEX5H2603LT024918</v>
          </cell>
          <cell r="Q38" t="str">
            <v>86 40 35 05 37 66 51 6</v>
          </cell>
          <cell r="R38" t="str">
            <v>Num Invalido</v>
          </cell>
          <cell r="S38" t="str">
            <v>PARTICULAR</v>
          </cell>
          <cell r="T38">
            <v>45998</v>
          </cell>
          <cell r="U38">
            <v>178600</v>
          </cell>
          <cell r="V38" t="str">
            <v>AXA</v>
          </cell>
          <cell r="W38" t="str">
            <v>BEATRIZ YULIANA EMOS RUEDA</v>
          </cell>
          <cell r="X38" t="str">
            <v>160269844100</v>
          </cell>
          <cell r="Y38">
            <v>46374</v>
          </cell>
          <cell r="Z38">
            <v>12590.13</v>
          </cell>
          <cell r="AA38">
            <v>9</v>
          </cell>
          <cell r="AB38">
            <v>1</v>
          </cell>
          <cell r="AC38">
            <v>45867</v>
          </cell>
          <cell r="AD38">
            <v>46203</v>
          </cell>
          <cell r="AE38" t="str">
            <v>🟢 A TIEMPO</v>
          </cell>
          <cell r="AF38">
            <v>46224</v>
          </cell>
          <cell r="AG38" t="str">
            <v>✔</v>
          </cell>
          <cell r="AH38" t="str">
            <v>SIN</v>
          </cell>
        </row>
        <row r="39">
          <cell r="E39" t="str">
            <v>V DRIVE|2023|GRIS|MXW453C</v>
          </cell>
          <cell r="F39" t="str">
            <v>MXW453C</v>
          </cell>
          <cell r="G39" t="str">
            <v>V DRIVE</v>
          </cell>
          <cell r="H39">
            <v>2023</v>
          </cell>
          <cell r="I39" t="str">
            <v>GRIS</v>
          </cell>
          <cell r="J39" t="str">
            <v>EDOMEX</v>
          </cell>
          <cell r="K39" t="str">
            <v>ASHC</v>
          </cell>
          <cell r="L39" t="str">
            <v>ASHC</v>
          </cell>
          <cell r="M39" t="str">
            <v>OHLM038626776</v>
          </cell>
          <cell r="N39" t="str">
            <v>OHLM03862677</v>
          </cell>
          <cell r="O39">
            <v>2500</v>
          </cell>
          <cell r="P39" t="str">
            <v>3N1CN7AE6PL716905</v>
          </cell>
          <cell r="Q39" t="str">
            <v>86 40 35 05 37 66 43 3</v>
          </cell>
          <cell r="R39" t="str">
            <v>50-36-71-80-25 ACTIVO</v>
          </cell>
          <cell r="S39" t="str">
            <v>PARTICULAR</v>
          </cell>
          <cell r="T39">
            <v>46003</v>
          </cell>
          <cell r="U39">
            <v>210000</v>
          </cell>
          <cell r="V39" t="str">
            <v>AXA</v>
          </cell>
          <cell r="W39" t="str">
            <v>BEATRIZ YULIANA EMOS RUEDA</v>
          </cell>
          <cell r="X39" t="str">
            <v>160268844600</v>
          </cell>
          <cell r="Y39">
            <v>46369</v>
          </cell>
          <cell r="Z39">
            <v>14341.08</v>
          </cell>
          <cell r="AA39">
            <v>3</v>
          </cell>
          <cell r="AB39">
            <v>1</v>
          </cell>
          <cell r="AC39">
            <v>45933</v>
          </cell>
          <cell r="AD39">
            <v>46691</v>
          </cell>
          <cell r="AE39" t="str">
            <v>🟢 A TIEMPO</v>
          </cell>
          <cell r="AF39">
            <v>47783</v>
          </cell>
          <cell r="AG39" t="str">
            <v>✔</v>
          </cell>
          <cell r="AH39" t="str">
            <v>SIN</v>
          </cell>
        </row>
        <row r="40">
          <cell r="E40" t="str">
            <v>VERSA|2021|BLANCO|NEJ957C</v>
          </cell>
          <cell r="F40" t="str">
            <v>NEJ957C</v>
          </cell>
          <cell r="G40" t="str">
            <v>VERSA</v>
          </cell>
          <cell r="H40">
            <v>2021</v>
          </cell>
          <cell r="I40" t="str">
            <v>BLANCO</v>
          </cell>
          <cell r="J40" t="str">
            <v>EDOMEX</v>
          </cell>
          <cell r="K40" t="str">
            <v>ASHC</v>
          </cell>
          <cell r="L40" t="str">
            <v>ASHC</v>
          </cell>
          <cell r="M40" t="str">
            <v>OHLM038645636</v>
          </cell>
          <cell r="N40" t="str">
            <v>OHLM03864563</v>
          </cell>
          <cell r="O40">
            <v>2500</v>
          </cell>
          <cell r="P40" t="str">
            <v>3N1CN8AE2MK858675</v>
          </cell>
          <cell r="Q40" t="str">
            <v>86 40 35 05 39 83 05 3</v>
          </cell>
          <cell r="R40" t="str">
            <v>50-36-71-91-63 DESACTIVADO</v>
          </cell>
          <cell r="S40" t="str">
            <v>EMPRESARIAL</v>
          </cell>
          <cell r="T40">
            <v>46008</v>
          </cell>
          <cell r="U40">
            <v>128500</v>
          </cell>
          <cell r="V40" t="str">
            <v>AXA</v>
          </cell>
          <cell r="W40" t="str">
            <v>BEATRIZ YULIANA EMOS RUEDA</v>
          </cell>
          <cell r="X40" t="str">
            <v>160269983100</v>
          </cell>
          <cell r="Y40">
            <v>46375</v>
          </cell>
          <cell r="Z40">
            <v>13104.93</v>
          </cell>
          <cell r="AA40">
            <v>7</v>
          </cell>
          <cell r="AB40">
            <v>2</v>
          </cell>
          <cell r="AC40">
            <v>46038</v>
          </cell>
          <cell r="AD40">
            <v>46295</v>
          </cell>
          <cell r="AE40" t="str">
            <v>🟢 A TIEMPO</v>
          </cell>
          <cell r="AH40" t="str">
            <v>SIN</v>
          </cell>
        </row>
        <row r="41">
          <cell r="E41" t="str">
            <v>MARCH|2020|GRIS|NEJ984C</v>
          </cell>
          <cell r="F41" t="str">
            <v>NEJ984C</v>
          </cell>
          <cell r="G41" t="str">
            <v>MARCH</v>
          </cell>
          <cell r="H41">
            <v>2020</v>
          </cell>
          <cell r="I41" t="str">
            <v>GRIS</v>
          </cell>
          <cell r="J41" t="str">
            <v>EDOMEX</v>
          </cell>
          <cell r="K41" t="str">
            <v>BYER</v>
          </cell>
          <cell r="L41" t="str">
            <v>BYER</v>
          </cell>
          <cell r="M41" t="str">
            <v>OHLM038645552</v>
          </cell>
          <cell r="N41" t="str">
            <v>OHLM03864555</v>
          </cell>
          <cell r="O41">
            <v>2500</v>
          </cell>
          <cell r="P41" t="str">
            <v>3N1CK3CD2LL258683</v>
          </cell>
          <cell r="Q41" t="str">
            <v>IMEI inválido</v>
          </cell>
          <cell r="R41" t="str">
            <v>Num Invalido</v>
          </cell>
          <cell r="S41" t="str">
            <v>EMPRESARIAL</v>
          </cell>
          <cell r="T41">
            <v>46008</v>
          </cell>
          <cell r="U41">
            <v>84000</v>
          </cell>
          <cell r="V41" t="str">
            <v>AXA</v>
          </cell>
          <cell r="W41" t="str">
            <v>BEATRIZ YULIANA EMOS RUEDA</v>
          </cell>
          <cell r="X41" t="str">
            <v>160269985700</v>
          </cell>
          <cell r="Y41">
            <v>46375</v>
          </cell>
          <cell r="Z41">
            <v>10239.450000000001</v>
          </cell>
          <cell r="AA41">
            <v>4</v>
          </cell>
          <cell r="AB41">
            <v>2</v>
          </cell>
          <cell r="AC41">
            <v>46043</v>
          </cell>
          <cell r="AD41">
            <v>46326</v>
          </cell>
          <cell r="AE41" t="str">
            <v>🟢 A TIEMPO</v>
          </cell>
          <cell r="AH41" t="str">
            <v>SIN</v>
          </cell>
        </row>
        <row r="42">
          <cell r="E42" t="str">
            <v>VENTO|2020|GRIS|NES586C</v>
          </cell>
          <cell r="F42" t="str">
            <v>NES586C</v>
          </cell>
          <cell r="G42" t="str">
            <v>VENTO</v>
          </cell>
          <cell r="H42">
            <v>2020</v>
          </cell>
          <cell r="I42" t="str">
            <v>GRIS</v>
          </cell>
          <cell r="J42" t="str">
            <v>EDOMEX</v>
          </cell>
          <cell r="K42" t="str">
            <v>ASHC</v>
          </cell>
          <cell r="L42" t="str">
            <v>ASHC</v>
          </cell>
          <cell r="M42" t="str">
            <v>OHLM038645628</v>
          </cell>
          <cell r="N42" t="str">
            <v>OHLM03864562</v>
          </cell>
          <cell r="O42">
            <v>2500</v>
          </cell>
          <cell r="P42" t="str">
            <v>MEX5G260XLT043422</v>
          </cell>
          <cell r="Q42" t="str">
            <v>86 40 35 05 39 81 54 5</v>
          </cell>
          <cell r="R42" t="str">
            <v>50-36-77-88-00</v>
          </cell>
          <cell r="S42" t="str">
            <v>ROBO</v>
          </cell>
          <cell r="T42">
            <v>46008</v>
          </cell>
          <cell r="U42">
            <v>75000</v>
          </cell>
          <cell r="V42" t="str">
            <v>AXA</v>
          </cell>
          <cell r="W42" t="str">
            <v>BEATRIZ YULIANA EMOS RUEDA</v>
          </cell>
          <cell r="X42" t="str">
            <v>160269974200</v>
          </cell>
          <cell r="Y42">
            <v>46375</v>
          </cell>
          <cell r="Z42">
            <v>9981.27</v>
          </cell>
          <cell r="AA42">
            <v>6</v>
          </cell>
          <cell r="AB42">
            <v>2</v>
          </cell>
          <cell r="AC42">
            <v>46031</v>
          </cell>
          <cell r="AD42">
            <v>46265</v>
          </cell>
          <cell r="AE42" t="str">
            <v>🟢 A TIEMPO</v>
          </cell>
          <cell r="AH42" t="str">
            <v>SIN</v>
          </cell>
        </row>
        <row r="43">
          <cell r="E43" t="str">
            <v>VERSA|2022|GRIS|NES596C</v>
          </cell>
          <cell r="F43" t="str">
            <v>NES596C</v>
          </cell>
          <cell r="G43" t="str">
            <v>VERSA</v>
          </cell>
          <cell r="H43">
            <v>2022</v>
          </cell>
          <cell r="I43" t="str">
            <v>GRIS</v>
          </cell>
          <cell r="J43" t="str">
            <v>EDOMEX</v>
          </cell>
          <cell r="K43" t="str">
            <v>ASHC</v>
          </cell>
          <cell r="L43" t="str">
            <v>ASHC</v>
          </cell>
          <cell r="M43" t="str">
            <v>OHLM038645610</v>
          </cell>
          <cell r="N43" t="str">
            <v>OHLM03864561</v>
          </cell>
          <cell r="O43">
            <v>2500</v>
          </cell>
          <cell r="P43" t="str">
            <v>3N1CN8AE9NL838421</v>
          </cell>
          <cell r="Q43" t="str">
            <v>IMEI inválido</v>
          </cell>
          <cell r="R43" t="str">
            <v>Num Invalido</v>
          </cell>
          <cell r="S43" t="str">
            <v>ROBO</v>
          </cell>
          <cell r="T43">
            <v>46008</v>
          </cell>
          <cell r="U43">
            <v>111000</v>
          </cell>
          <cell r="V43" t="str">
            <v>AXA</v>
          </cell>
          <cell r="W43" t="str">
            <v>BEATRIZ YULIANA EMOS RUEDA</v>
          </cell>
          <cell r="X43" t="str">
            <v>160269977900</v>
          </cell>
          <cell r="Y43">
            <v>46375</v>
          </cell>
          <cell r="Z43">
            <v>13838.81</v>
          </cell>
          <cell r="AA43">
            <v>6</v>
          </cell>
          <cell r="AB43">
            <v>2</v>
          </cell>
          <cell r="AC43">
            <v>46028</v>
          </cell>
          <cell r="AD43">
            <v>46265</v>
          </cell>
          <cell r="AE43" t="str">
            <v>🟢 A TIEMPO</v>
          </cell>
          <cell r="AH43" t="str">
            <v>SIN</v>
          </cell>
        </row>
        <row r="44">
          <cell r="E44" t="str">
            <v>AVEOH|2026|ACERO|NEJ996C</v>
          </cell>
          <cell r="F44" t="str">
            <v>NEJ996C</v>
          </cell>
          <cell r="G44" t="str">
            <v>AVEO</v>
          </cell>
          <cell r="H44">
            <v>2026</v>
          </cell>
          <cell r="I44" t="str">
            <v>ACERO</v>
          </cell>
          <cell r="J44" t="str">
            <v>EDOMEX</v>
          </cell>
          <cell r="K44" t="str">
            <v>ASHC</v>
          </cell>
          <cell r="L44" t="str">
            <v>ASHC</v>
          </cell>
          <cell r="M44" t="str">
            <v>OHLM038645602</v>
          </cell>
          <cell r="N44" t="str">
            <v>OHLM03864560</v>
          </cell>
          <cell r="O44">
            <v>2700</v>
          </cell>
          <cell r="P44" t="str">
            <v>LZWPPMGN6TF009223</v>
          </cell>
          <cell r="Q44" t="str">
            <v>86 40 35 05 37 67 35 7</v>
          </cell>
          <cell r="R44" t="str">
            <v>50-36-71-80-41 ACTIVO</v>
          </cell>
          <cell r="S44" t="str">
            <v>AGENCIA</v>
          </cell>
          <cell r="T44">
            <v>46008</v>
          </cell>
          <cell r="U44">
            <v>243000</v>
          </cell>
          <cell r="V44" t="str">
            <v>AXA</v>
          </cell>
          <cell r="W44" t="str">
            <v>BEATRIZ YULIANA EMOS RUEDA</v>
          </cell>
          <cell r="X44" t="str">
            <v>160269970100</v>
          </cell>
          <cell r="Y44">
            <v>46375</v>
          </cell>
          <cell r="Z44">
            <v>14712.34</v>
          </cell>
          <cell r="AA44">
            <v>6</v>
          </cell>
          <cell r="AB44">
            <v>2</v>
          </cell>
          <cell r="AC44">
            <v>46062</v>
          </cell>
          <cell r="AD44">
            <v>46265</v>
          </cell>
          <cell r="AE44" t="str">
            <v>🟢 A TIEMPO</v>
          </cell>
          <cell r="AH44" t="str">
            <v>SIN</v>
          </cell>
        </row>
        <row r="45">
          <cell r="E45" t="str">
            <v>AVEOH|2026|ACERO|NEJ990C</v>
          </cell>
          <cell r="F45" t="str">
            <v>NEJ990C</v>
          </cell>
          <cell r="G45" t="str">
            <v>AVEO</v>
          </cell>
          <cell r="H45">
            <v>2026</v>
          </cell>
          <cell r="I45" t="str">
            <v>ACERO</v>
          </cell>
          <cell r="J45" t="str">
            <v>EDOMEX</v>
          </cell>
          <cell r="K45" t="str">
            <v>ASHC</v>
          </cell>
          <cell r="L45" t="str">
            <v>ASHC</v>
          </cell>
          <cell r="M45" t="str">
            <v>OHLM038645594</v>
          </cell>
          <cell r="N45" t="str">
            <v>OHLM03864559</v>
          </cell>
          <cell r="O45">
            <v>2700</v>
          </cell>
          <cell r="P45" t="str">
            <v>LZWPPMGN6TF008380</v>
          </cell>
          <cell r="Q45" t="str">
            <v>86 40 35 05 37 65 35 1</v>
          </cell>
          <cell r="R45" t="str">
            <v>50-36-71-80-33 ACTIVO</v>
          </cell>
          <cell r="S45" t="str">
            <v>AGENCIA</v>
          </cell>
          <cell r="T45">
            <v>46008</v>
          </cell>
          <cell r="U45">
            <v>243000</v>
          </cell>
          <cell r="V45" t="str">
            <v>AXA</v>
          </cell>
          <cell r="W45" t="str">
            <v>BEATRIZ YULIANA EMOS RUEDA</v>
          </cell>
          <cell r="X45" t="str">
            <v>160269967400</v>
          </cell>
          <cell r="Y45">
            <v>46375</v>
          </cell>
          <cell r="Z45">
            <v>14712.34</v>
          </cell>
          <cell r="AA45">
            <v>0</v>
          </cell>
          <cell r="AB45">
            <v>1</v>
          </cell>
          <cell r="AC45">
            <v>46017</v>
          </cell>
          <cell r="AD45">
            <v>46203</v>
          </cell>
          <cell r="AE45" t="str">
            <v>🟢 A TIEMPO</v>
          </cell>
          <cell r="AH45" t="str">
            <v>SIN</v>
          </cell>
        </row>
        <row r="46">
          <cell r="E46" t="str">
            <v>AVEOH|2026|ACERO|NEJ971C</v>
          </cell>
          <cell r="F46" t="str">
            <v>NEJ971C</v>
          </cell>
          <cell r="G46" t="str">
            <v>AVEO</v>
          </cell>
          <cell r="H46">
            <v>2026</v>
          </cell>
          <cell r="I46" t="str">
            <v>ACERO</v>
          </cell>
          <cell r="J46" t="str">
            <v>EDOMEX</v>
          </cell>
          <cell r="K46" t="str">
            <v>ASHC</v>
          </cell>
          <cell r="L46" t="str">
            <v>ASHC</v>
          </cell>
          <cell r="M46" t="str">
            <v>OHLM038645586</v>
          </cell>
          <cell r="N46" t="str">
            <v>OHLM03864558</v>
          </cell>
          <cell r="O46">
            <v>2700</v>
          </cell>
          <cell r="P46" t="str">
            <v>LZWPPMGN2TF008389</v>
          </cell>
          <cell r="Q46" t="str">
            <v>86 40 35 05 37 67 65 4</v>
          </cell>
          <cell r="R46" t="str">
            <v>50-36-71-81-73 ACTIVO</v>
          </cell>
          <cell r="S46" t="str">
            <v>AGENCIA</v>
          </cell>
          <cell r="T46">
            <v>46008</v>
          </cell>
          <cell r="U46">
            <v>243000</v>
          </cell>
          <cell r="V46" t="str">
            <v>AXA</v>
          </cell>
          <cell r="W46" t="str">
            <v>BEATRIZ YULIANA EMOS RUEDA</v>
          </cell>
          <cell r="X46" t="str">
            <v>160269965100</v>
          </cell>
          <cell r="Y46">
            <v>46375</v>
          </cell>
          <cell r="Z46">
            <v>14712.34</v>
          </cell>
          <cell r="AA46">
            <v>1</v>
          </cell>
          <cell r="AB46">
            <v>1</v>
          </cell>
          <cell r="AC46">
            <v>46017</v>
          </cell>
          <cell r="AD46">
            <v>46173</v>
          </cell>
          <cell r="AE46" t="str">
            <v>🟢 A TIEMPO</v>
          </cell>
          <cell r="AH46" t="str">
            <v>SIN</v>
          </cell>
        </row>
        <row r="47">
          <cell r="E47" t="str">
            <v>BYD|2026|VERDE|78F032</v>
          </cell>
          <cell r="F47" t="str">
            <v>78F032</v>
          </cell>
          <cell r="G47" t="str">
            <v>BYD</v>
          </cell>
          <cell r="H47">
            <v>2026</v>
          </cell>
          <cell r="I47" t="str">
            <v>VERDE</v>
          </cell>
          <cell r="J47" t="str">
            <v>CDMX</v>
          </cell>
          <cell r="K47" t="str">
            <v>ASHC</v>
          </cell>
          <cell r="L47" t="str">
            <v>ASHC</v>
          </cell>
          <cell r="M47" t="str">
            <v>OHLM038628194</v>
          </cell>
          <cell r="N47" t="str">
            <v>OHLM03862819</v>
          </cell>
          <cell r="O47">
            <v>2700</v>
          </cell>
          <cell r="P47" t="str">
            <v>LGXCE4CC6T0001365</v>
          </cell>
          <cell r="Q47" t="str">
            <v>86 40 35 05 35 10 28 6</v>
          </cell>
          <cell r="R47" t="str">
            <v>55-27-55-77-00 ACTIVO</v>
          </cell>
          <cell r="S47" t="str">
            <v>AGENCIA</v>
          </cell>
          <cell r="T47">
            <v>46008</v>
          </cell>
          <cell r="U47">
            <v>415800</v>
          </cell>
          <cell r="V47" t="str">
            <v>BBVA</v>
          </cell>
          <cell r="W47" t="str">
            <v>EMANUEL LARA HERNANDEZ</v>
          </cell>
          <cell r="X47" t="str">
            <v>865C5800FA</v>
          </cell>
          <cell r="Y47">
            <v>46174</v>
          </cell>
          <cell r="Z47">
            <v>12500</v>
          </cell>
          <cell r="AA47">
            <v>2</v>
          </cell>
          <cell r="AB47">
            <v>1</v>
          </cell>
          <cell r="AC47" t="str">
            <v>NO APLICA</v>
          </cell>
          <cell r="AD47">
            <v>46173</v>
          </cell>
          <cell r="AE47" t="str">
            <v>🟢 A TIEMPO</v>
          </cell>
          <cell r="AH47" t="str">
            <v>SIN</v>
          </cell>
        </row>
        <row r="48">
          <cell r="E48" t="str">
            <v>AVEOH|2026|ROJO|NEZ101C</v>
          </cell>
          <cell r="F48" t="str">
            <v>NEZ101C</v>
          </cell>
          <cell r="G48" t="str">
            <v>AVEO H</v>
          </cell>
          <cell r="H48">
            <v>2026</v>
          </cell>
          <cell r="I48" t="str">
            <v>ROJO</v>
          </cell>
          <cell r="J48" t="str">
            <v>EDOMEX</v>
          </cell>
          <cell r="K48" t="str">
            <v>ASHC</v>
          </cell>
          <cell r="L48" t="str">
            <v>ASHC</v>
          </cell>
          <cell r="M48" t="str">
            <v>OHLM038645578</v>
          </cell>
          <cell r="N48" t="str">
            <v>OHLM03864557</v>
          </cell>
          <cell r="O48">
            <v>2700</v>
          </cell>
          <cell r="P48" t="str">
            <v>LZWPPMGN7TF008355</v>
          </cell>
          <cell r="Q48" t="str">
            <v>86 40 35 05 35 13 58 7</v>
          </cell>
          <cell r="R48" t="str">
            <v>50-36-71-64-58 ACTIVO</v>
          </cell>
          <cell r="S48" t="str">
            <v>AGENCIA</v>
          </cell>
          <cell r="T48">
            <v>46014</v>
          </cell>
          <cell r="U48">
            <v>250200</v>
          </cell>
          <cell r="V48" t="str">
            <v>AXA</v>
          </cell>
          <cell r="W48" t="str">
            <v>BEATRIZ YULIANA EMOS RUEDA</v>
          </cell>
          <cell r="X48" t="str">
            <v>160271399400</v>
          </cell>
          <cell r="Y48">
            <v>46384</v>
          </cell>
          <cell r="Z48">
            <v>14712.34</v>
          </cell>
          <cell r="AA48">
            <v>1</v>
          </cell>
          <cell r="AB48">
            <v>2</v>
          </cell>
          <cell r="AC48">
            <v>46024</v>
          </cell>
          <cell r="AD48">
            <v>46754</v>
          </cell>
          <cell r="AE48" t="str">
            <v>🟢 A TIEMPO</v>
          </cell>
        </row>
        <row r="49">
          <cell r="E49" t="str">
            <v>AVEOH|2026|ROJO|NEZ108C</v>
          </cell>
          <cell r="F49" t="str">
            <v>NEZ108C</v>
          </cell>
          <cell r="G49" t="str">
            <v>AVEO H</v>
          </cell>
          <cell r="H49">
            <v>2026</v>
          </cell>
          <cell r="I49" t="str">
            <v>ROJO</v>
          </cell>
          <cell r="J49" t="str">
            <v>EDOMEX</v>
          </cell>
          <cell r="K49" t="str">
            <v>ASHC</v>
          </cell>
          <cell r="L49" t="str">
            <v>ASHC</v>
          </cell>
          <cell r="M49" t="str">
            <v>OHLM038645560</v>
          </cell>
          <cell r="N49" t="str">
            <v>OHLM03864556</v>
          </cell>
          <cell r="O49">
            <v>2700</v>
          </cell>
          <cell r="P49" t="str">
            <v>LZWPPMGN6TF008167</v>
          </cell>
          <cell r="Q49" t="str">
            <v>86 40 35 05 35 13 52 0</v>
          </cell>
          <cell r="R49" t="str">
            <v>50-36-71-64-66 ACTIVO</v>
          </cell>
          <cell r="S49" t="str">
            <v>AGENCIA</v>
          </cell>
          <cell r="T49">
            <v>46014</v>
          </cell>
          <cell r="U49">
            <v>250200</v>
          </cell>
          <cell r="V49" t="str">
            <v>AXA</v>
          </cell>
          <cell r="W49" t="str">
            <v>BEATRIZ YULIANA EMOS RUEDA</v>
          </cell>
          <cell r="X49" t="str">
            <v>160271400600</v>
          </cell>
          <cell r="Y49">
            <v>46384</v>
          </cell>
          <cell r="Z49">
            <v>14712.34</v>
          </cell>
          <cell r="AA49">
            <v>8</v>
          </cell>
          <cell r="AB49">
            <v>1</v>
          </cell>
          <cell r="AC49">
            <v>46024</v>
          </cell>
          <cell r="AD49">
            <v>46754</v>
          </cell>
          <cell r="AE49" t="str">
            <v>🟢 A TIEMPO</v>
          </cell>
        </row>
        <row r="50">
          <cell r="E50" t="str">
            <v>AVEOH|2026|BLANCO|NJJ925C</v>
          </cell>
          <cell r="F50" t="str">
            <v>NJJ925C</v>
          </cell>
          <cell r="G50" t="str">
            <v>AVEO H</v>
          </cell>
          <cell r="H50">
            <v>2026</v>
          </cell>
          <cell r="I50" t="str">
            <v>BLANCO</v>
          </cell>
          <cell r="J50" t="str">
            <v>EDOMEX</v>
          </cell>
          <cell r="K50" t="str">
            <v>ASHC</v>
          </cell>
          <cell r="L50" t="str">
            <v>ASHC</v>
          </cell>
          <cell r="M50" t="str">
            <v>OHLM038718672</v>
          </cell>
          <cell r="N50" t="str">
            <v>OHLM03871867</v>
          </cell>
          <cell r="O50">
            <v>2700</v>
          </cell>
          <cell r="P50" t="str">
            <v>LZWPPMGN1TF002812</v>
          </cell>
          <cell r="Q50" t="str">
            <v>86 40 35 05 41 24 85 5</v>
          </cell>
          <cell r="R50" t="str">
            <v>50-36-71-58-72 ACTIVO</v>
          </cell>
          <cell r="S50" t="str">
            <v>AGENCIA</v>
          </cell>
          <cell r="T50">
            <v>46034</v>
          </cell>
          <cell r="U50">
            <v>250200</v>
          </cell>
          <cell r="V50" t="str">
            <v>AXA</v>
          </cell>
          <cell r="W50" t="str">
            <v>ARTURO SANTIAGO HERNANDEZ CASTILLO</v>
          </cell>
          <cell r="X50" t="str">
            <v>160277862500</v>
          </cell>
          <cell r="Y50">
            <v>46415</v>
          </cell>
          <cell r="Z50">
            <v>12598.92</v>
          </cell>
          <cell r="AA50">
            <v>5</v>
          </cell>
          <cell r="AB50">
            <v>1</v>
          </cell>
          <cell r="AC50">
            <v>46045</v>
          </cell>
          <cell r="AD50">
            <v>46775</v>
          </cell>
          <cell r="AE50" t="str">
            <v>🟢 A TIEMPO</v>
          </cell>
        </row>
        <row r="51">
          <cell r="E51" t="str">
            <v>AVEOH|2026|BLANCO|NJG485C</v>
          </cell>
          <cell r="F51" t="str">
            <v>NJG485C</v>
          </cell>
          <cell r="G51" t="str">
            <v>AVEO H</v>
          </cell>
          <cell r="H51">
            <v>2026</v>
          </cell>
          <cell r="I51" t="str">
            <v>BLANCO</v>
          </cell>
          <cell r="J51" t="str">
            <v>EDOMEX</v>
          </cell>
          <cell r="K51" t="str">
            <v>ASHC</v>
          </cell>
          <cell r="L51" t="str">
            <v>ASHC</v>
          </cell>
          <cell r="M51" t="str">
            <v>OHLM038718680</v>
          </cell>
          <cell r="N51" t="str">
            <v>OHLM03871868</v>
          </cell>
          <cell r="O51">
            <v>2700</v>
          </cell>
          <cell r="P51" t="str">
            <v>LZWPPMGN9TF003030</v>
          </cell>
          <cell r="Q51" t="str">
            <v>86 40 35 05 39 82 97 2</v>
          </cell>
          <cell r="R51" t="str">
            <v>50-36-71-71-89 DESACTIVADO</v>
          </cell>
          <cell r="S51" t="str">
            <v>AGENCIA</v>
          </cell>
          <cell r="T51">
            <v>46034</v>
          </cell>
          <cell r="U51">
            <v>250200</v>
          </cell>
          <cell r="V51" t="str">
            <v>AXA</v>
          </cell>
          <cell r="W51" t="str">
            <v>ARTURO SANTIAGO HERNANDEZ CASTILLO</v>
          </cell>
          <cell r="X51" t="str">
            <v>160277856100</v>
          </cell>
          <cell r="Y51">
            <v>46415</v>
          </cell>
          <cell r="Z51">
            <v>12598.92</v>
          </cell>
          <cell r="AA51">
            <v>5</v>
          </cell>
          <cell r="AB51">
            <v>2</v>
          </cell>
          <cell r="AC51">
            <v>46043</v>
          </cell>
          <cell r="AD51">
            <v>46773</v>
          </cell>
          <cell r="AE51" t="str">
            <v>🟢 A TIEMPO</v>
          </cell>
          <cell r="AF51">
            <v>47869</v>
          </cell>
        </row>
        <row r="52">
          <cell r="E52" t="str">
            <v>AVEOH|2026|BLANCO|NJG467C</v>
          </cell>
          <cell r="F52" t="str">
            <v>NJG467C</v>
          </cell>
          <cell r="G52" t="str">
            <v>AVEO H</v>
          </cell>
          <cell r="H52">
            <v>2026</v>
          </cell>
          <cell r="I52" t="str">
            <v>BLANCO</v>
          </cell>
          <cell r="J52" t="str">
            <v>EDOMEX</v>
          </cell>
          <cell r="K52" t="str">
            <v>ASHC</v>
          </cell>
          <cell r="L52" t="str">
            <v>ASHC</v>
          </cell>
          <cell r="M52" t="str">
            <v>OHLM038718698</v>
          </cell>
          <cell r="N52" t="str">
            <v>OHLM03871869</v>
          </cell>
          <cell r="O52">
            <v>2700</v>
          </cell>
          <cell r="P52" t="str">
            <v>LZWPPMGN8TF003021</v>
          </cell>
          <cell r="Q52" t="str">
            <v>86 40 35 05 41 22 11 5</v>
          </cell>
          <cell r="R52" t="str">
            <v>50-36-71-54-68 ACTIVO</v>
          </cell>
          <cell r="S52" t="str">
            <v>AGENCIA</v>
          </cell>
          <cell r="T52">
            <v>46034</v>
          </cell>
          <cell r="U52">
            <v>250200</v>
          </cell>
          <cell r="V52" t="str">
            <v>AXA</v>
          </cell>
          <cell r="W52" t="str">
            <v>ARTURO SANTIAGO HERNANDEZ CASTILLO</v>
          </cell>
          <cell r="X52" t="str">
            <v>160277859700</v>
          </cell>
          <cell r="Y52">
            <v>46415</v>
          </cell>
          <cell r="Z52">
            <v>12598.92</v>
          </cell>
          <cell r="AA52">
            <v>7</v>
          </cell>
          <cell r="AB52">
            <v>1</v>
          </cell>
          <cell r="AC52">
            <v>46043</v>
          </cell>
          <cell r="AD52">
            <v>46773</v>
          </cell>
          <cell r="AE52" t="str">
            <v>🟢 A TIEMPO</v>
          </cell>
          <cell r="AF52">
            <v>47869</v>
          </cell>
        </row>
        <row r="53">
          <cell r="E53" t="str">
            <v>AVEOH|2026|BLANCO|NJG464C</v>
          </cell>
          <cell r="F53" t="str">
            <v>NJG464C</v>
          </cell>
          <cell r="G53" t="str">
            <v>AVEO H</v>
          </cell>
          <cell r="H53">
            <v>2026</v>
          </cell>
          <cell r="I53" t="str">
            <v>BLANCO</v>
          </cell>
          <cell r="J53" t="str">
            <v>EDOMEX</v>
          </cell>
          <cell r="K53" t="str">
            <v>ASHC</v>
          </cell>
          <cell r="L53" t="str">
            <v>ASHC</v>
          </cell>
          <cell r="M53" t="str">
            <v>OHLM038718706</v>
          </cell>
          <cell r="N53" t="str">
            <v>OHLM03871870</v>
          </cell>
          <cell r="O53">
            <v>2700</v>
          </cell>
          <cell r="P53" t="str">
            <v>LZWPPMGN3TF002830</v>
          </cell>
          <cell r="Q53" t="str">
            <v>86 40 35 05 41 22 19 8</v>
          </cell>
          <cell r="R53" t="str">
            <v>50-36-71-54-92 ACTIVO</v>
          </cell>
          <cell r="S53" t="str">
            <v>AGENCIA</v>
          </cell>
          <cell r="T53">
            <v>46034</v>
          </cell>
          <cell r="U53">
            <v>250200</v>
          </cell>
          <cell r="V53" t="str">
            <v>AXA</v>
          </cell>
          <cell r="W53" t="str">
            <v>ARTURO SANTIAGO HERNANDEZ CASTILLO</v>
          </cell>
          <cell r="X53" t="str">
            <v>160277832200</v>
          </cell>
          <cell r="Y53">
            <v>46415</v>
          </cell>
          <cell r="Z53">
            <v>12598.92</v>
          </cell>
          <cell r="AA53">
            <v>4</v>
          </cell>
          <cell r="AB53">
            <v>1</v>
          </cell>
          <cell r="AC53">
            <v>46044</v>
          </cell>
          <cell r="AD53">
            <v>46774</v>
          </cell>
          <cell r="AE53" t="str">
            <v>🟢 A TIEMPO</v>
          </cell>
          <cell r="AF53">
            <v>47869</v>
          </cell>
        </row>
        <row r="54">
          <cell r="E54" t="str">
            <v>AVEOH|2026|BLANCO|NJG451C</v>
          </cell>
          <cell r="F54" t="str">
            <v>NJG451C</v>
          </cell>
          <cell r="G54" t="str">
            <v>AVEO H</v>
          </cell>
          <cell r="H54">
            <v>2026</v>
          </cell>
          <cell r="I54" t="str">
            <v>BLANCO</v>
          </cell>
          <cell r="J54" t="str">
            <v>EDOMEX</v>
          </cell>
          <cell r="K54" t="str">
            <v>ASHC</v>
          </cell>
          <cell r="L54" t="str">
            <v>ASHC</v>
          </cell>
          <cell r="M54" t="str">
            <v>OHLM038718714</v>
          </cell>
          <cell r="N54" t="str">
            <v>OHLM03871871</v>
          </cell>
          <cell r="O54">
            <v>2700</v>
          </cell>
          <cell r="P54" t="str">
            <v>LZWPPMGN1TF002857</v>
          </cell>
          <cell r="Q54" t="str">
            <v>86 40 35 05 41 22 37 0</v>
          </cell>
          <cell r="R54" t="str">
            <v>50-36-71-58-64 ACTIVO</v>
          </cell>
          <cell r="S54" t="str">
            <v>AGENCIA</v>
          </cell>
          <cell r="T54">
            <v>46034</v>
          </cell>
          <cell r="U54">
            <v>250200</v>
          </cell>
          <cell r="V54" t="str">
            <v>AXA</v>
          </cell>
          <cell r="W54" t="str">
            <v>ARTURO SANTIAGO HERNANDEZ CASTILLO</v>
          </cell>
          <cell r="X54" t="str">
            <v>160277844200</v>
          </cell>
          <cell r="Y54">
            <v>46415</v>
          </cell>
          <cell r="Z54">
            <v>12598.92</v>
          </cell>
          <cell r="AA54">
            <v>1</v>
          </cell>
          <cell r="AB54">
            <v>2</v>
          </cell>
          <cell r="AC54">
            <v>46044</v>
          </cell>
          <cell r="AD54">
            <v>46774</v>
          </cell>
          <cell r="AE54" t="str">
            <v>🟢 A TIEMPO</v>
          </cell>
          <cell r="AF54">
            <v>47869</v>
          </cell>
        </row>
        <row r="55">
          <cell r="E55" t="str">
            <v>AVEOH|2026|BLANCO|NJG470C</v>
          </cell>
          <cell r="F55" t="str">
            <v>NJG470C</v>
          </cell>
          <cell r="G55" t="str">
            <v>AVEO H</v>
          </cell>
          <cell r="H55">
            <v>2026</v>
          </cell>
          <cell r="I55" t="str">
            <v>BLANCO</v>
          </cell>
          <cell r="J55" t="str">
            <v>EDOMEX</v>
          </cell>
          <cell r="K55" t="str">
            <v>ASHC</v>
          </cell>
          <cell r="L55" t="str">
            <v>ASHC</v>
          </cell>
          <cell r="M55" t="str">
            <v>OHLM038718722</v>
          </cell>
          <cell r="N55" t="str">
            <v>OHLM03871872</v>
          </cell>
          <cell r="O55">
            <v>2700</v>
          </cell>
          <cell r="P55" t="str">
            <v>LZWPPMGN7TF002846</v>
          </cell>
          <cell r="Q55" t="str">
            <v>86 40 35 05 41 22 93 3</v>
          </cell>
          <cell r="R55" t="str">
            <v>50-36-71-54-84 ACTIVO</v>
          </cell>
          <cell r="S55" t="str">
            <v>AGENCIA</v>
          </cell>
          <cell r="T55">
            <v>46034</v>
          </cell>
          <cell r="U55">
            <v>250200</v>
          </cell>
          <cell r="V55" t="str">
            <v>AXA</v>
          </cell>
          <cell r="W55" t="str">
            <v>ARTURO SANTIAGO HERNANDEZ CASTILLO</v>
          </cell>
          <cell r="X55" t="str">
            <v>160277837100</v>
          </cell>
          <cell r="Y55">
            <v>46415</v>
          </cell>
          <cell r="Z55">
            <v>12598.92</v>
          </cell>
          <cell r="AA55">
            <v>0</v>
          </cell>
          <cell r="AB55">
            <v>2</v>
          </cell>
          <cell r="AC55">
            <v>46773</v>
          </cell>
          <cell r="AD55">
            <v>46773</v>
          </cell>
          <cell r="AE55" t="str">
            <v>🟢 A TIEMPO</v>
          </cell>
          <cell r="AF55">
            <v>47869</v>
          </cell>
        </row>
        <row r="56">
          <cell r="E56" t="str">
            <v>VERSA|2021|AZUL|NMC875C</v>
          </cell>
          <cell r="F56" t="str">
            <v>NMC875C</v>
          </cell>
          <cell r="G56" t="str">
            <v>VERSA</v>
          </cell>
          <cell r="H56">
            <v>2021</v>
          </cell>
          <cell r="I56" t="str">
            <v>AZUL</v>
          </cell>
          <cell r="J56" t="str">
            <v>EDOMEX</v>
          </cell>
          <cell r="K56" t="str">
            <v>ASHC</v>
          </cell>
          <cell r="L56" t="str">
            <v>ASHC</v>
          </cell>
          <cell r="O56">
            <v>2500</v>
          </cell>
          <cell r="P56" t="str">
            <v>3N1CN8AE0MK853927</v>
          </cell>
          <cell r="S56" t="str">
            <v>SUBASTAS</v>
          </cell>
          <cell r="W56" t="str">
            <v>ARTURO SANTIAGO HERNANDEZ CASTILLO</v>
          </cell>
          <cell r="AA56">
            <v>5</v>
          </cell>
          <cell r="AB56">
            <v>2</v>
          </cell>
          <cell r="AC56">
            <v>46067</v>
          </cell>
          <cell r="AD56">
            <v>46265</v>
          </cell>
          <cell r="AE56" t="str">
            <v>🟢 A TIEMPO</v>
          </cell>
        </row>
        <row r="57">
          <cell r="E57" t="str">
            <v>KIA|2025|AZUL|NMC863C</v>
          </cell>
          <cell r="F57" t="str">
            <v>NMC863C</v>
          </cell>
          <cell r="G57" t="str">
            <v>KIA</v>
          </cell>
          <cell r="H57">
            <v>2025</v>
          </cell>
          <cell r="I57" t="str">
            <v>AZUL</v>
          </cell>
          <cell r="J57" t="str">
            <v>EDOMEX</v>
          </cell>
          <cell r="K57" t="str">
            <v>ASHC</v>
          </cell>
          <cell r="L57" t="str">
            <v>ASHC</v>
          </cell>
          <cell r="O57">
            <v>2700</v>
          </cell>
          <cell r="P57" t="str">
            <v>3KPFC4AA7SE083968</v>
          </cell>
          <cell r="S57" t="str">
            <v>SUBASTAS</v>
          </cell>
          <cell r="U57">
            <v>181300</v>
          </cell>
          <cell r="W57" t="str">
            <v>ARTURO SANTIAGO HERNANDEZ CASTILLO</v>
          </cell>
          <cell r="AA57">
            <v>3</v>
          </cell>
        </row>
        <row r="58">
          <cell r="E58" t="str">
            <v>AVANZA|2024|GRIS|NMC849C</v>
          </cell>
          <cell r="F58" t="str">
            <v>NMC849C</v>
          </cell>
          <cell r="G58" t="str">
            <v>AVANZA</v>
          </cell>
          <cell r="H58">
            <v>2024</v>
          </cell>
          <cell r="I58" t="str">
            <v>GRIS</v>
          </cell>
          <cell r="J58" t="str">
            <v>EDOMEX</v>
          </cell>
          <cell r="K58" t="str">
            <v>ASHC</v>
          </cell>
          <cell r="L58" t="str">
            <v>ASHC</v>
          </cell>
          <cell r="O58">
            <v>2500</v>
          </cell>
          <cell r="P58" t="str">
            <v>MHFAB1BY7R3088083</v>
          </cell>
          <cell r="S58" t="str">
            <v>SUBASTAS</v>
          </cell>
          <cell r="U58">
            <v>224250</v>
          </cell>
          <cell r="W58" t="str">
            <v>ARTURO SANTIAGO HERNANDEZ CASTILLO</v>
          </cell>
          <cell r="AA58">
            <v>9</v>
          </cell>
        </row>
        <row r="59">
          <cell r="E59" t="str">
            <v>BMW|2025|NEGRA|40K216</v>
          </cell>
          <cell r="F59" t="str">
            <v>40K216</v>
          </cell>
          <cell r="G59" t="str">
            <v>BMW</v>
          </cell>
          <cell r="H59">
            <v>2025</v>
          </cell>
          <cell r="I59" t="str">
            <v>NEGRA</v>
          </cell>
          <cell r="J59" t="str">
            <v>EDOMEX</v>
          </cell>
          <cell r="K59" t="str">
            <v>ASHC</v>
          </cell>
          <cell r="L59" t="str">
            <v>ASHC</v>
          </cell>
          <cell r="P59" t="str">
            <v>WBA21EM05S9Z48547</v>
          </cell>
          <cell r="S59" t="str">
            <v>AGENCIA</v>
          </cell>
          <cell r="AA59">
            <v>6</v>
          </cell>
        </row>
        <row r="65">
          <cell r="X65" t="str">
            <v>160281348000</v>
          </cell>
        </row>
        <row r="66">
          <cell r="X66" t="str">
            <v>160277992200</v>
          </cell>
        </row>
        <row r="67">
          <cell r="X67" t="str">
            <v>160281378600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sgloses ASHC"/>
      <sheetName val="Desgloses BYER"/>
      <sheetName val="TD"/>
      <sheetName val="UBER 2026"/>
      <sheetName val="CTRL AUTOS"/>
      <sheetName val="Hoja3"/>
      <sheetName val="HOJALATERÍA"/>
      <sheetName val="DEUDORES BAJAS"/>
      <sheetName val="Hoja2"/>
      <sheetName val="Hoja1"/>
      <sheetName val="CALENDARIO V"/>
      <sheetName val="FIANZAS"/>
      <sheetName val="ACUERDOS"/>
      <sheetName val="MULTAS 2026"/>
      <sheetName val="TAG"/>
      <sheetName val="HOJALPORCONDUCTOR"/>
      <sheetName val="DESCUENTOS CONDUCTORES"/>
      <sheetName val="LISTA"/>
      <sheetName val="SERVICIOS"/>
      <sheetName val="REVISIÓN MECANICA"/>
      <sheetName val="FACTURACIÓN SEMANAL"/>
      <sheetName val="PÓLIZAS"/>
    </sheetNames>
    <sheetDataSet>
      <sheetData sheetId="0"/>
      <sheetData sheetId="1"/>
      <sheetData sheetId="2"/>
      <sheetData sheetId="3"/>
      <sheetData sheetId="4">
        <row r="1">
          <cell r="D1" t="str">
            <v xml:space="preserve">CONDUCTOR </v>
          </cell>
          <cell r="E1" t="str">
            <v>LLAVE</v>
          </cell>
          <cell r="F1" t="str">
            <v>PLACAS</v>
          </cell>
          <cell r="G1" t="str">
            <v>VEHICULO</v>
          </cell>
          <cell r="H1" t="str">
            <v>MODELO</v>
          </cell>
          <cell r="I1" t="str">
            <v>COLOR</v>
          </cell>
          <cell r="J1" t="str">
            <v xml:space="preserve">ENT. FED. </v>
          </cell>
          <cell r="K1" t="str">
            <v>PLATAFORMA</v>
          </cell>
          <cell r="L1" t="str">
            <v xml:space="preserve"> </v>
          </cell>
          <cell r="M1" t="str">
            <v>TAG</v>
          </cell>
        </row>
        <row r="2">
          <cell r="D2" t="str">
            <v>OSCAR IVAN MIÑON RAMIREZ</v>
          </cell>
          <cell r="E2" t="str">
            <v>VENTO|2020|GRIS|R66BER</v>
          </cell>
          <cell r="F2" t="str">
            <v>R66BER</v>
          </cell>
          <cell r="G2" t="str">
            <v>VENTO</v>
          </cell>
          <cell r="H2">
            <v>2020</v>
          </cell>
          <cell r="I2" t="str">
            <v>GRIS</v>
          </cell>
          <cell r="J2" t="str">
            <v>CDMX</v>
          </cell>
          <cell r="K2" t="str">
            <v>ASHC</v>
          </cell>
          <cell r="L2" t="str">
            <v>ASHC</v>
          </cell>
          <cell r="M2" t="str">
            <v>OHLM023720329</v>
          </cell>
        </row>
        <row r="3">
          <cell r="D3" t="str">
            <v>VENDIDO</v>
          </cell>
          <cell r="E3" t="str">
            <v>AVEO|2022|AZUL|MUF515A</v>
          </cell>
          <cell r="F3" t="str">
            <v>MUF515A</v>
          </cell>
          <cell r="G3" t="str">
            <v>AVEO</v>
          </cell>
          <cell r="H3">
            <v>2022</v>
          </cell>
          <cell r="I3" t="str">
            <v>AZUL</v>
          </cell>
          <cell r="J3" t="str">
            <v>EDOMEX</v>
          </cell>
          <cell r="K3" t="str">
            <v>ASHC</v>
          </cell>
          <cell r="L3" t="str">
            <v>ASHC</v>
          </cell>
          <cell r="M3" t="str">
            <v>OHLM031491772</v>
          </cell>
        </row>
        <row r="4">
          <cell r="D4" t="str">
            <v>JORGE LUIS MEJIA LEOBARDO</v>
          </cell>
          <cell r="E4" t="str">
            <v>AVEO|2018|ROJO|R51BKD</v>
          </cell>
          <cell r="F4" t="str">
            <v>R51BKD</v>
          </cell>
          <cell r="G4" t="str">
            <v>AVEO</v>
          </cell>
          <cell r="H4">
            <v>2018</v>
          </cell>
          <cell r="I4" t="str">
            <v>ROJO</v>
          </cell>
          <cell r="J4" t="str">
            <v>CDMX</v>
          </cell>
          <cell r="K4" t="str">
            <v>BYER</v>
          </cell>
          <cell r="L4" t="str">
            <v>U64</v>
          </cell>
          <cell r="M4" t="str">
            <v xml:space="preserve">OHLM032762106
</v>
          </cell>
        </row>
        <row r="5">
          <cell r="D5" t="str">
            <v>JOSE LUIS PEDRAZA AVILA</v>
          </cell>
          <cell r="E5" t="str">
            <v>AVEO|2019|PLATA|NEL860A</v>
          </cell>
          <cell r="F5" t="str">
            <v>NEL860A</v>
          </cell>
          <cell r="G5" t="str">
            <v>AVEO</v>
          </cell>
          <cell r="H5">
            <v>2019</v>
          </cell>
          <cell r="I5" t="str">
            <v>PLATA</v>
          </cell>
          <cell r="J5" t="str">
            <v>EDOMEX</v>
          </cell>
          <cell r="K5" t="str">
            <v>ASHC</v>
          </cell>
          <cell r="L5" t="str">
            <v>ASHC</v>
          </cell>
          <cell r="M5" t="str">
            <v>OHLM032370132</v>
          </cell>
        </row>
        <row r="6">
          <cell r="D6" t="str">
            <v>FREDY PANTALEON VILLALOBOS</v>
          </cell>
          <cell r="E6" t="str">
            <v>AVEO|2019|BLANCO|NBS225A</v>
          </cell>
          <cell r="F6" t="str">
            <v>NBS225A</v>
          </cell>
          <cell r="G6" t="str">
            <v>AVEO</v>
          </cell>
          <cell r="H6">
            <v>2019</v>
          </cell>
          <cell r="I6" t="str">
            <v>BLANCO</v>
          </cell>
          <cell r="J6" t="str">
            <v>EDOMEX</v>
          </cell>
          <cell r="K6" t="str">
            <v>ASHC</v>
          </cell>
          <cell r="L6" t="str">
            <v>ASHC</v>
          </cell>
          <cell r="M6" t="str">
            <v>OHLM038285797</v>
          </cell>
        </row>
        <row r="7">
          <cell r="D7" t="str">
            <v>EN TALLER</v>
          </cell>
          <cell r="E7" t="str">
            <v>MARCH|2020|TURQ|N15BKD</v>
          </cell>
          <cell r="F7" t="str">
            <v>N15BKD</v>
          </cell>
          <cell r="G7" t="str">
            <v>MARCH</v>
          </cell>
          <cell r="H7">
            <v>2020</v>
          </cell>
          <cell r="I7" t="str">
            <v>TURQ</v>
          </cell>
          <cell r="J7" t="str">
            <v>CDMX</v>
          </cell>
          <cell r="K7" t="str">
            <v>ASHC</v>
          </cell>
          <cell r="L7" t="str">
            <v>ASHC</v>
          </cell>
          <cell r="M7" t="str">
            <v>OHLM031409071</v>
          </cell>
        </row>
        <row r="8">
          <cell r="D8" t="str">
            <v>EDUARDO RIVERA LAVIN</v>
          </cell>
          <cell r="E8" t="str">
            <v>KIA RIO|2017|ROJO|MYE912A</v>
          </cell>
          <cell r="F8" t="str">
            <v>MYE912A</v>
          </cell>
          <cell r="G8" t="str">
            <v>KIA RIO</v>
          </cell>
          <cell r="H8">
            <v>2017</v>
          </cell>
          <cell r="I8" t="str">
            <v>ROJO</v>
          </cell>
          <cell r="J8" t="str">
            <v>EDOMEX</v>
          </cell>
          <cell r="K8" t="str">
            <v>BYER</v>
          </cell>
          <cell r="L8" t="str">
            <v>U64</v>
          </cell>
          <cell r="M8" t="str">
            <v>OHLM032762130</v>
          </cell>
        </row>
        <row r="9">
          <cell r="D9" t="str">
            <v>RAUL NABOR MORIN MEJIA</v>
          </cell>
          <cell r="E9" t="str">
            <v>AVEO|2018|GRIS|X59AWG</v>
          </cell>
          <cell r="F9" t="str">
            <v>X59AWG</v>
          </cell>
          <cell r="G9" t="str">
            <v>AVEO</v>
          </cell>
          <cell r="H9">
            <v>2018</v>
          </cell>
          <cell r="I9" t="str">
            <v>GRIS</v>
          </cell>
          <cell r="J9" t="str">
            <v>CDMX</v>
          </cell>
          <cell r="K9" t="str">
            <v>ASHC</v>
          </cell>
          <cell r="L9" t="str">
            <v>ASHC</v>
          </cell>
          <cell r="M9" t="str">
            <v>OHLM031409063</v>
          </cell>
        </row>
        <row r="10">
          <cell r="D10" t="str">
            <v>EN TALLER</v>
          </cell>
          <cell r="E10" t="str">
            <v>BEAT|2020|GRIS|NFN014B</v>
          </cell>
          <cell r="F10" t="str">
            <v>NFN014B</v>
          </cell>
          <cell r="G10" t="str">
            <v>BEAT</v>
          </cell>
          <cell r="H10">
            <v>2020</v>
          </cell>
          <cell r="I10" t="str">
            <v>GRIS</v>
          </cell>
          <cell r="J10" t="str">
            <v>EDOMEX</v>
          </cell>
          <cell r="K10" t="str">
            <v>BYER</v>
          </cell>
          <cell r="L10" t="str">
            <v>U64</v>
          </cell>
          <cell r="M10" t="str">
            <v>OHLM032762148</v>
          </cell>
        </row>
        <row r="11">
          <cell r="D11" t="str">
            <v xml:space="preserve">RODOLFO VILLEDA MACIAS </v>
          </cell>
          <cell r="E11" t="str">
            <v>VENTO|2017|GRIS|MMA672C</v>
          </cell>
          <cell r="F11" t="str">
            <v>MMA672C</v>
          </cell>
          <cell r="G11" t="str">
            <v>VENTO</v>
          </cell>
          <cell r="H11">
            <v>2017</v>
          </cell>
          <cell r="I11" t="str">
            <v>GRIS</v>
          </cell>
          <cell r="J11" t="str">
            <v>EDOMEX</v>
          </cell>
          <cell r="K11" t="str">
            <v>ASHC</v>
          </cell>
          <cell r="L11" t="str">
            <v>ASHC</v>
          </cell>
          <cell r="M11" t="str">
            <v>OHLM023720279</v>
          </cell>
        </row>
        <row r="12">
          <cell r="D12" t="str">
            <v>GERARDO MIGUEL SANTILLAN VILLANUEVA</v>
          </cell>
          <cell r="E12" t="str">
            <v>VERSA|2023|PLATA|NCT814A</v>
          </cell>
          <cell r="F12" t="str">
            <v>NCT814A</v>
          </cell>
          <cell r="G12" t="str">
            <v>VERSA</v>
          </cell>
          <cell r="H12">
            <v>2023</v>
          </cell>
          <cell r="I12" t="str">
            <v>PLATA</v>
          </cell>
          <cell r="J12" t="str">
            <v>EDOMEX</v>
          </cell>
          <cell r="K12" t="str">
            <v>ASHC</v>
          </cell>
          <cell r="L12" t="str">
            <v>ASHC</v>
          </cell>
          <cell r="M12" t="str">
            <v>OHLM031491780</v>
          </cell>
        </row>
        <row r="13">
          <cell r="D13" t="str">
            <v>ARMANDO MARTINEZ VELAZQUEZ</v>
          </cell>
          <cell r="E13" t="str">
            <v>HYUNDAI|2022|PLATA|D40BKD</v>
          </cell>
          <cell r="F13" t="str">
            <v>D40BKD</v>
          </cell>
          <cell r="G13" t="str">
            <v>HYUNDAI</v>
          </cell>
          <cell r="H13">
            <v>2022</v>
          </cell>
          <cell r="I13" t="str">
            <v>PLATA</v>
          </cell>
          <cell r="J13" t="str">
            <v>CDMX</v>
          </cell>
          <cell r="K13" t="str">
            <v>ASHC</v>
          </cell>
          <cell r="L13" t="str">
            <v>ASHC</v>
          </cell>
          <cell r="M13" t="str">
            <v>OHLM023658024</v>
          </cell>
        </row>
        <row r="14">
          <cell r="D14" t="str">
            <v>ALBERTO ANTHAR MORALES BAEZ</v>
          </cell>
          <cell r="E14" t="str">
            <v>KIA RIO|2020|GRIS|NCK475B</v>
          </cell>
          <cell r="F14" t="str">
            <v>NCK475B</v>
          </cell>
          <cell r="G14" t="str">
            <v>KIA RIO</v>
          </cell>
          <cell r="H14">
            <v>2020</v>
          </cell>
          <cell r="I14" t="str">
            <v>GRIS</v>
          </cell>
          <cell r="J14" t="str">
            <v>EDOMEX</v>
          </cell>
          <cell r="K14" t="str">
            <v>ASHC</v>
          </cell>
          <cell r="L14" t="str">
            <v>ASHC</v>
          </cell>
          <cell r="M14" t="str">
            <v>OHLM032370124</v>
          </cell>
        </row>
        <row r="15">
          <cell r="D15" t="str">
            <v>AZCONA</v>
          </cell>
          <cell r="E15" t="str">
            <v>AVEO|2022|AZUL|NZY685B</v>
          </cell>
          <cell r="F15" t="str">
            <v>NZY685B</v>
          </cell>
          <cell r="G15" t="str">
            <v>AVEO</v>
          </cell>
          <cell r="H15">
            <v>2022</v>
          </cell>
          <cell r="I15" t="str">
            <v>AZUL</v>
          </cell>
          <cell r="J15" t="str">
            <v>EDOMEX</v>
          </cell>
          <cell r="K15" t="str">
            <v>ASHC</v>
          </cell>
          <cell r="L15" t="str">
            <v>ASHC</v>
          </cell>
          <cell r="M15" t="str">
            <v>OHLM032370116</v>
          </cell>
        </row>
        <row r="16">
          <cell r="D16" t="str">
            <v>YOSHUA JARETH VALDEZ HERNANDEZ</v>
          </cell>
          <cell r="E16" t="str">
            <v>VENTO|2018|AMARILLO|NJJ912C</v>
          </cell>
          <cell r="F16" t="str">
            <v>NJJ912C</v>
          </cell>
          <cell r="G16" t="str">
            <v>VENTO</v>
          </cell>
          <cell r="H16">
            <v>2018</v>
          </cell>
          <cell r="I16" t="str">
            <v>AMARILLO</v>
          </cell>
          <cell r="J16" t="str">
            <v>EDOMEX</v>
          </cell>
          <cell r="K16" t="str">
            <v>ASHC</v>
          </cell>
          <cell r="L16" t="str">
            <v>ASHC</v>
          </cell>
          <cell r="M16" t="str">
            <v>OHLM031409055</v>
          </cell>
        </row>
        <row r="17">
          <cell r="D17" t="str">
            <v>JONATHAN BERNAL RODRIGUEZ</v>
          </cell>
          <cell r="E17" t="str">
            <v>KIA RIO|2020|ROJO|MFP751C</v>
          </cell>
          <cell r="F17" t="str">
            <v>MFP751C</v>
          </cell>
          <cell r="G17" t="str">
            <v>KIA RIO</v>
          </cell>
          <cell r="H17">
            <v>2020</v>
          </cell>
          <cell r="I17" t="str">
            <v>ROJO</v>
          </cell>
          <cell r="J17" t="str">
            <v>EDOMEX</v>
          </cell>
          <cell r="K17" t="str">
            <v>ASHC</v>
          </cell>
          <cell r="L17" t="str">
            <v>ASHC</v>
          </cell>
          <cell r="M17" t="str">
            <v>OHLM036759090</v>
          </cell>
        </row>
        <row r="18">
          <cell r="D18" t="str">
            <v>ADOLFO LOPEZ MARTINEZ</v>
          </cell>
          <cell r="E18" t="str">
            <v>VERSA|2020|ROJO|NLP172B</v>
          </cell>
          <cell r="F18" t="str">
            <v>NLP172B</v>
          </cell>
          <cell r="G18" t="str">
            <v>VERSA</v>
          </cell>
          <cell r="H18">
            <v>2020</v>
          </cell>
          <cell r="I18" t="str">
            <v>ROJO</v>
          </cell>
          <cell r="J18" t="str">
            <v>EDOMEX</v>
          </cell>
          <cell r="K18" t="str">
            <v>ASHC</v>
          </cell>
          <cell r="L18" t="str">
            <v>ASHC</v>
          </cell>
          <cell r="M18" t="str">
            <v>OHLM032370108</v>
          </cell>
        </row>
        <row r="19">
          <cell r="D19" t="str">
            <v>ADOLFO ANGEL ESTRADA RODRIGUEZ</v>
          </cell>
          <cell r="E19" t="str">
            <v>AVEO|2024|GRIS|LRL009C</v>
          </cell>
          <cell r="F19" t="str">
            <v>LRL009C</v>
          </cell>
          <cell r="G19" t="str">
            <v>AVEO</v>
          </cell>
          <cell r="H19">
            <v>2024</v>
          </cell>
          <cell r="I19" t="str">
            <v>GRIS</v>
          </cell>
          <cell r="J19" t="str">
            <v>EDOMEX</v>
          </cell>
          <cell r="K19" t="str">
            <v>ASHC</v>
          </cell>
          <cell r="L19" t="str">
            <v>ASHC</v>
          </cell>
          <cell r="M19" t="str">
            <v>OHLM032762171</v>
          </cell>
        </row>
        <row r="20">
          <cell r="D20" t="str">
            <v>ALFONSO GONZALEZ MORALES</v>
          </cell>
          <cell r="E20" t="str">
            <v>SWIFT|2017|ROJO|X89ALV</v>
          </cell>
          <cell r="F20" t="str">
            <v>X89ALV</v>
          </cell>
          <cell r="G20" t="str">
            <v>SWIFT</v>
          </cell>
          <cell r="H20">
            <v>2017</v>
          </cell>
          <cell r="I20" t="str">
            <v>ROJO</v>
          </cell>
          <cell r="J20" t="str">
            <v>CDMX</v>
          </cell>
          <cell r="K20" t="str">
            <v>BYER</v>
          </cell>
          <cell r="L20" t="str">
            <v>BYER</v>
          </cell>
          <cell r="M20" t="str">
            <v>OHLM032370090</v>
          </cell>
        </row>
        <row r="21">
          <cell r="D21" t="str">
            <v>JORGE ALEJANDRO HERNANDEZ VALLEJO</v>
          </cell>
          <cell r="E21" t="str">
            <v>VERSA|2020|BLANCO|A35BHD</v>
          </cell>
          <cell r="F21" t="str">
            <v>A35BHD</v>
          </cell>
          <cell r="G21" t="str">
            <v>VERSA</v>
          </cell>
          <cell r="H21">
            <v>2020</v>
          </cell>
          <cell r="I21" t="str">
            <v>BLANCO</v>
          </cell>
          <cell r="J21" t="str">
            <v>CDMX</v>
          </cell>
          <cell r="K21" t="str">
            <v>ASHC</v>
          </cell>
          <cell r="L21" t="str">
            <v>ASHC</v>
          </cell>
          <cell r="M21" t="str">
            <v>OHLM032370082</v>
          </cell>
        </row>
        <row r="22">
          <cell r="D22" t="str">
            <v>DANIEL CASTAÑEDA LOPEZ</v>
          </cell>
          <cell r="E22" t="str">
            <v>AVEO|2020|AZUL|D28BET</v>
          </cell>
          <cell r="F22" t="str">
            <v>D28BET</v>
          </cell>
          <cell r="G22" t="str">
            <v>AVEO</v>
          </cell>
          <cell r="H22">
            <v>2020</v>
          </cell>
          <cell r="I22" t="str">
            <v>AZUL</v>
          </cell>
          <cell r="J22" t="str">
            <v>CDMX</v>
          </cell>
          <cell r="K22" t="str">
            <v>ASHC</v>
          </cell>
          <cell r="L22" t="str">
            <v>ASHC</v>
          </cell>
          <cell r="M22" t="str">
            <v>OHLM032370140</v>
          </cell>
        </row>
        <row r="23">
          <cell r="D23" t="str">
            <v>JESUS AURELIO NUNGARAY CASTILLO</v>
          </cell>
          <cell r="E23" t="str">
            <v>MARCH|2021|ROJO|NZU5163</v>
          </cell>
          <cell r="F23" t="str">
            <v>NZU5163</v>
          </cell>
          <cell r="G23" t="str">
            <v>MARCH</v>
          </cell>
          <cell r="H23">
            <v>2021</v>
          </cell>
          <cell r="I23" t="str">
            <v>ROJO</v>
          </cell>
          <cell r="J23" t="str">
            <v>EDOMEX</v>
          </cell>
          <cell r="K23" t="str">
            <v>ASHC</v>
          </cell>
          <cell r="L23" t="str">
            <v>ASHC</v>
          </cell>
          <cell r="M23" t="str">
            <v>OHLM032370157</v>
          </cell>
        </row>
        <row r="24">
          <cell r="D24" t="str">
            <v>IVAN MOGUEL PULIDO</v>
          </cell>
          <cell r="E24" t="str">
            <v>KIA RIO|2023|ROJO|H99BLC</v>
          </cell>
          <cell r="F24" t="str">
            <v>H99BLC</v>
          </cell>
          <cell r="G24" t="str">
            <v>KIA RIO</v>
          </cell>
          <cell r="H24">
            <v>2023</v>
          </cell>
          <cell r="I24" t="str">
            <v>ROJO</v>
          </cell>
          <cell r="J24" t="str">
            <v>CDMX</v>
          </cell>
          <cell r="K24" t="str">
            <v>BYER</v>
          </cell>
          <cell r="L24" t="str">
            <v>U64</v>
          </cell>
          <cell r="M24" t="str">
            <v>OHLM035993526</v>
          </cell>
        </row>
        <row r="25">
          <cell r="D25" t="str">
            <v>EN TALLER</v>
          </cell>
          <cell r="E25" t="str">
            <v>BEAT|2019|OCRE|MAY730C</v>
          </cell>
          <cell r="F25" t="str">
            <v>MAY730C</v>
          </cell>
          <cell r="G25" t="str">
            <v>BEAT</v>
          </cell>
          <cell r="H25">
            <v>2019</v>
          </cell>
          <cell r="I25" t="str">
            <v>OCRE</v>
          </cell>
          <cell r="J25" t="str">
            <v>EDOMEX</v>
          </cell>
          <cell r="K25" t="str">
            <v>ASHC</v>
          </cell>
          <cell r="L25" t="str">
            <v>ASHC</v>
          </cell>
          <cell r="M25" t="str">
            <v>OHLM036759058</v>
          </cell>
        </row>
        <row r="26">
          <cell r="D26" t="str">
            <v>DAVID ROMERO JAIME</v>
          </cell>
          <cell r="E26" t="str">
            <v>MARCH|2019|TURQ|MAY737C</v>
          </cell>
          <cell r="F26" t="str">
            <v>MAY737C</v>
          </cell>
          <cell r="G26" t="str">
            <v>MARCH</v>
          </cell>
          <cell r="H26">
            <v>2019</v>
          </cell>
          <cell r="I26" t="str">
            <v>TURQ</v>
          </cell>
          <cell r="J26" t="str">
            <v>EDOMEX</v>
          </cell>
          <cell r="K26" t="str">
            <v>BYER</v>
          </cell>
          <cell r="L26" t="str">
            <v>BYER</v>
          </cell>
          <cell r="M26" t="str">
            <v>OHLM0367590666</v>
          </cell>
        </row>
        <row r="27">
          <cell r="D27" t="str">
            <v>JAVIER MEDINA JAIMES</v>
          </cell>
          <cell r="E27" t="str">
            <v>AVEO|2021|GRIS|D51BHV</v>
          </cell>
          <cell r="F27" t="str">
            <v>D51BHV</v>
          </cell>
          <cell r="G27" t="str">
            <v>AVEO</v>
          </cell>
          <cell r="H27">
            <v>2021</v>
          </cell>
          <cell r="I27" t="str">
            <v>GRIS</v>
          </cell>
          <cell r="J27" t="str">
            <v>CDMX</v>
          </cell>
          <cell r="K27" t="str">
            <v>ASHC</v>
          </cell>
          <cell r="L27" t="str">
            <v>ASHC</v>
          </cell>
          <cell r="M27" t="str">
            <v>OHLM037480324</v>
          </cell>
        </row>
        <row r="28">
          <cell r="D28" t="str">
            <v>JUAN CARLOS CASTRO CASTILLO</v>
          </cell>
          <cell r="E28" t="str">
            <v>VERSA|2021|BLANCO|MEE228C</v>
          </cell>
          <cell r="F28" t="str">
            <v>MEE228C</v>
          </cell>
          <cell r="G28" t="str">
            <v>VERSA</v>
          </cell>
          <cell r="H28">
            <v>2021</v>
          </cell>
          <cell r="I28" t="str">
            <v>GRIS</v>
          </cell>
          <cell r="J28" t="str">
            <v>EDOMEX</v>
          </cell>
          <cell r="K28" t="str">
            <v>ASHC</v>
          </cell>
          <cell r="L28" t="str">
            <v>ASHC</v>
          </cell>
          <cell r="M28" t="str">
            <v>OHLM036759082</v>
          </cell>
        </row>
        <row r="29">
          <cell r="D29" t="str">
            <v>ADOLFO ANGEL ESTRADA RODRIGUEZ</v>
          </cell>
          <cell r="E29" t="str">
            <v>AVEO|2023|VINO|R22BMR</v>
          </cell>
          <cell r="F29" t="str">
            <v>R22BMR</v>
          </cell>
          <cell r="G29" t="str">
            <v>AVEO</v>
          </cell>
          <cell r="H29">
            <v>2023</v>
          </cell>
          <cell r="I29" t="str">
            <v>VINO</v>
          </cell>
          <cell r="J29" t="str">
            <v>CDMX</v>
          </cell>
          <cell r="K29" t="str">
            <v>ASHC</v>
          </cell>
          <cell r="L29" t="str">
            <v>ASHC</v>
          </cell>
          <cell r="M29" t="str">
            <v>OHML037480316</v>
          </cell>
        </row>
        <row r="30">
          <cell r="D30" t="str">
            <v>RAFAEL HUERTA MONDRAGON</v>
          </cell>
          <cell r="E30" t="str">
            <v>AVEO|2022|VINO|P62BHW</v>
          </cell>
          <cell r="F30" t="str">
            <v>P62BHW</v>
          </cell>
          <cell r="G30" t="str">
            <v>AVEO</v>
          </cell>
          <cell r="H30">
            <v>2022</v>
          </cell>
          <cell r="I30" t="str">
            <v>VINO</v>
          </cell>
          <cell r="J30" t="str">
            <v>CDMX</v>
          </cell>
          <cell r="K30" t="str">
            <v>ASHC</v>
          </cell>
          <cell r="L30" t="str">
            <v>ASHC</v>
          </cell>
          <cell r="M30" t="str">
            <v>OHLM038285730</v>
          </cell>
        </row>
        <row r="31">
          <cell r="D31" t="str">
            <v>JOSE GUILLERMO HERNANDEZ RAMIREZ</v>
          </cell>
          <cell r="E31" t="str">
            <v>AVEO|2023|GRIS|MLC126A</v>
          </cell>
          <cell r="F31" t="str">
            <v>MLC126A</v>
          </cell>
          <cell r="G31" t="str">
            <v>AVEO</v>
          </cell>
          <cell r="H31">
            <v>2023</v>
          </cell>
          <cell r="I31" t="str">
            <v>GRIS</v>
          </cell>
          <cell r="J31" t="str">
            <v>EDOMEX</v>
          </cell>
          <cell r="K31" t="str">
            <v>ASHC</v>
          </cell>
          <cell r="L31" t="str">
            <v>ASHC</v>
          </cell>
          <cell r="M31" t="str">
            <v>OHLM037480332</v>
          </cell>
        </row>
        <row r="32">
          <cell r="D32" t="str">
            <v>ADRIAN CRUZ CUADROS</v>
          </cell>
          <cell r="E32" t="str">
            <v>AVEO|2025|PERSUASION|MXM503C</v>
          </cell>
          <cell r="F32" t="str">
            <v>MXM503C</v>
          </cell>
          <cell r="G32" t="str">
            <v>AVEO</v>
          </cell>
          <cell r="H32">
            <v>2025</v>
          </cell>
          <cell r="I32" t="str">
            <v>PERSUASIÓN</v>
          </cell>
          <cell r="J32" t="str">
            <v>EDOMEX</v>
          </cell>
          <cell r="K32" t="str">
            <v>ASHC</v>
          </cell>
          <cell r="L32" t="str">
            <v>ASHC</v>
          </cell>
          <cell r="M32" t="str">
            <v>OHLM038285813</v>
          </cell>
        </row>
        <row r="33">
          <cell r="D33" t="str">
            <v>RICARDO HERNANDEZ ARIAS</v>
          </cell>
          <cell r="E33" t="str">
            <v>AVEO|2025|PERSUASION|MXM510C</v>
          </cell>
          <cell r="F33" t="str">
            <v>MXM510C</v>
          </cell>
          <cell r="G33" t="str">
            <v>AVEO</v>
          </cell>
          <cell r="H33">
            <v>2025</v>
          </cell>
          <cell r="I33" t="str">
            <v>PERSUASIÓN</v>
          </cell>
          <cell r="J33" t="str">
            <v>EDOMEX</v>
          </cell>
          <cell r="K33" t="str">
            <v>ASHC</v>
          </cell>
          <cell r="L33" t="str">
            <v>ASHC</v>
          </cell>
          <cell r="M33" t="str">
            <v>OHLM038285821</v>
          </cell>
        </row>
        <row r="34">
          <cell r="D34" t="str">
            <v>JOSE PABLO AGUILAR HERNANDEZ</v>
          </cell>
          <cell r="E34" t="str">
            <v>AVEO|2025|PERSUASION|MXM502C</v>
          </cell>
          <cell r="F34" t="str">
            <v>MXM502C</v>
          </cell>
          <cell r="G34" t="str">
            <v>AVEO</v>
          </cell>
          <cell r="H34">
            <v>2025</v>
          </cell>
          <cell r="I34" t="str">
            <v>PERSUASIÓN</v>
          </cell>
          <cell r="J34" t="str">
            <v>EDOMEX</v>
          </cell>
          <cell r="K34" t="str">
            <v>ASHC</v>
          </cell>
          <cell r="L34" t="str">
            <v>ASHC</v>
          </cell>
          <cell r="M34" t="str">
            <v>OHLM038285805</v>
          </cell>
        </row>
        <row r="35">
          <cell r="D35" t="str">
            <v>ANGEL ALCANTARA CRUZ</v>
          </cell>
          <cell r="E35" t="str">
            <v>AVEO|2025|PERSUASION|MZN091C</v>
          </cell>
          <cell r="F35" t="str">
            <v>MZN091C</v>
          </cell>
          <cell r="G35" t="str">
            <v>AVEO</v>
          </cell>
          <cell r="H35">
            <v>2025</v>
          </cell>
          <cell r="I35" t="str">
            <v>PERSUASIÓN</v>
          </cell>
          <cell r="J35" t="str">
            <v>EDOMEX</v>
          </cell>
          <cell r="K35" t="str">
            <v>ASHC</v>
          </cell>
          <cell r="L35" t="str">
            <v>ASHC</v>
          </cell>
          <cell r="M35" t="str">
            <v>OHLM038626768</v>
          </cell>
        </row>
        <row r="36">
          <cell r="D36" t="str">
            <v>XAVIER ALAN LARA JIMENEZ</v>
          </cell>
          <cell r="E36" t="str">
            <v>AVEO|2025|PERSUASION|MZN057C</v>
          </cell>
          <cell r="F36" t="str">
            <v>MZN057C</v>
          </cell>
          <cell r="G36" t="str">
            <v>AVEO</v>
          </cell>
          <cell r="H36">
            <v>2025</v>
          </cell>
          <cell r="I36" t="str">
            <v>PERSUASIÓN</v>
          </cell>
          <cell r="J36" t="str">
            <v>EDOMEX</v>
          </cell>
          <cell r="K36" t="str">
            <v>ASHC</v>
          </cell>
          <cell r="L36" t="str">
            <v>ASHC</v>
          </cell>
          <cell r="M36" t="str">
            <v>OHLM038626735</v>
          </cell>
        </row>
        <row r="37">
          <cell r="D37" t="str">
            <v>GABRIEL JIMENEZ BAUTISTA</v>
          </cell>
          <cell r="E37" t="str">
            <v>AVEOH|2024|BLANCO|MWV156C</v>
          </cell>
          <cell r="F37" t="str">
            <v>MWV156C</v>
          </cell>
          <cell r="G37" t="str">
            <v>AVEOH</v>
          </cell>
          <cell r="H37">
            <v>2024</v>
          </cell>
          <cell r="I37" t="str">
            <v>BLANCO</v>
          </cell>
          <cell r="J37" t="str">
            <v>EDOMEX</v>
          </cell>
          <cell r="K37" t="str">
            <v>ASHC</v>
          </cell>
          <cell r="L37" t="str">
            <v>ASHC</v>
          </cell>
          <cell r="M37" t="str">
            <v>OHLM038626743</v>
          </cell>
        </row>
        <row r="38">
          <cell r="D38" t="str">
            <v>ALEJANDRA URBAN VALENCIA</v>
          </cell>
          <cell r="E38" t="str">
            <v>VENTO|2020|GRIS|A19BDY</v>
          </cell>
          <cell r="F38" t="str">
            <v>A19BDY</v>
          </cell>
          <cell r="G38" t="str">
            <v>VENTO</v>
          </cell>
          <cell r="H38">
            <v>2020</v>
          </cell>
          <cell r="I38" t="str">
            <v>GRIS</v>
          </cell>
          <cell r="J38" t="str">
            <v>CDMX</v>
          </cell>
          <cell r="K38" t="str">
            <v>ASHC</v>
          </cell>
          <cell r="L38" t="str">
            <v>ASHC</v>
          </cell>
          <cell r="M38" t="str">
            <v>OHLM038626750</v>
          </cell>
        </row>
        <row r="39">
          <cell r="D39" t="str">
            <v>RAUL FRANCISCO VAZQUEZ CORTE</v>
          </cell>
          <cell r="E39" t="str">
            <v>V DRIVE|2023|GRIS|MXW453C</v>
          </cell>
          <cell r="F39" t="str">
            <v>MXW453C</v>
          </cell>
          <cell r="G39" t="str">
            <v>V DRIVE</v>
          </cell>
          <cell r="H39">
            <v>2023</v>
          </cell>
          <cell r="I39" t="str">
            <v>GRIS</v>
          </cell>
          <cell r="J39" t="str">
            <v>EDOMEX</v>
          </cell>
          <cell r="K39" t="str">
            <v>ASHC</v>
          </cell>
          <cell r="L39" t="str">
            <v>ASHC</v>
          </cell>
          <cell r="M39" t="str">
            <v>OHLM038626776</v>
          </cell>
        </row>
        <row r="40">
          <cell r="D40" t="str">
            <v>VICTOR HUGO RUIZ CASTILLO</v>
          </cell>
          <cell r="E40" t="str">
            <v>VERSA|2021|BLANCO|NEJ957C</v>
          </cell>
          <cell r="F40" t="str">
            <v>NEJ957C</v>
          </cell>
          <cell r="G40" t="str">
            <v>VERSA</v>
          </cell>
          <cell r="H40">
            <v>2021</v>
          </cell>
          <cell r="I40" t="str">
            <v>BLANCO</v>
          </cell>
          <cell r="J40" t="str">
            <v>EDOMEX</v>
          </cell>
          <cell r="K40" t="str">
            <v>ASHC</v>
          </cell>
          <cell r="L40" t="str">
            <v>ASHC</v>
          </cell>
          <cell r="M40" t="str">
            <v>OHLM038645636</v>
          </cell>
        </row>
        <row r="41">
          <cell r="D41" t="str">
            <v>SAUL GONZALEZ RIVAS</v>
          </cell>
          <cell r="E41" t="str">
            <v>MARCH|2020|GRIS|NEJ984C</v>
          </cell>
          <cell r="F41" t="str">
            <v>NEJ984C</v>
          </cell>
          <cell r="G41" t="str">
            <v>MARCH</v>
          </cell>
          <cell r="H41">
            <v>2020</v>
          </cell>
          <cell r="I41" t="str">
            <v>GRIS</v>
          </cell>
          <cell r="J41" t="str">
            <v>EDOMEX</v>
          </cell>
          <cell r="K41" t="str">
            <v>BYER</v>
          </cell>
          <cell r="L41" t="str">
            <v>BYER</v>
          </cell>
          <cell r="M41" t="str">
            <v>OHLM038645552</v>
          </cell>
        </row>
        <row r="42">
          <cell r="D42" t="str">
            <v>YANIZ MANUEL SILVA PUPO</v>
          </cell>
          <cell r="E42" t="str">
            <v>VENTO|2020|GRIS|NES586C</v>
          </cell>
          <cell r="F42" t="str">
            <v>NES586C</v>
          </cell>
          <cell r="G42" t="str">
            <v>VENTO</v>
          </cell>
          <cell r="H42">
            <v>2020</v>
          </cell>
          <cell r="I42" t="str">
            <v>GRIS</v>
          </cell>
          <cell r="J42" t="str">
            <v>EDOMEX</v>
          </cell>
          <cell r="K42" t="str">
            <v>ASHC</v>
          </cell>
          <cell r="L42" t="str">
            <v>ASHC</v>
          </cell>
          <cell r="M42" t="str">
            <v>OHLM038645628</v>
          </cell>
        </row>
        <row r="43">
          <cell r="D43" t="str">
            <v>ABRAHAM RODRIGUEZ HERNANDEZ</v>
          </cell>
          <cell r="E43" t="str">
            <v>VERSA|2022|GRIS|NES596C</v>
          </cell>
          <cell r="F43" t="str">
            <v>NES596C</v>
          </cell>
          <cell r="G43" t="str">
            <v>VERSA</v>
          </cell>
          <cell r="H43">
            <v>2022</v>
          </cell>
          <cell r="I43" t="str">
            <v>GRIS</v>
          </cell>
          <cell r="J43" t="str">
            <v>EDOMEX</v>
          </cell>
          <cell r="K43" t="str">
            <v>ASHC</v>
          </cell>
          <cell r="L43" t="str">
            <v>ASHC</v>
          </cell>
          <cell r="M43" t="str">
            <v>OHLM038645610</v>
          </cell>
        </row>
        <row r="44">
          <cell r="D44" t="str">
            <v>JESUS ROSALES GARCIA</v>
          </cell>
          <cell r="E44" t="str">
            <v>AVEOH|2026|ACERO|NEJ996C</v>
          </cell>
          <cell r="F44" t="str">
            <v>NEJ996C</v>
          </cell>
          <cell r="G44" t="str">
            <v>AVEO</v>
          </cell>
          <cell r="H44">
            <v>2026</v>
          </cell>
          <cell r="I44" t="str">
            <v>ACERO</v>
          </cell>
          <cell r="J44" t="str">
            <v>EDOMEX</v>
          </cell>
          <cell r="K44" t="str">
            <v>ASHC</v>
          </cell>
          <cell r="L44" t="str">
            <v>ASHC</v>
          </cell>
          <cell r="M44" t="str">
            <v>OHLM038645602</v>
          </cell>
        </row>
        <row r="45">
          <cell r="D45" t="str">
            <v>CRISTIAN HERNANDEZ MUNGUIA</v>
          </cell>
          <cell r="E45" t="str">
            <v>AVEOH|2026|ACERO|NEJ990C</v>
          </cell>
          <cell r="F45" t="str">
            <v>NEJ990C</v>
          </cell>
          <cell r="G45" t="str">
            <v>AVEO</v>
          </cell>
          <cell r="H45">
            <v>2026</v>
          </cell>
          <cell r="I45" t="str">
            <v>ACERO</v>
          </cell>
          <cell r="J45" t="str">
            <v>EDOMEX</v>
          </cell>
          <cell r="K45" t="str">
            <v>ASHC</v>
          </cell>
          <cell r="L45" t="str">
            <v>ASHC</v>
          </cell>
          <cell r="M45" t="str">
            <v>OHLM038645594</v>
          </cell>
        </row>
        <row r="46">
          <cell r="D46" t="str">
            <v>RAYMUNDO CHAVEZ DELGADO</v>
          </cell>
          <cell r="E46" t="str">
            <v>AVEOH|2026|ACERO|NEJ971C</v>
          </cell>
          <cell r="F46" t="str">
            <v>NEJ971C</v>
          </cell>
          <cell r="G46" t="str">
            <v>AVEO</v>
          </cell>
          <cell r="H46">
            <v>2026</v>
          </cell>
          <cell r="I46" t="str">
            <v>ACERO</v>
          </cell>
          <cell r="J46" t="str">
            <v>EDOMEX</v>
          </cell>
          <cell r="K46" t="str">
            <v>ASHC</v>
          </cell>
          <cell r="L46" t="str">
            <v>ASHC</v>
          </cell>
          <cell r="M46" t="str">
            <v>OHLM038645586</v>
          </cell>
        </row>
        <row r="47">
          <cell r="D47" t="str">
            <v>SIN ASIGNAR</v>
          </cell>
          <cell r="E47" t="str">
            <v>BYD|2026|VERDE|78F032</v>
          </cell>
          <cell r="F47" t="str">
            <v>78F032</v>
          </cell>
          <cell r="G47" t="str">
            <v>BYD</v>
          </cell>
          <cell r="H47">
            <v>2026</v>
          </cell>
          <cell r="I47" t="str">
            <v>VERDE</v>
          </cell>
          <cell r="J47" t="str">
            <v>CDMX</v>
          </cell>
          <cell r="K47" t="str">
            <v>ASHC</v>
          </cell>
          <cell r="L47" t="str">
            <v>ASHC</v>
          </cell>
          <cell r="M47" t="str">
            <v>OHLM038628194</v>
          </cell>
        </row>
        <row r="48">
          <cell r="D48" t="str">
            <v>EMILIANO SOLANO SALAZAR</v>
          </cell>
          <cell r="E48" t="str">
            <v>AVEOH|2026|ROJO|NEZ101C</v>
          </cell>
          <cell r="F48" t="str">
            <v>NEZ101C</v>
          </cell>
          <cell r="G48" t="str">
            <v>AVEO H</v>
          </cell>
          <cell r="H48">
            <v>2026</v>
          </cell>
          <cell r="I48" t="str">
            <v>ROJO</v>
          </cell>
          <cell r="J48" t="str">
            <v>EDOMEX</v>
          </cell>
          <cell r="K48" t="str">
            <v>ASHC</v>
          </cell>
          <cell r="L48" t="str">
            <v>ASHC</v>
          </cell>
          <cell r="M48" t="str">
            <v>OHLM038645578</v>
          </cell>
        </row>
        <row r="49">
          <cell r="D49" t="str">
            <v>GERMAN LUSARRETA ROMERO</v>
          </cell>
          <cell r="E49" t="str">
            <v>AVEOH|2026|ROJO|NEZ108C</v>
          </cell>
          <cell r="F49" t="str">
            <v>NEZ108C</v>
          </cell>
          <cell r="G49" t="str">
            <v>AVEO H</v>
          </cell>
          <cell r="H49">
            <v>2026</v>
          </cell>
          <cell r="I49" t="str">
            <v>ROJO</v>
          </cell>
          <cell r="J49" t="str">
            <v>EDOMEX</v>
          </cell>
          <cell r="K49" t="str">
            <v>ASHC</v>
          </cell>
          <cell r="L49" t="str">
            <v>ASHC</v>
          </cell>
          <cell r="M49" t="str">
            <v>OHLM038645560</v>
          </cell>
        </row>
        <row r="50">
          <cell r="D50" t="str">
            <v>TOMAS ARIAS ESPINOSA</v>
          </cell>
          <cell r="E50" t="str">
            <v>AVEOH|2026|BLANCO|NJJ925C</v>
          </cell>
          <cell r="F50" t="str">
            <v>NJJ925C</v>
          </cell>
          <cell r="G50" t="str">
            <v>AVEO H</v>
          </cell>
          <cell r="H50">
            <v>2026</v>
          </cell>
          <cell r="I50" t="str">
            <v>BLANCO</v>
          </cell>
          <cell r="J50" t="str">
            <v>EDOMEX</v>
          </cell>
          <cell r="K50" t="str">
            <v>ASHC</v>
          </cell>
          <cell r="L50" t="str">
            <v>ASHC</v>
          </cell>
          <cell r="M50" t="str">
            <v>OHLM038718672</v>
          </cell>
        </row>
        <row r="51">
          <cell r="D51" t="str">
            <v>MARCO ANTONIO FARIAS AVILES</v>
          </cell>
          <cell r="E51" t="str">
            <v>AVEOH|2026|BLANCO|NJG485C</v>
          </cell>
          <cell r="F51" t="str">
            <v>NJG485C</v>
          </cell>
          <cell r="G51" t="str">
            <v>AVEO H</v>
          </cell>
          <cell r="H51">
            <v>2026</v>
          </cell>
          <cell r="I51" t="str">
            <v>BLANCO</v>
          </cell>
          <cell r="J51" t="str">
            <v>EDOMEX</v>
          </cell>
          <cell r="K51" t="str">
            <v>ASHC</v>
          </cell>
          <cell r="L51" t="str">
            <v>ASHC</v>
          </cell>
          <cell r="M51" t="str">
            <v>OHLM038718680</v>
          </cell>
        </row>
        <row r="52">
          <cell r="D52" t="str">
            <v>NESTOR CHRISTIAN JIMENEZ UGALDE</v>
          </cell>
          <cell r="E52" t="str">
            <v>AVEOH|2026|BLANCO|NJG467C</v>
          </cell>
          <cell r="F52" t="str">
            <v>NJG467C</v>
          </cell>
          <cell r="G52" t="str">
            <v>AVEO H</v>
          </cell>
          <cell r="H52">
            <v>2026</v>
          </cell>
          <cell r="I52" t="str">
            <v>BLANCO</v>
          </cell>
          <cell r="J52" t="str">
            <v>EDOMEX</v>
          </cell>
          <cell r="K52" t="str">
            <v>ASHC</v>
          </cell>
          <cell r="L52" t="str">
            <v>ASHC</v>
          </cell>
          <cell r="M52" t="str">
            <v>OHLM038718698</v>
          </cell>
        </row>
        <row r="53">
          <cell r="D53" t="str">
            <v>OSCAR CONTRERAS ZUÑIGA</v>
          </cell>
          <cell r="E53" t="str">
            <v>AVEOH|2026|BLANCO|NJG464C</v>
          </cell>
          <cell r="F53" t="str">
            <v>NJG464C</v>
          </cell>
          <cell r="G53" t="str">
            <v>AVEO H</v>
          </cell>
          <cell r="H53">
            <v>2026</v>
          </cell>
          <cell r="I53" t="str">
            <v>BLANCO</v>
          </cell>
          <cell r="J53" t="str">
            <v>EDOMEX</v>
          </cell>
          <cell r="K53" t="str">
            <v>ASHC</v>
          </cell>
          <cell r="L53" t="str">
            <v>ASHC</v>
          </cell>
          <cell r="M53" t="str">
            <v>OHLM038718706</v>
          </cell>
        </row>
        <row r="54">
          <cell r="D54" t="str">
            <v>DAVID ARTURO GONZALEZ TELLEZ</v>
          </cell>
          <cell r="E54" t="str">
            <v>AVEOH|2026|BLANCO|NJG451C</v>
          </cell>
          <cell r="F54" t="str">
            <v>NJG451C</v>
          </cell>
          <cell r="G54" t="str">
            <v>AVEO H</v>
          </cell>
          <cell r="H54">
            <v>2026</v>
          </cell>
          <cell r="I54" t="str">
            <v>BLANCO</v>
          </cell>
          <cell r="J54" t="str">
            <v>EDOMEX</v>
          </cell>
          <cell r="K54" t="str">
            <v>ASHC</v>
          </cell>
          <cell r="L54" t="str">
            <v>ASHC</v>
          </cell>
          <cell r="M54" t="str">
            <v>OHLM038718714</v>
          </cell>
        </row>
        <row r="55">
          <cell r="D55" t="str">
            <v>ALBERTO ARRIAGA MEJIA</v>
          </cell>
          <cell r="E55" t="str">
            <v>AVEOH|2026|BLANCO|NJG470C</v>
          </cell>
          <cell r="F55" t="str">
            <v>NJG470C</v>
          </cell>
          <cell r="G55" t="str">
            <v>AVEO H</v>
          </cell>
          <cell r="H55">
            <v>2026</v>
          </cell>
          <cell r="I55" t="str">
            <v>BLANCO</v>
          </cell>
          <cell r="J55" t="str">
            <v>EDOMEX</v>
          </cell>
          <cell r="K55" t="str">
            <v>ASHC</v>
          </cell>
          <cell r="L55" t="str">
            <v>ASHC</v>
          </cell>
          <cell r="M55" t="str">
            <v>OHLM038718722</v>
          </cell>
        </row>
        <row r="56">
          <cell r="D56" t="str">
            <v>BRYAN OMAR HERNANDEZ ANTUNEZ</v>
          </cell>
          <cell r="E56" t="str">
            <v>VERSA|2021|AZUL|NMC875C</v>
          </cell>
          <cell r="F56" t="str">
            <v>NMC875C</v>
          </cell>
          <cell r="G56" t="str">
            <v>VERSA</v>
          </cell>
          <cell r="H56">
            <v>2021</v>
          </cell>
          <cell r="I56" t="str">
            <v>AZUL</v>
          </cell>
          <cell r="J56" t="str">
            <v>EDOMEX</v>
          </cell>
          <cell r="K56" t="str">
            <v>ASHC</v>
          </cell>
          <cell r="L56" t="str">
            <v>ASHC</v>
          </cell>
          <cell r="M56" t="str">
            <v>OHLM038708426</v>
          </cell>
        </row>
        <row r="57">
          <cell r="D57" t="str">
            <v>ANA YAEL RAMIREZ VELASCO</v>
          </cell>
          <cell r="E57" t="str">
            <v>KIA|2025|AZUL|NMC863C</v>
          </cell>
          <cell r="F57" t="str">
            <v>NMC863C</v>
          </cell>
          <cell r="G57" t="str">
            <v>KIA</v>
          </cell>
          <cell r="H57">
            <v>2025</v>
          </cell>
          <cell r="I57" t="str">
            <v>AZUL</v>
          </cell>
          <cell r="J57" t="str">
            <v>EDOMEX</v>
          </cell>
          <cell r="K57" t="str">
            <v>ASHC</v>
          </cell>
          <cell r="L57" t="str">
            <v>ASHC</v>
          </cell>
          <cell r="M57" t="str">
            <v>OHLM038729281</v>
          </cell>
        </row>
        <row r="58">
          <cell r="D58" t="str">
            <v>EN TALLER</v>
          </cell>
          <cell r="E58" t="str">
            <v>AVANZA|2024|GRIS|NMC849C</v>
          </cell>
          <cell r="F58" t="str">
            <v>NMC849C</v>
          </cell>
          <cell r="G58" t="str">
            <v>AVANZA</v>
          </cell>
          <cell r="H58">
            <v>2024</v>
          </cell>
          <cell r="I58" t="str">
            <v>GRIS</v>
          </cell>
          <cell r="J58" t="str">
            <v>EDOMEX</v>
          </cell>
          <cell r="K58" t="str">
            <v>ASHC</v>
          </cell>
          <cell r="L58" t="str">
            <v>ASHC</v>
          </cell>
          <cell r="M58"/>
        </row>
        <row r="59">
          <cell r="D59" t="str">
            <v>EN TALLER</v>
          </cell>
          <cell r="E59" t="str">
            <v>AVANZA|2025|BLANCA|NPP846C</v>
          </cell>
          <cell r="F59" t="str">
            <v>NPP846C</v>
          </cell>
          <cell r="G59" t="str">
            <v>AVANZA</v>
          </cell>
          <cell r="H59">
            <v>2025</v>
          </cell>
          <cell r="I59" t="str">
            <v>BLANCA</v>
          </cell>
          <cell r="J59" t="str">
            <v>EDOMEX</v>
          </cell>
          <cell r="K59" t="str">
            <v>ASHC</v>
          </cell>
          <cell r="L59" t="str">
            <v>ASHC</v>
          </cell>
          <cell r="M59"/>
        </row>
        <row r="60">
          <cell r="D60" t="str">
            <v>SAUL DOMINGUEZ VAZQUEZ</v>
          </cell>
          <cell r="E60" t="str">
            <v>AVANZA|2021|BLANCA|NTM512C</v>
          </cell>
          <cell r="F60" t="str">
            <v>NTM512C</v>
          </cell>
          <cell r="G60" t="str">
            <v>AVANZA</v>
          </cell>
          <cell r="H60">
            <v>2021</v>
          </cell>
          <cell r="I60" t="str">
            <v>BLANCA</v>
          </cell>
          <cell r="J60" t="str">
            <v>EDOMEX</v>
          </cell>
          <cell r="K60" t="str">
            <v>ASHC</v>
          </cell>
          <cell r="L60" t="str">
            <v>ASHC</v>
          </cell>
          <cell r="M60"/>
        </row>
        <row r="61">
          <cell r="D61" t="str">
            <v>ADRIAN GUITIERREZ MARTINEZ</v>
          </cell>
          <cell r="E61" t="str">
            <v>VENTO|2020|ROJO|NPU174C</v>
          </cell>
          <cell r="F61" t="str">
            <v>NPU174C</v>
          </cell>
          <cell r="G61" t="str">
            <v>VENTO</v>
          </cell>
          <cell r="H61">
            <v>2020</v>
          </cell>
          <cell r="I61" t="str">
            <v>ROJO</v>
          </cell>
          <cell r="J61" t="str">
            <v>EDOMEX</v>
          </cell>
          <cell r="K61" t="str">
            <v>ASHC</v>
          </cell>
          <cell r="L61" t="str">
            <v>ASHC</v>
          </cell>
          <cell r="M61"/>
        </row>
        <row r="62">
          <cell r="D62" t="str">
            <v>EN TALLER</v>
          </cell>
          <cell r="E62" t="str">
            <v>KIA RIO|2020|GRIS|NTM525C</v>
          </cell>
          <cell r="F62" t="str">
            <v>NTM525C</v>
          </cell>
          <cell r="G62" t="str">
            <v>KIA RIO</v>
          </cell>
          <cell r="H62">
            <v>2020</v>
          </cell>
          <cell r="I62" t="str">
            <v>GRIS</v>
          </cell>
          <cell r="J62" t="str">
            <v>EDOMEX</v>
          </cell>
          <cell r="K62" t="str">
            <v>BYER</v>
          </cell>
          <cell r="L62" t="str">
            <v>BYER</v>
          </cell>
          <cell r="M62"/>
        </row>
        <row r="63">
          <cell r="D63" t="str">
            <v>PRESTADO</v>
          </cell>
          <cell r="E63" t="str">
            <v>AVEO|2026|BLANCO|NTR508C</v>
          </cell>
          <cell r="F63" t="str">
            <v>NTR508C</v>
          </cell>
          <cell r="G63" t="str">
            <v xml:space="preserve">AVEO </v>
          </cell>
          <cell r="H63">
            <v>2026</v>
          </cell>
          <cell r="I63" t="str">
            <v>BLANCO</v>
          </cell>
          <cell r="J63" t="str">
            <v>EDOMEX</v>
          </cell>
          <cell r="K63" t="str">
            <v>ASHC</v>
          </cell>
          <cell r="L63" t="str">
            <v>ASHC</v>
          </cell>
          <cell r="M63"/>
        </row>
        <row r="64">
          <cell r="D64" t="str">
            <v>PENDIENTE PLACAS</v>
          </cell>
          <cell r="E64" t="str">
            <v>VERSA|2024|AZUL|</v>
          </cell>
          <cell r="F64" t="str">
            <v>SP</v>
          </cell>
          <cell r="G64" t="str">
            <v>VERSA</v>
          </cell>
          <cell r="H64">
            <v>2024</v>
          </cell>
          <cell r="I64" t="str">
            <v>AZUL</v>
          </cell>
          <cell r="J64" t="str">
            <v>EDOMEX</v>
          </cell>
          <cell r="K64" t="str">
            <v>ASHC</v>
          </cell>
          <cell r="L64" t="str">
            <v>ASHC</v>
          </cell>
          <cell r="M64"/>
        </row>
        <row r="65">
          <cell r="D65" t="str">
            <v>AZCONA</v>
          </cell>
          <cell r="E65" t="str">
            <v>VERSA|2021|BLANCO</v>
          </cell>
          <cell r="F65" t="str">
            <v>SP</v>
          </cell>
          <cell r="G65" t="str">
            <v>VERSA</v>
          </cell>
          <cell r="H65">
            <v>2021</v>
          </cell>
          <cell r="I65" t="str">
            <v>AZUL</v>
          </cell>
          <cell r="J65" t="str">
            <v>EDOMEX</v>
          </cell>
          <cell r="K65" t="str">
            <v>ASHC</v>
          </cell>
          <cell r="L65" t="str">
            <v>ASHC</v>
          </cell>
          <cell r="M65"/>
        </row>
        <row r="66">
          <cell r="D66" t="str">
            <v>SIN ASIGNAR</v>
          </cell>
          <cell r="E66" t="str">
            <v>BMW|2025|NEGRA|40K216</v>
          </cell>
          <cell r="F66" t="str">
            <v>40K216</v>
          </cell>
          <cell r="G66" t="str">
            <v>BMW</v>
          </cell>
          <cell r="H66">
            <v>2025</v>
          </cell>
          <cell r="I66" t="str">
            <v>NEGRA</v>
          </cell>
          <cell r="J66" t="str">
            <v>EDOMEX</v>
          </cell>
          <cell r="K66" t="str">
            <v>ASHC</v>
          </cell>
          <cell r="L66" t="str">
            <v>ASHC</v>
          </cell>
          <cell r="M66"/>
        </row>
        <row r="67">
          <cell r="D67" t="str">
            <v>SIN ASIGNAR</v>
          </cell>
          <cell r="E67" t="str">
            <v>BMW|2024|GRIS|NMC859C</v>
          </cell>
          <cell r="F67" t="str">
            <v>NMC859C</v>
          </cell>
          <cell r="G67" t="str">
            <v>BMW</v>
          </cell>
          <cell r="H67">
            <v>2024</v>
          </cell>
          <cell r="I67" t="str">
            <v>GRIS</v>
          </cell>
          <cell r="J67" t="str">
            <v>EDOMEX</v>
          </cell>
          <cell r="K67" t="str">
            <v>ASHC</v>
          </cell>
          <cell r="L67"/>
          <cell r="M67"/>
        </row>
        <row r="68">
          <cell r="D68"/>
        </row>
        <row r="69">
          <cell r="D69"/>
        </row>
        <row r="70">
          <cell r="D70"/>
        </row>
        <row r="71">
          <cell r="D71"/>
        </row>
        <row r="74">
          <cell r="D74"/>
          <cell r="E74"/>
        </row>
        <row r="75">
          <cell r="D75"/>
          <cell r="E75"/>
        </row>
        <row r="76">
          <cell r="D76"/>
          <cell r="E76"/>
        </row>
        <row r="77">
          <cell r="D77"/>
          <cell r="E77"/>
        </row>
        <row r="78">
          <cell r="D78"/>
          <cell r="E78"/>
        </row>
        <row r="79">
          <cell r="D79"/>
          <cell r="E79"/>
        </row>
        <row r="80">
          <cell r="D80"/>
          <cell r="E80"/>
        </row>
        <row r="81">
          <cell r="E81"/>
        </row>
        <row r="82">
          <cell r="E82"/>
        </row>
        <row r="83">
          <cell r="E83"/>
        </row>
        <row r="84">
          <cell r="E84"/>
        </row>
        <row r="85">
          <cell r="E85"/>
        </row>
        <row r="86">
          <cell r="E86"/>
        </row>
        <row r="87">
          <cell r="E87"/>
        </row>
        <row r="88">
          <cell r="E88"/>
        </row>
        <row r="89">
          <cell r="E89"/>
        </row>
        <row r="90">
          <cell r="E90"/>
        </row>
        <row r="91">
          <cell r="E91"/>
        </row>
        <row r="92">
          <cell r="E92"/>
        </row>
      </sheetData>
      <sheetData sheetId="5"/>
      <sheetData sheetId="6">
        <row r="4">
          <cell r="A4" t="str">
            <v>DAVID ARTURO GONZALEZ TELLEZ</v>
          </cell>
          <cell r="B4" t="str">
            <v>KIA RIO|2020|GRIS|NCK475B</v>
          </cell>
          <cell r="C4">
            <v>17</v>
          </cell>
          <cell r="D4" t="str">
            <v>SINIESTRO LADO DERECHO</v>
          </cell>
          <cell r="E4">
            <v>16838</v>
          </cell>
          <cell r="F4"/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-1000</v>
          </cell>
          <cell r="AY4">
            <v>-700</v>
          </cell>
          <cell r="AZ4">
            <v>-700</v>
          </cell>
          <cell r="BA4">
            <v>-500</v>
          </cell>
          <cell r="BB4">
            <v>-700</v>
          </cell>
          <cell r="BC4">
            <v>-500</v>
          </cell>
          <cell r="BD4">
            <v>-700</v>
          </cell>
          <cell r="BE4">
            <v>-500</v>
          </cell>
          <cell r="BF4">
            <v>-700</v>
          </cell>
          <cell r="BG4">
            <v>-500</v>
          </cell>
          <cell r="BH4">
            <v>-6500</v>
          </cell>
          <cell r="BI4">
            <v>10</v>
          </cell>
          <cell r="BJ4"/>
          <cell r="BK4">
            <v>-700</v>
          </cell>
          <cell r="BL4">
            <v>-500</v>
          </cell>
          <cell r="BM4">
            <v>-700</v>
          </cell>
          <cell r="BN4">
            <v>-500</v>
          </cell>
          <cell r="BO4">
            <v>-700</v>
          </cell>
          <cell r="BP4">
            <v>-500</v>
          </cell>
          <cell r="BQ4">
            <v>-700</v>
          </cell>
          <cell r="BR4">
            <v>-500</v>
          </cell>
        </row>
        <row r="5">
          <cell r="A5" t="str">
            <v>RICARDO HERNANDEZ ARIAS</v>
          </cell>
          <cell r="B5" t="str">
            <v>VENTO|2019|BLANCO|LUE965C</v>
          </cell>
          <cell r="C5">
            <v>13</v>
          </cell>
          <cell r="D5" t="str">
            <v>SINIESTRO LADO DERECHO</v>
          </cell>
          <cell r="E5">
            <v>15765</v>
          </cell>
          <cell r="F5"/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-1000</v>
          </cell>
          <cell r="AY5">
            <v>-700</v>
          </cell>
          <cell r="AZ5">
            <v>0</v>
          </cell>
          <cell r="BA5">
            <v>-700</v>
          </cell>
          <cell r="BB5">
            <v>-700</v>
          </cell>
          <cell r="BC5">
            <v>-700</v>
          </cell>
          <cell r="BD5">
            <v>-700</v>
          </cell>
          <cell r="BE5">
            <v>-700</v>
          </cell>
          <cell r="BF5">
            <v>-700</v>
          </cell>
          <cell r="BG5">
            <v>-700</v>
          </cell>
          <cell r="BH5">
            <v>-6600</v>
          </cell>
          <cell r="BI5">
            <v>9</v>
          </cell>
          <cell r="BJ5"/>
          <cell r="BK5">
            <v>-700</v>
          </cell>
          <cell r="BL5">
            <v>-700</v>
          </cell>
          <cell r="BM5">
            <v>-700</v>
          </cell>
          <cell r="BN5">
            <v>-700</v>
          </cell>
          <cell r="BO5">
            <v>-700</v>
          </cell>
          <cell r="BP5">
            <v>-700</v>
          </cell>
          <cell r="BQ5">
            <v>-700</v>
          </cell>
          <cell r="BR5">
            <v>-700</v>
          </cell>
        </row>
        <row r="6">
          <cell r="A6" t="str">
            <v>JONATHAN BERNAL RODRIGUEZ</v>
          </cell>
          <cell r="B6" t="str">
            <v>KIA RIO|2017|ROJO|MYE912A</v>
          </cell>
          <cell r="C6">
            <v>10</v>
          </cell>
          <cell r="D6" t="str">
            <v>TERMINAL, HORQUILLA, BASE DE AMORTIG, AMORTIG, ALINEAC Y 2 PZAS HOJALATERIA</v>
          </cell>
          <cell r="E6">
            <v>7970.8600000000006</v>
          </cell>
          <cell r="F6"/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-700</v>
          </cell>
          <cell r="BG6">
            <v>-700</v>
          </cell>
          <cell r="BH6">
            <v>-1400</v>
          </cell>
          <cell r="BI6">
            <v>2</v>
          </cell>
          <cell r="BJ6"/>
          <cell r="BK6">
            <v>0</v>
          </cell>
          <cell r="BL6">
            <v>-700</v>
          </cell>
          <cell r="BM6">
            <v>-700</v>
          </cell>
          <cell r="BN6">
            <v>-700</v>
          </cell>
          <cell r="BO6">
            <v>-700</v>
          </cell>
          <cell r="BP6">
            <v>0</v>
          </cell>
          <cell r="BQ6">
            <v>0</v>
          </cell>
          <cell r="BR6">
            <v>0</v>
          </cell>
        </row>
        <row r="7">
          <cell r="A7" t="str">
            <v>VICTOR HUGO RUIZ CASTILLO</v>
          </cell>
          <cell r="B7" t="str">
            <v>KIA RIO|2020|AZUL|LUE960C</v>
          </cell>
          <cell r="C7"/>
          <cell r="D7"/>
          <cell r="E7">
            <v>1500</v>
          </cell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R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>
            <v>0</v>
          </cell>
          <cell r="BI7">
            <v>0</v>
          </cell>
          <cell r="BJ7"/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</row>
        <row r="8">
          <cell r="A8" t="str">
            <v>DAVID ROMERO JAIME</v>
          </cell>
          <cell r="B8" t="str">
            <v>BEAT|2020|GRIS|NFN014B</v>
          </cell>
          <cell r="C8"/>
          <cell r="D8" t="str">
            <v>CAJUELA Y DEFENSA</v>
          </cell>
          <cell r="E8">
            <v>10685</v>
          </cell>
          <cell r="F8" t="str">
            <v xml:space="preserve"> </v>
          </cell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>
            <v>0</v>
          </cell>
          <cell r="BI8">
            <v>0</v>
          </cell>
          <cell r="BJ8"/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-700</v>
          </cell>
          <cell r="BP8">
            <v>-700</v>
          </cell>
          <cell r="BQ8">
            <v>-700</v>
          </cell>
          <cell r="BR8">
            <v>-700</v>
          </cell>
        </row>
        <row r="9">
          <cell r="A9" t="str">
            <v>SAUL DOMINGUEZ VAZQUEZ</v>
          </cell>
          <cell r="B9" t="str">
            <v>VERSA|2020|BLANCO|A35BHD</v>
          </cell>
          <cell r="C9"/>
          <cell r="D9" t="str">
            <v>DEFENSA +CAJUELA</v>
          </cell>
          <cell r="E9">
            <v>3500</v>
          </cell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>
            <v>0</v>
          </cell>
          <cell r="BI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-700</v>
          </cell>
          <cell r="BP9">
            <v>0</v>
          </cell>
          <cell r="BQ9">
            <v>-700</v>
          </cell>
          <cell r="BR9">
            <v>-700</v>
          </cell>
        </row>
        <row r="10">
          <cell r="A10" t="str">
            <v>YOSHUA JARETH VALDEZ HERNANDEZ</v>
          </cell>
          <cell r="B10" t="str">
            <v>VENTO|2018|AMARILLO|NJJ912C</v>
          </cell>
          <cell r="C10"/>
          <cell r="D10" t="str">
            <v>DIVERSOS ARREGLOS</v>
          </cell>
          <cell r="E10">
            <v>24653.72</v>
          </cell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>
            <v>0</v>
          </cell>
          <cell r="BI10">
            <v>0</v>
          </cell>
          <cell r="BK10">
            <v>-2100</v>
          </cell>
          <cell r="BL10">
            <v>-3400</v>
          </cell>
          <cell r="BM10">
            <v>0</v>
          </cell>
          <cell r="BN10">
            <v>0</v>
          </cell>
          <cell r="BO10">
            <v>-2500</v>
          </cell>
          <cell r="BP10">
            <v>-2500</v>
          </cell>
          <cell r="BQ10">
            <v>-2500</v>
          </cell>
          <cell r="BR10">
            <v>-2500</v>
          </cell>
        </row>
        <row r="11">
          <cell r="A11" t="str">
            <v>XAVIER ALAN LARA JIMENEZ</v>
          </cell>
          <cell r="B11" t="str">
            <v>AVEO|2025|PERSUASION|MZN057C</v>
          </cell>
          <cell r="C11"/>
          <cell r="D11" t="str">
            <v>CAMARA NICO</v>
          </cell>
          <cell r="E11">
            <v>2500</v>
          </cell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>
            <v>0</v>
          </cell>
          <cell r="BI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-500</v>
          </cell>
          <cell r="BR11">
            <v>-500</v>
          </cell>
        </row>
        <row r="12">
          <cell r="A12" t="str">
            <v>SERGIO BALDERAS BAEZ</v>
          </cell>
          <cell r="B12" t="str">
            <v>AVEO|2022|AZUL|NZY685B</v>
          </cell>
          <cell r="C12"/>
          <cell r="D12" t="str">
            <v>VARIOS VER ANEXO</v>
          </cell>
          <cell r="E12">
            <v>6707</v>
          </cell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>
            <v>0</v>
          </cell>
          <cell r="BI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-2000</v>
          </cell>
          <cell r="BR12">
            <v>0</v>
          </cell>
        </row>
        <row r="13">
          <cell r="A13" t="str">
            <v>RAFAEL HUERTA MONDRAGON</v>
          </cell>
          <cell r="B13" t="str">
            <v>AVEO|2022|VINO|P62BHW</v>
          </cell>
          <cell r="C13"/>
          <cell r="D13" t="str">
            <v>2 GOLPES VER ANEXO</v>
          </cell>
          <cell r="E13">
            <v>8700</v>
          </cell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>
            <v>0</v>
          </cell>
          <cell r="BI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</row>
        <row r="14">
          <cell r="A14" t="str">
            <v>YANIZ MANUEL SILVA PUPO</v>
          </cell>
          <cell r="B14" t="str">
            <v>VENTO|2020|GRIS|NES586C</v>
          </cell>
          <cell r="C14"/>
          <cell r="D14" t="str">
            <v>DEFENSA</v>
          </cell>
          <cell r="E14">
            <v>2000</v>
          </cell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</row>
        <row r="15">
          <cell r="A15" t="str">
            <v>DIEGO ISAID PULIDO</v>
          </cell>
          <cell r="C15"/>
          <cell r="D15" t="str">
            <v>ESPEJO</v>
          </cell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  <cell r="BK15"/>
          <cell r="BL15"/>
          <cell r="BM15"/>
          <cell r="BN15"/>
          <cell r="BO15"/>
        </row>
        <row r="16">
          <cell r="A16" t="str">
            <v>FERNANDO FUENTES OTERO</v>
          </cell>
          <cell r="B16" t="str">
            <v>KIA RIO|2020|ROJO|MFP751C</v>
          </cell>
          <cell r="C16">
            <v>5</v>
          </cell>
          <cell r="D16" t="str">
            <v>DOS GOLPES+</v>
          </cell>
          <cell r="E16">
            <v>0</v>
          </cell>
          <cell r="F16"/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3000</v>
          </cell>
          <cell r="BF16">
            <v>0</v>
          </cell>
          <cell r="BG16">
            <v>0</v>
          </cell>
          <cell r="BH16">
            <v>3000</v>
          </cell>
          <cell r="BI16">
            <v>0</v>
          </cell>
          <cell r="BJ16"/>
          <cell r="BK16">
            <v>0</v>
          </cell>
          <cell r="BL16">
            <v>-500</v>
          </cell>
          <cell r="BM16">
            <v>-500</v>
          </cell>
          <cell r="BN16">
            <v>-500</v>
          </cell>
          <cell r="BO16">
            <v>-500</v>
          </cell>
        </row>
        <row r="17">
          <cell r="A17" t="str">
            <v>CAMILO IESUA MEJIA DIAZ</v>
          </cell>
          <cell r="B17" t="str">
            <v>KIA RIO|2020|GRIS|NCK475B</v>
          </cell>
          <cell r="C17"/>
          <cell r="D17" t="str">
            <v>VARIOS VER ANEXO</v>
          </cell>
          <cell r="E17">
            <v>7450</v>
          </cell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>
            <v>0</v>
          </cell>
          <cell r="BI17">
            <v>0</v>
          </cell>
          <cell r="BJ17"/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A18" t="str">
            <v>FRANCISCO ISLAS CHAVEZ</v>
          </cell>
          <cell r="B18" t="str">
            <v>AVEO|2024|GRIS|LRL009C</v>
          </cell>
          <cell r="C18"/>
          <cell r="D18" t="str">
            <v xml:space="preserve">FASCIA DELANTERA </v>
          </cell>
          <cell r="E18">
            <v>10500</v>
          </cell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>
            <v>0</v>
          </cell>
          <cell r="BI18">
            <v>0</v>
          </cell>
          <cell r="BJ18"/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-700</v>
          </cell>
        </row>
        <row r="19">
          <cell r="A19" t="str">
            <v>ADOLFO ANGEL ESTRADA RODRIGUEZ</v>
          </cell>
          <cell r="B19" t="str">
            <v>AVEO|2024|GRIS|LRL009C</v>
          </cell>
          <cell r="C19"/>
          <cell r="D19"/>
          <cell r="E19">
            <v>4900</v>
          </cell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A20" t="str">
            <v>RAUL FRANCISCO VAZQUEZ CORTE</v>
          </cell>
          <cell r="B20" t="str">
            <v>VENTO|2017|GRIS|MMA672C</v>
          </cell>
          <cell r="C20">
            <v>7</v>
          </cell>
          <cell r="D20" t="str">
            <v>FASCIA TRASERA + CALABERA+ESPEJO+RETROVISOR</v>
          </cell>
          <cell r="E20">
            <v>3500</v>
          </cell>
          <cell r="F20"/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/>
          <cell r="BK20">
            <v>0</v>
          </cell>
          <cell r="BL20">
            <v>-500</v>
          </cell>
          <cell r="BM20">
            <v>-500</v>
          </cell>
          <cell r="BN20">
            <v>-500</v>
          </cell>
          <cell r="BO20">
            <v>-500</v>
          </cell>
        </row>
        <row r="21">
          <cell r="A21" t="str">
            <v>RUBI ROBLES SALMERON</v>
          </cell>
          <cell r="B21" t="str">
            <v>BEAT|2020|GRIS|NFN014B</v>
          </cell>
          <cell r="C21" t="str">
            <v>PND</v>
          </cell>
          <cell r="D21" t="str">
            <v>GOLPE DE 2 PUERTAS</v>
          </cell>
          <cell r="E21">
            <v>3000</v>
          </cell>
          <cell r="F21"/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/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A22" t="str">
            <v>ALFONSO GONZALEZ MORALES</v>
          </cell>
          <cell r="B22" t="str">
            <v>AVEO|2020|AZUL|D28BET</v>
          </cell>
          <cell r="C22" t="str">
            <v>?</v>
          </cell>
          <cell r="D22" t="str">
            <v>DEPOSITO ANTIC</v>
          </cell>
          <cell r="E22">
            <v>1170</v>
          </cell>
          <cell r="F22"/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/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A23" t="str">
            <v>BRYAN OMAR HERNANDEZ ANTUNEZ</v>
          </cell>
          <cell r="B23" t="str">
            <v>BEAT|2019|OCRE|MAY730C</v>
          </cell>
          <cell r="C23"/>
          <cell r="D23" t="str">
            <v>LLANTA</v>
          </cell>
          <cell r="E23">
            <v>1000</v>
          </cell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>
            <v>0</v>
          </cell>
          <cell r="BI23">
            <v>0</v>
          </cell>
          <cell r="BJ23"/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A24" t="str">
            <v>SALVADOR REGALADO CORDOVA</v>
          </cell>
          <cell r="B24" t="str">
            <v>AVEO|2022|AZUL|NZY685B</v>
          </cell>
          <cell r="C24"/>
          <cell r="D24" t="str">
            <v>PARABRISAS</v>
          </cell>
          <cell r="E24">
            <v>440</v>
          </cell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>
            <v>0</v>
          </cell>
          <cell r="BI24">
            <v>0</v>
          </cell>
          <cell r="BJ24"/>
          <cell r="BK24"/>
          <cell r="BL24"/>
          <cell r="BM24"/>
          <cell r="BN24"/>
          <cell r="BO24"/>
        </row>
        <row r="25">
          <cell r="A25" t="str">
            <v>ADALBERTO BELLO NAVARRO</v>
          </cell>
          <cell r="B25" t="str">
            <v>AVEO|2025|PERSUASION|MXM510C</v>
          </cell>
          <cell r="C25"/>
          <cell r="D25" t="str">
            <v>2 GOLPES ABAJO Y TAPETES</v>
          </cell>
          <cell r="E25">
            <v>4900</v>
          </cell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>
            <v>0</v>
          </cell>
          <cell r="BI25">
            <v>0</v>
          </cell>
          <cell r="BJ25"/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A26" t="str">
            <v>JOSE LUIS HERNANDEZ MEDINA</v>
          </cell>
          <cell r="B26" t="str">
            <v>AVEO|2018|GRIS|X59AWG</v>
          </cell>
          <cell r="C26">
            <v>4</v>
          </cell>
          <cell r="D26" t="str">
            <v>RASPON DE 7 PIEZAS</v>
          </cell>
          <cell r="E26">
            <v>10500</v>
          </cell>
          <cell r="F26"/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-700</v>
          </cell>
          <cell r="AX26">
            <v>-700</v>
          </cell>
          <cell r="AY26">
            <v>-700</v>
          </cell>
          <cell r="AZ26">
            <v>-700</v>
          </cell>
          <cell r="BA26">
            <v>-700</v>
          </cell>
          <cell r="BB26">
            <v>-700</v>
          </cell>
          <cell r="BC26">
            <v>-700</v>
          </cell>
          <cell r="BD26">
            <v>-700</v>
          </cell>
          <cell r="BE26">
            <v>-700</v>
          </cell>
          <cell r="BF26">
            <v>-700</v>
          </cell>
          <cell r="BG26">
            <v>-700</v>
          </cell>
          <cell r="BH26">
            <v>-7700</v>
          </cell>
          <cell r="BI26">
            <v>11</v>
          </cell>
          <cell r="BJ26"/>
          <cell r="BK26">
            <v>-700</v>
          </cell>
          <cell r="BL26">
            <v>-950</v>
          </cell>
          <cell r="BM26">
            <v>-700</v>
          </cell>
          <cell r="BN26">
            <v>-700</v>
          </cell>
          <cell r="BO26">
            <v>250</v>
          </cell>
        </row>
        <row r="27">
          <cell r="A27" t="str">
            <v>ARMANDO MARTINEZ VELAZQUEZ</v>
          </cell>
          <cell r="B27" t="str">
            <v>HYUNDAI|2022|PLATA|D40BKD</v>
          </cell>
          <cell r="C27">
            <v>4</v>
          </cell>
          <cell r="D27" t="str">
            <v>2 GOLPES</v>
          </cell>
          <cell r="E27">
            <v>3000</v>
          </cell>
          <cell r="F27"/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-600</v>
          </cell>
          <cell r="BH27">
            <v>-600</v>
          </cell>
          <cell r="BI27">
            <v>1</v>
          </cell>
          <cell r="BJ27"/>
          <cell r="BK27">
            <v>-600</v>
          </cell>
          <cell r="BL27">
            <v>0</v>
          </cell>
          <cell r="BM27">
            <v>-600</v>
          </cell>
          <cell r="BN27">
            <v>-600</v>
          </cell>
          <cell r="BO27">
            <v>-600</v>
          </cell>
        </row>
        <row r="28">
          <cell r="A28" t="str">
            <v>ALFONSO GONZALEZ MORALES</v>
          </cell>
          <cell r="B28" t="str">
            <v>AVEO|2020|AZUL|D28BET</v>
          </cell>
          <cell r="C28">
            <v>14</v>
          </cell>
          <cell r="D28" t="str">
            <v>FASCIA DELANTERA, TRASERA Y CALAVERA</v>
          </cell>
          <cell r="E28">
            <v>4900</v>
          </cell>
          <cell r="F28"/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-700</v>
          </cell>
          <cell r="BD28">
            <v>-700</v>
          </cell>
          <cell r="BE28">
            <v>-700</v>
          </cell>
          <cell r="BF28">
            <v>-700</v>
          </cell>
          <cell r="BG28">
            <v>-700</v>
          </cell>
          <cell r="BH28">
            <v>-3500</v>
          </cell>
          <cell r="BI28">
            <v>5</v>
          </cell>
          <cell r="BJ28"/>
          <cell r="BK28">
            <v>-700</v>
          </cell>
          <cell r="BL28">
            <v>-700</v>
          </cell>
          <cell r="BM28">
            <v>0</v>
          </cell>
          <cell r="BN28">
            <v>0</v>
          </cell>
          <cell r="BO28">
            <v>0</v>
          </cell>
        </row>
        <row r="29">
          <cell r="A29" t="str">
            <v>RUBI ROBLES SALMERON</v>
          </cell>
          <cell r="B29" t="str">
            <v>VERSA|2021|BLANCO|MEE228C</v>
          </cell>
          <cell r="C29">
            <v>6</v>
          </cell>
          <cell r="D29" t="str">
            <v>GOLPE DE 2 PUERTAS Y DOS SALPICADERAS</v>
          </cell>
          <cell r="E29">
            <v>4500</v>
          </cell>
          <cell r="F29"/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-500</v>
          </cell>
          <cell r="BC29">
            <v>-500</v>
          </cell>
          <cell r="BD29">
            <v>-500</v>
          </cell>
          <cell r="BE29">
            <v>-500</v>
          </cell>
          <cell r="BF29">
            <v>-500</v>
          </cell>
          <cell r="BG29">
            <v>-500</v>
          </cell>
          <cell r="BH29">
            <v>-3000</v>
          </cell>
          <cell r="BI29">
            <v>6</v>
          </cell>
          <cell r="BJ29"/>
          <cell r="BK29">
            <v>-500</v>
          </cell>
          <cell r="BL29">
            <v>-500</v>
          </cell>
          <cell r="BM29">
            <v>-500</v>
          </cell>
          <cell r="BN29">
            <v>0</v>
          </cell>
          <cell r="BO29">
            <v>0</v>
          </cell>
        </row>
        <row r="30">
          <cell r="A30" t="str">
            <v>ALFONSO GONZALEZ MORALES</v>
          </cell>
          <cell r="B30" t="str">
            <v>SWIFT|2017|ROJO|X89ALV</v>
          </cell>
          <cell r="C30">
            <v>2</v>
          </cell>
          <cell r="D30" t="str">
            <v>FASCIA DELANTERA, TRASERA Y CALABERA</v>
          </cell>
          <cell r="E30">
            <v>4900</v>
          </cell>
          <cell r="F30"/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-500</v>
          </cell>
          <cell r="AJ30">
            <v>-500</v>
          </cell>
          <cell r="AK30">
            <v>-500</v>
          </cell>
          <cell r="AL30">
            <v>-500</v>
          </cell>
          <cell r="AM30">
            <v>-500</v>
          </cell>
          <cell r="AN30">
            <v>-500</v>
          </cell>
          <cell r="AO30">
            <v>-500</v>
          </cell>
          <cell r="AP30">
            <v>-500</v>
          </cell>
          <cell r="AQ30">
            <v>-500</v>
          </cell>
          <cell r="AR30">
            <v>-400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-4900</v>
          </cell>
          <cell r="BI30">
            <v>10</v>
          </cell>
          <cell r="BJ30"/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A31" t="str">
            <v>ADOLFO LOPEZ MARTINEZ</v>
          </cell>
          <cell r="B31" t="str">
            <v>AVEO|2022|AZUL|NZY685B</v>
          </cell>
          <cell r="C31">
            <v>10</v>
          </cell>
          <cell r="D31"/>
          <cell r="E31">
            <v>5000</v>
          </cell>
          <cell r="F31"/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-500</v>
          </cell>
          <cell r="AJ31">
            <v>-500</v>
          </cell>
          <cell r="AK31">
            <v>-500</v>
          </cell>
          <cell r="AL31">
            <v>-500</v>
          </cell>
          <cell r="AM31">
            <v>-500</v>
          </cell>
          <cell r="AN31">
            <v>-500</v>
          </cell>
          <cell r="AO31">
            <v>-500</v>
          </cell>
          <cell r="AP31">
            <v>-500</v>
          </cell>
          <cell r="AQ31">
            <v>-500</v>
          </cell>
          <cell r="AR31">
            <v>-500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-5000</v>
          </cell>
          <cell r="BI31">
            <v>10</v>
          </cell>
          <cell r="BJ31"/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A32" t="str">
            <v>RAUL FRANCISCO VAZQUEZ CORTE</v>
          </cell>
          <cell r="B32" t="str">
            <v>VERSA|2023|PLATA|NCT814A</v>
          </cell>
          <cell r="C32">
            <v>1</v>
          </cell>
          <cell r="D32" t="str">
            <v>DEFENSA TRASERA + DETALLES</v>
          </cell>
          <cell r="E32">
            <v>5000</v>
          </cell>
          <cell r="F32"/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-500</v>
          </cell>
          <cell r="AZ32">
            <v>-500</v>
          </cell>
          <cell r="BA32">
            <v>-500</v>
          </cell>
          <cell r="BB32">
            <v>-500</v>
          </cell>
          <cell r="BC32">
            <v>-500</v>
          </cell>
          <cell r="BD32">
            <v>-500</v>
          </cell>
          <cell r="BE32">
            <v>-500</v>
          </cell>
          <cell r="BF32">
            <v>-500</v>
          </cell>
          <cell r="BG32">
            <v>-500</v>
          </cell>
          <cell r="BH32">
            <v>-4500</v>
          </cell>
          <cell r="BI32">
            <v>9</v>
          </cell>
          <cell r="BJ32"/>
          <cell r="BK32">
            <v>-500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A33" t="str">
            <v>JUAN FERNANDO GUTIERREZ FELIX</v>
          </cell>
          <cell r="B33" t="str">
            <v>AVEO|2018|ROJO|R51BKD</v>
          </cell>
          <cell r="C33">
            <v>9</v>
          </cell>
          <cell r="D33"/>
          <cell r="E33">
            <v>4500</v>
          </cell>
          <cell r="F33"/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-600</v>
          </cell>
          <cell r="BH33">
            <v>-600</v>
          </cell>
          <cell r="BI33">
            <v>1</v>
          </cell>
          <cell r="BJ33"/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A34" t="str">
            <v>JOSE GUADALUPE GARCIA MORALES</v>
          </cell>
          <cell r="B34" t="str">
            <v>MARCH|2020|TURQ|N15BKD</v>
          </cell>
          <cell r="C34">
            <v>10</v>
          </cell>
          <cell r="D34"/>
          <cell r="E34">
            <v>5250</v>
          </cell>
          <cell r="F34"/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-660</v>
          </cell>
          <cell r="AH34">
            <v>-660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-1320</v>
          </cell>
          <cell r="BI34">
            <v>2</v>
          </cell>
          <cell r="BJ34"/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A35" t="str">
            <v>JOSE JUAN HERNANDEZ MEJIA</v>
          </cell>
          <cell r="B35" t="str">
            <v>VERSA|2017|ACERO|X24APU</v>
          </cell>
          <cell r="C35">
            <v>4</v>
          </cell>
          <cell r="D35"/>
          <cell r="E35">
            <v>2000</v>
          </cell>
          <cell r="F35"/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-500</v>
          </cell>
          <cell r="AK35">
            <v>-500</v>
          </cell>
          <cell r="AL35">
            <v>-500</v>
          </cell>
          <cell r="AM35">
            <v>-500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-2000</v>
          </cell>
          <cell r="BI35">
            <v>4</v>
          </cell>
          <cell r="BJ35"/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A36" t="str">
            <v>JAIME VALENCIA</v>
          </cell>
          <cell r="B36" t="str">
            <v>VENTO|2018|AMARILLO|PED1652</v>
          </cell>
          <cell r="C36">
            <v>3</v>
          </cell>
          <cell r="D36"/>
          <cell r="E36">
            <v>1500</v>
          </cell>
          <cell r="F36"/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-428</v>
          </cell>
          <cell r="AQ36">
            <v>-572</v>
          </cell>
          <cell r="AR36">
            <v>-500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-1500</v>
          </cell>
          <cell r="BI36">
            <v>3</v>
          </cell>
          <cell r="BJ36"/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A37" t="str">
            <v>OSCAR BLANCAS NORIEGA</v>
          </cell>
          <cell r="B37" t="str">
            <v>VENTO|2017|GRIS|MMA672C</v>
          </cell>
          <cell r="C37">
            <v>3</v>
          </cell>
          <cell r="D37"/>
          <cell r="E37">
            <v>1500</v>
          </cell>
          <cell r="F37"/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/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A38" t="str">
            <v>LUIS JOARI RODRIGUEZ ZUÑIGA</v>
          </cell>
          <cell r="B38" t="str">
            <v>BEAT|2019|OCRE|MAY730C</v>
          </cell>
          <cell r="C38"/>
          <cell r="D38" t="str">
            <v>GOLPE DE FASIA</v>
          </cell>
          <cell r="E38">
            <v>1500</v>
          </cell>
          <cell r="F38"/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-1500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-1500</v>
          </cell>
          <cell r="BI38">
            <v>1</v>
          </cell>
          <cell r="BJ38"/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A39" t="str">
            <v>DAVID ARTURO GONZALEZ TELLEZ</v>
          </cell>
          <cell r="B39" t="str">
            <v>MARCH|2021|ROJO|NZU5163</v>
          </cell>
          <cell r="C39">
            <v>4</v>
          </cell>
          <cell r="D39"/>
          <cell r="E39">
            <v>1500</v>
          </cell>
          <cell r="F39"/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-500</v>
          </cell>
          <cell r="AV39">
            <v>-500</v>
          </cell>
          <cell r="AW39">
            <v>-500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-1500</v>
          </cell>
          <cell r="BI39">
            <v>3</v>
          </cell>
          <cell r="BJ39"/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A40" t="str">
            <v>JOSE GUILLERMO HERNANDEZ RAMIREZ</v>
          </cell>
          <cell r="B40" t="str">
            <v>AVEO|2022|AZUL|MUF515A</v>
          </cell>
          <cell r="C40"/>
          <cell r="D40" t="str">
            <v>GOLPE DE 3 PUERTAS</v>
          </cell>
          <cell r="E40">
            <v>4500</v>
          </cell>
          <cell r="F40"/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-700</v>
          </cell>
          <cell r="AZ40">
            <v>0</v>
          </cell>
          <cell r="BA40">
            <v>-500</v>
          </cell>
          <cell r="BB40">
            <v>-700</v>
          </cell>
          <cell r="BC40">
            <v>-500</v>
          </cell>
          <cell r="BD40">
            <v>-700</v>
          </cell>
          <cell r="BE40">
            <v>-500</v>
          </cell>
          <cell r="BF40">
            <v>-500</v>
          </cell>
          <cell r="BG40">
            <v>-400</v>
          </cell>
          <cell r="BH40">
            <v>-4500</v>
          </cell>
          <cell r="BI40">
            <v>8</v>
          </cell>
          <cell r="BJ40"/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A41" t="str">
            <v>EDGAR DAMIAN MARTINEZ</v>
          </cell>
          <cell r="B41" t="str">
            <v>AVEO|2019|PLATA|NEL860A</v>
          </cell>
          <cell r="C41">
            <v>10</v>
          </cell>
          <cell r="D41"/>
          <cell r="E41">
            <v>5000</v>
          </cell>
          <cell r="F41"/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-500</v>
          </cell>
          <cell r="AB41">
            <v>-500</v>
          </cell>
          <cell r="AC41">
            <v>-500</v>
          </cell>
          <cell r="AD41">
            <v>-500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-2000</v>
          </cell>
          <cell r="BI41">
            <v>4</v>
          </cell>
          <cell r="BJ41"/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A42" t="str">
            <v>IVAN MOGUEL PULIDO</v>
          </cell>
          <cell r="B42" t="str">
            <v>KIA RIO|2023|ROJO|H99BLC</v>
          </cell>
          <cell r="C42">
            <v>1</v>
          </cell>
          <cell r="D42"/>
          <cell r="E42">
            <v>2900</v>
          </cell>
          <cell r="F42"/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-2900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-2900</v>
          </cell>
          <cell r="BI42">
            <v>1</v>
          </cell>
          <cell r="BJ42"/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A43" t="str">
            <v>JOSE DE JESUS PEREZ GARCIA</v>
          </cell>
          <cell r="B43" t="str">
            <v>VENTO|2018|AMARILLO|PED1652</v>
          </cell>
          <cell r="C43">
            <v>8</v>
          </cell>
          <cell r="D43"/>
          <cell r="E43">
            <v>3800</v>
          </cell>
          <cell r="F43"/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-500</v>
          </cell>
          <cell r="AD43">
            <v>-500</v>
          </cell>
          <cell r="AE43">
            <v>-500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-1500</v>
          </cell>
          <cell r="BI43">
            <v>3</v>
          </cell>
          <cell r="BJ43"/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A44" t="str">
            <v>IVAN MOGUEL PULIDO</v>
          </cell>
          <cell r="B44" t="str">
            <v>KIA RIO|2023|ROJO|H99BLC</v>
          </cell>
          <cell r="C44" t="str">
            <v>-</v>
          </cell>
          <cell r="D44" t="str">
            <v>GOLPE 3 PIEZAS FASIA TRASERA, DELANTERA Y SALPICADERA IZQ</v>
          </cell>
          <cell r="E44">
            <v>4500</v>
          </cell>
          <cell r="F44"/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-700</v>
          </cell>
          <cell r="AY44">
            <v>-700</v>
          </cell>
          <cell r="AZ44">
            <v>-700</v>
          </cell>
          <cell r="BA44">
            <v>-700</v>
          </cell>
          <cell r="BB44">
            <v>-700</v>
          </cell>
          <cell r="BC44">
            <v>-700</v>
          </cell>
          <cell r="BD44">
            <v>-700</v>
          </cell>
          <cell r="BE44">
            <v>-700</v>
          </cell>
          <cell r="BF44">
            <v>0</v>
          </cell>
          <cell r="BG44">
            <v>0</v>
          </cell>
          <cell r="BH44">
            <v>-5600</v>
          </cell>
          <cell r="BI44">
            <v>8</v>
          </cell>
          <cell r="BJ44"/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  <row r="45">
          <cell r="A45" t="str">
            <v>ADOLFO LOPEZ MARTINEZ</v>
          </cell>
          <cell r="B45" t="str">
            <v>AVEO|2021|OCRE|NEB156A</v>
          </cell>
          <cell r="C45">
            <v>9</v>
          </cell>
          <cell r="D45"/>
          <cell r="E45">
            <v>4500</v>
          </cell>
          <cell r="F45"/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-500</v>
          </cell>
          <cell r="AA45">
            <v>-500</v>
          </cell>
          <cell r="AB45">
            <v>-500</v>
          </cell>
          <cell r="AC45">
            <v>-500</v>
          </cell>
          <cell r="AD45">
            <v>-500</v>
          </cell>
          <cell r="AE45">
            <v>-500</v>
          </cell>
          <cell r="AF45">
            <v>-500</v>
          </cell>
          <cell r="AG45">
            <v>-500</v>
          </cell>
          <cell r="AH45">
            <v>-500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-4500</v>
          </cell>
          <cell r="BI45">
            <v>9</v>
          </cell>
          <cell r="BJ45"/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6">
          <cell r="A46" t="str">
            <v>IVAN MOGUEL PULIDO</v>
          </cell>
          <cell r="B46" t="str">
            <v>VERSA|2023|PLATA|NCT814A</v>
          </cell>
          <cell r="C46">
            <v>3</v>
          </cell>
          <cell r="D46"/>
          <cell r="E46">
            <v>1937</v>
          </cell>
          <cell r="F46"/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-650</v>
          </cell>
          <cell r="AG46">
            <v>-650</v>
          </cell>
          <cell r="AH46">
            <v>-650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-1950</v>
          </cell>
          <cell r="BI46">
            <v>3</v>
          </cell>
          <cell r="BJ46"/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</row>
        <row r="47">
          <cell r="A47" t="str">
            <v>IVAN MOGUEL PULIDO</v>
          </cell>
          <cell r="B47" t="str">
            <v>VERSA|2023|PLATA|NCT814A</v>
          </cell>
          <cell r="C47">
            <v>4</v>
          </cell>
          <cell r="D47"/>
          <cell r="E47">
            <v>4000</v>
          </cell>
          <cell r="F47"/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-1000</v>
          </cell>
          <cell r="W47">
            <v>-1000</v>
          </cell>
          <cell r="X47">
            <v>-1000</v>
          </cell>
          <cell r="Y47">
            <v>-1000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-4000</v>
          </cell>
          <cell r="BI47">
            <v>4</v>
          </cell>
          <cell r="BJ47"/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A48" t="str">
            <v>MANUEL GARCIA MARTINEZ</v>
          </cell>
          <cell r="B48" t="str">
            <v>AVEO|2018|GRIS|X59AWG</v>
          </cell>
          <cell r="C48">
            <v>4</v>
          </cell>
          <cell r="D48"/>
          <cell r="E48">
            <v>2000</v>
          </cell>
          <cell r="F48"/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-500</v>
          </cell>
          <cell r="AA48">
            <v>-500</v>
          </cell>
          <cell r="AB48">
            <v>-500</v>
          </cell>
          <cell r="AC48">
            <v>-500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-2000</v>
          </cell>
          <cell r="BI48">
            <v>4</v>
          </cell>
          <cell r="BJ48"/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20260216-20260223-payments_orde"/>
    </sheetNames>
    <sheetDataSet>
      <sheetData sheetId="0">
        <row r="41">
          <cell r="L41" t="str">
            <v>ADALBERTO BELLO NAVARRO</v>
          </cell>
          <cell r="M41" t="str">
            <v>Adalberto</v>
          </cell>
          <cell r="N41" t="str">
            <v>Bello Navarro</v>
          </cell>
          <cell r="O41">
            <v>4575.55</v>
          </cell>
          <cell r="P41">
            <v>6369.920000000001</v>
          </cell>
          <cell r="Q41">
            <v>-1794.37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L42" t="str">
            <v>ADOLFO ANGEL ESTRADA RODRIGUEZ</v>
          </cell>
          <cell r="M42" t="str">
            <v>ADOLFO ANGEL</v>
          </cell>
          <cell r="N42" t="str">
            <v>ESTRADA RODRIGUEZ</v>
          </cell>
          <cell r="O42">
            <v>2858.5499999999988</v>
          </cell>
          <cell r="P42">
            <v>4807.45</v>
          </cell>
          <cell r="Q42">
            <v>-1948.9000000000003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L43" t="str">
            <v>ADRIAN CRUZ CUADROS</v>
          </cell>
          <cell r="M43" t="str">
            <v>Adrian</v>
          </cell>
          <cell r="N43" t="str">
            <v>Cruz</v>
          </cell>
          <cell r="O43">
            <v>7192.0999999999995</v>
          </cell>
          <cell r="P43">
            <v>7192.0999999999985</v>
          </cell>
          <cell r="Q43">
            <v>0</v>
          </cell>
          <cell r="R43">
            <v>0</v>
          </cell>
          <cell r="S43">
            <v>0</v>
          </cell>
          <cell r="T43">
            <v>-12</v>
          </cell>
          <cell r="U43">
            <v>-1.44</v>
          </cell>
        </row>
        <row r="44">
          <cell r="L44" t="str">
            <v>XAVIER ALAN LARA JIMENEZ</v>
          </cell>
          <cell r="M44" t="str">
            <v>Alan</v>
          </cell>
          <cell r="N44" t="str">
            <v>Lara</v>
          </cell>
          <cell r="O44">
            <v>1859.6899999999996</v>
          </cell>
          <cell r="P44">
            <v>1859.6900000000003</v>
          </cell>
          <cell r="Q44">
            <v>0</v>
          </cell>
          <cell r="R44">
            <v>0</v>
          </cell>
          <cell r="S44">
            <v>0</v>
          </cell>
          <cell r="T44">
            <v>-108</v>
          </cell>
          <cell r="U44">
            <v>-12.959999999999999</v>
          </cell>
        </row>
        <row r="45">
          <cell r="L45" t="str">
            <v>ALBERTO ARRIAGA MEJIA</v>
          </cell>
          <cell r="M45" t="str">
            <v>ALBERTO</v>
          </cell>
          <cell r="N45" t="str">
            <v>Arriaga</v>
          </cell>
          <cell r="O45">
            <v>881.18999999999983</v>
          </cell>
          <cell r="P45">
            <v>881.18999999999983</v>
          </cell>
          <cell r="Q45">
            <v>0</v>
          </cell>
          <cell r="R45">
            <v>0</v>
          </cell>
          <cell r="S45">
            <v>0</v>
          </cell>
          <cell r="T45">
            <v>-106.62</v>
          </cell>
          <cell r="U45">
            <v>-12.7944</v>
          </cell>
        </row>
        <row r="46">
          <cell r="L46" t="str">
            <v>ALEJANDRA URBAN VALENCIA</v>
          </cell>
          <cell r="M46" t="str">
            <v>ALEJANDRA</v>
          </cell>
          <cell r="N46" t="str">
            <v>URBAN VALENCIA</v>
          </cell>
          <cell r="O46">
            <v>3192.8599999999988</v>
          </cell>
          <cell r="P46">
            <v>3609.7799999999993</v>
          </cell>
          <cell r="Q46">
            <v>-416.92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L47" t="str">
            <v>ANA YAEL RAMIREZ VELASCO</v>
          </cell>
          <cell r="M47" t="str">
            <v>ANA YAEL</v>
          </cell>
          <cell r="N47" t="str">
            <v>RAMIREZ VELASCO</v>
          </cell>
          <cell r="O47">
            <v>3864.5400000000009</v>
          </cell>
          <cell r="P47">
            <v>4488.5500000000011</v>
          </cell>
          <cell r="Q47">
            <v>-624.01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L48" t="str">
            <v>ANGEL ALCANTARA CRUZ</v>
          </cell>
          <cell r="M48" t="str">
            <v>Angel</v>
          </cell>
          <cell r="N48" t="str">
            <v>Alcantara</v>
          </cell>
          <cell r="O48">
            <v>2274.2799999999997</v>
          </cell>
          <cell r="P48">
            <v>3670.8199999999997</v>
          </cell>
          <cell r="Q48">
            <v>-1396.5400000000004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L49" t="str">
            <v>ANTONIO GUZMAN BARRON</v>
          </cell>
          <cell r="M49" t="str">
            <v>ANTONIO</v>
          </cell>
          <cell r="N49" t="str">
            <v>GUZMAN BARRON</v>
          </cell>
          <cell r="O49">
            <v>404</v>
          </cell>
          <cell r="P49">
            <v>404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</row>
        <row r="50">
          <cell r="L50" t="str">
            <v>ARMANDO CARDENAS TRUJILLO</v>
          </cell>
          <cell r="M50" t="str">
            <v>Armando</v>
          </cell>
          <cell r="N50" t="str">
            <v>Cardenas Trujillo</v>
          </cell>
          <cell r="O50">
            <v>3608.1999999999989</v>
          </cell>
          <cell r="P50">
            <v>5089.3299999999981</v>
          </cell>
          <cell r="Q50">
            <v>-1481.13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L51" t="str">
            <v>ARMANDO MARTINEZ VELAZQUEZ</v>
          </cell>
          <cell r="M51" t="str">
            <v>Armando</v>
          </cell>
          <cell r="N51" t="str">
            <v>Martinez Velazquez</v>
          </cell>
          <cell r="O51">
            <v>6514.5600000000013</v>
          </cell>
          <cell r="P51">
            <v>6842.7799999999988</v>
          </cell>
          <cell r="Q51">
            <v>-291.93</v>
          </cell>
          <cell r="R51">
            <v>-28</v>
          </cell>
          <cell r="S51">
            <v>-64.29000000000002</v>
          </cell>
          <cell r="T51">
            <v>0</v>
          </cell>
          <cell r="U51">
            <v>0</v>
          </cell>
        </row>
        <row r="52">
          <cell r="L52">
            <v>0</v>
          </cell>
          <cell r="M52" t="str">
            <v>Arturo Santiago</v>
          </cell>
          <cell r="N52" t="str">
            <v>Hernandez Castillo</v>
          </cell>
          <cell r="O52">
            <v>-2363.35</v>
          </cell>
          <cell r="P52">
            <v>-2363.35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3">
          <cell r="L53" t="str">
            <v>BRYAN OMAR HERNANDEZ ANTUNEZ</v>
          </cell>
          <cell r="M53" t="str">
            <v>Bryan Omar</v>
          </cell>
          <cell r="N53" t="str">
            <v>Hernandez</v>
          </cell>
          <cell r="O53">
            <v>9553.1400000000031</v>
          </cell>
          <cell r="P53">
            <v>11502.539999999999</v>
          </cell>
          <cell r="Q53">
            <v>-2065.4</v>
          </cell>
          <cell r="R53">
            <v>-116</v>
          </cell>
          <cell r="S53">
            <v>0</v>
          </cell>
          <cell r="T53">
            <v>0</v>
          </cell>
          <cell r="U53">
            <v>0</v>
          </cell>
        </row>
        <row r="54">
          <cell r="L54" t="str">
            <v>CAMILO IESUA MEJIA DIAZ</v>
          </cell>
          <cell r="M54" t="str">
            <v>CAMILO IESUA</v>
          </cell>
          <cell r="N54" t="str">
            <v>iesua</v>
          </cell>
          <cell r="O54">
            <v>2060.1799999999998</v>
          </cell>
          <cell r="P54">
            <v>3135.6099999999997</v>
          </cell>
          <cell r="Q54">
            <v>-1075.43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L55" t="str">
            <v>CESAR AXEL SANTIAGO GARCIA</v>
          </cell>
          <cell r="M55" t="str">
            <v>Cesar Axel</v>
          </cell>
          <cell r="N55" t="str">
            <v>Santiago Garcia</v>
          </cell>
          <cell r="O55">
            <v>77.089999999999989</v>
          </cell>
          <cell r="P55">
            <v>77.09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L56" t="str">
            <v>CRISTIAN HERNANDEZ MUNGUIA</v>
          </cell>
          <cell r="M56" t="str">
            <v>Cristian</v>
          </cell>
          <cell r="N56" t="str">
            <v>Hernandez Munguia</v>
          </cell>
          <cell r="O56">
            <v>6149.3600000000033</v>
          </cell>
          <cell r="P56">
            <v>6085.3600000000006</v>
          </cell>
          <cell r="Q56">
            <v>0</v>
          </cell>
          <cell r="R56">
            <v>-64</v>
          </cell>
          <cell r="S56">
            <v>0</v>
          </cell>
          <cell r="T56">
            <v>0</v>
          </cell>
          <cell r="U56">
            <v>0</v>
          </cell>
        </row>
        <row r="57">
          <cell r="L57" t="str">
            <v>DANIEL CASTAÑEDA LOPEZ</v>
          </cell>
          <cell r="M57" t="str">
            <v>Daniel</v>
          </cell>
          <cell r="N57" t="str">
            <v>Castañeda Lopez</v>
          </cell>
          <cell r="O57">
            <v>5340.3699999999981</v>
          </cell>
          <cell r="P57">
            <v>8120.73</v>
          </cell>
          <cell r="Q57">
            <v>-2887.5599999999995</v>
          </cell>
          <cell r="R57">
            <v>-107.2</v>
          </cell>
          <cell r="S57">
            <v>0</v>
          </cell>
          <cell r="T57">
            <v>-13.760000000000003</v>
          </cell>
          <cell r="U57">
            <v>-1.6512000000000004</v>
          </cell>
        </row>
        <row r="58">
          <cell r="L58" t="str">
            <v>DAVID ARTURO GONZALEZ TELLEZ</v>
          </cell>
          <cell r="M58" t="str">
            <v>David Arturo</v>
          </cell>
          <cell r="N58" t="str">
            <v>Gonzalez Tellez</v>
          </cell>
          <cell r="O58">
            <v>2335.79</v>
          </cell>
          <cell r="P58">
            <v>5123.9399999999996</v>
          </cell>
          <cell r="Q58">
            <v>-2812.15</v>
          </cell>
          <cell r="R58">
            <v>-24</v>
          </cell>
          <cell r="S58">
            <v>0</v>
          </cell>
          <cell r="T58">
            <v>-236.13</v>
          </cell>
          <cell r="U58">
            <v>-28.335599999999999</v>
          </cell>
        </row>
        <row r="59">
          <cell r="L59" t="str">
            <v>DIEGO ISAID PULIDO</v>
          </cell>
          <cell r="M59" t="str">
            <v>Diego Isaid</v>
          </cell>
          <cell r="N59" t="str">
            <v>pulido</v>
          </cell>
          <cell r="O59">
            <v>3915.9100000000008</v>
          </cell>
          <cell r="P59">
            <v>4616.8899999999994</v>
          </cell>
          <cell r="Q59">
            <v>-760.98</v>
          </cell>
          <cell r="R59">
            <v>-60</v>
          </cell>
          <cell r="S59">
            <v>0</v>
          </cell>
          <cell r="T59">
            <v>0</v>
          </cell>
          <cell r="U59">
            <v>0</v>
          </cell>
        </row>
        <row r="60">
          <cell r="L60" t="str">
            <v>EDSON GABRIEL ABRIZ ALVARADO</v>
          </cell>
          <cell r="M60" t="str">
            <v>EDSON GABRIEL</v>
          </cell>
          <cell r="N60" t="str">
            <v>AMBRIZ ALVARADO</v>
          </cell>
          <cell r="O60">
            <v>249.38</v>
          </cell>
          <cell r="P60">
            <v>329.32</v>
          </cell>
          <cell r="Q60">
            <v>-79.94</v>
          </cell>
          <cell r="R60">
            <v>0</v>
          </cell>
          <cell r="S60">
            <v>0</v>
          </cell>
          <cell r="T60">
            <v>-27.129999999999995</v>
          </cell>
          <cell r="U60">
            <v>-3.2555999999999994</v>
          </cell>
        </row>
        <row r="61">
          <cell r="L61" t="str">
            <v>EMMANUEL LARA HERNANDEZ</v>
          </cell>
          <cell r="M61" t="str">
            <v>EMMANUEL</v>
          </cell>
          <cell r="N61" t="str">
            <v>Lara</v>
          </cell>
          <cell r="O61">
            <v>201.23999999999998</v>
          </cell>
          <cell r="P61">
            <v>411.18000000000006</v>
          </cell>
          <cell r="Q61">
            <v>-209.94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L62" t="str">
            <v>FERNANDO OSORNIO VILLASANA</v>
          </cell>
          <cell r="M62" t="str">
            <v>FERNANDO</v>
          </cell>
          <cell r="N62" t="str">
            <v>OSORNIO VILLASANA</v>
          </cell>
          <cell r="O62">
            <v>4134.7900000000018</v>
          </cell>
          <cell r="P62">
            <v>4134.7900000000009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L63" t="str">
            <v>GABRIEL JIMENEZ BAUTISTA</v>
          </cell>
          <cell r="M63" t="str">
            <v>GABRIEL</v>
          </cell>
          <cell r="N63" t="str">
            <v>JIMENEZ BAUTISTA</v>
          </cell>
          <cell r="O63">
            <v>434.06</v>
          </cell>
          <cell r="P63">
            <v>374.19</v>
          </cell>
          <cell r="Q63">
            <v>0</v>
          </cell>
          <cell r="R63">
            <v>-59.87</v>
          </cell>
          <cell r="S63">
            <v>0</v>
          </cell>
          <cell r="T63">
            <v>0</v>
          </cell>
          <cell r="U63">
            <v>0</v>
          </cell>
        </row>
        <row r="64">
          <cell r="L64" t="str">
            <v>GERMAN LUSARRETA ROMERO</v>
          </cell>
          <cell r="M64" t="str">
            <v>GERMAN</v>
          </cell>
          <cell r="N64" t="str">
            <v>LUSARRETA ROMERO</v>
          </cell>
          <cell r="O64">
            <v>2030.1599999999996</v>
          </cell>
          <cell r="P64">
            <v>2694.66</v>
          </cell>
          <cell r="Q64">
            <v>-664.5</v>
          </cell>
          <cell r="R64">
            <v>0</v>
          </cell>
          <cell r="S64">
            <v>0</v>
          </cell>
          <cell r="T64">
            <v>-76.829999999999984</v>
          </cell>
          <cell r="U64">
            <v>-9.219599999999998</v>
          </cell>
        </row>
        <row r="65">
          <cell r="L65" t="str">
            <v>JAVIER MEDINA JAIMES</v>
          </cell>
          <cell r="M65" t="str">
            <v>Javier</v>
          </cell>
          <cell r="N65" t="str">
            <v>Medina Jaimes</v>
          </cell>
          <cell r="O65">
            <v>5404.41</v>
          </cell>
          <cell r="P65">
            <v>7478.880000000001</v>
          </cell>
          <cell r="Q65">
            <v>-2074.4700000000007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L66" t="str">
            <v>JESUS ROSALES GARCIA</v>
          </cell>
          <cell r="M66" t="str">
            <v>JESUS</v>
          </cell>
          <cell r="N66" t="str">
            <v>Rosales garcia</v>
          </cell>
          <cell r="O66">
            <v>6478.7699999999968</v>
          </cell>
          <cell r="P66">
            <v>10641.669999999996</v>
          </cell>
          <cell r="Q66">
            <v>-4312.4999999999991</v>
          </cell>
          <cell r="R66">
            <v>-149.6</v>
          </cell>
          <cell r="S66">
            <v>0</v>
          </cell>
          <cell r="T66">
            <v>0</v>
          </cell>
          <cell r="U66">
            <v>0</v>
          </cell>
        </row>
        <row r="67">
          <cell r="L67" t="str">
            <v>JOEL RAUL PEREA PEÑA</v>
          </cell>
          <cell r="M67" t="str">
            <v>Joel Raul</v>
          </cell>
          <cell r="N67" t="str">
            <v>Perea Peña</v>
          </cell>
          <cell r="O67">
            <v>3510.6700000000023</v>
          </cell>
          <cell r="P67">
            <v>3550.619999999999</v>
          </cell>
          <cell r="Q67">
            <v>-39.950000000000003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L68" t="str">
            <v>JONATHAN BERNAL RODRIGUEZ</v>
          </cell>
          <cell r="M68" t="str">
            <v>JONATHAN</v>
          </cell>
          <cell r="N68" t="str">
            <v>BERNAL</v>
          </cell>
          <cell r="O68">
            <v>2774.16</v>
          </cell>
          <cell r="P68">
            <v>2755.71</v>
          </cell>
          <cell r="Q68">
            <v>0</v>
          </cell>
          <cell r="R68">
            <v>-18.45</v>
          </cell>
          <cell r="S68">
            <v>0</v>
          </cell>
          <cell r="T68">
            <v>0</v>
          </cell>
          <cell r="U68">
            <v>0</v>
          </cell>
        </row>
        <row r="69">
          <cell r="L69" t="str">
            <v>JORGE ALEJANDRO HERNANDEZ VALLEJO</v>
          </cell>
          <cell r="M69" t="str">
            <v>JORGE ALEJANDRO</v>
          </cell>
          <cell r="N69" t="str">
            <v>Hernández</v>
          </cell>
          <cell r="O69">
            <v>1195.1500000000001</v>
          </cell>
          <cell r="P69">
            <v>1195.1499999999996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L70" t="str">
            <v>JOSE GUILLERMO HERNANDEZ RAMIREZ</v>
          </cell>
          <cell r="M70" t="str">
            <v>Jose Guillermo</v>
          </cell>
          <cell r="N70" t="str">
            <v>Hernández Ramirez</v>
          </cell>
          <cell r="O70">
            <v>3413.1199999999994</v>
          </cell>
          <cell r="P70">
            <v>6577.699999999998</v>
          </cell>
          <cell r="Q70">
            <v>-3164.5800000000004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L71" t="str">
            <v>JOSE JUAN HERNANDEZ MEJIA</v>
          </cell>
          <cell r="M71" t="str">
            <v>JOSE JUAN</v>
          </cell>
          <cell r="N71" t="str">
            <v>HERNANDEZ MEJIA</v>
          </cell>
          <cell r="O71">
            <v>2135.5800000000004</v>
          </cell>
          <cell r="P71">
            <v>3329.84</v>
          </cell>
          <cell r="Q71">
            <v>-1224.3700000000001</v>
          </cell>
          <cell r="R71">
            <v>-30.11</v>
          </cell>
          <cell r="S71">
            <v>0</v>
          </cell>
          <cell r="T71">
            <v>-298</v>
          </cell>
          <cell r="U71">
            <v>-35.76</v>
          </cell>
        </row>
        <row r="72">
          <cell r="L72" t="str">
            <v>JUAN CARLOS CASTRO CASTILLO</v>
          </cell>
          <cell r="M72" t="str">
            <v>Juan Carlos</v>
          </cell>
          <cell r="N72" t="str">
            <v>Castro</v>
          </cell>
          <cell r="O72">
            <v>1784.79</v>
          </cell>
          <cell r="P72">
            <v>1784.7899999999997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L73" t="str">
            <v>LUIS AXEL RODRIGUEZ RANGEL</v>
          </cell>
          <cell r="M73" t="str">
            <v>LUIS AXEL</v>
          </cell>
          <cell r="N73" t="str">
            <v>RODRIGUEZ RANGEL</v>
          </cell>
          <cell r="O73">
            <v>4152.79</v>
          </cell>
          <cell r="P73">
            <v>8642.6200000000026</v>
          </cell>
          <cell r="Q73">
            <v>-4729.8299999999981</v>
          </cell>
          <cell r="R73">
            <v>-240</v>
          </cell>
          <cell r="S73">
            <v>0</v>
          </cell>
          <cell r="T73">
            <v>0</v>
          </cell>
          <cell r="U73">
            <v>0</v>
          </cell>
        </row>
        <row r="74">
          <cell r="L74" t="str">
            <v>MARCO ANTONIO FARIAS AVILES</v>
          </cell>
          <cell r="M74" t="str">
            <v>Marco Antonio</v>
          </cell>
          <cell r="N74" t="str">
            <v>Farias Aviles</v>
          </cell>
          <cell r="O74">
            <v>451.28</v>
          </cell>
          <cell r="P74">
            <v>451.28</v>
          </cell>
          <cell r="Q74">
            <v>0</v>
          </cell>
          <cell r="R74">
            <v>0</v>
          </cell>
          <cell r="S74">
            <v>0</v>
          </cell>
          <cell r="T74">
            <v>-34</v>
          </cell>
          <cell r="U74">
            <v>-4.08</v>
          </cell>
        </row>
        <row r="75">
          <cell r="L75" t="str">
            <v>OSCAR CONTRERAS ZUÑIGA</v>
          </cell>
          <cell r="M75" t="str">
            <v>Oscar</v>
          </cell>
          <cell r="N75" t="str">
            <v>Contreras Zuñiga</v>
          </cell>
          <cell r="O75">
            <v>3317.2699999999991</v>
          </cell>
          <cell r="P75">
            <v>9137.0600000000013</v>
          </cell>
          <cell r="Q75">
            <v>-5819.7899999999991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L76" t="str">
            <v>OSCAR IVAN MIÑON RAMIREZ</v>
          </cell>
          <cell r="M76" t="str">
            <v>OSCAR IVAN</v>
          </cell>
          <cell r="N76" t="str">
            <v>Miñon Ramirez</v>
          </cell>
          <cell r="O76">
            <v>2748.48</v>
          </cell>
          <cell r="P76">
            <v>4049.0800000000008</v>
          </cell>
          <cell r="Q76">
            <v>-1300.6000000000001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7">
          <cell r="L77" t="str">
            <v>PEDRO ARELLANO PEREZ</v>
          </cell>
          <cell r="M77" t="str">
            <v>Pedro</v>
          </cell>
          <cell r="N77" t="str">
            <v>Arellano Perez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</row>
        <row r="78">
          <cell r="L78" t="str">
            <v>RAFAEL HUERTA MONDRAGON</v>
          </cell>
          <cell r="M78" t="str">
            <v>RAFAEL</v>
          </cell>
          <cell r="N78" t="str">
            <v>HUERTA MONDRAGON</v>
          </cell>
          <cell r="O78">
            <v>1066.1000000000001</v>
          </cell>
          <cell r="P78">
            <v>2871.1599999999994</v>
          </cell>
          <cell r="Q78">
            <v>-1805.0600000000004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</row>
        <row r="79">
          <cell r="L79" t="str">
            <v>RAYMUNDO CHAVEZ DELGADO</v>
          </cell>
          <cell r="M79" t="str">
            <v>RAYMUNDO</v>
          </cell>
          <cell r="N79" t="str">
            <v>CHAVEZ DELGADO</v>
          </cell>
          <cell r="O79">
            <v>3070.5400000000004</v>
          </cell>
          <cell r="P79">
            <v>5266.9799999999977</v>
          </cell>
          <cell r="Q79">
            <v>-2143.15</v>
          </cell>
          <cell r="R79">
            <v>0</v>
          </cell>
          <cell r="S79">
            <v>-53.289999999999985</v>
          </cell>
          <cell r="T79">
            <v>0</v>
          </cell>
          <cell r="U79">
            <v>0</v>
          </cell>
        </row>
        <row r="80">
          <cell r="L80" t="str">
            <v>RICARDO HERNANDEZ ARIAS</v>
          </cell>
          <cell r="M80" t="str">
            <v>Ricardo</v>
          </cell>
          <cell r="N80" t="str">
            <v>Hernandez</v>
          </cell>
          <cell r="O80">
            <v>6786.7800000000016</v>
          </cell>
          <cell r="P80">
            <v>6732.3799999999992</v>
          </cell>
          <cell r="Q80">
            <v>0</v>
          </cell>
          <cell r="R80">
            <v>-54.4</v>
          </cell>
          <cell r="S80">
            <v>0</v>
          </cell>
          <cell r="T80">
            <v>0</v>
          </cell>
          <cell r="U80">
            <v>0</v>
          </cell>
        </row>
        <row r="81">
          <cell r="L81" t="str">
            <v>RODOLFO VILLEDA MACIAS</v>
          </cell>
          <cell r="M81" t="str">
            <v>RODOLFO</v>
          </cell>
          <cell r="N81" t="str">
            <v>VILLEDA MACIAS</v>
          </cell>
          <cell r="O81">
            <v>3019.4200000000005</v>
          </cell>
          <cell r="P81">
            <v>4308.01</v>
          </cell>
          <cell r="Q81">
            <v>-1288.5900000000001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L82" t="str">
            <v>SAUL DOMINGUEZ VAZQUEZ</v>
          </cell>
          <cell r="M82" t="str">
            <v>SAUL</v>
          </cell>
          <cell r="N82" t="str">
            <v>DOMINGUEZ VAZQUEZ</v>
          </cell>
          <cell r="O82">
            <v>1137.3900000000001</v>
          </cell>
          <cell r="P82">
            <v>1146.1300000000001</v>
          </cell>
          <cell r="Q82">
            <v>0</v>
          </cell>
          <cell r="R82">
            <v>0</v>
          </cell>
          <cell r="S82">
            <v>-8.74</v>
          </cell>
          <cell r="T82">
            <v>0</v>
          </cell>
          <cell r="U82">
            <v>0</v>
          </cell>
        </row>
        <row r="83">
          <cell r="L83" t="str">
            <v>TOMAS ARIAS ESPINOSA</v>
          </cell>
          <cell r="M83" t="str">
            <v>TOMAS</v>
          </cell>
          <cell r="N83" t="str">
            <v>Arias Espinoza</v>
          </cell>
          <cell r="O83">
            <v>669.71999999999991</v>
          </cell>
          <cell r="P83">
            <v>3621.45</v>
          </cell>
          <cell r="Q83">
            <v>-2951.7299999999996</v>
          </cell>
          <cell r="R83">
            <v>0</v>
          </cell>
          <cell r="S83">
            <v>0</v>
          </cell>
          <cell r="T83">
            <v>-138</v>
          </cell>
          <cell r="U83">
            <v>-16.559999999999999</v>
          </cell>
        </row>
        <row r="84">
          <cell r="L84" t="str">
            <v>ULISES SANCHEZ HERNANDEZ</v>
          </cell>
          <cell r="M84" t="str">
            <v>Ulises</v>
          </cell>
          <cell r="N84" t="str">
            <v>Hernandez</v>
          </cell>
          <cell r="O84">
            <v>1200.1999999999996</v>
          </cell>
          <cell r="P84">
            <v>1200.1999999999998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L85" t="str">
            <v>VICTOR HUGO RUIZ CASTILLO</v>
          </cell>
          <cell r="M85" t="str">
            <v>Victor Hugo</v>
          </cell>
          <cell r="N85" t="str">
            <v>Ruiz Castillo</v>
          </cell>
          <cell r="O85">
            <v>4356.3900000000003</v>
          </cell>
          <cell r="P85">
            <v>5730.66</v>
          </cell>
          <cell r="Q85">
            <v>-1310.3600000000001</v>
          </cell>
          <cell r="R85">
            <v>0</v>
          </cell>
          <cell r="S85">
            <v>-63.910000000000004</v>
          </cell>
          <cell r="T85">
            <v>0</v>
          </cell>
          <cell r="U85">
            <v>0</v>
          </cell>
        </row>
        <row r="86">
          <cell r="L86" t="str">
            <v>YANIZ MANUEL SILVA PUPO</v>
          </cell>
          <cell r="M86" t="str">
            <v>Yaniz Manuel</v>
          </cell>
          <cell r="N86" t="str">
            <v>Silva pupo</v>
          </cell>
          <cell r="O86">
            <v>1566.71</v>
          </cell>
          <cell r="P86">
            <v>5035.9899999999989</v>
          </cell>
          <cell r="Q86">
            <v>-3419.2100000000005</v>
          </cell>
          <cell r="R86">
            <v>0</v>
          </cell>
          <cell r="S86">
            <v>-50.07</v>
          </cell>
          <cell r="T86">
            <v>0</v>
          </cell>
          <cell r="U86">
            <v>0</v>
          </cell>
        </row>
        <row r="87">
          <cell r="L87" t="str">
            <v>YOSHUA JARETH VALDEZ HERNANDEZ</v>
          </cell>
          <cell r="M87" t="str">
            <v>YOSHUA JARETH</v>
          </cell>
          <cell r="N87" t="str">
            <v>valdez</v>
          </cell>
          <cell r="O87">
            <v>1993</v>
          </cell>
          <cell r="P87">
            <v>1933.4600000000003</v>
          </cell>
          <cell r="Q87">
            <v>0</v>
          </cell>
          <cell r="R87">
            <v>-59.54</v>
          </cell>
          <cell r="S87">
            <v>0</v>
          </cell>
          <cell r="T87">
            <v>-575</v>
          </cell>
          <cell r="U87">
            <v>-69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20260223-20260302-payments_orde"/>
    </sheetNames>
    <sheetDataSet>
      <sheetData sheetId="0" refreshError="1">
        <row r="25">
          <cell r="J25" t="str">
            <v>ADALBERTO BELLO NAVARRO</v>
          </cell>
          <cell r="K25" t="str">
            <v>Adalberto</v>
          </cell>
          <cell r="L25" t="str">
            <v>Bello Navarro</v>
          </cell>
          <cell r="M25">
            <v>0</v>
          </cell>
          <cell r="N25">
            <v>0</v>
          </cell>
          <cell r="O25">
            <v>0</v>
          </cell>
        </row>
        <row r="26">
          <cell r="J26" t="str">
            <v>ADOLFO ANGEL ESTRADA RODRIGUEZ</v>
          </cell>
          <cell r="K26" t="str">
            <v>ADOLFO ANGEL</v>
          </cell>
          <cell r="L26" t="str">
            <v>ESTRADA RODRIGUEZ</v>
          </cell>
          <cell r="M26">
            <v>2316.1999999999994</v>
          </cell>
          <cell r="N26">
            <v>5041.9699999999984</v>
          </cell>
          <cell r="O26">
            <v>-2725.7700000000009</v>
          </cell>
        </row>
        <row r="27">
          <cell r="J27" t="str">
            <v>ADRIAN CRUZ CUADROS</v>
          </cell>
          <cell r="K27" t="str">
            <v>Adrian</v>
          </cell>
          <cell r="L27" t="str">
            <v>Cruz</v>
          </cell>
          <cell r="M27">
            <v>5584.71</v>
          </cell>
          <cell r="N27">
            <v>5540.7100000000009</v>
          </cell>
          <cell r="O27">
            <v>0</v>
          </cell>
        </row>
        <row r="28">
          <cell r="J28" t="str">
            <v>XAVIER ALAN LARA JIMENEZ</v>
          </cell>
          <cell r="K28" t="str">
            <v>Alan</v>
          </cell>
          <cell r="L28" t="str">
            <v>Lara</v>
          </cell>
          <cell r="M28">
            <v>3325.3100000000009</v>
          </cell>
          <cell r="N28">
            <v>5157.010000000002</v>
          </cell>
          <cell r="O28">
            <v>-1937.3000000000004</v>
          </cell>
        </row>
        <row r="29">
          <cell r="J29" t="str">
            <v>ALAN AURELIO ORTEGA ORDOÑEZ</v>
          </cell>
          <cell r="K29" t="str">
            <v>Alan Aurelio</v>
          </cell>
          <cell r="L29" t="str">
            <v>Ortega Ordoñez</v>
          </cell>
          <cell r="M29">
            <v>2385.62</v>
          </cell>
          <cell r="N29">
            <v>4177.16</v>
          </cell>
          <cell r="O29">
            <v>-1791.54</v>
          </cell>
        </row>
        <row r="30">
          <cell r="J30" t="str">
            <v>ALBERTO ARRIAGA MEJIA</v>
          </cell>
          <cell r="K30" t="str">
            <v>ALBERTO</v>
          </cell>
          <cell r="L30" t="str">
            <v>Arriaga</v>
          </cell>
          <cell r="M30">
            <v>1726.5500000000004</v>
          </cell>
          <cell r="N30">
            <v>2778.1899999999996</v>
          </cell>
          <cell r="O30">
            <v>-1070.8399999999999</v>
          </cell>
        </row>
        <row r="31">
          <cell r="J31" t="str">
            <v>ALEJANDRA URBAN VALENCIA</v>
          </cell>
          <cell r="K31" t="str">
            <v>ALEJANDRA</v>
          </cell>
          <cell r="L31" t="str">
            <v>URBAN VALENCIA</v>
          </cell>
          <cell r="M31">
            <v>2283.1400000000003</v>
          </cell>
          <cell r="N31">
            <v>3085.2799999999984</v>
          </cell>
          <cell r="O31">
            <v>-802.1400000000001</v>
          </cell>
        </row>
        <row r="32">
          <cell r="J32" t="str">
            <v>ALEJANDRO VELAZQUEZ VARGAS</v>
          </cell>
          <cell r="K32" t="str">
            <v>ALEJANDRO</v>
          </cell>
          <cell r="L32" t="str">
            <v>Velazquez Vargas</v>
          </cell>
          <cell r="M32">
            <v>1276.3299999999997</v>
          </cell>
          <cell r="N32">
            <v>1276.3299999999997</v>
          </cell>
          <cell r="O32">
            <v>0</v>
          </cell>
        </row>
        <row r="33">
          <cell r="J33" t="str">
            <v>ANA YAEL RAMIREZ VELASCO</v>
          </cell>
          <cell r="K33" t="str">
            <v>ANA YAEL</v>
          </cell>
          <cell r="L33" t="str">
            <v>RAMIREZ VELASCO</v>
          </cell>
          <cell r="M33">
            <v>5545.5</v>
          </cell>
          <cell r="N33">
            <v>7071.8799999999992</v>
          </cell>
          <cell r="O33">
            <v>-1551.18</v>
          </cell>
        </row>
        <row r="34">
          <cell r="J34" t="str">
            <v>ANGEL ALCANTARA CRUZ</v>
          </cell>
          <cell r="K34" t="str">
            <v>Angel</v>
          </cell>
          <cell r="L34" t="str">
            <v>Alcantara</v>
          </cell>
          <cell r="M34">
            <v>1008.7399999999998</v>
          </cell>
          <cell r="N34">
            <v>1080.7399999999998</v>
          </cell>
          <cell r="O34">
            <v>-72</v>
          </cell>
        </row>
        <row r="35">
          <cell r="J35" t="str">
            <v>ANTONIO GUZMAN BARRON</v>
          </cell>
          <cell r="K35" t="str">
            <v>ANTONIO</v>
          </cell>
          <cell r="L35" t="str">
            <v>GUZMAN BARRON</v>
          </cell>
          <cell r="M35">
            <v>77.489999999999995</v>
          </cell>
          <cell r="N35">
            <v>66.8</v>
          </cell>
          <cell r="O35">
            <v>0</v>
          </cell>
        </row>
        <row r="36">
          <cell r="J36" t="str">
            <v>ARMANDO CARDENAS TRUJILLO</v>
          </cell>
          <cell r="K36" t="str">
            <v>Armando</v>
          </cell>
          <cell r="L36" t="str">
            <v>Cardenas Trujillo</v>
          </cell>
          <cell r="M36">
            <v>0</v>
          </cell>
          <cell r="N36">
            <v>0</v>
          </cell>
          <cell r="O36">
            <v>0</v>
          </cell>
        </row>
        <row r="37">
          <cell r="J37" t="str">
            <v>ARMANDO MARTINEZ VELAZQUEZ</v>
          </cell>
          <cell r="L37" t="str">
            <v>Martinez Velazquez</v>
          </cell>
          <cell r="M37">
            <v>6683.2900000000009</v>
          </cell>
          <cell r="N37">
            <v>7225.4299999999994</v>
          </cell>
          <cell r="O37">
            <v>-537.45000000000005</v>
          </cell>
        </row>
        <row r="38">
          <cell r="K38" t="str">
            <v>Arturo Santiago</v>
          </cell>
          <cell r="L38" t="str">
            <v>Hernandez Castillo</v>
          </cell>
          <cell r="M38">
            <v>-657.07999999999981</v>
          </cell>
          <cell r="N38">
            <v>-657.07999999999981</v>
          </cell>
          <cell r="O38">
            <v>0</v>
          </cell>
        </row>
        <row r="39">
          <cell r="J39" t="str">
            <v>BRYAN OMAR HERNANDEZ ANTUNEZ</v>
          </cell>
          <cell r="K39" t="str">
            <v>Bryan Omar</v>
          </cell>
          <cell r="L39" t="str">
            <v>Hernandez</v>
          </cell>
          <cell r="M39">
            <v>4665.7299999999996</v>
          </cell>
          <cell r="N39">
            <v>9466.7300000000014</v>
          </cell>
          <cell r="O39">
            <v>-4862.5999999999976</v>
          </cell>
        </row>
        <row r="40">
          <cell r="J40" t="str">
            <v>CAMILO IESUA MEJIA DIAZ</v>
          </cell>
          <cell r="K40" t="str">
            <v>CAMILO IESUA</v>
          </cell>
          <cell r="L40" t="str">
            <v>iesua</v>
          </cell>
          <cell r="M40">
            <v>877.59</v>
          </cell>
          <cell r="N40">
            <v>877.58999999999992</v>
          </cell>
          <cell r="O40">
            <v>0</v>
          </cell>
        </row>
        <row r="41">
          <cell r="J41" t="str">
            <v>CESAR AXEL SANTIAGO GARCIA</v>
          </cell>
          <cell r="K41" t="str">
            <v>Cesar Axel</v>
          </cell>
          <cell r="L41" t="str">
            <v>Santiago Garcia</v>
          </cell>
          <cell r="M41">
            <v>29.77</v>
          </cell>
          <cell r="N41">
            <v>25.66</v>
          </cell>
          <cell r="O41">
            <v>0</v>
          </cell>
        </row>
        <row r="42">
          <cell r="J42" t="str">
            <v>CRISTIAN HERNANDEZ MUNGUIA</v>
          </cell>
          <cell r="K42" t="str">
            <v>Cristian</v>
          </cell>
          <cell r="L42" t="str">
            <v>Hernandez Munguia</v>
          </cell>
          <cell r="M42">
            <v>5671.0199999999968</v>
          </cell>
          <cell r="N42">
            <v>5586.2199999999993</v>
          </cell>
          <cell r="O42">
            <v>0</v>
          </cell>
        </row>
        <row r="43">
          <cell r="J43" t="str">
            <v>DANIEL CASTAÑEDA LOPEZ</v>
          </cell>
          <cell r="K43" t="str">
            <v>Daniel</v>
          </cell>
          <cell r="L43" t="str">
            <v>Castañeda Lopez</v>
          </cell>
          <cell r="M43">
            <v>4836.0400000000009</v>
          </cell>
          <cell r="N43">
            <v>8625.260000000002</v>
          </cell>
          <cell r="O43">
            <v>-3850.8199999999997</v>
          </cell>
        </row>
        <row r="44">
          <cell r="J44" t="str">
            <v>DAVID ARTURO GONZALEZ TELLEZ</v>
          </cell>
          <cell r="K44" t="str">
            <v>David Arturo</v>
          </cell>
          <cell r="L44" t="str">
            <v>Gonzalez Tellez</v>
          </cell>
          <cell r="M44">
            <v>2027.8500000000001</v>
          </cell>
          <cell r="N44">
            <v>4815.1399999999994</v>
          </cell>
          <cell r="O44">
            <v>-2831.29</v>
          </cell>
        </row>
        <row r="45">
          <cell r="J45" t="str">
            <v>DIEGO ISAID PULIDO</v>
          </cell>
          <cell r="K45" t="str">
            <v>Diego Isaid</v>
          </cell>
          <cell r="L45" t="str">
            <v>pulido</v>
          </cell>
          <cell r="M45">
            <v>1392.2199999999996</v>
          </cell>
          <cell r="N45">
            <v>2500.4499999999998</v>
          </cell>
          <cell r="O45">
            <v>-1108.23</v>
          </cell>
        </row>
        <row r="46">
          <cell r="J46" t="str">
            <v>EMILIANO SOLANO SALAZAR</v>
          </cell>
          <cell r="K46" t="str">
            <v>EMILIANO</v>
          </cell>
          <cell r="L46" t="str">
            <v>SALAZAR</v>
          </cell>
          <cell r="M46">
            <v>5620.1799999999967</v>
          </cell>
          <cell r="N46">
            <v>5620.1799999999985</v>
          </cell>
          <cell r="O46">
            <v>0</v>
          </cell>
        </row>
        <row r="47">
          <cell r="J47" t="str">
            <v>EMMANUEL LARA HERNANDEZ</v>
          </cell>
          <cell r="K47" t="str">
            <v>EMMANUEL</v>
          </cell>
          <cell r="L47" t="str">
            <v>Lara</v>
          </cell>
          <cell r="M47">
            <v>52.04</v>
          </cell>
          <cell r="N47">
            <v>52.04</v>
          </cell>
          <cell r="O47">
            <v>0</v>
          </cell>
        </row>
        <row r="48">
          <cell r="J48" t="str">
            <v>FERNANDO FUENTES OTERO</v>
          </cell>
          <cell r="K48" t="str">
            <v>FERNANDO</v>
          </cell>
          <cell r="L48" t="str">
            <v>OSORNIO VILLASANA</v>
          </cell>
          <cell r="M48">
            <v>0</v>
          </cell>
          <cell r="N48">
            <v>0</v>
          </cell>
          <cell r="O48">
            <v>0</v>
          </cell>
        </row>
        <row r="49">
          <cell r="J49" t="str">
            <v>FREDY PANTALEON VILLALOBOS</v>
          </cell>
          <cell r="K49" t="str">
            <v>Fredy</v>
          </cell>
          <cell r="L49" t="str">
            <v>Pantaleon Villalobos</v>
          </cell>
          <cell r="M49">
            <v>741.24999999999989</v>
          </cell>
          <cell r="N49">
            <v>1656.07</v>
          </cell>
          <cell r="O49">
            <v>-914.82</v>
          </cell>
        </row>
        <row r="50">
          <cell r="J50" t="str">
            <v>GABRIEL JIMENEZ BAUTISTA</v>
          </cell>
          <cell r="K50" t="str">
            <v>GABRIEL</v>
          </cell>
          <cell r="L50" t="str">
            <v>JIMENEZ BAUTISTA</v>
          </cell>
          <cell r="M50">
            <v>5050.4599999999991</v>
          </cell>
          <cell r="N50">
            <v>5050.4600000000009</v>
          </cell>
          <cell r="O50">
            <v>0</v>
          </cell>
        </row>
        <row r="51">
          <cell r="J51" t="str">
            <v>GERMAN LUSARRETA ROMERO</v>
          </cell>
          <cell r="K51" t="str">
            <v>GERMAN</v>
          </cell>
          <cell r="L51" t="str">
            <v>LUSARRETA ROMERO</v>
          </cell>
          <cell r="M51">
            <v>2676.26</v>
          </cell>
          <cell r="N51">
            <v>3711.0900000000006</v>
          </cell>
          <cell r="O51">
            <v>-1073.23</v>
          </cell>
        </row>
        <row r="52">
          <cell r="J52" t="str">
            <v>JAVIER MEDINA JAIMES</v>
          </cell>
          <cell r="K52" t="str">
            <v>Javier</v>
          </cell>
          <cell r="L52" t="str">
            <v>Medina Jaimes</v>
          </cell>
          <cell r="M52">
            <v>5977.2799999999988</v>
          </cell>
          <cell r="N52">
            <v>8955.3499999999985</v>
          </cell>
          <cell r="O52">
            <v>-3026.0699999999997</v>
          </cell>
        </row>
        <row r="53">
          <cell r="J53" t="str">
            <v>JESUS ROSALES GARCIA</v>
          </cell>
          <cell r="K53" t="str">
            <v>JESUS</v>
          </cell>
          <cell r="L53" t="str">
            <v>Rosales garcia</v>
          </cell>
          <cell r="M53">
            <v>5256.2300000000032</v>
          </cell>
          <cell r="N53">
            <v>11499.550000000003</v>
          </cell>
          <cell r="O53">
            <v>-6344.1199999999944</v>
          </cell>
        </row>
        <row r="54">
          <cell r="J54" t="str">
            <v>JOEL RAUL PEREA PEÑA</v>
          </cell>
          <cell r="K54" t="str">
            <v>Joel Raul</v>
          </cell>
          <cell r="L54" t="str">
            <v>Perea Peña</v>
          </cell>
          <cell r="M54">
            <v>3279.7099999999996</v>
          </cell>
          <cell r="N54">
            <v>3769.5699999999983</v>
          </cell>
          <cell r="O54">
            <v>-489.86</v>
          </cell>
        </row>
        <row r="55">
          <cell r="J55" t="str">
            <v>JONATHAN BERNAL RODRIGUEZ</v>
          </cell>
          <cell r="K55" t="str">
            <v>JONATHAN</v>
          </cell>
          <cell r="L55" t="str">
            <v>BERNAL</v>
          </cell>
          <cell r="M55">
            <v>1976.15</v>
          </cell>
          <cell r="N55">
            <v>2066.09</v>
          </cell>
          <cell r="O55">
            <v>-89.94</v>
          </cell>
        </row>
        <row r="56">
          <cell r="J56" t="str">
            <v>JORGE ALEJANDRO HERNANDEZ VALLEJO</v>
          </cell>
          <cell r="K56" t="str">
            <v>JORGE ALEJANDRO</v>
          </cell>
          <cell r="L56" t="str">
            <v>Hernández</v>
          </cell>
          <cell r="M56">
            <v>2141.0300000000007</v>
          </cell>
          <cell r="N56">
            <v>2352.5200000000004</v>
          </cell>
          <cell r="O56">
            <v>-216.14</v>
          </cell>
        </row>
        <row r="57">
          <cell r="J57" t="str">
            <v>JOSE GUILLERMO HERNANDEZ RAMIREZ</v>
          </cell>
          <cell r="K57" t="str">
            <v>Jose Guillermo</v>
          </cell>
          <cell r="L57" t="str">
            <v>Hernández Ramirez</v>
          </cell>
          <cell r="M57">
            <v>3568.2700000000009</v>
          </cell>
          <cell r="N57">
            <v>7594.7399999999989</v>
          </cell>
          <cell r="O57">
            <v>-4082.4699999999989</v>
          </cell>
        </row>
        <row r="58">
          <cell r="J58" t="str">
            <v>JOSE LUIS PEDRAZA AVILA</v>
          </cell>
          <cell r="K58" t="str">
            <v>JOSE LUIS</v>
          </cell>
          <cell r="L58" t="str">
            <v>Pedraza Ávila</v>
          </cell>
          <cell r="M58">
            <v>1801.6799999999998</v>
          </cell>
          <cell r="N58">
            <v>2932.7</v>
          </cell>
          <cell r="O58">
            <v>-1140.6200000000001</v>
          </cell>
        </row>
        <row r="59">
          <cell r="J59" t="str">
            <v>JOSE PABLO AGUILAR HERNANDEZ</v>
          </cell>
          <cell r="K59" t="str">
            <v>JOSE PABLO</v>
          </cell>
          <cell r="L59" t="str">
            <v>AGUILAR HERNANDEZ</v>
          </cell>
          <cell r="M59">
            <v>2520.3799999999997</v>
          </cell>
          <cell r="N59">
            <v>2520.38</v>
          </cell>
          <cell r="O59">
            <v>0</v>
          </cell>
        </row>
        <row r="60">
          <cell r="J60" t="str">
            <v>JUAN CARLOS CASTRO CASTILLO</v>
          </cell>
          <cell r="K60" t="str">
            <v>Juan Carlos</v>
          </cell>
          <cell r="L60" t="str">
            <v>Castro</v>
          </cell>
          <cell r="M60">
            <v>3743.3100000000009</v>
          </cell>
          <cell r="N60">
            <v>3691.3999999999996</v>
          </cell>
          <cell r="O60">
            <v>0</v>
          </cell>
        </row>
        <row r="61">
          <cell r="J61" t="str">
            <v>LUIS EDGARDO AYALA ALVAREZ</v>
          </cell>
          <cell r="K61" t="str">
            <v>LUIS EDGARDO</v>
          </cell>
          <cell r="L61" t="str">
            <v>Ayala Alvarez</v>
          </cell>
          <cell r="M61">
            <v>595.47</v>
          </cell>
          <cell r="N61">
            <v>1820.67</v>
          </cell>
          <cell r="O61">
            <v>-1225.2</v>
          </cell>
        </row>
        <row r="62">
          <cell r="J62" t="str">
            <v>MARCO ANTONIO FARIAS AVILES</v>
          </cell>
          <cell r="K62" t="str">
            <v>Marco Antonio</v>
          </cell>
          <cell r="L62" t="str">
            <v>Farias Aviles</v>
          </cell>
          <cell r="M62">
            <v>1778.8600000000001</v>
          </cell>
          <cell r="N62">
            <v>1777.73</v>
          </cell>
          <cell r="O62">
            <v>0</v>
          </cell>
        </row>
        <row r="63">
          <cell r="J63" t="str">
            <v>OSCAR CONTRERAS ZUÑIGA</v>
          </cell>
          <cell r="K63" t="str">
            <v>Oscar</v>
          </cell>
          <cell r="L63" t="str">
            <v>Contreras Zuñiga</v>
          </cell>
          <cell r="M63">
            <v>2886.9399999999996</v>
          </cell>
          <cell r="N63">
            <v>8965.76</v>
          </cell>
          <cell r="O63">
            <v>-6115.0299999999979</v>
          </cell>
        </row>
        <row r="64">
          <cell r="J64" t="str">
            <v>OSCAR IVAN MIÑON RAMIREZ</v>
          </cell>
          <cell r="K64" t="str">
            <v>OSCAR IVAN</v>
          </cell>
          <cell r="L64" t="str">
            <v>Miñon Ramirez</v>
          </cell>
          <cell r="M64">
            <v>3916.2300000000014</v>
          </cell>
          <cell r="N64">
            <v>6073.2099999999982</v>
          </cell>
          <cell r="O64">
            <v>-2257.7800000000007</v>
          </cell>
        </row>
        <row r="65">
          <cell r="J65" t="str">
            <v>RAFAEL HUERTA MONDRAGON</v>
          </cell>
          <cell r="K65" t="str">
            <v>RAFAEL</v>
          </cell>
          <cell r="L65" t="str">
            <v>HUERTA MONDRAGON</v>
          </cell>
          <cell r="M65">
            <v>2928.4</v>
          </cell>
          <cell r="N65">
            <v>3609.7200000000003</v>
          </cell>
          <cell r="O65">
            <v>-681.32</v>
          </cell>
        </row>
        <row r="66">
          <cell r="J66" t="str">
            <v>RAUL NABOR MORIN MEJIA</v>
          </cell>
          <cell r="K66" t="str">
            <v>RAUL NABOR</v>
          </cell>
          <cell r="L66" t="str">
            <v>MORIN MEJIA</v>
          </cell>
          <cell r="M66">
            <v>840.81</v>
          </cell>
          <cell r="N66">
            <v>2184.54</v>
          </cell>
          <cell r="O66">
            <v>-1343.7299999999998</v>
          </cell>
        </row>
        <row r="67">
          <cell r="J67" t="str">
            <v>RAYMUNDO CHAVEZ DELGADO</v>
          </cell>
          <cell r="K67" t="str">
            <v>RAYMUNDO</v>
          </cell>
          <cell r="L67" t="str">
            <v>CHAVEZ DELGADO</v>
          </cell>
          <cell r="M67">
            <v>2185.9100000000003</v>
          </cell>
          <cell r="N67">
            <v>3386.5099999999998</v>
          </cell>
          <cell r="O67">
            <v>-1161.0200000000002</v>
          </cell>
        </row>
        <row r="68">
          <cell r="J68" t="str">
            <v>RICARDO HERNANDEZ ARIAS</v>
          </cell>
          <cell r="K68" t="str">
            <v>Ricardo</v>
          </cell>
          <cell r="L68" t="str">
            <v>Hernandez</v>
          </cell>
          <cell r="M68">
            <v>6998.1500000000024</v>
          </cell>
          <cell r="N68">
            <v>7456.2199999999993</v>
          </cell>
          <cell r="O68">
            <v>-498.87</v>
          </cell>
        </row>
        <row r="69">
          <cell r="J69" t="str">
            <v xml:space="preserve">RODOLFO VILLEDA MACIAS </v>
          </cell>
          <cell r="K69" t="str">
            <v>RODOLFO</v>
          </cell>
          <cell r="L69" t="str">
            <v>VILLEDA MACIAS</v>
          </cell>
          <cell r="M69">
            <v>2644.3799999999997</v>
          </cell>
          <cell r="N69">
            <v>5174.6400000000012</v>
          </cell>
          <cell r="O69">
            <v>-2530.2600000000002</v>
          </cell>
        </row>
        <row r="70">
          <cell r="J70" t="str">
            <v>SAUL DOMINGUEZ VAZQUEZ</v>
          </cell>
          <cell r="K70" t="str">
            <v>SAUL</v>
          </cell>
          <cell r="L70" t="str">
            <v>DOMINGUEZ VAZQUEZ</v>
          </cell>
          <cell r="M70">
            <v>3720.3199999999997</v>
          </cell>
          <cell r="N70">
            <v>3672.0199999999986</v>
          </cell>
          <cell r="O70">
            <v>0</v>
          </cell>
        </row>
        <row r="71">
          <cell r="J71" t="str">
            <v>TOMAS ARIAS ESPINOSA</v>
          </cell>
          <cell r="K71" t="str">
            <v>TOMAS</v>
          </cell>
          <cell r="L71" t="str">
            <v>Arias Espinoza</v>
          </cell>
          <cell r="M71">
            <v>3665.81</v>
          </cell>
          <cell r="N71">
            <v>4850.1699999999992</v>
          </cell>
          <cell r="O71">
            <v>-1184.3599999999999</v>
          </cell>
        </row>
        <row r="72">
          <cell r="J72" t="str">
            <v>ULISES SANCHEZ HERNANDEZ</v>
          </cell>
          <cell r="K72" t="str">
            <v>Ulises</v>
          </cell>
          <cell r="L72" t="str">
            <v>Hernandez</v>
          </cell>
          <cell r="M72">
            <v>424.59</v>
          </cell>
          <cell r="N72">
            <v>801.74999999999989</v>
          </cell>
          <cell r="O72">
            <v>-396.03</v>
          </cell>
        </row>
        <row r="73">
          <cell r="J73" t="str">
            <v>VICTOR HUGO RUIZ CASTILLO</v>
          </cell>
          <cell r="K73" t="str">
            <v>Victor Hugo</v>
          </cell>
          <cell r="L73" t="str">
            <v>Ruiz Castillo</v>
          </cell>
          <cell r="M73">
            <v>1886.8</v>
          </cell>
          <cell r="N73">
            <v>2211.09</v>
          </cell>
          <cell r="O73">
            <v>-327.71</v>
          </cell>
        </row>
        <row r="74">
          <cell r="J74" t="str">
            <v>YANIZ MANUEL SILVA PUPO</v>
          </cell>
          <cell r="K74" t="str">
            <v>Yaniz Manuel</v>
          </cell>
          <cell r="L74" t="str">
            <v>Silva pupo</v>
          </cell>
          <cell r="M74">
            <v>1632.0699999999993</v>
          </cell>
          <cell r="N74">
            <v>5425.9800000000014</v>
          </cell>
          <cell r="O74">
            <v>-3733.6300000000006</v>
          </cell>
        </row>
        <row r="75">
          <cell r="J75" t="str">
            <v>YOSHUA JARETH VALDEZ HERNANDEZ</v>
          </cell>
          <cell r="K75" t="str">
            <v>YOSHUA JARETH</v>
          </cell>
          <cell r="L75" t="str">
            <v>valdez</v>
          </cell>
          <cell r="M75">
            <v>1783.4199999999998</v>
          </cell>
          <cell r="N75">
            <v>1783.42</v>
          </cell>
          <cell r="O75">
            <v>0</v>
          </cell>
        </row>
        <row r="76">
          <cell r="K76" t="str">
            <v>(en blanco)</v>
          </cell>
          <cell r="L76" t="str">
            <v>(en blanco)</v>
          </cell>
          <cell r="M76">
            <v>-132842.54999999999</v>
          </cell>
          <cell r="N76">
            <v>0</v>
          </cell>
          <cell r="O76">
            <v>0</v>
          </cell>
        </row>
      </sheetData>
      <sheetData sheetId="1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692E96B7-ECA4-41E0-AE4D-C6017F09A2F1}">
    <nsvFilter filterId="{00000000-0001-0000-0100-000000000000}" ref="A2:AD1355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6B6B5C21-D228-4957-8D93-17AB6723613F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Elizabeth ASHC" id="{AAADB257-223C-4218-A3A4-715218F2B268}" userId="2d7de9c77b2934ab" providerId="Windows Live"/>
  <person displayName="Paola Villanueva" id="{D3915D6E-F0D6-47F0-BF36-52D89C35D47B}" userId="8741936b1f108ae7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BILIDAD DESPACHOS" refreshedDate="46111.447887731483" createdVersion="8" refreshedVersion="8" minRefreshableVersion="3" recordCount="2102" xr:uid="{E22CB26E-78CC-4948-B284-C26E19C0E045}">
  <cacheSource type="worksheet">
    <worksheetSource ref="A1:K2103" sheet="BASE DATOS"/>
  </cacheSource>
  <cacheFields count="11">
    <cacheField name="AÑO" numFmtId="0">
      <sharedItems containsSemiMixedTypes="0" containsString="0" containsNumber="1" containsInteger="1" minValue="2025" maxValue="2026" count="2">
        <n v="2025"/>
        <n v="2026"/>
      </sharedItems>
    </cacheField>
    <cacheField name="SEM" numFmtId="0">
      <sharedItems containsSemiMixedTypes="0" containsString="0" containsNumber="1" containsInteger="1" minValue="1" maxValue="52" count="5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</sharedItems>
    </cacheField>
    <cacheField name="CONDUCTOR" numFmtId="0">
      <sharedItems count="149">
        <s v="ADOLFO LOPEZ MARTINEZ"/>
        <s v="ARACELI CASTILLO GUERRERO"/>
        <s v="CESAR PIÑA BARONA"/>
        <s v="CLAUDIA LEAÑOS"/>
        <s v="IVAN MOGUEL PULIDO"/>
        <s v="JESUS AURELIO NUNGARAY CASTILLO"/>
        <s v="JORGE VAZQUEZ HERNANDEZ"/>
        <s v="JOSE GUADALUPE GARCIA MORALES"/>
        <s v="JOSE JUAN HERNANDEZ MEJIA"/>
        <s v="OSCAR BLANCAS NORIEGA"/>
        <s v="ULISES ITIEL CASTILLO AVILA"/>
        <s v="ABRAHAM ESCOBEDO ESCALANTE"/>
        <s v="DIEGO SANCHEZ"/>
        <s v="EDGAR GEOVANY URIBE"/>
        <s v="IRAM HERNANDEZ"/>
        <s v="JOSE GUILLERMO HERNANDEZ RAMIREZ"/>
        <s v="FERNANDO ESQUIVEL SOSA"/>
        <s v="JUAN CARLOS MUÑOZ"/>
        <s v="SIN CONDUCTOR"/>
        <s v="MARIO ALBERTO ROJAS"/>
        <s v="RODOLFO AVANTES"/>
        <s v="DAVID ARTURO GONZALEZ TELLEZ"/>
        <s v="JULIO CESAR LOPEZ"/>
        <s v="JOSE ALFREDO MUÑOZ"/>
        <s v="NESTOR NOE HERNANDEZ"/>
        <s v="JAIME VALENCIA"/>
        <s v="RAUL FRANCISCO VAZQUEZ CORTE"/>
        <s v="MANUEL GARCIA MARTINEZ"/>
        <s v="YARETH ABRAHAM MORALES"/>
        <s v="EDGAR DAMIAN MARTINEZ"/>
        <s v="FERNANDO FUENTES OTERO"/>
        <s v="ALFONSO GONZALEZ MORALES"/>
        <s v="MARIA DEL CARMEN ALVARADO ALEJO"/>
        <s v="ALEJANDRO CABALLERO POMPA"/>
        <s v="JOSE DE JESUS PEREZ GARCIA"/>
        <s v="JUAN FERNANDO GUTIERREZ FELIX"/>
        <s v="ROMMINA LUGO"/>
        <s v="ALAN ALCANTARA CRUZ"/>
        <s v="PABLO MANUEL CARDENAS"/>
        <s v="GABRIEL FRANCO"/>
        <s v="JUAN CARLOS MEDINA LIMON"/>
        <s v="RICARDO OMAR CAMACHO ZUÑIGA"/>
        <s v="RICARDO SANCHEZ ASTORGA"/>
        <s v="LUIS ANGEL CASTAÑEDA"/>
        <s v="YOSHUA JARETH VALDEZ HERNANDEZ"/>
        <s v="JESUS ALBERTO CORTES"/>
        <s v="VICTOR HUGO RUIZ CASTILLO"/>
        <s v="JOSE AGUILAR SOTO"/>
        <s v="JUAN DIEGO GONZALEZ PEREZ"/>
        <s v="RUBI ROBLES SALMERON"/>
        <s v="ARMANDO MARTINEZ VELAZQUEZ"/>
        <s v="DANIEL CRUZ RODRIGUEZ"/>
        <s v="ADRIAN CRUZ CUADROS"/>
        <s v="ANGEL ALCANTARA CRUZ"/>
        <s v="RUBEN BERMEJO RUIZ"/>
        <s v="FRANCISCO ISLAS CHAVEZ"/>
        <s v="MIGUEL INOCENTE TORRES"/>
        <s v="GABRIEL JIMENEZ BAUTISTA"/>
        <s v="GABRIEL LUNA"/>
        <s v="ADALBERTO BELLO NAVARRO"/>
        <s v="JOSE LUIS HERNANDEZ MEDINA"/>
        <s v="JULIO RICARDO GONZALEZ GARCIA"/>
        <s v="SALVADOR REGALADO CORDOVA"/>
        <s v="DAVID MARTINEZ"/>
        <s v="FRANCISCO RODOLFO GOMEZ URQUIZA ESCALANTE"/>
        <s v="GONZALO LEYVA MORLAN"/>
        <s v="DANIEL OMKIN GARCIA"/>
        <s v="RICARDO HERNANDEZ ARIAS"/>
        <s v="SAUL DOMINGUEZ VAZQUEZ"/>
        <s v="JESUS DAVILA CASTAÑEDA"/>
        <s v="TOLENTINO JOSETH PEREZ GONZALEZ"/>
        <s v="MARTIN ALEJANDRO CRUZ TORRES"/>
        <s v="FIDEL ALEJANDRO SANCHEZ VERGARA"/>
        <s v="ALEJANDRO LUCIO GONZALEZ"/>
        <s v="RAYMUNDO CHAVEZ DELGADO"/>
        <s v="ALEJANDRO PAZ CAMACHO"/>
        <s v="LUIS JOARI RODRIGUEZ ZUÑIGA"/>
        <s v="CAMILO IESUA MEJIA DIAZ"/>
        <s v="ALBERTO ARRIAGA MEJIA"/>
        <s v="SERGIO BALDERAS BAEZ"/>
        <s v="CRISTIAN HERNANDEZ MUNGUIA"/>
        <s v="ALAN XAVIER LARA JIMENEZ"/>
        <s v="GERMAN LUSARRETA ROMERO"/>
        <s v="FERNANDO GARRIDO GARNICA"/>
        <s v="JESUS ROSALES GARCIA"/>
        <s v="FRANCISCO GOMEZ URQUIZA SILVA"/>
        <s v="NICASIO EMOS CONTRERAS"/>
        <s v="MARCO ANTONIO FARIAS AVILES"/>
        <s v="JONATHAN BERNAL RODRIGUEZ"/>
        <s v="JUAN PABLO HERNANDEZ ALMAZAN"/>
        <s v="KRISTOPHER ALEXANDER TORREALBA RAMOS"/>
        <s v="JUAN CARLOS ZEA CRUZ"/>
        <s v="EDUARDO LICONA GODINEZ"/>
        <s v="OSCAR CONTRERAS ZUÑIGA"/>
        <s v="DIEGO ISAID PULIDO"/>
        <s v="RUBEN BERMEJO"/>
        <s v="XAVIER ALAN LARA JIMENEZ"/>
        <s v="DANIEL CASTAÑEDA LOPEZ"/>
        <s v="JAVIER MEDINA JAIMES"/>
        <s v="JOEL RAUL PEREA PEÑA"/>
        <s v="JORGE IVAN PALOMINO PEREZ FIGUEROA"/>
        <s v="JUAN PABLO COLIN HERMENEGILDO"/>
        <s v="KEVIN ALEXIS MERLOS CORTES"/>
        <s v="OSCAR IVAN MIÑON RAMIREZ"/>
        <s v="DAVID ROMERO JAIME"/>
        <s v="DIEGO DIAZ BARRIGA GARCIA"/>
        <s v="IVAN GENARO BOCANEGRA MARTINEZ"/>
        <s v="TOMAS ARIAS ESPINOSA"/>
        <s v="ALAN DAVID SALAZAR HERNANDEZ"/>
        <s v="ALEJANDRA URBAN VALENCIA"/>
        <s v="ANA YAEL RAMIREZ VELASCO"/>
        <s v="BRYAN OMAR HERNANDEZ ANTUNEZ"/>
        <s v="LUIS EDGARDO AYALA ALVAREZ"/>
        <s v="PEDRO ARELLANO PEREZ"/>
        <s v="RAFAEL HUERTA MONDRAGON"/>
        <s v="RODOLFO VILLEDA MACIAS"/>
        <s v="YANIZ MANUEL SILVA PUPO"/>
        <s v="ABRAHAM RODRIGUEZ HERNANDEZ"/>
        <s v="IGNACIO ISRAEL GONZALEZ RUIZ"/>
        <s v="SAUL GONZALEZ RIVAS"/>
        <s v="CESAR AXEL SANTIAGO GARCIA"/>
        <s v="EDUARDO RIVERA LAVIN"/>
        <s v="QUIRINO FLORES ROQUE"/>
        <s v="ADOLFO ANGEL ESTRADA RODRIGUEZ"/>
        <s v="ARMANDO CARDENAS TRUJILLO"/>
        <s v="LUIS AXEL RODRIGUEZ RANGEL"/>
        <s v="EDSON GABRIEL AMBRIZ ALVARADO"/>
        <s v="EMMANUEL LARA HERNANDEZ"/>
        <s v="FERNANDO OSORNIO VILLASANA"/>
        <s v="JORGE ALEJANDRO HERNANDEZ VALLEJO"/>
        <s v="JORGE LUIS MEJIA LEOBARDO"/>
        <s v="JUAN CARLOS CASTRO CASTILLO"/>
        <s v="ULISES SANCHEZ HERNANDEZ"/>
        <s v="ALAN AURELIO ORTEGA ORDOÑEZ"/>
        <s v="ALEJANDRO VELAZQUEZ VARGAS"/>
        <s v="ANTONIO GUZMAN BARRON"/>
        <s v="EMILIANO SOLANO SALAZAR"/>
        <s v="FREDY PANTALEON VILLALOBOS"/>
        <s v="JOSE LUIS PEDRAZA AVILA"/>
        <s v="JOSE PABLO AGUILAR HERNANDEZ"/>
        <s v="RAUL NABOR MORIN MEJIA"/>
        <s v="RODOLFO VILLEDA MACIAS "/>
        <s v="ROBERTO HERNANDEZ GRANADOS"/>
        <s v="VERONICA POBLANO LOPEZ"/>
        <s v="GERARDO MIGUEL SANTILLAN VILLANUEVA"/>
        <s v="ADRIAN GUITIERREZ MARTINEZ"/>
        <s v="ALBERTO ANTHAR MORALES BAEZ"/>
        <s v="ELIZABETH VELASCO ALANIZ"/>
        <s v="FELIPE GONZALEZ CASTRO"/>
      </sharedItems>
    </cacheField>
    <cacheField name="AUTO" numFmtId="0">
      <sharedItems containsBlank="1"/>
    </cacheField>
    <cacheField name="SOCIO" numFmtId="0">
      <sharedItems/>
    </cacheField>
    <cacheField name="PLATAFORMA" numFmtId="0">
      <sharedItems/>
    </cacheField>
    <cacheField name="APP" numFmtId="0">
      <sharedItems/>
    </cacheField>
    <cacheField name="GANANCIAS TOTALES" numFmtId="38">
      <sharedItems containsSemiMixedTypes="0" containsString="0" containsNumber="1" minValue="-7225" maxValue="8757"/>
    </cacheField>
    <cacheField name="META" numFmtId="0">
      <sharedItems containsBlank="1" containsMixedTypes="1" containsNumber="1" containsInteger="1" minValue="2500" maxValue="2500" count="3">
        <n v="2500"/>
        <m/>
        <s v=" "/>
      </sharedItems>
    </cacheField>
    <cacheField name="FIANZA" numFmtId="0">
      <sharedItems containsString="0" containsBlank="1" containsNumber="1" containsInteger="1" minValue="1000" maxValue="2000"/>
    </cacheField>
    <cacheField name="COMENTARIO" numFmtId="0">
      <sharedItems containsBlank="1" containsMixedTypes="1" containsNumber="1" containsInteger="1" minValue="46095" maxValue="460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2">
  <r>
    <x v="0"/>
    <x v="0"/>
    <x v="0"/>
    <s v="AVEO|2021|OCRE|NEB156A"/>
    <s v="ASHC"/>
    <s v="IVETH"/>
    <s v="UBER"/>
    <n v="2143.1396000000004"/>
    <x v="0"/>
    <m/>
    <m/>
  </r>
  <r>
    <x v="0"/>
    <x v="0"/>
    <x v="1"/>
    <s v="AVEO|2018|GRIS|X59AWG"/>
    <s v="ASHC"/>
    <s v="ASHC"/>
    <s v="UBER"/>
    <n v="2142.85"/>
    <x v="0"/>
    <m/>
    <m/>
  </r>
  <r>
    <x v="0"/>
    <x v="0"/>
    <x v="2"/>
    <s v="HYUNDAI|2022|PLATA|D40BKD"/>
    <s v="ASHC"/>
    <s v="IVETH"/>
    <s v="UBER"/>
    <n v="2210.15"/>
    <x v="0"/>
    <m/>
    <m/>
  </r>
  <r>
    <x v="0"/>
    <x v="0"/>
    <x v="3"/>
    <s v="KIA RIO|2017|ROJO|MYE912A"/>
    <s v="U64"/>
    <s v="ASHC"/>
    <s v="UBER"/>
    <n v="2653.1484"/>
    <x v="0"/>
    <m/>
    <m/>
  </r>
  <r>
    <x v="0"/>
    <x v="0"/>
    <x v="4"/>
    <s v="VERSA|2023|PLATA|NCT814A"/>
    <s v="ASHC"/>
    <s v="ASHC"/>
    <s v="UBER"/>
    <n v="1214.28"/>
    <x v="0"/>
    <m/>
    <m/>
  </r>
  <r>
    <x v="0"/>
    <x v="0"/>
    <x v="5"/>
    <s v="VENTO|2020|GRIS|R66BER"/>
    <s v="ASHC"/>
    <s v="ASHC"/>
    <s v="UBER"/>
    <n v="2827.0928000000008"/>
    <x v="0"/>
    <m/>
    <m/>
  </r>
  <r>
    <x v="0"/>
    <x v="0"/>
    <x v="6"/>
    <s v="AVEO|2018|GRIS|X59AWG"/>
    <s v="ASHC"/>
    <s v="ASHC"/>
    <s v="UBER"/>
    <n v="2142.85"/>
    <x v="0"/>
    <m/>
    <m/>
  </r>
  <r>
    <x v="0"/>
    <x v="0"/>
    <x v="7"/>
    <s v="MARCH|2020|TURQ|N15BKD"/>
    <s v="ASHC"/>
    <s v="ASHC"/>
    <s v="UBER"/>
    <n v="2643.7960000000007"/>
    <x v="0"/>
    <m/>
    <m/>
  </r>
  <r>
    <x v="0"/>
    <x v="0"/>
    <x v="8"/>
    <s v="VERSA|2017|ACERO|X24APU"/>
    <s v="ASHC"/>
    <s v="ASHC"/>
    <s v="UBER"/>
    <n v="3018.6268000000009"/>
    <x v="0"/>
    <m/>
    <m/>
  </r>
  <r>
    <x v="0"/>
    <x v="0"/>
    <x v="9"/>
    <s v="VENTO|2017|GRIS|NZV7888"/>
    <s v="ASHC"/>
    <s v="ASHC"/>
    <s v="UBER"/>
    <n v="3534.4679999999998"/>
    <x v="0"/>
    <m/>
    <m/>
  </r>
  <r>
    <x v="0"/>
    <x v="0"/>
    <x v="10"/>
    <s v="KIA RIO|2020|GRIS|NCK475B"/>
    <s v="ASHC"/>
    <s v="IVETH"/>
    <s v="UBER"/>
    <n v="2142.85"/>
    <x v="0"/>
    <m/>
    <m/>
  </r>
  <r>
    <x v="0"/>
    <x v="1"/>
    <x v="11"/>
    <s v="BEAT|2020|GRIS|NFN014B"/>
    <s v="U64"/>
    <s v="ASHC"/>
    <s v="UBER"/>
    <n v="-210.85200000000009"/>
    <x v="0"/>
    <m/>
    <m/>
  </r>
  <r>
    <x v="0"/>
    <x v="1"/>
    <x v="0"/>
    <s v="AVEO|2021|OCRE|NEB156A"/>
    <s v="ASHC"/>
    <s v="IVETH"/>
    <s v="UBER"/>
    <n v="2500"/>
    <x v="0"/>
    <m/>
    <m/>
  </r>
  <r>
    <x v="0"/>
    <x v="1"/>
    <x v="1"/>
    <s v="AVEO|2018|GRIS|X59AWG"/>
    <s v="ASHC"/>
    <s v="ASHC"/>
    <s v="UBER"/>
    <n v="2500.4880000000003"/>
    <x v="0"/>
    <m/>
    <m/>
  </r>
  <r>
    <x v="0"/>
    <x v="1"/>
    <x v="2"/>
    <s v="HYUNDAI|2022|PLATA|D40BKD"/>
    <s v="ASHC"/>
    <s v="IVETH"/>
    <s v="UBER"/>
    <n v="2500"/>
    <x v="0"/>
    <m/>
    <m/>
  </r>
  <r>
    <x v="0"/>
    <x v="1"/>
    <x v="3"/>
    <s v="KIA RIO|2017|ROJO|MYE912A"/>
    <s v="U64"/>
    <s v="ASHC"/>
    <s v="UBER"/>
    <n v="1591.6443999999992"/>
    <x v="0"/>
    <m/>
    <m/>
  </r>
  <r>
    <x v="0"/>
    <x v="1"/>
    <x v="12"/>
    <s v="VENTO|2020|GRIS|R66BER"/>
    <s v="ASHC"/>
    <s v="ASHC"/>
    <s v="UBER"/>
    <n v="1928.2059999999997"/>
    <x v="0"/>
    <m/>
    <m/>
  </r>
  <r>
    <x v="0"/>
    <x v="1"/>
    <x v="13"/>
    <s v="AVEO|2019|PLATA|NEL860A"/>
    <s v="ASHC"/>
    <s v="ASHC"/>
    <s v="UBER"/>
    <n v="3000"/>
    <x v="0"/>
    <m/>
    <m/>
  </r>
  <r>
    <x v="0"/>
    <x v="1"/>
    <x v="14"/>
    <s v="AVEO|2022|AZUL|MUF515A"/>
    <s v="ASHC"/>
    <s v="ASHC"/>
    <s v="UBER"/>
    <n v="3000"/>
    <x v="0"/>
    <m/>
    <m/>
  </r>
  <r>
    <x v="0"/>
    <x v="1"/>
    <x v="4"/>
    <s v="VERSA|2023|PLATA|NCT814A"/>
    <s v="ASHC"/>
    <s v="ASHC"/>
    <s v="UBER"/>
    <n v="3000"/>
    <x v="0"/>
    <m/>
    <m/>
  </r>
  <r>
    <x v="0"/>
    <x v="1"/>
    <x v="5"/>
    <s v="VENTO|2020|GRIS|R66BER"/>
    <s v="ASHC"/>
    <s v="ASHC"/>
    <s v="UBER"/>
    <n v="713.53919999999994"/>
    <x v="0"/>
    <m/>
    <m/>
  </r>
  <r>
    <x v="0"/>
    <x v="1"/>
    <x v="6"/>
    <s v="AVEO|2018|GRIS|X59AWG"/>
    <s v="ASHC"/>
    <s v="ASHC"/>
    <s v="UBER"/>
    <n v="2500"/>
    <x v="0"/>
    <m/>
    <m/>
  </r>
  <r>
    <x v="0"/>
    <x v="1"/>
    <x v="7"/>
    <s v="MARCH|2020|TURQ|N15BKD"/>
    <s v="ASHC"/>
    <s v="ASHC"/>
    <s v="UBER"/>
    <n v="4151.9216000000006"/>
    <x v="0"/>
    <m/>
    <m/>
  </r>
  <r>
    <x v="0"/>
    <x v="1"/>
    <x v="15"/>
    <s v="AVEO|2018|ROJO|R51BKD"/>
    <s v="U64"/>
    <s v="ASHC"/>
    <s v="UBER"/>
    <n v="2500"/>
    <x v="0"/>
    <m/>
    <m/>
  </r>
  <r>
    <x v="0"/>
    <x v="1"/>
    <x v="8"/>
    <s v="VERSA|2017|ACERO|X24APU"/>
    <s v="ASHC"/>
    <s v="ASHC"/>
    <s v="UBER"/>
    <n v="2995.3451999999997"/>
    <x v="0"/>
    <m/>
    <m/>
  </r>
  <r>
    <x v="0"/>
    <x v="1"/>
    <x v="9"/>
    <s v="VENTO|2017|GRIS|NZV7888"/>
    <s v="ASHC"/>
    <s v="ASHC"/>
    <s v="UBER"/>
    <n v="2896.7251999999999"/>
    <x v="0"/>
    <m/>
    <m/>
  </r>
  <r>
    <x v="0"/>
    <x v="1"/>
    <x v="10"/>
    <s v="KIA RIO|2020|GRIS|NCK475B"/>
    <s v="ASHC"/>
    <s v="IVETH"/>
    <s v="UBER"/>
    <n v="2500"/>
    <x v="0"/>
    <m/>
    <m/>
  </r>
  <r>
    <x v="0"/>
    <x v="2"/>
    <x v="11"/>
    <s v="BEAT|2020|GRIS|NFN014B"/>
    <s v="U64"/>
    <s v="ASHC"/>
    <s v="UBER"/>
    <n v="-1733.5503999999992"/>
    <x v="0"/>
    <m/>
    <m/>
  </r>
  <r>
    <x v="0"/>
    <x v="2"/>
    <x v="0"/>
    <s v="AVEO|2021|OCRE|NEB156A"/>
    <s v="ASHC"/>
    <s v="ASHC"/>
    <s v="UBER"/>
    <n v="1071.6199999999999"/>
    <x v="0"/>
    <m/>
    <m/>
  </r>
  <r>
    <x v="0"/>
    <x v="2"/>
    <x v="0"/>
    <s v="AVEO|2021|OCRE|NEB156A"/>
    <s v="ASHC"/>
    <s v="IVETH"/>
    <s v="UBER"/>
    <n v="1429.2987999999996"/>
    <x v="1"/>
    <m/>
    <m/>
  </r>
  <r>
    <x v="0"/>
    <x v="2"/>
    <x v="1"/>
    <s v="AVEO|2018|GRIS|X59AWG"/>
    <s v="ASHC"/>
    <s v="ASHC"/>
    <s v="UBER"/>
    <n v="2499.1899999999996"/>
    <x v="0"/>
    <m/>
    <m/>
  </r>
  <r>
    <x v="0"/>
    <x v="2"/>
    <x v="2"/>
    <s v="HYUNDAI|2022|PLATA|D40BKD"/>
    <s v="ASHC"/>
    <s v="ASHC"/>
    <s v="UBER"/>
    <n v="2371"/>
    <x v="0"/>
    <m/>
    <m/>
  </r>
  <r>
    <x v="0"/>
    <x v="2"/>
    <x v="2"/>
    <s v="HYUNDAI|2022|PLATA|D40BKD"/>
    <s v="ASHC"/>
    <s v="IVETH"/>
    <s v="UBER"/>
    <n v="1429"/>
    <x v="1"/>
    <m/>
    <m/>
  </r>
  <r>
    <x v="0"/>
    <x v="2"/>
    <x v="3"/>
    <s v="KIA RIO|2017|ROJO|MYE912A"/>
    <s v="U64"/>
    <s v="ASHC"/>
    <s v="UBER"/>
    <n v="0"/>
    <x v="0"/>
    <m/>
    <m/>
  </r>
  <r>
    <x v="0"/>
    <x v="2"/>
    <x v="12"/>
    <s v="VENTO|2020|GRIS|R66BER"/>
    <s v="ASHC"/>
    <s v="ASHC"/>
    <s v="UBER"/>
    <n v="3019.8423999999995"/>
    <x v="0"/>
    <m/>
    <m/>
  </r>
  <r>
    <x v="0"/>
    <x v="2"/>
    <x v="13"/>
    <s v="AVEO|2019|PLATA|NEL860A"/>
    <s v="ASHC"/>
    <s v="ASHC"/>
    <s v="UBER"/>
    <n v="3000"/>
    <x v="0"/>
    <m/>
    <m/>
  </r>
  <r>
    <x v="0"/>
    <x v="2"/>
    <x v="16"/>
    <s v="VENTO|2018|AMARILLO|PED1652"/>
    <s v="ASHC"/>
    <s v="ASHC"/>
    <s v="UBER"/>
    <n v="2468"/>
    <x v="0"/>
    <m/>
    <m/>
  </r>
  <r>
    <x v="0"/>
    <x v="2"/>
    <x v="14"/>
    <s v="AVEO|2022|AZUL|MUF515A"/>
    <s v="ASHC"/>
    <s v="ASHC"/>
    <s v="UBER"/>
    <n v="2800"/>
    <x v="0"/>
    <m/>
    <m/>
  </r>
  <r>
    <x v="0"/>
    <x v="2"/>
    <x v="4"/>
    <s v="VERSA|2023|PLATA|NCT814A"/>
    <s v="ASHC"/>
    <s v="ASHC"/>
    <s v="UBER"/>
    <n v="4500"/>
    <x v="0"/>
    <m/>
    <m/>
  </r>
  <r>
    <x v="0"/>
    <x v="2"/>
    <x v="6"/>
    <s v="AVEO|2018|GRIS|X59AWG"/>
    <s v="ASHC"/>
    <s v="ASHC"/>
    <s v="UBER"/>
    <n v="357.15"/>
    <x v="0"/>
    <m/>
    <m/>
  </r>
  <r>
    <x v="0"/>
    <x v="2"/>
    <x v="7"/>
    <s v="MARCH|2020|TURQ|N15BKD"/>
    <s v="ASHC"/>
    <s v="ASHC"/>
    <s v="UBER"/>
    <n v="3654.5425000000005"/>
    <x v="0"/>
    <m/>
    <m/>
  </r>
  <r>
    <x v="0"/>
    <x v="2"/>
    <x v="15"/>
    <s v="AVEO|2018|ROJO|R51BKD"/>
    <s v="U64"/>
    <s v="ASHC"/>
    <s v="UBER"/>
    <n v="3000"/>
    <x v="0"/>
    <m/>
    <m/>
  </r>
  <r>
    <x v="0"/>
    <x v="2"/>
    <x v="8"/>
    <s v="VERSA|2017|ACERO|X24APU"/>
    <s v="ASHC"/>
    <s v="ASHC"/>
    <s v="UBER"/>
    <n v="3558.2585000000008"/>
    <x v="0"/>
    <m/>
    <m/>
  </r>
  <r>
    <x v="0"/>
    <x v="2"/>
    <x v="17"/>
    <s v="AVEO|2019|BLANCO|NBS225A"/>
    <s v="ASHC"/>
    <s v="IVETH"/>
    <s v="UBER"/>
    <n v="1320.4815999999996"/>
    <x v="0"/>
    <m/>
    <m/>
  </r>
  <r>
    <x v="0"/>
    <x v="2"/>
    <x v="9"/>
    <s v="VENTO|2017|GRIS|NZV7888"/>
    <s v="ASHC"/>
    <s v="ASHC"/>
    <s v="UBER"/>
    <n v="2799.8492999999989"/>
    <x v="0"/>
    <m/>
    <m/>
  </r>
  <r>
    <x v="0"/>
    <x v="2"/>
    <x v="10"/>
    <s v="KIA RIO|2020|GRIS|NCK475B"/>
    <s v="ASHC"/>
    <s v="ASHC"/>
    <s v="UBER"/>
    <n v="1071"/>
    <x v="0"/>
    <m/>
    <m/>
  </r>
  <r>
    <x v="0"/>
    <x v="2"/>
    <x v="10"/>
    <s v="KIA RIO|2020|GRIS|NCK475B"/>
    <s v="ASHC"/>
    <s v="IVETH"/>
    <s v="UBER"/>
    <n v="1429"/>
    <x v="1"/>
    <m/>
    <m/>
  </r>
  <r>
    <x v="0"/>
    <x v="3"/>
    <x v="0"/>
    <s v="AVEO|2021|OCRE|NEB156A"/>
    <s v="ASHC"/>
    <s v="IVETH"/>
    <s v="UBER"/>
    <n v="2500"/>
    <x v="0"/>
    <m/>
    <m/>
  </r>
  <r>
    <x v="0"/>
    <x v="3"/>
    <x v="1"/>
    <s v="AVEO|2018|GRIS|X59AWG"/>
    <s v="ASHC"/>
    <s v="ASHC"/>
    <s v="UBER"/>
    <n v="-400"/>
    <x v="0"/>
    <m/>
    <m/>
  </r>
  <r>
    <x v="0"/>
    <x v="3"/>
    <x v="2"/>
    <s v="HYUNDAI|2022|PLATA|D40BKD"/>
    <s v="ASHC"/>
    <s v="IVETH"/>
    <s v="UBER"/>
    <n v="-2500"/>
    <x v="0"/>
    <m/>
    <m/>
  </r>
  <r>
    <x v="0"/>
    <x v="3"/>
    <x v="12"/>
    <s v="VENTO|2020|GRIS|R66BER"/>
    <s v="ASHC"/>
    <s v="ASHC"/>
    <s v="UBER"/>
    <n v="3000.1000000000004"/>
    <x v="0"/>
    <m/>
    <m/>
  </r>
  <r>
    <x v="0"/>
    <x v="3"/>
    <x v="13"/>
    <s v="AVEO|2019|PLATA|NEL860A"/>
    <s v="ASHC"/>
    <s v="ASHC"/>
    <s v="UBER"/>
    <n v="3000"/>
    <x v="0"/>
    <m/>
    <m/>
  </r>
  <r>
    <x v="0"/>
    <x v="3"/>
    <x v="16"/>
    <s v="VENTO|2018|AMARILLO|PED1652"/>
    <s v="ASHC"/>
    <s v="ASHC"/>
    <s v="UBER"/>
    <n v="3000"/>
    <x v="0"/>
    <m/>
    <m/>
  </r>
  <r>
    <x v="0"/>
    <x v="3"/>
    <x v="14"/>
    <s v="AVEO|2022|AZUL|MUF515A"/>
    <s v="ASHC"/>
    <s v="ASHC"/>
    <s v="UBER"/>
    <n v="3000"/>
    <x v="0"/>
    <m/>
    <m/>
  </r>
  <r>
    <x v="0"/>
    <x v="3"/>
    <x v="4"/>
    <s v="VERSA|2023|PLATA|NCT814A"/>
    <s v="ASHC"/>
    <s v="ASHC"/>
    <s v="UBER"/>
    <n v="3000"/>
    <x v="0"/>
    <m/>
    <m/>
  </r>
  <r>
    <x v="0"/>
    <x v="3"/>
    <x v="7"/>
    <s v="MARCH|2020|TURQ|N15BKD"/>
    <s v="ASHC"/>
    <s v="ASHC"/>
    <s v="UBER"/>
    <n v="1660.6000000000004"/>
    <x v="0"/>
    <m/>
    <m/>
  </r>
  <r>
    <x v="0"/>
    <x v="3"/>
    <x v="15"/>
    <s v="AVEO|2018|ROJO|R51BKD"/>
    <s v="U64"/>
    <s v="ASHC"/>
    <s v="UBER"/>
    <n v="2500"/>
    <x v="0"/>
    <m/>
    <m/>
  </r>
  <r>
    <x v="0"/>
    <x v="3"/>
    <x v="8"/>
    <s v="VERSA|2017|ACERO|X24APU"/>
    <s v="ASHC"/>
    <s v="ASHC"/>
    <s v="UBER"/>
    <n v="2883.0999999999985"/>
    <x v="0"/>
    <m/>
    <m/>
  </r>
  <r>
    <x v="0"/>
    <x v="3"/>
    <x v="17"/>
    <s v="AVEO|2019|BLANCO|NBS225A"/>
    <s v="ASHC"/>
    <s v="IVETH"/>
    <s v="UBER"/>
    <n v="2500"/>
    <x v="0"/>
    <m/>
    <m/>
  </r>
  <r>
    <x v="0"/>
    <x v="3"/>
    <x v="9"/>
    <s v="VENTO|2017|GRIS|NZV7888"/>
    <s v="ASHC"/>
    <s v="ASHC"/>
    <s v="UBER"/>
    <n v="2615.58"/>
    <x v="0"/>
    <m/>
    <m/>
  </r>
  <r>
    <x v="0"/>
    <x v="3"/>
    <x v="18"/>
    <s v="BEAT|2020|GRIS|NFN014B"/>
    <s v="U64"/>
    <s v="ASHC"/>
    <s v="UBER"/>
    <n v="0"/>
    <x v="0"/>
    <m/>
    <m/>
  </r>
  <r>
    <x v="0"/>
    <x v="3"/>
    <x v="10"/>
    <s v="KIA RIO|2020|GRIS|NCK475B"/>
    <s v="ASHC"/>
    <s v="IVETH"/>
    <s v="UBER"/>
    <n v="2500"/>
    <x v="0"/>
    <m/>
    <m/>
  </r>
  <r>
    <x v="0"/>
    <x v="4"/>
    <x v="0"/>
    <s v="AVEO|2021|OCRE|NEB156A"/>
    <s v="ASHC"/>
    <s v="IVETH"/>
    <s v="UBER"/>
    <n v="2499.3199999999997"/>
    <x v="0"/>
    <m/>
    <m/>
  </r>
  <r>
    <x v="0"/>
    <x v="4"/>
    <x v="1"/>
    <s v="AVEO|2018|GRIS|X59AWG"/>
    <s v="ASHC"/>
    <s v="ASHC"/>
    <s v="UBER"/>
    <n v="0"/>
    <x v="0"/>
    <m/>
    <m/>
  </r>
  <r>
    <x v="0"/>
    <x v="4"/>
    <x v="2"/>
    <s v="HYUNDAI|2022|PLATA|D40BKD"/>
    <s v="ASHC"/>
    <s v="IVETH"/>
    <s v="UBER"/>
    <n v="7500"/>
    <x v="0"/>
    <m/>
    <m/>
  </r>
  <r>
    <x v="0"/>
    <x v="4"/>
    <x v="12"/>
    <s v="VENTO|2020|GRIS|R66BER"/>
    <s v="ASHC"/>
    <s v="ASHC"/>
    <s v="UBER"/>
    <n v="2344.2199999999984"/>
    <x v="0"/>
    <m/>
    <m/>
  </r>
  <r>
    <x v="0"/>
    <x v="4"/>
    <x v="13"/>
    <s v="AVEO|2019|PLATA|NEL860A"/>
    <s v="ASHC"/>
    <s v="ASHC"/>
    <s v="UBER"/>
    <n v="3000"/>
    <x v="0"/>
    <m/>
    <m/>
  </r>
  <r>
    <x v="0"/>
    <x v="4"/>
    <x v="16"/>
    <s v="VENTO|2018|AMARILLO|PED1652"/>
    <s v="ASHC"/>
    <s v="ASHC"/>
    <s v="UBER"/>
    <n v="2535"/>
    <x v="0"/>
    <m/>
    <m/>
  </r>
  <r>
    <x v="0"/>
    <x v="4"/>
    <x v="14"/>
    <s v="AVEO|2022|AZUL|MUF515A"/>
    <s v="ASHC"/>
    <s v="ASHC"/>
    <s v="UBER"/>
    <n v="2264.2857142857138"/>
    <x v="0"/>
    <m/>
    <m/>
  </r>
  <r>
    <x v="0"/>
    <x v="4"/>
    <x v="4"/>
    <s v="VERSA|2023|PLATA|NCT814A"/>
    <s v="ASHC"/>
    <s v="ASHC"/>
    <s v="UBER"/>
    <n v="3000"/>
    <x v="0"/>
    <m/>
    <m/>
  </r>
  <r>
    <x v="0"/>
    <x v="4"/>
    <x v="7"/>
    <s v="MARCH|2020|TURQ|N15BKD"/>
    <s v="ASHC"/>
    <s v="ASHC"/>
    <s v="UBER"/>
    <n v="2920"/>
    <x v="0"/>
    <m/>
    <m/>
  </r>
  <r>
    <x v="0"/>
    <x v="4"/>
    <x v="15"/>
    <s v="AVEO|2018|ROJO|R51BKD"/>
    <s v="U64"/>
    <s v="ASHC"/>
    <s v="UBER"/>
    <n v="2472"/>
    <x v="0"/>
    <m/>
    <m/>
  </r>
  <r>
    <x v="0"/>
    <x v="4"/>
    <x v="8"/>
    <s v="VERSA|2017|ACERO|X24APU"/>
    <s v="ASHC"/>
    <s v="ASHC"/>
    <s v="UBER"/>
    <n v="3000"/>
    <x v="0"/>
    <m/>
    <m/>
  </r>
  <r>
    <x v="0"/>
    <x v="4"/>
    <x v="17"/>
    <s v="AVEO|2019|BLANCO|NBS225A"/>
    <s v="ASHC"/>
    <s v="IVETH"/>
    <s v="UBER"/>
    <n v="2666.8200000000006"/>
    <x v="0"/>
    <m/>
    <m/>
  </r>
  <r>
    <x v="0"/>
    <x v="4"/>
    <x v="9"/>
    <s v="VENTO|2017|GRIS|NZV7888"/>
    <s v="ASHC"/>
    <s v="ASHC"/>
    <s v="UBER"/>
    <n v="1186.3999999999996"/>
    <x v="0"/>
    <m/>
    <m/>
  </r>
  <r>
    <x v="0"/>
    <x v="4"/>
    <x v="18"/>
    <s v="BEAT|2020|GRIS|NFN014B"/>
    <s v="U64"/>
    <s v="ASHC"/>
    <s v="UBER"/>
    <n v="0"/>
    <x v="0"/>
    <m/>
    <m/>
  </r>
  <r>
    <x v="0"/>
    <x v="4"/>
    <x v="10"/>
    <s v="KIA RIO|2020|GRIS|NCK475B"/>
    <s v="ASHC"/>
    <s v="IVETH"/>
    <s v="UBER"/>
    <n v="2500"/>
    <x v="0"/>
    <m/>
    <m/>
  </r>
  <r>
    <x v="0"/>
    <x v="5"/>
    <x v="0"/>
    <s v="AVEO|2021|OCRE|NEB156A"/>
    <s v="ASHC"/>
    <s v="IVETH"/>
    <s v="UBER"/>
    <n v="2500"/>
    <x v="0"/>
    <m/>
    <m/>
  </r>
  <r>
    <x v="0"/>
    <x v="5"/>
    <x v="2"/>
    <s v="HYUNDAI|2022|PLATA|D40BKD"/>
    <s v="ASHC"/>
    <s v="IVETH"/>
    <s v="UBER"/>
    <n v="2500"/>
    <x v="0"/>
    <m/>
    <m/>
  </r>
  <r>
    <x v="0"/>
    <x v="5"/>
    <x v="12"/>
    <s v="VENTO|2020|GRIS|R66BER"/>
    <s v="ASHC"/>
    <s v="ASHC"/>
    <s v="UBER"/>
    <n v="1573.1400000000012"/>
    <x v="0"/>
    <m/>
    <m/>
  </r>
  <r>
    <x v="0"/>
    <x v="5"/>
    <x v="13"/>
    <s v="AVEO|2019|PLATA|NEL860A"/>
    <s v="ASHC"/>
    <s v="ASHC"/>
    <s v="UBER"/>
    <n v="2843"/>
    <x v="0"/>
    <m/>
    <m/>
  </r>
  <r>
    <x v="0"/>
    <x v="5"/>
    <x v="16"/>
    <s v="VENTO|2018|AMARILLO|PED1652"/>
    <s v="ASHC"/>
    <s v="ASHC"/>
    <s v="UBER"/>
    <n v="2961.5599999999995"/>
    <x v="0"/>
    <m/>
    <m/>
  </r>
  <r>
    <x v="0"/>
    <x v="5"/>
    <x v="14"/>
    <s v="AVEO|2022|AZUL|MUF515A"/>
    <s v="ASHC"/>
    <s v="ASHC"/>
    <s v="UBER"/>
    <n v="3000"/>
    <x v="0"/>
    <m/>
    <m/>
  </r>
  <r>
    <x v="0"/>
    <x v="5"/>
    <x v="4"/>
    <s v="VERSA|2023|PLATA|NCT814A"/>
    <s v="ASHC"/>
    <s v="ASHC"/>
    <s v="UBER"/>
    <n v="3065"/>
    <x v="0"/>
    <m/>
    <m/>
  </r>
  <r>
    <x v="0"/>
    <x v="5"/>
    <x v="7"/>
    <s v="MARCH|2020|TURQ|N15BKD"/>
    <s v="ASHC"/>
    <s v="ASHC"/>
    <s v="UBER"/>
    <n v="2499.9799999999996"/>
    <x v="0"/>
    <m/>
    <m/>
  </r>
  <r>
    <x v="0"/>
    <x v="5"/>
    <x v="15"/>
    <s v="AVEO|2018|ROJO|R51BKD"/>
    <s v="U64"/>
    <s v="ASHC"/>
    <s v="UBER"/>
    <n v="2491"/>
    <x v="0"/>
    <m/>
    <m/>
  </r>
  <r>
    <x v="0"/>
    <x v="5"/>
    <x v="8"/>
    <s v="VERSA|2017|ACERO|X24APU"/>
    <s v="ASHC"/>
    <s v="ASHC"/>
    <s v="UBER"/>
    <n v="2822.2114285714279"/>
    <x v="0"/>
    <m/>
    <m/>
  </r>
  <r>
    <x v="0"/>
    <x v="5"/>
    <x v="17"/>
    <s v="AVEO|2019|BLANCO|NBS225A"/>
    <s v="ASHC"/>
    <s v="IVETH"/>
    <s v="UBER"/>
    <n v="5199.04"/>
    <x v="0"/>
    <m/>
    <m/>
  </r>
  <r>
    <x v="0"/>
    <x v="5"/>
    <x v="19"/>
    <s v="AVEO|2018|GRIS|X59AWG"/>
    <s v="ASHC"/>
    <s v="ASHC"/>
    <s v="UBER"/>
    <n v="1065.7057142857138"/>
    <x v="0"/>
    <m/>
    <m/>
  </r>
  <r>
    <x v="0"/>
    <x v="5"/>
    <x v="9"/>
    <s v="VENTO|2017|GRIS|NZV7888"/>
    <s v="ASHC"/>
    <s v="ASHC"/>
    <s v="UBER"/>
    <n v="2800"/>
    <x v="0"/>
    <m/>
    <m/>
  </r>
  <r>
    <x v="0"/>
    <x v="5"/>
    <x v="20"/>
    <s v="BEAT|2020|GRIS|NFN014B"/>
    <s v="U64"/>
    <s v="ASHC"/>
    <s v="UBER"/>
    <n v="-96.894285714285616"/>
    <x v="0"/>
    <m/>
    <m/>
  </r>
  <r>
    <x v="0"/>
    <x v="5"/>
    <x v="10"/>
    <s v="KIA RIO|2020|GRIS|NCK475B"/>
    <s v="ASHC"/>
    <s v="IVETH"/>
    <s v="UBER"/>
    <n v="2500"/>
    <x v="0"/>
    <m/>
    <m/>
  </r>
  <r>
    <x v="0"/>
    <x v="6"/>
    <x v="0"/>
    <s v="AVEO|2021|OCRE|NEB156A"/>
    <s v="ASHC"/>
    <s v="IVETH"/>
    <s v="UBER"/>
    <n v="0"/>
    <x v="0"/>
    <m/>
    <m/>
  </r>
  <r>
    <x v="0"/>
    <x v="6"/>
    <x v="2"/>
    <s v="HYUNDAI|2022|PLATA|D40BKD"/>
    <s v="ASHC"/>
    <s v="IVETH"/>
    <s v="UBER"/>
    <n v="2500"/>
    <x v="0"/>
    <m/>
    <m/>
  </r>
  <r>
    <x v="0"/>
    <x v="6"/>
    <x v="12"/>
    <s v="VENTO|2020|GRIS|R66BER"/>
    <s v="ASHC"/>
    <s v="ASHC"/>
    <s v="UBER"/>
    <n v="-138.17999999999984"/>
    <x v="0"/>
    <m/>
    <m/>
  </r>
  <r>
    <x v="0"/>
    <x v="6"/>
    <x v="13"/>
    <s v="AVEO|2019|PLATA|NEL860A"/>
    <s v="ASHC"/>
    <s v="ASHC"/>
    <s v="UBER"/>
    <n v="96"/>
    <x v="0"/>
    <m/>
    <m/>
  </r>
  <r>
    <x v="0"/>
    <x v="6"/>
    <x v="16"/>
    <s v="VENTO|2018|AMARILLO|PED1652"/>
    <s v="ASHC"/>
    <s v="ASHC"/>
    <s v="UBER"/>
    <n v="0"/>
    <x v="0"/>
    <m/>
    <m/>
  </r>
  <r>
    <x v="0"/>
    <x v="6"/>
    <x v="14"/>
    <s v="AVEO|2022|AZUL|MUF515A"/>
    <s v="ASHC"/>
    <s v="ASHC"/>
    <s v="UBER"/>
    <n v="356"/>
    <x v="0"/>
    <m/>
    <m/>
  </r>
  <r>
    <x v="0"/>
    <x v="6"/>
    <x v="4"/>
    <s v="VERSA|2023|PLATA|NCT814A"/>
    <s v="ASHC"/>
    <s v="ASHC"/>
    <s v="UBER"/>
    <n v="1085"/>
    <x v="0"/>
    <m/>
    <m/>
  </r>
  <r>
    <x v="0"/>
    <x v="6"/>
    <x v="7"/>
    <s v="MARCH|2020|TURQ|N15BKD"/>
    <s v="ASHC"/>
    <s v="ASHC"/>
    <s v="UBER"/>
    <n v="45"/>
    <x v="0"/>
    <m/>
    <m/>
  </r>
  <r>
    <x v="0"/>
    <x v="6"/>
    <x v="15"/>
    <s v="AVEO|2018|ROJO|R51BKD"/>
    <s v="U64"/>
    <s v="ASHC"/>
    <s v="UBER"/>
    <n v="20"/>
    <x v="0"/>
    <m/>
    <m/>
  </r>
  <r>
    <x v="0"/>
    <x v="6"/>
    <x v="8"/>
    <s v="VERSA|2017|ACERO|X24APU"/>
    <s v="ASHC"/>
    <s v="ASHC"/>
    <s v="UBER"/>
    <n v="2826.2800000000007"/>
    <x v="0"/>
    <m/>
    <m/>
  </r>
  <r>
    <x v="0"/>
    <x v="6"/>
    <x v="17"/>
    <s v="AVEO|2019|BLANCO|NBS225A"/>
    <s v="ASHC"/>
    <s v="IVETH"/>
    <s v="UBER"/>
    <n v="0"/>
    <x v="0"/>
    <m/>
    <m/>
  </r>
  <r>
    <x v="0"/>
    <x v="6"/>
    <x v="19"/>
    <s v="AVEO|2018|GRIS|X59AWG"/>
    <s v="ASHC"/>
    <s v="ASHC"/>
    <s v="UBER"/>
    <n v="693.75999999999931"/>
    <x v="0"/>
    <m/>
    <m/>
  </r>
  <r>
    <x v="0"/>
    <x v="6"/>
    <x v="9"/>
    <s v="VENTO|2017|GRIS|NZV7888"/>
    <s v="ASHC"/>
    <s v="ASHC"/>
    <s v="UBER"/>
    <n v="567"/>
    <x v="0"/>
    <m/>
    <m/>
  </r>
  <r>
    <x v="0"/>
    <x v="6"/>
    <x v="20"/>
    <s v="BEAT|2020|GRIS|NFN014B"/>
    <s v="U64"/>
    <s v="ASHC"/>
    <s v="UBER"/>
    <n v="619.69999999999982"/>
    <x v="0"/>
    <m/>
    <m/>
  </r>
  <r>
    <x v="0"/>
    <x v="6"/>
    <x v="10"/>
    <s v="KIA RIO|2020|GRIS|NCK475B"/>
    <s v="ASHC"/>
    <s v="IVETH"/>
    <s v="UBER"/>
    <n v="0"/>
    <x v="0"/>
    <m/>
    <m/>
  </r>
  <r>
    <x v="0"/>
    <x v="7"/>
    <x v="0"/>
    <s v="AVEO|2021|OCRE|NEB156A"/>
    <s v="ASHC"/>
    <s v="IVETH"/>
    <s v="UBER"/>
    <n v="0"/>
    <x v="0"/>
    <m/>
    <m/>
  </r>
  <r>
    <x v="0"/>
    <x v="7"/>
    <x v="2"/>
    <s v="HYUNDAI|2022|PLATA|D40BKD"/>
    <s v="ASHC"/>
    <s v="IVETH"/>
    <s v="UBER"/>
    <n v="-554.47999999999968"/>
    <x v="0"/>
    <m/>
    <m/>
  </r>
  <r>
    <x v="0"/>
    <x v="7"/>
    <x v="21"/>
    <s v="BEAT|2020|GRIS|NFN014B"/>
    <s v="U64"/>
    <s v="ASHC"/>
    <s v="UBER"/>
    <n v="1186.282900213736"/>
    <x v="0"/>
    <m/>
    <m/>
  </r>
  <r>
    <x v="0"/>
    <x v="7"/>
    <x v="12"/>
    <s v="VENTO|2020|GRIS|R66BER"/>
    <s v="ASHC"/>
    <s v="ASHC"/>
    <s v="UBER"/>
    <n v="0"/>
    <x v="0"/>
    <m/>
    <m/>
  </r>
  <r>
    <x v="0"/>
    <x v="7"/>
    <x v="13"/>
    <s v="AVEO|2019|PLATA|NEL860A"/>
    <s v="ASHC"/>
    <s v="ASHC"/>
    <s v="UBER"/>
    <n v="-500"/>
    <x v="0"/>
    <m/>
    <m/>
  </r>
  <r>
    <x v="0"/>
    <x v="7"/>
    <x v="16"/>
    <s v="AVEO|2019|BLANCO|NBS225A"/>
    <s v="ASHC"/>
    <s v="ASHC"/>
    <s v="UBER"/>
    <n v="1114.8385165633688"/>
    <x v="0"/>
    <m/>
    <m/>
  </r>
  <r>
    <x v="0"/>
    <x v="7"/>
    <x v="14"/>
    <s v="AVEO|2022|AZUL|NZY685B"/>
    <s v="ASHC"/>
    <s v="ASHC"/>
    <s v="UBER"/>
    <n v="189.13"/>
    <x v="0"/>
    <m/>
    <m/>
  </r>
  <r>
    <x v="0"/>
    <x v="7"/>
    <x v="4"/>
    <s v="VERSA|2023|PLATA|NCT814A"/>
    <s v="ASHC"/>
    <s v="ASHC"/>
    <s v="UBER"/>
    <n v="3500"/>
    <x v="0"/>
    <m/>
    <m/>
  </r>
  <r>
    <x v="0"/>
    <x v="7"/>
    <x v="5"/>
    <s v="VENTO|2020|GRIS|R66BER"/>
    <s v="ASHC"/>
    <s v="ASHC"/>
    <s v="UBER"/>
    <n v="400"/>
    <x v="0"/>
    <m/>
    <m/>
  </r>
  <r>
    <x v="0"/>
    <x v="7"/>
    <x v="7"/>
    <s v="MARCH|2020|TURQ|N15BKD"/>
    <s v="ASHC"/>
    <s v="ASHC"/>
    <s v="UBER"/>
    <n v="2500"/>
    <x v="0"/>
    <m/>
    <m/>
  </r>
  <r>
    <x v="0"/>
    <x v="7"/>
    <x v="15"/>
    <s v="AVEO|2018|GRIS|X59AWG"/>
    <s v="ASHC"/>
    <s v="ASHC"/>
    <s v="UBER"/>
    <n v="2127.8571428571431"/>
    <x v="0"/>
    <m/>
    <m/>
  </r>
  <r>
    <x v="0"/>
    <x v="7"/>
    <x v="8"/>
    <s v="VERSA|2017|ACERO|X24APU"/>
    <s v="ASHC"/>
    <s v="ASHC"/>
    <s v="UBER"/>
    <n v="2500"/>
    <x v="0"/>
    <m/>
    <m/>
  </r>
  <r>
    <x v="0"/>
    <x v="7"/>
    <x v="22"/>
    <s v="AVEO|2019|PLATA|NEL860A"/>
    <s v="ASHC"/>
    <s v="ASHC"/>
    <s v="UBER"/>
    <n v="2142.8571428571431"/>
    <x v="0"/>
    <m/>
    <m/>
  </r>
  <r>
    <x v="0"/>
    <x v="7"/>
    <x v="9"/>
    <s v="VENTO|2017|GRIS|NZV7888"/>
    <s v="ASHC"/>
    <s v="ASHC"/>
    <s v="UBER"/>
    <n v="2557"/>
    <x v="0"/>
    <m/>
    <m/>
  </r>
  <r>
    <x v="0"/>
    <x v="7"/>
    <x v="10"/>
    <s v="KIA RIO|2020|GRIS|NCK475B"/>
    <s v="ASHC"/>
    <s v="IVETH"/>
    <s v="UBER"/>
    <n v="357.14285714285717"/>
    <x v="0"/>
    <m/>
    <m/>
  </r>
  <r>
    <x v="0"/>
    <x v="7"/>
    <x v="10"/>
    <s v="KIA RIO|2020|GRIS|NCK475B"/>
    <s v="ASHC"/>
    <s v="IVETH"/>
    <s v="UBER"/>
    <n v="0"/>
    <x v="1"/>
    <m/>
    <m/>
  </r>
  <r>
    <x v="0"/>
    <x v="8"/>
    <x v="0"/>
    <s v="AVEO|2021|OCRE|NEB156A"/>
    <s v="ASHC"/>
    <s v="IVETH"/>
    <s v="UBER"/>
    <n v="3000"/>
    <x v="0"/>
    <m/>
    <m/>
  </r>
  <r>
    <x v="0"/>
    <x v="8"/>
    <x v="2"/>
    <s v="HYUNDAI|2022|PLATA|D40BKD"/>
    <s v="ASHC"/>
    <s v="IVETH"/>
    <s v="UBER"/>
    <n v="2500.6999999999998"/>
    <x v="2"/>
    <m/>
    <m/>
  </r>
  <r>
    <x v="0"/>
    <x v="8"/>
    <x v="21"/>
    <s v="BEAT|2020|GRIS|NFN014B"/>
    <s v="U64"/>
    <s v="ASHC"/>
    <s v="UBER"/>
    <n v="2901"/>
    <x v="0"/>
    <m/>
    <m/>
  </r>
  <r>
    <x v="0"/>
    <x v="8"/>
    <x v="13"/>
    <s v="AVEO|2019|PLATA|NEL860A"/>
    <s v="ASHC"/>
    <s v="ASHC"/>
    <s v="UBER"/>
    <n v="-500"/>
    <x v="0"/>
    <m/>
    <m/>
  </r>
  <r>
    <x v="0"/>
    <x v="8"/>
    <x v="16"/>
    <s v="AVEO|2019|BLANCO|NBS225A"/>
    <s v="ASHC"/>
    <s v="ASHC"/>
    <s v="UBER"/>
    <n v="-640.08898766788798"/>
    <x v="0"/>
    <m/>
    <m/>
  </r>
  <r>
    <x v="0"/>
    <x v="8"/>
    <x v="14"/>
    <s v="AVEO|2022|AZUL|NZY685B"/>
    <s v="ASHC"/>
    <s v="ASHC"/>
    <s v="UBER"/>
    <n v="2800"/>
    <x v="0"/>
    <m/>
    <m/>
  </r>
  <r>
    <x v="0"/>
    <x v="8"/>
    <x v="4"/>
    <s v="VERSA|2023|PLATA|NCT814A"/>
    <s v="ASHC"/>
    <s v="ASHC"/>
    <s v="UBER"/>
    <n v="3500"/>
    <x v="0"/>
    <m/>
    <m/>
  </r>
  <r>
    <x v="0"/>
    <x v="8"/>
    <x v="5"/>
    <s v="VENTO|2020|GRIS|R66BER"/>
    <s v="ASHC"/>
    <s v="ASHC"/>
    <s v="UBER"/>
    <n v="5276.95"/>
    <x v="0"/>
    <m/>
    <m/>
  </r>
  <r>
    <x v="0"/>
    <x v="8"/>
    <x v="23"/>
    <s v="KIA RIO|2017|ROJO|MYE912A"/>
    <s v="U64"/>
    <s v="ASHC"/>
    <s v="UBER"/>
    <n v="2850"/>
    <x v="0"/>
    <m/>
    <m/>
  </r>
  <r>
    <x v="0"/>
    <x v="8"/>
    <x v="7"/>
    <s v="MARCH|2020|TURQ|N15BKD"/>
    <s v="ASHC"/>
    <s v="ASHC"/>
    <s v="UBER"/>
    <n v="2500"/>
    <x v="0"/>
    <m/>
    <m/>
  </r>
  <r>
    <x v="0"/>
    <x v="8"/>
    <x v="15"/>
    <s v="AVEO|2018|GRIS|X59AWG"/>
    <s v="ASHC"/>
    <s v="ASHC"/>
    <s v="UBER"/>
    <n v="2542"/>
    <x v="0"/>
    <m/>
    <m/>
  </r>
  <r>
    <x v="0"/>
    <x v="8"/>
    <x v="8"/>
    <s v="VERSA|2017|ACERO|X24APU"/>
    <s v="ASHC"/>
    <s v="ASHC"/>
    <s v="UBER"/>
    <n v="2500"/>
    <x v="0"/>
    <m/>
    <m/>
  </r>
  <r>
    <x v="0"/>
    <x v="8"/>
    <x v="22"/>
    <s v="AVEO|2019|PLATA|NEL860A"/>
    <s v="ASHC"/>
    <s v="ASHC"/>
    <s v="UBER"/>
    <n v="2794.144941076449"/>
    <x v="0"/>
    <m/>
    <m/>
  </r>
  <r>
    <x v="0"/>
    <x v="8"/>
    <x v="24"/>
    <s v="SWIFT|2017|ROJO|X89ALV"/>
    <s v="BYER"/>
    <s v="ASHC"/>
    <s v="UBER"/>
    <n v="-99.008571428571486"/>
    <x v="0"/>
    <m/>
    <m/>
  </r>
  <r>
    <x v="0"/>
    <x v="8"/>
    <x v="9"/>
    <s v="VENTO|2017|GRIS|NZV7888"/>
    <s v="ASHC"/>
    <s v="ASHC"/>
    <s v="UBER"/>
    <n v="2299.9800000000005"/>
    <x v="0"/>
    <m/>
    <m/>
  </r>
  <r>
    <x v="0"/>
    <x v="8"/>
    <x v="10"/>
    <s v="KIA RIO|2020|GRIS|NCK475B"/>
    <s v="ASHC"/>
    <s v="IVETH"/>
    <s v="UBER"/>
    <n v="2500"/>
    <x v="0"/>
    <m/>
    <m/>
  </r>
  <r>
    <x v="0"/>
    <x v="9"/>
    <x v="0"/>
    <s v="AVEO|2021|OCRE|NEB156A"/>
    <s v="ASHC"/>
    <s v="IVETH"/>
    <s v="UBER"/>
    <n v="0"/>
    <x v="0"/>
    <m/>
    <m/>
  </r>
  <r>
    <x v="0"/>
    <x v="9"/>
    <x v="2"/>
    <s v="HYUNDAI|2022|PLATA|D40BKD"/>
    <s v="ASHC"/>
    <s v="IVETH"/>
    <s v="UBER"/>
    <n v="2674.16"/>
    <x v="0"/>
    <m/>
    <m/>
  </r>
  <r>
    <x v="0"/>
    <x v="9"/>
    <x v="21"/>
    <s v="BEAT|2020|GRIS|NFN014B"/>
    <s v="U64"/>
    <s v="ASHC"/>
    <s v="UBER"/>
    <n v="2557.1428571428569"/>
    <x v="0"/>
    <m/>
    <m/>
  </r>
  <r>
    <x v="0"/>
    <x v="9"/>
    <x v="13"/>
    <s v="AVEO|2019|PLATA|NEL860A"/>
    <s v="ASHC"/>
    <s v="ASHC"/>
    <s v="UBER"/>
    <n v="-500"/>
    <x v="0"/>
    <m/>
    <m/>
  </r>
  <r>
    <x v="0"/>
    <x v="9"/>
    <x v="16"/>
    <s v="AVEO|2019|BLANCO|NBS225A"/>
    <s v="ASHC"/>
    <s v="ASHC"/>
    <s v="UBER"/>
    <n v="-51.860000000000014"/>
    <x v="0"/>
    <m/>
    <m/>
  </r>
  <r>
    <x v="0"/>
    <x v="9"/>
    <x v="14"/>
    <s v="AVEO|2022|AZUL|NZY685B"/>
    <s v="ASHC"/>
    <s v="ASHC"/>
    <s v="UBER"/>
    <n v="2809.38"/>
    <x v="0"/>
    <m/>
    <m/>
  </r>
  <r>
    <x v="0"/>
    <x v="9"/>
    <x v="4"/>
    <s v="VERSA|2023|PLATA|NCT814A"/>
    <s v="ASHC"/>
    <s v="ASHC"/>
    <s v="UBER"/>
    <n v="3500"/>
    <x v="0"/>
    <m/>
    <m/>
  </r>
  <r>
    <x v="0"/>
    <x v="9"/>
    <x v="25"/>
    <s v="AVEO|2018|ROJO|R51BKD"/>
    <s v="U64"/>
    <s v="ASHC"/>
    <s v="UBER"/>
    <n v="1214.2857142857142"/>
    <x v="0"/>
    <m/>
    <m/>
  </r>
  <r>
    <x v="0"/>
    <x v="9"/>
    <x v="5"/>
    <s v="VENTO|2020|GRIS|R66BER"/>
    <s v="ASHC"/>
    <s v="ASHC"/>
    <s v="UBER"/>
    <n v="5344.12"/>
    <x v="0"/>
    <m/>
    <m/>
  </r>
  <r>
    <x v="0"/>
    <x v="9"/>
    <x v="23"/>
    <s v="KIA RIO|2017|ROJO|MYE912A"/>
    <s v="U64"/>
    <s v="ASHC"/>
    <s v="UBER"/>
    <n v="3350"/>
    <x v="0"/>
    <m/>
    <m/>
  </r>
  <r>
    <x v="0"/>
    <x v="9"/>
    <x v="7"/>
    <s v="MARCH|2020|TURQ|N15BKD"/>
    <s v="ASHC"/>
    <s v="ASHC"/>
    <s v="UBER"/>
    <n v="2000"/>
    <x v="0"/>
    <m/>
    <m/>
  </r>
  <r>
    <x v="0"/>
    <x v="9"/>
    <x v="15"/>
    <s v="AVEO|2018|GRIS|X59AWG"/>
    <s v="ASHC"/>
    <s v="ASHC"/>
    <s v="UBER"/>
    <n v="359.20000000000073"/>
    <x v="0"/>
    <m/>
    <m/>
  </r>
  <r>
    <x v="0"/>
    <x v="9"/>
    <x v="8"/>
    <s v="VERSA|2017|ACERO|X24APU"/>
    <s v="ASHC"/>
    <s v="ASHC"/>
    <s v="UBER"/>
    <n v="2500"/>
    <x v="0"/>
    <m/>
    <m/>
  </r>
  <r>
    <x v="0"/>
    <x v="9"/>
    <x v="22"/>
    <s v="AVEO|2019|PLATA|NEL860A"/>
    <s v="ASHC"/>
    <s v="ASHC"/>
    <s v="UBER"/>
    <n v="-1445.8600000000006"/>
    <x v="0"/>
    <m/>
    <m/>
  </r>
  <r>
    <x v="0"/>
    <x v="9"/>
    <x v="24"/>
    <s v="SWIFT|2017|ROJO|X89ALV"/>
    <s v="BYER"/>
    <s v="ASHC"/>
    <s v="UBER"/>
    <n v="3000"/>
    <x v="0"/>
    <m/>
    <m/>
  </r>
  <r>
    <x v="0"/>
    <x v="9"/>
    <x v="9"/>
    <s v="VENTO|2017|GRIS|NZV7888"/>
    <s v="ASHC"/>
    <s v="ASHC"/>
    <s v="UBER"/>
    <n v="2300"/>
    <x v="0"/>
    <m/>
    <m/>
  </r>
  <r>
    <x v="0"/>
    <x v="9"/>
    <x v="10"/>
    <s v="KIA RIO|2020|GRIS|NCK475B"/>
    <s v="ASHC"/>
    <s v="IVETH"/>
    <s v="UBER"/>
    <n v="2500"/>
    <x v="0"/>
    <m/>
    <m/>
  </r>
  <r>
    <x v="0"/>
    <x v="10"/>
    <x v="0"/>
    <s v="AVEO|2021|OCRE|NEB156A"/>
    <s v="ASHC"/>
    <s v="IVETH"/>
    <s v="UBER"/>
    <n v="2499.2399999999998"/>
    <x v="0"/>
    <m/>
    <m/>
  </r>
  <r>
    <x v="0"/>
    <x v="10"/>
    <x v="2"/>
    <s v="HYUNDAI|2022|PLATA|D40BKD"/>
    <s v="ASHC"/>
    <s v="IVETH"/>
    <s v="UBER"/>
    <n v="2500"/>
    <x v="0"/>
    <m/>
    <m/>
  </r>
  <r>
    <x v="0"/>
    <x v="10"/>
    <x v="21"/>
    <s v="BEAT|2020|GRIS|NFN014B"/>
    <s v="U64"/>
    <s v="ASHC"/>
    <s v="UBER"/>
    <n v="2146.8600000000006"/>
    <x v="0"/>
    <m/>
    <m/>
  </r>
  <r>
    <x v="0"/>
    <x v="10"/>
    <x v="13"/>
    <s v="AVEO|2019|PLATA|NEL860A"/>
    <s v="ASHC"/>
    <s v="ASHC"/>
    <s v="UBER"/>
    <n v="-500"/>
    <x v="0"/>
    <m/>
    <m/>
  </r>
  <r>
    <x v="0"/>
    <x v="10"/>
    <x v="14"/>
    <s v="AVEO|2022|AZUL|NZY685B"/>
    <s v="ASHC"/>
    <s v="ASHC"/>
    <s v="UBER"/>
    <n v="-215.9399999999996"/>
    <x v="0"/>
    <m/>
    <m/>
  </r>
  <r>
    <x v="0"/>
    <x v="10"/>
    <x v="4"/>
    <s v="VERSA|2023|PLATA|NCT814A"/>
    <s v="ASHC"/>
    <s v="ASHC"/>
    <s v="UBER"/>
    <n v="3000"/>
    <x v="0"/>
    <m/>
    <m/>
  </r>
  <r>
    <x v="0"/>
    <x v="10"/>
    <x v="25"/>
    <s v="AVEO|2018|ROJO|R51BKD"/>
    <s v="U64"/>
    <s v="ASHC"/>
    <s v="UBER"/>
    <n v="3000"/>
    <x v="0"/>
    <m/>
    <m/>
  </r>
  <r>
    <x v="0"/>
    <x v="10"/>
    <x v="5"/>
    <s v="VENTO|2020|GRIS|R66BER"/>
    <s v="ASHC"/>
    <s v="ASHC"/>
    <s v="UBER"/>
    <n v="5621.82"/>
    <x v="0"/>
    <m/>
    <m/>
  </r>
  <r>
    <x v="0"/>
    <x v="10"/>
    <x v="23"/>
    <s v="KIA RIO|2017|ROJO|MYE912A"/>
    <s v="U64"/>
    <s v="ASHC"/>
    <s v="UBER"/>
    <n v="2850"/>
    <x v="0"/>
    <m/>
    <m/>
  </r>
  <r>
    <x v="0"/>
    <x v="10"/>
    <x v="7"/>
    <s v="MARCH|2020|TURQ|N15BKD"/>
    <s v="ASHC"/>
    <s v="ASHC"/>
    <s v="UBER"/>
    <n v="2500"/>
    <x v="0"/>
    <m/>
    <m/>
  </r>
  <r>
    <x v="0"/>
    <x v="10"/>
    <x v="15"/>
    <s v="AVEO|2018|GRIS|X59AWG"/>
    <s v="ASHC"/>
    <s v="ASHC"/>
    <s v="UBER"/>
    <n v="2321"/>
    <x v="0"/>
    <m/>
    <m/>
  </r>
  <r>
    <x v="0"/>
    <x v="10"/>
    <x v="8"/>
    <s v="VERSA|2017|ACERO|X24APU"/>
    <s v="ASHC"/>
    <s v="ASHC"/>
    <s v="UBER"/>
    <n v="2500"/>
    <x v="0"/>
    <m/>
    <m/>
  </r>
  <r>
    <x v="0"/>
    <x v="10"/>
    <x v="22"/>
    <s v="AVEO|2019|PLATA|NEL860A"/>
    <s v="ASHC"/>
    <s v="ASHC"/>
    <s v="UBER"/>
    <n v="-2322.9799999999996"/>
    <x v="0"/>
    <m/>
    <m/>
  </r>
  <r>
    <x v="0"/>
    <x v="10"/>
    <x v="24"/>
    <s v="SWIFT|2017|ROJO|X89ALV"/>
    <s v="BYER"/>
    <s v="ASHC"/>
    <s v="UBER"/>
    <n v="-963.82000000000016"/>
    <x v="0"/>
    <m/>
    <m/>
  </r>
  <r>
    <x v="0"/>
    <x v="10"/>
    <x v="9"/>
    <s v="VENTO|2017|GRIS|NZV7888"/>
    <s v="ASHC"/>
    <s v="ASHC"/>
    <s v="UBER"/>
    <n v="2300"/>
    <x v="0"/>
    <m/>
    <m/>
  </r>
  <r>
    <x v="0"/>
    <x v="10"/>
    <x v="26"/>
    <s v="AVEO|2019|BLANCO|NBS225A"/>
    <s v="ASHC"/>
    <s v="ASHC"/>
    <s v="UBER"/>
    <n v="1607"/>
    <x v="0"/>
    <m/>
    <m/>
  </r>
  <r>
    <x v="0"/>
    <x v="10"/>
    <x v="10"/>
    <s v="KIA RIO|2020|GRIS|NCK475B"/>
    <s v="ASHC"/>
    <s v="IVETH"/>
    <s v="UBER"/>
    <n v="2500"/>
    <x v="0"/>
    <m/>
    <m/>
  </r>
  <r>
    <x v="0"/>
    <x v="11"/>
    <x v="0"/>
    <s v="AVEO|2021|OCRE|NEB156A"/>
    <s v="ASHC"/>
    <s v="ASHC"/>
    <s v="UBER"/>
    <n v="2499.7738902016399"/>
    <x v="0"/>
    <m/>
    <m/>
  </r>
  <r>
    <x v="0"/>
    <x v="11"/>
    <x v="2"/>
    <s v="HYUNDAI|2022|PLATA|D40BKD"/>
    <s v="ASHC"/>
    <s v="ASHC"/>
    <s v="UBER"/>
    <n v="2356.4511890228259"/>
    <x v="0"/>
    <m/>
    <m/>
  </r>
  <r>
    <x v="0"/>
    <x v="11"/>
    <x v="21"/>
    <s v="BEAT|2020|GRIS|NFN014B"/>
    <s v="U64"/>
    <s v="ASHC"/>
    <s v="UBER"/>
    <n v="2456.2800000000007"/>
    <x v="0"/>
    <m/>
    <m/>
  </r>
  <r>
    <x v="0"/>
    <x v="11"/>
    <x v="13"/>
    <s v="AVEO|2019|PLATA|NEL860A"/>
    <s v="ASHC"/>
    <s v="ASHC"/>
    <s v="UBER"/>
    <n v="-500"/>
    <x v="0"/>
    <m/>
    <m/>
  </r>
  <r>
    <x v="0"/>
    <x v="11"/>
    <x v="16"/>
    <s v="VENTO|2020|GRIS|R66BER"/>
    <s v="ASHC"/>
    <s v="ASHC"/>
    <s v="UBER"/>
    <n v="1000.1428571428571"/>
    <x v="0"/>
    <m/>
    <m/>
  </r>
  <r>
    <x v="0"/>
    <x v="11"/>
    <x v="14"/>
    <s v="VERSA|2020|ROJO|NLP172B"/>
    <s v="ASHC"/>
    <s v="ASHC"/>
    <s v="UBER"/>
    <n v="3000"/>
    <x v="0"/>
    <m/>
    <m/>
  </r>
  <r>
    <x v="0"/>
    <x v="11"/>
    <x v="4"/>
    <s v="VERSA|2023|PLATA|NCT814A"/>
    <s v="ASHC"/>
    <s v="ASHC"/>
    <s v="UBER"/>
    <n v="3800"/>
    <x v="0"/>
    <m/>
    <m/>
  </r>
  <r>
    <x v="0"/>
    <x v="11"/>
    <x v="25"/>
    <s v="VERSA|2020|BLANCO|A35BHD"/>
    <s v="ASHC"/>
    <s v="ASHC"/>
    <s v="UBER"/>
    <n v="2526"/>
    <x v="0"/>
    <m/>
    <m/>
  </r>
  <r>
    <x v="0"/>
    <x v="11"/>
    <x v="5"/>
    <s v="AVEO|2022|AZUL|NZY685B"/>
    <s v="ASHC"/>
    <s v="ASHC"/>
    <s v="UBER"/>
    <n v="-323.57000000000016"/>
    <x v="0"/>
    <m/>
    <m/>
  </r>
  <r>
    <x v="0"/>
    <x v="11"/>
    <x v="23"/>
    <s v="KIA RIO|2017|ROJO|MYE912A"/>
    <s v="U64"/>
    <s v="ASHC"/>
    <s v="UBER"/>
    <n v="2850"/>
    <x v="0"/>
    <m/>
    <m/>
  </r>
  <r>
    <x v="0"/>
    <x v="11"/>
    <x v="7"/>
    <s v="MARCH|2020|TURQ|N15BKD"/>
    <s v="ASHC"/>
    <s v="ASHC"/>
    <s v="UBER"/>
    <n v="2500"/>
    <x v="0"/>
    <m/>
    <m/>
  </r>
  <r>
    <x v="0"/>
    <x v="11"/>
    <x v="15"/>
    <s v="AVEO|2018|GRIS|X59AWG"/>
    <s v="ASHC"/>
    <s v="ASHC"/>
    <s v="UBER"/>
    <n v="2500"/>
    <x v="0"/>
    <m/>
    <m/>
  </r>
  <r>
    <x v="0"/>
    <x v="11"/>
    <x v="8"/>
    <s v="VERSA|2017|ACERO|X24APU"/>
    <s v="ASHC"/>
    <s v="ASHC"/>
    <s v="UBER"/>
    <n v="2500"/>
    <x v="0"/>
    <m/>
    <m/>
  </r>
  <r>
    <x v="0"/>
    <x v="11"/>
    <x v="27"/>
    <s v="SWIFT|2017|ROJO|X89ALV"/>
    <s v="BYER"/>
    <s v="ASHC"/>
    <s v="UBER"/>
    <n v="2142.8571428571431"/>
    <x v="0"/>
    <m/>
    <m/>
  </r>
  <r>
    <x v="0"/>
    <x v="11"/>
    <x v="9"/>
    <s v="VENTO|2017|GRIS|NZV7888"/>
    <s v="ASHC"/>
    <s v="ASHC"/>
    <s v="UBER"/>
    <n v="1207.0599999999995"/>
    <x v="0"/>
    <m/>
    <m/>
  </r>
  <r>
    <x v="0"/>
    <x v="11"/>
    <x v="26"/>
    <s v="AVEO|2019|BLANCO|NBS225A"/>
    <s v="ASHC"/>
    <s v="ASHC"/>
    <s v="UBER"/>
    <n v="2500"/>
    <x v="0"/>
    <m/>
    <m/>
  </r>
  <r>
    <x v="0"/>
    <x v="11"/>
    <x v="10"/>
    <s v="KIA RIO|2020|GRIS|NCK475B"/>
    <s v="ASHC"/>
    <s v="ASHC"/>
    <s v="UBER"/>
    <n v="1500"/>
    <x v="0"/>
    <m/>
    <m/>
  </r>
  <r>
    <x v="0"/>
    <x v="11"/>
    <x v="28"/>
    <s v="AVEO|2018|ROJO|R51BKD"/>
    <s v="U64"/>
    <s v="ASHC"/>
    <s v="UBER"/>
    <n v="1070.8114285714282"/>
    <x v="0"/>
    <m/>
    <m/>
  </r>
  <r>
    <x v="0"/>
    <x v="12"/>
    <x v="0"/>
    <s v="AVEO|2021|OCRE|NEB156A"/>
    <s v="ASHC"/>
    <s v="ASHC"/>
    <s v="UBER"/>
    <n v="2224.8000000000002"/>
    <x v="0"/>
    <m/>
    <m/>
  </r>
  <r>
    <x v="0"/>
    <x v="12"/>
    <x v="2"/>
    <s v="HYUNDAI|2022|PLATA|D40BKD"/>
    <s v="ASHC"/>
    <s v="ASHC"/>
    <s v="UBER"/>
    <n v="2119.2799999999997"/>
    <x v="0"/>
    <m/>
    <m/>
  </r>
  <r>
    <x v="0"/>
    <x v="12"/>
    <x v="21"/>
    <s v="BEAT|2020|GRIS|NFN014B"/>
    <s v="U64"/>
    <s v="ASHC"/>
    <s v="UBER"/>
    <n v="3121.86"/>
    <x v="0"/>
    <m/>
    <m/>
  </r>
  <r>
    <x v="0"/>
    <x v="12"/>
    <x v="13"/>
    <s v="AVEO|2019|PLATA|NEL860A"/>
    <s v="ASHC"/>
    <s v="ASHC"/>
    <s v="UBER"/>
    <n v="-500"/>
    <x v="0"/>
    <m/>
    <m/>
  </r>
  <r>
    <x v="0"/>
    <x v="12"/>
    <x v="16"/>
    <s v="VENTO|2020|GRIS|R66BER"/>
    <s v="ASHC"/>
    <s v="ASHC"/>
    <s v="UBER"/>
    <n v="3071.0800000000008"/>
    <x v="0"/>
    <m/>
    <m/>
  </r>
  <r>
    <x v="0"/>
    <x v="12"/>
    <x v="14"/>
    <s v="VERSA|2020|ROJO|NLP172B"/>
    <s v="ASHC"/>
    <s v="ASHC"/>
    <s v="UBER"/>
    <n v="2800"/>
    <x v="0"/>
    <m/>
    <m/>
  </r>
  <r>
    <x v="0"/>
    <x v="12"/>
    <x v="4"/>
    <s v="VERSA|2023|PLATA|NCT814A"/>
    <s v="ASHC"/>
    <s v="ASHC"/>
    <s v="UBER"/>
    <n v="3000"/>
    <x v="0"/>
    <m/>
    <m/>
  </r>
  <r>
    <x v="0"/>
    <x v="12"/>
    <x v="25"/>
    <s v="VERSA|2020|BLANCO|A35BHD"/>
    <s v="ASHC"/>
    <s v="ASHC"/>
    <s v="UBER"/>
    <n v="2741"/>
    <x v="0"/>
    <m/>
    <m/>
  </r>
  <r>
    <x v="0"/>
    <x v="12"/>
    <x v="5"/>
    <s v="AVEO|2022|AZUL|NZY685B"/>
    <s v="ASHC"/>
    <s v="ASHC"/>
    <s v="UBER"/>
    <n v="4732.9900000000016"/>
    <x v="0"/>
    <m/>
    <m/>
  </r>
  <r>
    <x v="0"/>
    <x v="12"/>
    <x v="23"/>
    <s v="KIA RIO|2017|ROJO|MYE912A"/>
    <s v="U64"/>
    <s v="ASHC"/>
    <s v="UBER"/>
    <n v="2850"/>
    <x v="0"/>
    <m/>
    <m/>
  </r>
  <r>
    <x v="0"/>
    <x v="12"/>
    <x v="7"/>
    <s v="MARCH|2020|TURQ|N15BKD"/>
    <s v="ASHC"/>
    <s v="ASHC"/>
    <s v="UBER"/>
    <n v="2500"/>
    <x v="0"/>
    <m/>
    <m/>
  </r>
  <r>
    <x v="0"/>
    <x v="12"/>
    <x v="15"/>
    <s v="AVEO|2018|GRIS|X59AWG"/>
    <s v="ASHC"/>
    <s v="ASHC"/>
    <s v="UBER"/>
    <n v="1498.2200000000048"/>
    <x v="0"/>
    <m/>
    <m/>
  </r>
  <r>
    <x v="0"/>
    <x v="12"/>
    <x v="8"/>
    <s v="VERSA|2017|ACERO|X24APU"/>
    <s v="ASHC"/>
    <s v="ASHC"/>
    <s v="UBER"/>
    <n v="2500"/>
    <x v="0"/>
    <m/>
    <m/>
  </r>
  <r>
    <x v="0"/>
    <x v="12"/>
    <x v="27"/>
    <s v="SWIFT|2017|ROJO|X89ALV"/>
    <s v="BYER"/>
    <s v="ASHC"/>
    <s v="UBER"/>
    <n v="3000"/>
    <x v="0"/>
    <m/>
    <m/>
  </r>
  <r>
    <x v="0"/>
    <x v="12"/>
    <x v="9"/>
    <s v="VENTO|2017|GRIS|NZV7888"/>
    <s v="ASHC"/>
    <s v="ASHC"/>
    <s v="UBER"/>
    <n v="2300"/>
    <x v="0"/>
    <m/>
    <m/>
  </r>
  <r>
    <x v="0"/>
    <x v="12"/>
    <x v="26"/>
    <s v="AVEO|2019|BLANCO|NBS225A"/>
    <s v="ASHC"/>
    <s v="ASHC"/>
    <s v="UBER"/>
    <n v="3000"/>
    <x v="0"/>
    <m/>
    <m/>
  </r>
  <r>
    <x v="0"/>
    <x v="12"/>
    <x v="10"/>
    <s v="KIA RIO|2020|GRIS|NCK475B"/>
    <s v="ASHC"/>
    <s v="ASHC"/>
    <s v="UBER"/>
    <n v="340.39999999999986"/>
    <x v="0"/>
    <m/>
    <m/>
  </r>
  <r>
    <x v="0"/>
    <x v="12"/>
    <x v="28"/>
    <s v="AVEO|2018|ROJO|R51BKD"/>
    <s v="U64"/>
    <s v="ASHC"/>
    <s v="UBER"/>
    <n v="3000.9599999999991"/>
    <x v="0"/>
    <m/>
    <m/>
  </r>
  <r>
    <x v="0"/>
    <x v="13"/>
    <x v="0"/>
    <s v="AVEO|2021|OCRE|NEB156A"/>
    <s v="ASHC"/>
    <s v="ASHC"/>
    <s v="UBER"/>
    <n v="2499.7200000000003"/>
    <x v="0"/>
    <m/>
    <m/>
  </r>
  <r>
    <x v="0"/>
    <x v="13"/>
    <x v="2"/>
    <s v="HYUNDAI|2022|PLATA|D40BKD"/>
    <s v="ASHC"/>
    <s v="ASHC"/>
    <s v="UBER"/>
    <n v="2761.0328000000009"/>
    <x v="0"/>
    <m/>
    <m/>
  </r>
  <r>
    <x v="0"/>
    <x v="13"/>
    <x v="21"/>
    <s v="BEAT|2020|GRIS|NFN014B"/>
    <s v="U64"/>
    <s v="ASHC"/>
    <s v="UBER"/>
    <n v="3400.2800000000025"/>
    <x v="0"/>
    <m/>
    <m/>
  </r>
  <r>
    <x v="0"/>
    <x v="13"/>
    <x v="13"/>
    <s v="AVEO|2019|PLATA|NEL860A"/>
    <s v="ASHC"/>
    <s v="ASHC"/>
    <s v="UBER"/>
    <n v="0"/>
    <x v="0"/>
    <m/>
    <m/>
  </r>
  <r>
    <x v="0"/>
    <x v="13"/>
    <x v="16"/>
    <s v="VENTO|2020|GRIS|R66BER"/>
    <s v="ASHC"/>
    <s v="ASHC"/>
    <s v="UBER"/>
    <n v="2090.62"/>
    <x v="0"/>
    <m/>
    <m/>
  </r>
  <r>
    <x v="0"/>
    <x v="13"/>
    <x v="14"/>
    <s v="VERSA|2020|ROJO|NLP172B"/>
    <s v="ASHC"/>
    <s v="ASHC"/>
    <s v="UBER"/>
    <n v="2500"/>
    <x v="0"/>
    <m/>
    <m/>
  </r>
  <r>
    <x v="0"/>
    <x v="13"/>
    <x v="4"/>
    <s v="VERSA|2023|PLATA|NCT814A"/>
    <s v="ASHC"/>
    <s v="ASHC"/>
    <s v="UBER"/>
    <n v="3100"/>
    <x v="0"/>
    <m/>
    <m/>
  </r>
  <r>
    <x v="0"/>
    <x v="13"/>
    <x v="25"/>
    <s v="VERSA|2020|BLANCO|A35BHD"/>
    <s v="ASHC"/>
    <s v="ASHC"/>
    <s v="UBER"/>
    <n v="2500"/>
    <x v="0"/>
    <m/>
    <m/>
  </r>
  <r>
    <x v="0"/>
    <x v="13"/>
    <x v="5"/>
    <s v="AVEO|2022|AZUL|NZY685B"/>
    <s v="ASHC"/>
    <s v="ASHC"/>
    <s v="UBER"/>
    <n v="1540.52"/>
    <x v="0"/>
    <m/>
    <m/>
  </r>
  <r>
    <x v="0"/>
    <x v="13"/>
    <x v="23"/>
    <s v="KIA RIO|2017|ROJO|MYE912A"/>
    <s v="U64"/>
    <s v="ASHC"/>
    <s v="UBER"/>
    <n v="2350"/>
    <x v="0"/>
    <m/>
    <m/>
  </r>
  <r>
    <x v="0"/>
    <x v="13"/>
    <x v="7"/>
    <s v="MARCH|2020|TURQ|N15BKD"/>
    <s v="ASHC"/>
    <s v="ASHC"/>
    <s v="UBER"/>
    <n v="2500"/>
    <x v="0"/>
    <m/>
    <m/>
  </r>
  <r>
    <x v="0"/>
    <x v="13"/>
    <x v="15"/>
    <s v="AVEO|2018|GRIS|X59AWG"/>
    <s v="ASHC"/>
    <s v="ASHC"/>
    <s v="UBER"/>
    <n v="2700.89"/>
    <x v="0"/>
    <m/>
    <m/>
  </r>
  <r>
    <x v="0"/>
    <x v="13"/>
    <x v="8"/>
    <s v="VERSA|2017|ACERO|X24APU"/>
    <s v="ASHC"/>
    <s v="ASHC"/>
    <s v="UBER"/>
    <n v="2421"/>
    <x v="0"/>
    <m/>
    <m/>
  </r>
  <r>
    <x v="0"/>
    <x v="13"/>
    <x v="27"/>
    <s v="SWIFT|2017|ROJO|X89ALV"/>
    <s v="BYER"/>
    <s v="ASHC"/>
    <s v="UBER"/>
    <n v="2750"/>
    <x v="0"/>
    <m/>
    <m/>
  </r>
  <r>
    <x v="0"/>
    <x v="13"/>
    <x v="9"/>
    <s v="VENTO|2017|GRIS|NZV7888"/>
    <s v="ASHC"/>
    <s v="ASHC"/>
    <s v="UBER"/>
    <n v="2300"/>
    <x v="0"/>
    <m/>
    <m/>
  </r>
  <r>
    <x v="0"/>
    <x v="13"/>
    <x v="26"/>
    <s v="AVEO|2019|BLANCO|NBS225A"/>
    <s v="ASHC"/>
    <s v="ASHC"/>
    <s v="UBER"/>
    <n v="2500"/>
    <x v="0"/>
    <m/>
    <m/>
  </r>
  <r>
    <x v="0"/>
    <x v="13"/>
    <x v="28"/>
    <s v="AVEO|2018|ROJO|R51BKD"/>
    <s v="U64"/>
    <s v="ASHC"/>
    <s v="UBER"/>
    <n v="2800"/>
    <x v="0"/>
    <m/>
    <m/>
  </r>
  <r>
    <x v="0"/>
    <x v="14"/>
    <x v="0"/>
    <s v="AVEO|2021|OCRE|NEB156A"/>
    <s v="ASHC"/>
    <s v="ASHC"/>
    <s v="UBER"/>
    <n v="2500"/>
    <x v="0"/>
    <m/>
    <m/>
  </r>
  <r>
    <x v="0"/>
    <x v="14"/>
    <x v="2"/>
    <s v="HYUNDAI|2022|PLATA|D40BKD"/>
    <s v="ASHC"/>
    <s v="ASHC"/>
    <s v="UBER"/>
    <n v="2569"/>
    <x v="0"/>
    <m/>
    <m/>
  </r>
  <r>
    <x v="0"/>
    <x v="14"/>
    <x v="21"/>
    <s v="BEAT|2020|GRIS|NFN014B"/>
    <s v="U64"/>
    <s v="ASHC"/>
    <s v="UBER"/>
    <n v="2990"/>
    <x v="0"/>
    <m/>
    <m/>
  </r>
  <r>
    <x v="0"/>
    <x v="14"/>
    <x v="29"/>
    <s v="AVEO|2019|PLATA|NEL860A"/>
    <s v="ASHC"/>
    <s v="ASHC"/>
    <s v="UBER"/>
    <n v="3471"/>
    <x v="0"/>
    <m/>
    <m/>
  </r>
  <r>
    <x v="0"/>
    <x v="14"/>
    <x v="13"/>
    <s v="AVEO|2019|PLATA|NEL860A"/>
    <s v="ASHC"/>
    <s v="ASHC"/>
    <s v="UBER"/>
    <n v="0"/>
    <x v="0"/>
    <m/>
    <m/>
  </r>
  <r>
    <x v="0"/>
    <x v="14"/>
    <x v="16"/>
    <s v="VENTO|2020|GRIS|R66BER"/>
    <s v="ASHC"/>
    <s v="ASHC"/>
    <s v="UBER"/>
    <n v="3725"/>
    <x v="0"/>
    <m/>
    <m/>
  </r>
  <r>
    <x v="0"/>
    <x v="14"/>
    <x v="14"/>
    <s v="VERSA|2020|ROJO|NLP172B"/>
    <s v="ASHC"/>
    <s v="ASHC"/>
    <s v="UBER"/>
    <n v="2500"/>
    <x v="0"/>
    <m/>
    <m/>
  </r>
  <r>
    <x v="0"/>
    <x v="14"/>
    <x v="4"/>
    <s v="VERSA|2023|PLATA|NCT814A"/>
    <s v="ASHC"/>
    <s v="ASHC"/>
    <s v="UBER"/>
    <n v="4639.75"/>
    <x v="0"/>
    <m/>
    <m/>
  </r>
  <r>
    <x v="0"/>
    <x v="14"/>
    <x v="25"/>
    <s v="VERSA|2020|BLANCO|A35BHD"/>
    <s v="ASHC"/>
    <s v="ASHC"/>
    <s v="UBER"/>
    <n v="3000"/>
    <x v="0"/>
    <m/>
    <m/>
  </r>
  <r>
    <x v="0"/>
    <x v="14"/>
    <x v="5"/>
    <s v="AVEO|2022|AZUL|NZY685B"/>
    <s v="ASHC"/>
    <s v="ASHC"/>
    <s v="UBER"/>
    <n v="450"/>
    <x v="0"/>
    <m/>
    <m/>
  </r>
  <r>
    <x v="0"/>
    <x v="14"/>
    <x v="5"/>
    <s v="AVEO|2022|AZUL|NZY685B"/>
    <s v="ASHC"/>
    <s v="ASHC"/>
    <s v="UBER"/>
    <n v="2"/>
    <x v="1"/>
    <m/>
    <m/>
  </r>
  <r>
    <x v="0"/>
    <x v="14"/>
    <x v="23"/>
    <s v="KIA RIO|2017|ROJO|MYE912A"/>
    <s v="U64"/>
    <s v="ASHC"/>
    <s v="UBER"/>
    <n v="2350"/>
    <x v="0"/>
    <m/>
    <m/>
  </r>
  <r>
    <x v="0"/>
    <x v="14"/>
    <x v="7"/>
    <s v="MARCH|2020|TURQ|N15BKD"/>
    <s v="ASHC"/>
    <s v="ASHC"/>
    <s v="UBER"/>
    <n v="-314"/>
    <x v="0"/>
    <m/>
    <m/>
  </r>
  <r>
    <x v="0"/>
    <x v="14"/>
    <x v="15"/>
    <s v="AVEO|2018|GRIS|X59AWG"/>
    <s v="ASHC"/>
    <s v="ASHC"/>
    <s v="UBER"/>
    <n v="2118"/>
    <x v="0"/>
    <m/>
    <m/>
  </r>
  <r>
    <x v="0"/>
    <x v="14"/>
    <x v="8"/>
    <s v="VERSA|2017|ACERO|X24APU"/>
    <s v="ASHC"/>
    <s v="ASHC"/>
    <s v="UBER"/>
    <n v="2500"/>
    <x v="0"/>
    <m/>
    <m/>
  </r>
  <r>
    <x v="0"/>
    <x v="14"/>
    <x v="27"/>
    <s v="SWIFT|2017|ROJO|X89ALV"/>
    <s v="BYER"/>
    <s v="ASHC"/>
    <s v="UBER"/>
    <n v="3000"/>
    <x v="0"/>
    <m/>
    <m/>
  </r>
  <r>
    <x v="0"/>
    <x v="14"/>
    <x v="9"/>
    <s v="VENTO|2017|GRIS|NZV7888"/>
    <s v="ASHC"/>
    <s v="ASHC"/>
    <s v="UBER"/>
    <n v="2300"/>
    <x v="0"/>
    <m/>
    <m/>
  </r>
  <r>
    <x v="0"/>
    <x v="14"/>
    <x v="26"/>
    <s v="AVEO|2019|BLANCO|NBS225A"/>
    <s v="ASHC"/>
    <s v="ASHC"/>
    <s v="UBER"/>
    <n v="3000"/>
    <x v="0"/>
    <m/>
    <m/>
  </r>
  <r>
    <x v="0"/>
    <x v="14"/>
    <x v="28"/>
    <s v="AVEO|2018|ROJO|R51BKD"/>
    <s v="U64"/>
    <s v="ASHC"/>
    <s v="UBER"/>
    <n v="2700"/>
    <x v="0"/>
    <m/>
    <m/>
  </r>
  <r>
    <x v="0"/>
    <x v="15"/>
    <x v="0"/>
    <s v="AVEO|2021|OCRE|NEB156A"/>
    <s v="ASHC"/>
    <s v="ASHC"/>
    <s v="UBER"/>
    <n v="2500"/>
    <x v="0"/>
    <m/>
    <m/>
  </r>
  <r>
    <x v="0"/>
    <x v="15"/>
    <x v="2"/>
    <s v="HYUNDAI|2022|PLATA|D40BKD"/>
    <s v="ASHC"/>
    <s v="ASHC"/>
    <s v="UBER"/>
    <n v="2449"/>
    <x v="0"/>
    <m/>
    <m/>
  </r>
  <r>
    <x v="0"/>
    <x v="15"/>
    <x v="21"/>
    <s v="KIA RIO|2020|GRIS|NCK475B"/>
    <s v="ASHC"/>
    <s v="ASHC"/>
    <s v="UBER"/>
    <n v="2991"/>
    <x v="0"/>
    <m/>
    <m/>
  </r>
  <r>
    <x v="0"/>
    <x v="15"/>
    <x v="29"/>
    <s v="AVEO|2019|PLATA|NEL860A"/>
    <s v="ASHC"/>
    <s v="ASHC"/>
    <s v="UBER"/>
    <n v="3300"/>
    <x v="0"/>
    <m/>
    <m/>
  </r>
  <r>
    <x v="0"/>
    <x v="15"/>
    <x v="13"/>
    <s v="AVEO|2019|PLATA|NEL860A"/>
    <s v="ASHC"/>
    <s v="ASHC"/>
    <s v="UBER"/>
    <n v="-500"/>
    <x v="0"/>
    <m/>
    <m/>
  </r>
  <r>
    <x v="0"/>
    <x v="15"/>
    <x v="16"/>
    <s v="VENTO|2020|GRIS|R66BER"/>
    <s v="ASHC"/>
    <s v="ASHC"/>
    <s v="UBER"/>
    <n v="-1729"/>
    <x v="0"/>
    <m/>
    <m/>
  </r>
  <r>
    <x v="0"/>
    <x v="15"/>
    <x v="14"/>
    <s v="VERSA|2020|ROJO|NLP172B"/>
    <s v="ASHC"/>
    <s v="ASHC"/>
    <s v="UBER"/>
    <n v="2500"/>
    <x v="0"/>
    <m/>
    <m/>
  </r>
  <r>
    <x v="0"/>
    <x v="15"/>
    <x v="4"/>
    <s v="AVEO|2022|AZUL|NZY685B"/>
    <s v="ASHC"/>
    <s v="ASHC"/>
    <s v="UBER"/>
    <n v="4461"/>
    <x v="0"/>
    <m/>
    <m/>
  </r>
  <r>
    <x v="0"/>
    <x v="15"/>
    <x v="25"/>
    <s v="VERSA|2020|BLANCO|A35BHD"/>
    <s v="ASHC"/>
    <s v="ASHC"/>
    <s v="UBER"/>
    <n v="2935"/>
    <x v="0"/>
    <m/>
    <m/>
  </r>
  <r>
    <x v="0"/>
    <x v="15"/>
    <x v="5"/>
    <s v="BEAT|2020|GRIS|NFN014B"/>
    <s v="U64"/>
    <s v="ASHC"/>
    <s v="UBER"/>
    <n v="4030"/>
    <x v="0"/>
    <m/>
    <m/>
  </r>
  <r>
    <x v="0"/>
    <x v="15"/>
    <x v="23"/>
    <s v="KIA RIO|2017|ROJO|MYE912A"/>
    <s v="U64"/>
    <s v="ASHC"/>
    <s v="UBER"/>
    <n v="2850"/>
    <x v="0"/>
    <m/>
    <m/>
  </r>
  <r>
    <x v="0"/>
    <x v="15"/>
    <x v="7"/>
    <s v="MARCH|2020|TURQ|N15BKD"/>
    <s v="ASHC"/>
    <s v="ASHC"/>
    <s v="UBER"/>
    <n v="-1009"/>
    <x v="0"/>
    <m/>
    <m/>
  </r>
  <r>
    <x v="0"/>
    <x v="15"/>
    <x v="15"/>
    <s v="AVEO|2018|GRIS|X59AWG"/>
    <s v="ASHC"/>
    <s v="ASHC"/>
    <s v="UBER"/>
    <n v="2691"/>
    <x v="0"/>
    <m/>
    <m/>
  </r>
  <r>
    <x v="0"/>
    <x v="15"/>
    <x v="8"/>
    <s v="VERSA|2017|ACERO|X24APU"/>
    <s v="ASHC"/>
    <s v="ASHC"/>
    <s v="UBER"/>
    <n v="2994"/>
    <x v="0"/>
    <m/>
    <m/>
  </r>
  <r>
    <x v="0"/>
    <x v="15"/>
    <x v="27"/>
    <s v="SWIFT|2017|ROJO|X89ALV"/>
    <s v="BYER"/>
    <s v="ASHC"/>
    <s v="UBER"/>
    <n v="3076"/>
    <x v="0"/>
    <m/>
    <m/>
  </r>
  <r>
    <x v="0"/>
    <x v="15"/>
    <x v="9"/>
    <s v="VENTO|2017|GRIS|NZV7888"/>
    <s v="ASHC"/>
    <s v="ASHC"/>
    <s v="UBER"/>
    <n v="2300"/>
    <x v="0"/>
    <m/>
    <m/>
  </r>
  <r>
    <x v="0"/>
    <x v="15"/>
    <x v="26"/>
    <s v="AVEO|2019|BLANCO|NBS225A"/>
    <s v="ASHC"/>
    <s v="ASHC"/>
    <s v="UBER"/>
    <n v="3000"/>
    <x v="0"/>
    <m/>
    <m/>
  </r>
  <r>
    <x v="0"/>
    <x v="15"/>
    <x v="28"/>
    <s v="MARCH|2021|ROJO|NZU5163"/>
    <s v="ASHC"/>
    <s v="ASHC"/>
    <s v="UBER"/>
    <n v="2250"/>
    <x v="0"/>
    <m/>
    <m/>
  </r>
  <r>
    <x v="0"/>
    <x v="16"/>
    <x v="0"/>
    <s v="AVEO|2021|OCRE|NEB156A"/>
    <s v="ASHC"/>
    <s v="ASHC"/>
    <s v="UBER"/>
    <n v="2500"/>
    <x v="0"/>
    <m/>
    <m/>
  </r>
  <r>
    <x v="0"/>
    <x v="16"/>
    <x v="2"/>
    <s v="HYUNDAI|2022|PLATA|D40BKD"/>
    <s v="ASHC"/>
    <s v="ASHC"/>
    <s v="UBER"/>
    <n v="1163"/>
    <x v="0"/>
    <m/>
    <m/>
  </r>
  <r>
    <x v="0"/>
    <x v="16"/>
    <x v="21"/>
    <s v="KIA RIO|2020|GRIS|NCK475B"/>
    <s v="ASHC"/>
    <s v="ASHC"/>
    <s v="UBER"/>
    <n v="-2487"/>
    <x v="0"/>
    <m/>
    <m/>
  </r>
  <r>
    <x v="0"/>
    <x v="16"/>
    <x v="29"/>
    <s v="AVEO|2019|PLATA|NEL860A"/>
    <s v="ASHC"/>
    <s v="ASHC"/>
    <s v="UBER"/>
    <n v="3000"/>
    <x v="0"/>
    <m/>
    <m/>
  </r>
  <r>
    <x v="0"/>
    <x v="16"/>
    <x v="13"/>
    <s v="AVEO|2019|PLATA|NEL860A"/>
    <s v="ASHC"/>
    <s v="ASHC"/>
    <s v="UBER"/>
    <n v="-1697"/>
    <x v="0"/>
    <m/>
    <m/>
  </r>
  <r>
    <x v="0"/>
    <x v="16"/>
    <x v="16"/>
    <s v="VENTO|2020|GRIS|R66BER"/>
    <s v="ASHC"/>
    <s v="ASHC"/>
    <s v="UBER"/>
    <n v="-1681"/>
    <x v="0"/>
    <m/>
    <m/>
  </r>
  <r>
    <x v="0"/>
    <x v="16"/>
    <x v="14"/>
    <s v="VERSA|2020|ROJO|NLP172B"/>
    <s v="ASHC"/>
    <s v="ASHC"/>
    <s v="UBER"/>
    <n v="1315"/>
    <x v="0"/>
    <m/>
    <m/>
  </r>
  <r>
    <x v="0"/>
    <x v="16"/>
    <x v="4"/>
    <s v="AVEO|2022|AZUL|NZY685B"/>
    <s v="ASHC"/>
    <s v="ASHC"/>
    <s v="UBER"/>
    <n v="4763"/>
    <x v="0"/>
    <m/>
    <m/>
  </r>
  <r>
    <x v="0"/>
    <x v="16"/>
    <x v="25"/>
    <s v="VERSA|2020|BLANCO|A35BHD"/>
    <s v="ASHC"/>
    <s v="ASHC"/>
    <s v="UBER"/>
    <n v="2643"/>
    <x v="0"/>
    <m/>
    <m/>
  </r>
  <r>
    <x v="0"/>
    <x v="16"/>
    <x v="5"/>
    <s v="BEAT|2020|GRIS|NFN014B"/>
    <s v="U64"/>
    <s v="ASHC"/>
    <s v="UBER"/>
    <n v="6525"/>
    <x v="0"/>
    <m/>
    <m/>
  </r>
  <r>
    <x v="0"/>
    <x v="16"/>
    <x v="23"/>
    <s v="KIA RIO|2017|ROJO|MYE912A"/>
    <s v="U64"/>
    <s v="ASHC"/>
    <s v="UBER"/>
    <n v="2850"/>
    <x v="0"/>
    <m/>
    <m/>
  </r>
  <r>
    <x v="0"/>
    <x v="16"/>
    <x v="7"/>
    <s v="MARCH|2020|TURQ|N15BKD"/>
    <s v="ASHC"/>
    <s v="ASHC"/>
    <s v="UBER"/>
    <n v="2560"/>
    <x v="0"/>
    <m/>
    <m/>
  </r>
  <r>
    <x v="0"/>
    <x v="16"/>
    <x v="15"/>
    <s v="AVEO|2018|GRIS|X59AWG"/>
    <s v="ASHC"/>
    <s v="ASHC"/>
    <s v="UBER"/>
    <n v="2561"/>
    <x v="0"/>
    <m/>
    <m/>
  </r>
  <r>
    <x v="0"/>
    <x v="16"/>
    <x v="8"/>
    <s v="VERSA|2017|ACERO|X24APU"/>
    <s v="ASHC"/>
    <s v="ASHC"/>
    <s v="UBER"/>
    <n v="2495"/>
    <x v="0"/>
    <m/>
    <m/>
  </r>
  <r>
    <x v="0"/>
    <x v="16"/>
    <x v="27"/>
    <s v="SWIFT|2017|ROJO|X89ALV"/>
    <s v="BYER"/>
    <s v="ASHC"/>
    <s v="UBER"/>
    <n v="2962"/>
    <x v="0"/>
    <m/>
    <m/>
  </r>
  <r>
    <x v="0"/>
    <x v="16"/>
    <x v="9"/>
    <s v="VENTO|2017|GRIS|NZV7888"/>
    <s v="ASHC"/>
    <s v="ASHC"/>
    <s v="UBER"/>
    <n v="2300"/>
    <x v="0"/>
    <m/>
    <m/>
  </r>
  <r>
    <x v="0"/>
    <x v="16"/>
    <x v="26"/>
    <s v="AVEO|2019|BLANCO|NBS225A"/>
    <s v="ASHC"/>
    <s v="ASHC"/>
    <s v="UBER"/>
    <n v="2500"/>
    <x v="0"/>
    <m/>
    <m/>
  </r>
  <r>
    <x v="0"/>
    <x v="16"/>
    <x v="28"/>
    <s v="MARCH|2021|ROJO|NZU5163"/>
    <s v="ASHC"/>
    <s v="ASHC"/>
    <s v="UBER"/>
    <n v="1748"/>
    <x v="0"/>
    <m/>
    <m/>
  </r>
  <r>
    <x v="0"/>
    <x v="17"/>
    <x v="0"/>
    <s v="VERSA|2020|BLANCO|A35BHD"/>
    <s v="ASHC"/>
    <s v="ASHC"/>
    <s v="UBER"/>
    <n v="2500"/>
    <x v="0"/>
    <m/>
    <m/>
  </r>
  <r>
    <x v="0"/>
    <x v="17"/>
    <x v="21"/>
    <s v="KIA RIO|2020|GRIS|NCK475B"/>
    <s v="ASHC"/>
    <s v="ASHC"/>
    <s v="UBER"/>
    <n v="-500"/>
    <x v="0"/>
    <m/>
    <m/>
  </r>
  <r>
    <x v="0"/>
    <x v="17"/>
    <x v="29"/>
    <s v="AVEO|2019|PLATA|NEL860A"/>
    <s v="ASHC"/>
    <s v="ASHC"/>
    <s v="UBER"/>
    <n v="668"/>
    <x v="0"/>
    <m/>
    <m/>
  </r>
  <r>
    <x v="0"/>
    <x v="17"/>
    <x v="13"/>
    <s v="AVEO|2019|PLATA|NEL860A"/>
    <s v="ASHC"/>
    <s v="ASHC"/>
    <s v="UBER"/>
    <n v="-1697"/>
    <x v="0"/>
    <m/>
    <m/>
  </r>
  <r>
    <x v="0"/>
    <x v="17"/>
    <x v="30"/>
    <s v="VENTO|2020|GRIS|R66BER"/>
    <s v="ASHC"/>
    <s v="ASHC"/>
    <s v="UBER"/>
    <n v="1611"/>
    <x v="0"/>
    <m/>
    <m/>
  </r>
  <r>
    <x v="0"/>
    <x v="17"/>
    <x v="14"/>
    <s v="VERSA|2020|ROJO|NLP172B"/>
    <s v="ASHC"/>
    <s v="ASHC"/>
    <s v="UBER"/>
    <n v="2914"/>
    <x v="0"/>
    <m/>
    <m/>
  </r>
  <r>
    <x v="0"/>
    <x v="17"/>
    <x v="4"/>
    <s v="AVEO|2022|AZUL|NZY685B"/>
    <s v="ASHC"/>
    <s v="ASHC"/>
    <s v="UBER"/>
    <n v="4200"/>
    <x v="0"/>
    <m/>
    <m/>
  </r>
  <r>
    <x v="0"/>
    <x v="17"/>
    <x v="25"/>
    <s v="VENTO|2018|AMARILLO|PED1652"/>
    <s v="ASHC"/>
    <s v="ASHC"/>
    <s v="UBER"/>
    <n v="2500"/>
    <x v="0"/>
    <m/>
    <m/>
  </r>
  <r>
    <x v="0"/>
    <x v="17"/>
    <x v="5"/>
    <s v="BEAT|2020|GRIS|NFN014B"/>
    <s v="U64"/>
    <s v="ASHC"/>
    <s v="UBER"/>
    <n v="7431"/>
    <x v="0"/>
    <m/>
    <m/>
  </r>
  <r>
    <x v="0"/>
    <x v="17"/>
    <x v="23"/>
    <s v="KIA RIO|2017|ROJO|MYE912A"/>
    <s v="U64"/>
    <s v="ASHC"/>
    <s v="UBER"/>
    <n v="2350"/>
    <x v="0"/>
    <m/>
    <m/>
  </r>
  <r>
    <x v="0"/>
    <x v="17"/>
    <x v="7"/>
    <s v="MARCH|2020|TURQ|N15BKD"/>
    <s v="ASHC"/>
    <s v="ASHC"/>
    <s v="UBER"/>
    <n v="1501"/>
    <x v="0"/>
    <m/>
    <m/>
  </r>
  <r>
    <x v="0"/>
    <x v="17"/>
    <x v="15"/>
    <s v="AVEO|2018|GRIS|X59AWG"/>
    <s v="ASHC"/>
    <s v="ASHC"/>
    <s v="UBER"/>
    <n v="2460"/>
    <x v="0"/>
    <m/>
    <m/>
  </r>
  <r>
    <x v="0"/>
    <x v="17"/>
    <x v="8"/>
    <s v="VERSA|2017|ACERO|X24APU"/>
    <s v="ASHC"/>
    <s v="ASHC"/>
    <s v="UBER"/>
    <n v="2471"/>
    <x v="0"/>
    <m/>
    <m/>
  </r>
  <r>
    <x v="0"/>
    <x v="17"/>
    <x v="27"/>
    <s v="SWIFT|2017|ROJO|X89ALV"/>
    <s v="BYER"/>
    <s v="ASHC"/>
    <s v="UBER"/>
    <n v="3000"/>
    <x v="0"/>
    <m/>
    <m/>
  </r>
  <r>
    <x v="0"/>
    <x v="17"/>
    <x v="9"/>
    <s v="VENTO|2017|GRIS|NZV7888"/>
    <s v="ASHC"/>
    <s v="ASHC"/>
    <s v="UBER"/>
    <n v="2300"/>
    <x v="0"/>
    <m/>
    <m/>
  </r>
  <r>
    <x v="0"/>
    <x v="17"/>
    <x v="26"/>
    <s v="AVEO|2019|BLANCO|NBS225A"/>
    <s v="ASHC"/>
    <s v="ASHC"/>
    <s v="UBER"/>
    <n v="2800"/>
    <x v="0"/>
    <m/>
    <m/>
  </r>
  <r>
    <x v="0"/>
    <x v="17"/>
    <x v="28"/>
    <s v="MARCH|2021|ROJO|NZU5163"/>
    <s v="ASHC"/>
    <s v="ASHC"/>
    <s v="UBER"/>
    <n v="1824"/>
    <x v="0"/>
    <m/>
    <m/>
  </r>
  <r>
    <x v="0"/>
    <x v="18"/>
    <x v="0"/>
    <s v="VERSA|2020|BLANCO|A35BHD"/>
    <s v="ASHC"/>
    <s v="ASHC"/>
    <s v="UBER"/>
    <n v="3000"/>
    <x v="0"/>
    <m/>
    <m/>
  </r>
  <r>
    <x v="0"/>
    <x v="18"/>
    <x v="31"/>
    <s v="AVEO|2020|AZUL|D28BET"/>
    <s v="ASHC"/>
    <s v="ASHC"/>
    <s v="UBER"/>
    <n v="1932"/>
    <x v="0"/>
    <m/>
    <m/>
  </r>
  <r>
    <x v="0"/>
    <x v="18"/>
    <x v="21"/>
    <s v="KIA RIO|2020|GRIS|NCK475B"/>
    <s v="ASHC"/>
    <s v="ASHC"/>
    <s v="UBER"/>
    <n v="-500"/>
    <x v="0"/>
    <m/>
    <m/>
  </r>
  <r>
    <x v="0"/>
    <x v="18"/>
    <x v="29"/>
    <s v="AVEO|2019|PLATA|NEL860A"/>
    <s v="ASHC"/>
    <s v="ASHC"/>
    <s v="UBER"/>
    <n v="2502"/>
    <x v="0"/>
    <m/>
    <m/>
  </r>
  <r>
    <x v="0"/>
    <x v="18"/>
    <x v="13"/>
    <s v="AVEO|2019|PLATA|NEL860A"/>
    <s v="ASHC"/>
    <s v="ASHC"/>
    <s v="UBER"/>
    <n v="-1697"/>
    <x v="0"/>
    <m/>
    <m/>
  </r>
  <r>
    <x v="0"/>
    <x v="18"/>
    <x v="30"/>
    <s v="VENTO|2020|GRIS|R66BER"/>
    <s v="ASHC"/>
    <s v="ASHC"/>
    <s v="UBER"/>
    <n v="1823"/>
    <x v="0"/>
    <m/>
    <m/>
  </r>
  <r>
    <x v="0"/>
    <x v="18"/>
    <x v="14"/>
    <s v="VERSA|2020|ROJO|NLP172B"/>
    <s v="ASHC"/>
    <s v="ASHC"/>
    <s v="UBER"/>
    <n v="2500"/>
    <x v="0"/>
    <m/>
    <m/>
  </r>
  <r>
    <x v="0"/>
    <x v="18"/>
    <x v="4"/>
    <s v="AVEO|2022|AZUL|NZY685B"/>
    <s v="ASHC"/>
    <s v="ASHC"/>
    <s v="UBER"/>
    <n v="4000"/>
    <x v="0"/>
    <m/>
    <m/>
  </r>
  <r>
    <x v="0"/>
    <x v="18"/>
    <x v="25"/>
    <s v="VENTO|2018|AMARILLO|PED1652"/>
    <s v="ASHC"/>
    <s v="ASHC"/>
    <s v="UBER"/>
    <n v="2500"/>
    <x v="0"/>
    <m/>
    <m/>
  </r>
  <r>
    <x v="0"/>
    <x v="18"/>
    <x v="5"/>
    <s v="BEAT|2020|GRIS|NFN014B"/>
    <s v="U64"/>
    <s v="ASHC"/>
    <s v="UBER"/>
    <n v="4361"/>
    <x v="0"/>
    <m/>
    <m/>
  </r>
  <r>
    <x v="0"/>
    <x v="18"/>
    <x v="23"/>
    <s v="KIA RIO|2020|GRIS|NCK475B"/>
    <s v="ASHC"/>
    <s v="ASHC"/>
    <s v="UBER"/>
    <n v="0"/>
    <x v="0"/>
    <m/>
    <m/>
  </r>
  <r>
    <x v="0"/>
    <x v="18"/>
    <x v="7"/>
    <s v="MARCH|2020|TURQ|N15BKD"/>
    <s v="ASHC"/>
    <s v="ASHC"/>
    <s v="UBER"/>
    <n v="2763"/>
    <x v="0"/>
    <m/>
    <m/>
  </r>
  <r>
    <x v="0"/>
    <x v="18"/>
    <x v="15"/>
    <s v="AVEO|2022|AZUL|MUF515A"/>
    <s v="ASHC"/>
    <s v="ASHC"/>
    <s v="UBER"/>
    <n v="2104"/>
    <x v="0"/>
    <m/>
    <m/>
  </r>
  <r>
    <x v="0"/>
    <x v="18"/>
    <x v="8"/>
    <s v="VERSA|2017|ACERO|X24APU"/>
    <s v="ASHC"/>
    <s v="BYER"/>
    <s v="UBER"/>
    <n v="2499"/>
    <x v="0"/>
    <m/>
    <m/>
  </r>
  <r>
    <x v="0"/>
    <x v="18"/>
    <x v="27"/>
    <s v="AVEO|2018|GRIS|X59AWG"/>
    <s v="ASHC"/>
    <s v="ASHC"/>
    <s v="UBER"/>
    <n v="3991"/>
    <x v="0"/>
    <m/>
    <m/>
  </r>
  <r>
    <x v="0"/>
    <x v="18"/>
    <x v="32"/>
    <s v="AVEO|2018|ROJO|R51BKD"/>
    <s v="U64"/>
    <s v="ASHC"/>
    <s v="UBER"/>
    <n v="251"/>
    <x v="0"/>
    <m/>
    <m/>
  </r>
  <r>
    <x v="0"/>
    <x v="18"/>
    <x v="32"/>
    <s v="AVEO|2018|ROJO|R51BKD"/>
    <s v="U64"/>
    <s v="BYER"/>
    <s v="UBER"/>
    <n v="1252"/>
    <x v="1"/>
    <m/>
    <m/>
  </r>
  <r>
    <x v="0"/>
    <x v="18"/>
    <x v="9"/>
    <s v="VENTO|2017|GRIS|NZV7888"/>
    <s v="ASHC"/>
    <s v="ASHC"/>
    <s v="UBER"/>
    <n v="2300"/>
    <x v="0"/>
    <m/>
    <m/>
  </r>
  <r>
    <x v="0"/>
    <x v="18"/>
    <x v="26"/>
    <s v="AVEO|2019|BLANCO|NBS225A"/>
    <s v="ASHC"/>
    <s v="ASHC"/>
    <s v="UBER"/>
    <n v="2500"/>
    <x v="0"/>
    <m/>
    <m/>
  </r>
  <r>
    <x v="0"/>
    <x v="18"/>
    <x v="28"/>
    <s v="MARCH|2021|ROJO|NZU5163"/>
    <s v="ASHC"/>
    <s v="ASHC"/>
    <s v="UBER"/>
    <n v="1869.1428571428569"/>
    <x v="0"/>
    <m/>
    <m/>
  </r>
  <r>
    <x v="0"/>
    <x v="19"/>
    <x v="0"/>
    <s v="VERSA|2020|BLANCO|A35BHD"/>
    <s v="ASHC"/>
    <s v="ASHC"/>
    <s v="UBER"/>
    <n v="3000"/>
    <x v="0"/>
    <m/>
    <m/>
  </r>
  <r>
    <x v="0"/>
    <x v="19"/>
    <x v="33"/>
    <s v="HYUNDAI|2022|PLATA|D40BKD"/>
    <s v="ASHC"/>
    <s v="ASHC"/>
    <s v="UBER"/>
    <n v="698"/>
    <x v="0"/>
    <m/>
    <m/>
  </r>
  <r>
    <x v="0"/>
    <x v="19"/>
    <x v="31"/>
    <s v="AVEO|2020|AZUL|D28BET"/>
    <s v="ASHC"/>
    <s v="ASHC"/>
    <s v="UBER"/>
    <n v="3000"/>
    <x v="0"/>
    <m/>
    <m/>
  </r>
  <r>
    <x v="0"/>
    <x v="19"/>
    <x v="21"/>
    <s v="KIA RIO|2020|GRIS|NCK475B"/>
    <s v="ASHC"/>
    <s v="ASHC"/>
    <s v="UBER"/>
    <n v="-500"/>
    <x v="0"/>
    <m/>
    <m/>
  </r>
  <r>
    <x v="0"/>
    <x v="19"/>
    <x v="29"/>
    <s v="AVEO|2019|PLATA|NEL860A"/>
    <s v="ASHC"/>
    <s v="ASHC"/>
    <s v="UBER"/>
    <n v="1207"/>
    <x v="0"/>
    <m/>
    <m/>
  </r>
  <r>
    <x v="0"/>
    <x v="19"/>
    <x v="13"/>
    <s v="AVEO|2019|PLATA|NEL860A"/>
    <s v="ASHC"/>
    <s v="ASHC"/>
    <s v="UBER"/>
    <n v="-1697"/>
    <x v="0"/>
    <m/>
    <m/>
  </r>
  <r>
    <x v="0"/>
    <x v="19"/>
    <x v="30"/>
    <s v="VENTO|2020|GRIS|R66BER"/>
    <s v="ASHC"/>
    <s v="ASHC"/>
    <s v="UBER"/>
    <n v="3000"/>
    <x v="0"/>
    <m/>
    <m/>
  </r>
  <r>
    <x v="0"/>
    <x v="19"/>
    <x v="14"/>
    <s v="VERSA|2020|ROJO|NLP172B"/>
    <s v="ASHC"/>
    <s v="ASHC"/>
    <s v="UBER"/>
    <n v="2500"/>
    <x v="0"/>
    <m/>
    <m/>
  </r>
  <r>
    <x v="0"/>
    <x v="19"/>
    <x v="4"/>
    <s v="AVEO|2022|AZUL|NZY685B"/>
    <s v="ASHC"/>
    <s v="ASHC"/>
    <s v="UBER"/>
    <n v="3300"/>
    <x v="0"/>
    <m/>
    <m/>
  </r>
  <r>
    <x v="0"/>
    <x v="19"/>
    <x v="25"/>
    <s v="VENTO|2018|AMARILLO|PED1652"/>
    <s v="ASHC"/>
    <s v="ASHC"/>
    <s v="UBER"/>
    <n v="358"/>
    <x v="0"/>
    <m/>
    <m/>
  </r>
  <r>
    <x v="0"/>
    <x v="19"/>
    <x v="5"/>
    <s v="BEAT|2020|GRIS|NFN014B"/>
    <s v="U64"/>
    <s v="ASHC"/>
    <s v="UBER"/>
    <n v="8757"/>
    <x v="0"/>
    <m/>
    <m/>
  </r>
  <r>
    <x v="0"/>
    <x v="19"/>
    <x v="23"/>
    <s v="KIA RIO|2020|GRIS|NCK475B"/>
    <s v="ASHC"/>
    <s v="ASHC"/>
    <s v="UBER"/>
    <n v="1432"/>
    <x v="0"/>
    <m/>
    <m/>
  </r>
  <r>
    <x v="0"/>
    <x v="19"/>
    <x v="34"/>
    <s v="VENTO|2018|AMARILLO|PED1652"/>
    <s v="ASHC"/>
    <s v="ASHC"/>
    <s v="UBER"/>
    <n v="-781"/>
    <x v="0"/>
    <m/>
    <m/>
  </r>
  <r>
    <x v="0"/>
    <x v="19"/>
    <x v="7"/>
    <s v="MARCH|2020|TURQ|N15BKD"/>
    <s v="ASHC"/>
    <s v="ASHC"/>
    <s v="UBER"/>
    <n v="1267"/>
    <x v="0"/>
    <m/>
    <m/>
  </r>
  <r>
    <x v="0"/>
    <x v="19"/>
    <x v="15"/>
    <s v="AVEO|2022|AZUL|MUF515A"/>
    <s v="ASHC"/>
    <s v="ASHC"/>
    <s v="UBER"/>
    <n v="2419"/>
    <x v="0"/>
    <m/>
    <m/>
  </r>
  <r>
    <x v="0"/>
    <x v="19"/>
    <x v="8"/>
    <s v="VERSA|2017|ACERO|X24APU"/>
    <s v="ASHC"/>
    <s v="BYER"/>
    <s v="UBER"/>
    <n v="-508"/>
    <x v="0"/>
    <m/>
    <m/>
  </r>
  <r>
    <x v="0"/>
    <x v="19"/>
    <x v="27"/>
    <s v="AVEO|2018|GRIS|X59AWG"/>
    <s v="ASHC"/>
    <s v="ASHC"/>
    <s v="UBER"/>
    <n v="3543"/>
    <x v="0"/>
    <m/>
    <m/>
  </r>
  <r>
    <x v="0"/>
    <x v="19"/>
    <x v="32"/>
    <s v="AVEO|2018|ROJO|R51BKD"/>
    <s v="U64"/>
    <s v="ASHC"/>
    <s v="UBER"/>
    <n v="182"/>
    <x v="0"/>
    <m/>
    <m/>
  </r>
  <r>
    <x v="0"/>
    <x v="19"/>
    <x v="32"/>
    <s v="AVEO|2018|ROJO|R51BKD"/>
    <s v="U64"/>
    <s v="BYER"/>
    <s v="UBER"/>
    <n v="2281"/>
    <x v="1"/>
    <m/>
    <m/>
  </r>
  <r>
    <x v="0"/>
    <x v="19"/>
    <x v="9"/>
    <s v="VENTO|2017|GRIS|NZV7888"/>
    <s v="ASHC"/>
    <s v="ASHC"/>
    <s v="UBER"/>
    <n v="2300"/>
    <x v="0"/>
    <m/>
    <m/>
  </r>
  <r>
    <x v="0"/>
    <x v="19"/>
    <x v="26"/>
    <s v="AVEO|2019|BLANCO|NBS225A"/>
    <s v="ASHC"/>
    <s v="ASHC"/>
    <s v="UBER"/>
    <n v="3100"/>
    <x v="0"/>
    <m/>
    <m/>
  </r>
  <r>
    <x v="0"/>
    <x v="19"/>
    <x v="28"/>
    <s v="MARCH|2021|ROJO|NZU5163"/>
    <s v="ASHC"/>
    <s v="ASHC"/>
    <s v="UBER"/>
    <n v="286"/>
    <x v="0"/>
    <m/>
    <m/>
  </r>
  <r>
    <x v="0"/>
    <x v="20"/>
    <x v="0"/>
    <s v="AVEO|2022|AZUL|NZY685B"/>
    <s v="ASHC"/>
    <s v="ASHC"/>
    <s v="UBER"/>
    <n v="3000.2"/>
    <x v="0"/>
    <m/>
    <m/>
  </r>
  <r>
    <x v="0"/>
    <x v="20"/>
    <x v="33"/>
    <s v="HYUNDAI|2022|PLATA|D40BKD"/>
    <s v="ASHC"/>
    <s v="ASHC"/>
    <s v="UBER"/>
    <n v="2364.5199999999995"/>
    <x v="0"/>
    <m/>
    <m/>
  </r>
  <r>
    <x v="0"/>
    <x v="20"/>
    <x v="31"/>
    <s v="AVEO|2020|AZUL|D28BET"/>
    <s v="ASHC"/>
    <s v="ASHC"/>
    <s v="UBER"/>
    <n v="3000"/>
    <x v="0"/>
    <m/>
    <m/>
  </r>
  <r>
    <x v="0"/>
    <x v="20"/>
    <x v="21"/>
    <s v="AVEO|2021|OCRE|NEB156A"/>
    <s v="ASHC"/>
    <s v="ASHC"/>
    <s v="UBER"/>
    <n v="2463.92"/>
    <x v="0"/>
    <m/>
    <m/>
  </r>
  <r>
    <x v="0"/>
    <x v="20"/>
    <x v="29"/>
    <s v="KIA RIO|2017|ROJO|MYE912A"/>
    <s v="U64"/>
    <s v="BYER"/>
    <s v="UBER"/>
    <n v="-113.67999999999984"/>
    <x v="0"/>
    <m/>
    <m/>
  </r>
  <r>
    <x v="0"/>
    <x v="20"/>
    <x v="29"/>
    <s v="KIA RIO|2017|ROJO|MYE912A"/>
    <s v="U64"/>
    <s v="ASHC"/>
    <s v="UBER"/>
    <n v="-1677.6000000000004"/>
    <x v="1"/>
    <m/>
    <m/>
  </r>
  <r>
    <x v="0"/>
    <x v="20"/>
    <x v="13"/>
    <s v="AVEO|2019|PLATA|NEL860A"/>
    <s v="ASHC"/>
    <s v="ASHC"/>
    <s v="UBER"/>
    <n v="-1697"/>
    <x v="0"/>
    <m/>
    <m/>
  </r>
  <r>
    <x v="0"/>
    <x v="20"/>
    <x v="30"/>
    <s v="VENTO|2020|GRIS|R66BER"/>
    <s v="ASHC"/>
    <s v="ASHC"/>
    <s v="UBER"/>
    <n v="2999.1000000000004"/>
    <x v="0"/>
    <m/>
    <m/>
  </r>
  <r>
    <x v="0"/>
    <x v="20"/>
    <x v="14"/>
    <s v="VERSA|2020|ROJO|NLP172B"/>
    <s v="ASHC"/>
    <s v="ASHC"/>
    <s v="UBER"/>
    <n v="3000"/>
    <x v="0"/>
    <m/>
    <m/>
  </r>
  <r>
    <x v="0"/>
    <x v="20"/>
    <x v="4"/>
    <s v="VERSA|2023|PLATA|NCT814A"/>
    <s v="ASHC"/>
    <s v="ASHC"/>
    <s v="UBER"/>
    <n v="3480"/>
    <x v="0"/>
    <m/>
    <m/>
  </r>
  <r>
    <x v="0"/>
    <x v="20"/>
    <x v="25"/>
    <s v="VERSA|2020|BLANCO|A35BHD"/>
    <s v="ASHC"/>
    <s v="ASHC"/>
    <s v="UBER"/>
    <n v="4000"/>
    <x v="0"/>
    <m/>
    <m/>
  </r>
  <r>
    <x v="0"/>
    <x v="20"/>
    <x v="5"/>
    <s v="BEAT|2020|GRIS|NFN014B"/>
    <s v="U64"/>
    <s v="BYER"/>
    <s v="UBER"/>
    <n v="-500"/>
    <x v="0"/>
    <m/>
    <m/>
  </r>
  <r>
    <x v="0"/>
    <x v="20"/>
    <x v="23"/>
    <s v="KIA RIO|2020|GRIS|NCK475B"/>
    <s v="ASHC"/>
    <s v="ASHC"/>
    <s v="UBER"/>
    <n v="2500"/>
    <x v="0"/>
    <m/>
    <m/>
  </r>
  <r>
    <x v="0"/>
    <x v="20"/>
    <x v="34"/>
    <s v="VENTO|2018|AMARILLO|PED1652"/>
    <s v="ASHC"/>
    <s v="ASHC"/>
    <s v="UBER"/>
    <n v="1715.880000000001"/>
    <x v="0"/>
    <m/>
    <m/>
  </r>
  <r>
    <x v="0"/>
    <x v="20"/>
    <x v="7"/>
    <s v="MARCH|2020|TURQ|N15BKD"/>
    <s v="ASHC"/>
    <s v="ASHC"/>
    <s v="UBER"/>
    <n v="2523"/>
    <x v="0"/>
    <m/>
    <m/>
  </r>
  <r>
    <x v="0"/>
    <x v="20"/>
    <x v="15"/>
    <s v="AVEO|2022|AZUL|MUF515A"/>
    <s v="ASHC"/>
    <s v="ASHC"/>
    <s v="UBER"/>
    <n v="2500"/>
    <x v="0"/>
    <m/>
    <m/>
  </r>
  <r>
    <x v="0"/>
    <x v="20"/>
    <x v="8"/>
    <s v="VERSA|2017|ACERO|X24APU"/>
    <s v="ASHC"/>
    <s v="BYER"/>
    <s v="UBER"/>
    <n v="3313.92"/>
    <x v="0"/>
    <m/>
    <m/>
  </r>
  <r>
    <x v="0"/>
    <x v="20"/>
    <x v="35"/>
    <s v="AVEO|2018|ROJO|R51BKD"/>
    <s v="U64"/>
    <s v="BYER"/>
    <s v="UBER"/>
    <n v="1495"/>
    <x v="0"/>
    <m/>
    <m/>
  </r>
  <r>
    <x v="0"/>
    <x v="20"/>
    <x v="27"/>
    <s v="AVEO|2018|GRIS|X59AWG"/>
    <s v="ASHC"/>
    <s v="ASHC"/>
    <s v="UBER"/>
    <n v="2424.8599999999997"/>
    <x v="0"/>
    <m/>
    <m/>
  </r>
  <r>
    <x v="0"/>
    <x v="20"/>
    <x v="32"/>
    <s v="AVEO|2019|PLATA|NEL860A"/>
    <s v="ASHC"/>
    <s v="ASHC"/>
    <s v="UBER"/>
    <n v="1690.1000000000004"/>
    <x v="0"/>
    <m/>
    <m/>
  </r>
  <r>
    <x v="0"/>
    <x v="20"/>
    <x v="9"/>
    <s v="VENTO|2017|GRIS|NZV7888"/>
    <s v="ASHC"/>
    <s v="ASHC"/>
    <s v="UBER"/>
    <n v="2300"/>
    <x v="0"/>
    <m/>
    <m/>
  </r>
  <r>
    <x v="0"/>
    <x v="20"/>
    <x v="26"/>
    <s v="AVEO|2019|BLANCO|NBS225A"/>
    <s v="ASHC"/>
    <s v="ASHC"/>
    <s v="UBER"/>
    <n v="3600"/>
    <x v="0"/>
    <m/>
    <m/>
  </r>
  <r>
    <x v="0"/>
    <x v="20"/>
    <x v="28"/>
    <s v="MARCH|2021|ROJO|NZU5163"/>
    <s v="ASHC"/>
    <s v="ASHC"/>
    <s v="UBER"/>
    <n v="755"/>
    <x v="0"/>
    <m/>
    <m/>
  </r>
  <r>
    <x v="0"/>
    <x v="21"/>
    <x v="0"/>
    <s v="AVEO|2022|AZUL|NZY685B"/>
    <s v="ASHC"/>
    <s v="ASHC"/>
    <s v="UBER"/>
    <n v="3000"/>
    <x v="0"/>
    <m/>
    <m/>
  </r>
  <r>
    <x v="0"/>
    <x v="21"/>
    <x v="33"/>
    <s v="HYUNDAI|2022|PLATA|D40BKD"/>
    <s v="ASHC"/>
    <s v="ASHC"/>
    <s v="UBER"/>
    <n v="3323.179999999998"/>
    <x v="0"/>
    <m/>
    <m/>
  </r>
  <r>
    <x v="0"/>
    <x v="21"/>
    <x v="31"/>
    <s v="AVEO|2020|AZUL|D28BET"/>
    <s v="ASHC"/>
    <s v="ASHC"/>
    <s v="UBER"/>
    <n v="3000"/>
    <x v="0"/>
    <m/>
    <m/>
  </r>
  <r>
    <x v="0"/>
    <x v="21"/>
    <x v="21"/>
    <s v="AVEO|2021|OCRE|NEB156A"/>
    <s v="ASHC"/>
    <s v="ASHC"/>
    <s v="UBER"/>
    <n v="3000"/>
    <x v="0"/>
    <m/>
    <m/>
  </r>
  <r>
    <x v="0"/>
    <x v="21"/>
    <x v="29"/>
    <s v="KIA RIO|2017|ROJO|MYE912A"/>
    <s v="U64"/>
    <s v="BYER"/>
    <s v="UBER"/>
    <n v="-488.26000000000204"/>
    <x v="0"/>
    <m/>
    <m/>
  </r>
  <r>
    <x v="0"/>
    <x v="21"/>
    <x v="30"/>
    <s v="VENTO|2020|GRIS|R66BER"/>
    <s v="ASHC"/>
    <s v="ASHC"/>
    <s v="UBER"/>
    <n v="1908.5799999999981"/>
    <x v="0"/>
    <m/>
    <m/>
  </r>
  <r>
    <x v="0"/>
    <x v="21"/>
    <x v="14"/>
    <s v="VERSA|2020|ROJO|NLP172B"/>
    <s v="ASHC"/>
    <s v="ASHC"/>
    <s v="UBER"/>
    <n v="0"/>
    <x v="0"/>
    <m/>
    <m/>
  </r>
  <r>
    <x v="0"/>
    <x v="21"/>
    <x v="4"/>
    <s v="VERSA|2023|PLATA|NCT814A"/>
    <s v="ASHC"/>
    <s v="ASHC"/>
    <s v="UBER"/>
    <n v="3280"/>
    <x v="0"/>
    <m/>
    <m/>
  </r>
  <r>
    <x v="0"/>
    <x v="21"/>
    <x v="25"/>
    <s v="VERSA|2020|BLANCO|A35BHD"/>
    <s v="ASHC"/>
    <s v="ASHC"/>
    <s v="UBER"/>
    <n v="4000"/>
    <x v="0"/>
    <m/>
    <m/>
  </r>
  <r>
    <x v="0"/>
    <x v="21"/>
    <x v="5"/>
    <s v="BEAT|2020|GRIS|NFN014B"/>
    <s v="U64"/>
    <s v="BYER"/>
    <s v="UBER"/>
    <n v="2500"/>
    <x v="0"/>
    <m/>
    <m/>
  </r>
  <r>
    <x v="0"/>
    <x v="21"/>
    <x v="23"/>
    <s v="KIA RIO|2020|GRIS|NCK475B"/>
    <s v="ASHC"/>
    <s v="ASHC"/>
    <s v="UBER"/>
    <n v="2500"/>
    <x v="0"/>
    <m/>
    <m/>
  </r>
  <r>
    <x v="0"/>
    <x v="21"/>
    <x v="34"/>
    <s v="VENTO|2018|AMARILLO|PED1652"/>
    <s v="ASHC"/>
    <s v="ASHC"/>
    <s v="UBER"/>
    <n v="1365.8399999999983"/>
    <x v="0"/>
    <m/>
    <m/>
  </r>
  <r>
    <x v="0"/>
    <x v="21"/>
    <x v="7"/>
    <s v="MARCH|2020|TURQ|N15BKD"/>
    <s v="ASHC"/>
    <s v="ASHC"/>
    <s v="UBER"/>
    <n v="1285.2599999999989"/>
    <x v="0"/>
    <m/>
    <m/>
  </r>
  <r>
    <x v="0"/>
    <x v="21"/>
    <x v="15"/>
    <s v="AVEO|2022|AZUL|MUF515A"/>
    <s v="ASHC"/>
    <s v="ASHC"/>
    <s v="UBER"/>
    <n v="2500"/>
    <x v="0"/>
    <m/>
    <m/>
  </r>
  <r>
    <x v="0"/>
    <x v="21"/>
    <x v="8"/>
    <s v="VERSA|2017|ACERO|X24APU"/>
    <s v="ASHC"/>
    <s v="BYER"/>
    <s v="UBER"/>
    <n v="-419.7800000000002"/>
    <x v="0"/>
    <m/>
    <m/>
  </r>
  <r>
    <x v="0"/>
    <x v="21"/>
    <x v="35"/>
    <s v="AVEO|2018|ROJO|R51BKD"/>
    <s v="U64"/>
    <s v="BYER"/>
    <s v="UBER"/>
    <n v="2668.34"/>
    <x v="0"/>
    <m/>
    <m/>
  </r>
  <r>
    <x v="0"/>
    <x v="21"/>
    <x v="27"/>
    <s v="AVEO|2018|GRIS|X59AWG"/>
    <s v="ASHC"/>
    <s v="ASHC"/>
    <s v="UBER"/>
    <n v="951.9699999999998"/>
    <x v="0"/>
    <m/>
    <m/>
  </r>
  <r>
    <x v="0"/>
    <x v="21"/>
    <x v="32"/>
    <s v="AVEO|2019|PLATA|NEL860A"/>
    <s v="ASHC"/>
    <s v="ASHC"/>
    <s v="UBER"/>
    <n v="3614.050000000002"/>
    <x v="0"/>
    <m/>
    <m/>
  </r>
  <r>
    <x v="0"/>
    <x v="21"/>
    <x v="9"/>
    <s v="VENTO|2017|GRIS|NZV7888"/>
    <s v="ASHC"/>
    <s v="ASHC"/>
    <s v="UBER"/>
    <n v="2500"/>
    <x v="0"/>
    <m/>
    <m/>
  </r>
  <r>
    <x v="0"/>
    <x v="21"/>
    <x v="26"/>
    <s v="AVEO|2019|BLANCO|NBS225A"/>
    <s v="ASHC"/>
    <s v="ASHC"/>
    <s v="UBER"/>
    <n v="0"/>
    <x v="0"/>
    <m/>
    <m/>
  </r>
  <r>
    <x v="0"/>
    <x v="21"/>
    <x v="28"/>
    <s v="MARCH|2021|ROJO|NZU5163"/>
    <s v="ASHC"/>
    <s v="ASHC"/>
    <s v="UBER"/>
    <n v="692"/>
    <x v="0"/>
    <m/>
    <m/>
  </r>
  <r>
    <x v="0"/>
    <x v="22"/>
    <x v="0"/>
    <s v="AVEO|2022|AZUL|NZY685B"/>
    <s v="ASHC"/>
    <s v="ASHC"/>
    <s v="UBER"/>
    <n v="3000"/>
    <x v="0"/>
    <m/>
    <m/>
  </r>
  <r>
    <x v="0"/>
    <x v="22"/>
    <x v="33"/>
    <s v="HYUNDAI|2022|PLATA|D40BKD"/>
    <s v="ASHC"/>
    <s v="ASHC"/>
    <s v="UBER"/>
    <n v="2399.9400000000005"/>
    <x v="0"/>
    <m/>
    <m/>
  </r>
  <r>
    <x v="0"/>
    <x v="22"/>
    <x v="31"/>
    <s v="AVEO|2020|AZUL|D28BET"/>
    <s v="ASHC"/>
    <s v="ASHC"/>
    <s v="UBER"/>
    <n v="1750"/>
    <x v="0"/>
    <m/>
    <m/>
  </r>
  <r>
    <x v="0"/>
    <x v="22"/>
    <x v="31"/>
    <s v="SWIFT|2017|ROJO|X89ALV"/>
    <s v="BYER"/>
    <s v="BYER"/>
    <s v="UBER"/>
    <n v="1250"/>
    <x v="1"/>
    <m/>
    <m/>
  </r>
  <r>
    <x v="0"/>
    <x v="22"/>
    <x v="21"/>
    <s v="AVEO|2021|OCRE|NEB156A"/>
    <s v="ASHC"/>
    <s v="ASHC"/>
    <s v="UBER"/>
    <n v="3000.5999999999995"/>
    <x v="0"/>
    <m/>
    <m/>
  </r>
  <r>
    <x v="0"/>
    <x v="22"/>
    <x v="29"/>
    <s v="KIA RIO|2017|ROJO|MYE912A"/>
    <s v="U64"/>
    <s v="BYER"/>
    <s v="UBER"/>
    <n v="2738"/>
    <x v="0"/>
    <m/>
    <m/>
  </r>
  <r>
    <x v="0"/>
    <x v="22"/>
    <x v="30"/>
    <s v="VENTO|2020|GRIS|R66BER"/>
    <s v="ASHC"/>
    <s v="ASHC"/>
    <s v="UBER"/>
    <n v="1993.0599999999995"/>
    <x v="0"/>
    <m/>
    <m/>
  </r>
  <r>
    <x v="0"/>
    <x v="22"/>
    <x v="14"/>
    <s v="VERSA|2020|ROJO|NLP172B"/>
    <s v="ASHC"/>
    <s v="ASHC"/>
    <s v="UBER"/>
    <n v="0"/>
    <x v="0"/>
    <m/>
    <m/>
  </r>
  <r>
    <x v="0"/>
    <x v="22"/>
    <x v="4"/>
    <s v="VERSA|2023|PLATA|NCT814A"/>
    <s v="ASHC"/>
    <s v="ASHC"/>
    <s v="UBER"/>
    <n v="4022"/>
    <x v="0"/>
    <m/>
    <m/>
  </r>
  <r>
    <x v="0"/>
    <x v="22"/>
    <x v="4"/>
    <s v="KIA RIO|2023|ROJO|H99BLC"/>
    <s v="U64"/>
    <s v="BYER"/>
    <s v="UBER"/>
    <n v="358"/>
    <x v="1"/>
    <m/>
    <m/>
  </r>
  <r>
    <x v="0"/>
    <x v="22"/>
    <x v="25"/>
    <s v="VERSA|2020|BLANCO|A35BHD"/>
    <s v="ASHC"/>
    <s v="ASHC"/>
    <s v="UBER"/>
    <n v="2500"/>
    <x v="0"/>
    <m/>
    <m/>
  </r>
  <r>
    <x v="0"/>
    <x v="22"/>
    <x v="5"/>
    <s v="BEAT|2020|GRIS|NFN014B"/>
    <s v="U64"/>
    <s v="BYER"/>
    <s v="UBER"/>
    <n v="2500"/>
    <x v="0"/>
    <m/>
    <m/>
  </r>
  <r>
    <x v="0"/>
    <x v="22"/>
    <x v="23"/>
    <s v="KIA RIO|2020|GRIS|NCK475B"/>
    <s v="ASHC"/>
    <s v="ASHC"/>
    <s v="UBER"/>
    <n v="2500"/>
    <x v="0"/>
    <m/>
    <m/>
  </r>
  <r>
    <x v="0"/>
    <x v="22"/>
    <x v="34"/>
    <s v="VENTO|2018|AMARILLO|PED1652"/>
    <s v="ASHC"/>
    <s v="ASHC"/>
    <s v="UBER"/>
    <n v="6753.2000000000007"/>
    <x v="0"/>
    <m/>
    <m/>
  </r>
  <r>
    <x v="0"/>
    <x v="22"/>
    <x v="34"/>
    <s v="SWIFT|2017|ROJO|X89ALV"/>
    <s v="BYER"/>
    <s v="BYER"/>
    <s v="UBER"/>
    <n v="715"/>
    <x v="1"/>
    <m/>
    <m/>
  </r>
  <r>
    <x v="0"/>
    <x v="22"/>
    <x v="7"/>
    <s v="MARCH|2020|TURQ|N15BKD"/>
    <s v="ASHC"/>
    <s v="ASHC"/>
    <s v="UBER"/>
    <n v="3070.1000000000004"/>
    <x v="0"/>
    <m/>
    <m/>
  </r>
  <r>
    <x v="0"/>
    <x v="22"/>
    <x v="15"/>
    <s v="AVEO|2022|AZUL|MUF515A"/>
    <s v="ASHC"/>
    <s v="ASHC"/>
    <s v="UBER"/>
    <n v="2500"/>
    <x v="0"/>
    <m/>
    <m/>
  </r>
  <r>
    <x v="0"/>
    <x v="22"/>
    <x v="8"/>
    <s v="VERSA|2017|ACERO|X24APU"/>
    <s v="ASHC"/>
    <s v="BYER"/>
    <s v="UBER"/>
    <n v="4196.2799999999988"/>
    <x v="0"/>
    <m/>
    <m/>
  </r>
  <r>
    <x v="0"/>
    <x v="22"/>
    <x v="35"/>
    <s v="AVEO|2018|ROJO|R51BKD"/>
    <s v="U64"/>
    <s v="BYER"/>
    <s v="UBER"/>
    <n v="341.39999999999964"/>
    <x v="0"/>
    <m/>
    <m/>
  </r>
  <r>
    <x v="0"/>
    <x v="22"/>
    <x v="27"/>
    <s v="AVEO|2018|GRIS|X59AWG"/>
    <s v="ASHC"/>
    <s v="ASHC"/>
    <s v="UBER"/>
    <n v="783.80000000000018"/>
    <x v="0"/>
    <m/>
    <m/>
  </r>
  <r>
    <x v="0"/>
    <x v="22"/>
    <x v="32"/>
    <s v="AVEO|2019|PLATA|NEL860A"/>
    <s v="ASHC"/>
    <s v="ASHC"/>
    <s v="UBER"/>
    <n v="3000.3"/>
    <x v="0"/>
    <m/>
    <m/>
  </r>
  <r>
    <x v="0"/>
    <x v="22"/>
    <x v="9"/>
    <s v="VENTO|2017|GRIS|NZV7888"/>
    <s v="ASHC"/>
    <s v="ASHC"/>
    <s v="UBER"/>
    <n v="2100"/>
    <x v="0"/>
    <m/>
    <m/>
  </r>
  <r>
    <x v="0"/>
    <x v="22"/>
    <x v="26"/>
    <s v="AVEO|2019|BLANCO|NBS225A"/>
    <s v="ASHC"/>
    <s v="ASHC"/>
    <s v="UBER"/>
    <n v="0"/>
    <x v="0"/>
    <m/>
    <m/>
  </r>
  <r>
    <x v="0"/>
    <x v="22"/>
    <x v="36"/>
    <s v="AVEO|2024|GRIS|LRL009C"/>
    <s v="ASHC"/>
    <s v="-"/>
    <s v="UBER"/>
    <n v="1250"/>
    <x v="0"/>
    <m/>
    <m/>
  </r>
  <r>
    <x v="0"/>
    <x v="22"/>
    <x v="28"/>
    <s v="MARCH|2021|ROJO|NZU5163"/>
    <s v="ASHC"/>
    <s v="ASHC"/>
    <s v="UBER"/>
    <n v="1216.9799999999996"/>
    <x v="0"/>
    <m/>
    <m/>
  </r>
  <r>
    <x v="0"/>
    <x v="23"/>
    <x v="0"/>
    <s v="AVEO|2022|AZUL|NZY685B"/>
    <s v="ASHC"/>
    <s v="ASHC"/>
    <s v="UBER"/>
    <n v="1571"/>
    <x v="0"/>
    <m/>
    <m/>
  </r>
  <r>
    <x v="0"/>
    <x v="23"/>
    <x v="37"/>
    <s v="AVEO|2021|OCRE|NEB156A"/>
    <s v="ASHC"/>
    <s v="ASHC"/>
    <s v="UBER"/>
    <n v="1488"/>
    <x v="0"/>
    <m/>
    <m/>
  </r>
  <r>
    <x v="0"/>
    <x v="23"/>
    <x v="37"/>
    <s v="KIA RIO|2017|ROJO|MYE912A"/>
    <s v="U64"/>
    <s v="BYER"/>
    <s v="UBER"/>
    <n v="429"/>
    <x v="0"/>
    <m/>
    <m/>
  </r>
  <r>
    <x v="0"/>
    <x v="23"/>
    <x v="33"/>
    <s v="HYUNDAI|2022|PLATA|D40BKD"/>
    <s v="ASHC"/>
    <s v="ASHC"/>
    <s v="UBER"/>
    <n v="3599.6800000000003"/>
    <x v="0"/>
    <m/>
    <m/>
  </r>
  <r>
    <x v="0"/>
    <x v="23"/>
    <x v="31"/>
    <s v="SWIFT|2017|ROJO|X89ALV"/>
    <s v="BYER"/>
    <s v="BYER"/>
    <s v="UBER"/>
    <n v="869.34000000000015"/>
    <x v="0"/>
    <m/>
    <m/>
  </r>
  <r>
    <x v="0"/>
    <x v="23"/>
    <x v="31"/>
    <s v="SWIFT|2017|ROJO|X89ALV"/>
    <s v="BYER"/>
    <s v="BYER"/>
    <s v="UBER"/>
    <n v="358"/>
    <x v="1"/>
    <m/>
    <m/>
  </r>
  <r>
    <x v="0"/>
    <x v="23"/>
    <x v="21"/>
    <s v="AVEO|2018|GRIS|X59AWG"/>
    <s v="ASHC"/>
    <s v="ASHC"/>
    <s v="UBER"/>
    <n v="3000"/>
    <x v="0"/>
    <m/>
    <m/>
  </r>
  <r>
    <x v="0"/>
    <x v="23"/>
    <x v="29"/>
    <s v="KIA RIO|2017|ROJO|MYE912A"/>
    <s v="U64"/>
    <s v="-"/>
    <s v="UBER"/>
    <n v="0"/>
    <x v="0"/>
    <m/>
    <m/>
  </r>
  <r>
    <x v="0"/>
    <x v="23"/>
    <x v="30"/>
    <s v="VENTO|2020|GRIS|R66BER"/>
    <s v="ASHC"/>
    <s v="ASHC"/>
    <s v="UBER"/>
    <n v="2693.0400000000009"/>
    <x v="0"/>
    <m/>
    <m/>
  </r>
  <r>
    <x v="0"/>
    <x v="23"/>
    <x v="14"/>
    <s v="VERSA|2020|ROJO|NLP172B"/>
    <s v="ASHC"/>
    <s v="ASHC"/>
    <s v="UBER"/>
    <n v="3000"/>
    <x v="0"/>
    <m/>
    <m/>
  </r>
  <r>
    <x v="0"/>
    <x v="23"/>
    <x v="4"/>
    <s v="KIA RIO|2023|ROJO|H99BLC"/>
    <s v="U64"/>
    <s v="BYER"/>
    <s v="UBER"/>
    <n v="3188"/>
    <x v="0"/>
    <m/>
    <m/>
  </r>
  <r>
    <x v="0"/>
    <x v="23"/>
    <x v="25"/>
    <s v="VERSA|2020|BLANCO|A35BHD"/>
    <s v="ASHC"/>
    <s v="ASHC"/>
    <s v="UBER"/>
    <n v="2561"/>
    <x v="0"/>
    <m/>
    <m/>
  </r>
  <r>
    <x v="0"/>
    <x v="23"/>
    <x v="5"/>
    <s v="BEAT|2020|GRIS|NFN014B"/>
    <s v="U64"/>
    <s v="BYER"/>
    <s v="UBER"/>
    <n v="2500"/>
    <x v="0"/>
    <m/>
    <m/>
  </r>
  <r>
    <x v="0"/>
    <x v="23"/>
    <x v="23"/>
    <s v="KIA RIO|2020|GRIS|NCK475B"/>
    <s v="ASHC"/>
    <s v="ASHC"/>
    <s v="UBER"/>
    <n v="2500"/>
    <x v="0"/>
    <m/>
    <m/>
  </r>
  <r>
    <x v="0"/>
    <x v="23"/>
    <x v="34"/>
    <s v="VENTO|2018|AMARILLO|PED1652"/>
    <s v="ASHC"/>
    <s v="ASHC"/>
    <s v="UBER"/>
    <n v="2673.3999999999996"/>
    <x v="0"/>
    <m/>
    <m/>
  </r>
  <r>
    <x v="0"/>
    <x v="23"/>
    <x v="7"/>
    <s v="MARCH|2020|TURQ|N15BKD"/>
    <s v="ASHC"/>
    <s v="ASHC"/>
    <s v="UBER"/>
    <n v="2517.8200000000006"/>
    <x v="0"/>
    <m/>
    <m/>
  </r>
  <r>
    <x v="0"/>
    <x v="23"/>
    <x v="15"/>
    <s v="AVEO|2022|AZUL|MUF515A"/>
    <s v="ASHC"/>
    <s v="ASHC"/>
    <s v="UBER"/>
    <n v="2515"/>
    <x v="0"/>
    <m/>
    <m/>
  </r>
  <r>
    <x v="0"/>
    <x v="23"/>
    <x v="8"/>
    <s v="VERSA|2017|ACERO|X24APU"/>
    <s v="ASHC"/>
    <s v="BYER"/>
    <s v="UBER"/>
    <n v="2467.58"/>
    <x v="0"/>
    <m/>
    <m/>
  </r>
  <r>
    <x v="0"/>
    <x v="23"/>
    <x v="35"/>
    <s v="AVEO|2018|ROJO|R51BKD"/>
    <s v="U64"/>
    <s v="BYER"/>
    <s v="UBER"/>
    <n v="3815.7799999999997"/>
    <x v="0"/>
    <m/>
    <m/>
  </r>
  <r>
    <x v="0"/>
    <x v="23"/>
    <x v="27"/>
    <s v="AVEO|2018|GRIS|X59AWG"/>
    <s v="ASHC"/>
    <s v="-"/>
    <s v="UBER"/>
    <n v="-2772"/>
    <x v="0"/>
    <m/>
    <m/>
  </r>
  <r>
    <x v="0"/>
    <x v="23"/>
    <x v="32"/>
    <s v="AVEO|2019|PLATA|NEL860A"/>
    <s v="ASHC"/>
    <s v="ASHC"/>
    <s v="UBER"/>
    <n v="2453.35"/>
    <x v="0"/>
    <m/>
    <m/>
  </r>
  <r>
    <x v="0"/>
    <x v="23"/>
    <x v="9"/>
    <s v="VENTO|2017|GRIS|NZV7888"/>
    <s v="ASHC"/>
    <s v="ASHC"/>
    <s v="UBER"/>
    <n v="2301.2199999999993"/>
    <x v="0"/>
    <m/>
    <m/>
  </r>
  <r>
    <x v="0"/>
    <x v="23"/>
    <x v="26"/>
    <s v="AVEO|2019|BLANCO|NBS225A"/>
    <s v="ASHC"/>
    <s v="ASHC"/>
    <s v="UBER"/>
    <n v="3000"/>
    <x v="0"/>
    <m/>
    <m/>
  </r>
  <r>
    <x v="0"/>
    <x v="23"/>
    <x v="28"/>
    <s v="MARCH|2021|ROJO|NZU5163"/>
    <s v="ASHC"/>
    <s v="ASHC"/>
    <s v="UBER"/>
    <n v="-1422.0400000000004"/>
    <x v="0"/>
    <m/>
    <m/>
  </r>
  <r>
    <x v="0"/>
    <x v="24"/>
    <x v="0"/>
    <s v="AVEO|2022|AZUL|NZY685B"/>
    <s v="ASHC"/>
    <s v="ASHC"/>
    <s v="UBER"/>
    <n v="3000.8199999999997"/>
    <x v="0"/>
    <m/>
    <m/>
  </r>
  <r>
    <x v="0"/>
    <x v="24"/>
    <x v="37"/>
    <s v="AVEO|2021|OCRE|NEB156A"/>
    <s v="ASHC"/>
    <s v="ASHC"/>
    <s v="UBER"/>
    <n v="1256"/>
    <x v="0"/>
    <m/>
    <m/>
  </r>
  <r>
    <x v="0"/>
    <x v="24"/>
    <x v="33"/>
    <s v="HYUNDAI|2022|PLATA|D40BKD"/>
    <s v="ASHC"/>
    <s v="ASHC"/>
    <s v="UBER"/>
    <n v="3000"/>
    <x v="0"/>
    <m/>
    <m/>
  </r>
  <r>
    <x v="0"/>
    <x v="24"/>
    <x v="31"/>
    <s v="SWIFT|2017|ROJO|X89ALV"/>
    <s v="BYER"/>
    <s v="BYER"/>
    <s v="UBER"/>
    <n v="3350"/>
    <x v="0"/>
    <m/>
    <m/>
  </r>
  <r>
    <x v="0"/>
    <x v="24"/>
    <x v="21"/>
    <s v="AVEO|2018|GRIS|X59AWG"/>
    <s v="ASHC"/>
    <s v="ASHC"/>
    <s v="UBER"/>
    <n v="2915"/>
    <x v="0"/>
    <m/>
    <m/>
  </r>
  <r>
    <x v="0"/>
    <x v="24"/>
    <x v="29"/>
    <s v="KIA RIO|2017|ROJO|MYE912A"/>
    <s v="U64"/>
    <s v="-"/>
    <s v="UBER"/>
    <n v="0"/>
    <x v="0"/>
    <m/>
    <m/>
  </r>
  <r>
    <x v="0"/>
    <x v="24"/>
    <x v="30"/>
    <s v="VENTO|2020|GRIS|R66BER"/>
    <s v="ASHC"/>
    <s v="ASHC"/>
    <s v="UBER"/>
    <n v="2133.3599999999988"/>
    <x v="0"/>
    <m/>
    <m/>
  </r>
  <r>
    <x v="0"/>
    <x v="24"/>
    <x v="14"/>
    <s v="VERSA|2020|ROJO|NLP172B"/>
    <s v="ASHC"/>
    <s v="ASHC"/>
    <s v="UBER"/>
    <n v="3000"/>
    <x v="0"/>
    <m/>
    <m/>
  </r>
  <r>
    <x v="0"/>
    <x v="24"/>
    <x v="4"/>
    <s v="KIA RIO|2023|ROJO|H99BLC"/>
    <s v="U64"/>
    <s v="BYER"/>
    <s v="UBER"/>
    <n v="3305.76"/>
    <x v="0"/>
    <m/>
    <m/>
  </r>
  <r>
    <x v="0"/>
    <x v="24"/>
    <x v="25"/>
    <s v="VERSA|2020|BLANCO|A35BHD"/>
    <s v="ASHC"/>
    <s v="ASHC"/>
    <s v="UBER"/>
    <n v="2500"/>
    <x v="0"/>
    <m/>
    <m/>
  </r>
  <r>
    <x v="0"/>
    <x v="24"/>
    <x v="5"/>
    <s v="BEAT|2020|GRIS|NFN014B"/>
    <s v="U64"/>
    <s v="BYER"/>
    <s v="UBER"/>
    <n v="-2500"/>
    <x v="0"/>
    <m/>
    <m/>
  </r>
  <r>
    <x v="0"/>
    <x v="24"/>
    <x v="23"/>
    <s v="KIA RIO|2020|GRIS|NCK475B"/>
    <s v="ASHC"/>
    <s v="ASHC"/>
    <s v="UBER"/>
    <n v="2500"/>
    <x v="0"/>
    <m/>
    <m/>
  </r>
  <r>
    <x v="0"/>
    <x v="24"/>
    <x v="34"/>
    <s v="VENTO|2018|AMARILLO|PED1652"/>
    <s v="ASHC"/>
    <s v="ASHC"/>
    <s v="UBER"/>
    <n v="2496.38"/>
    <x v="0"/>
    <m/>
    <m/>
  </r>
  <r>
    <x v="0"/>
    <x v="24"/>
    <x v="7"/>
    <s v="MARCH|2020|TURQ|N15BKD"/>
    <s v="ASHC"/>
    <s v="ASHC"/>
    <s v="UBER"/>
    <n v="1271.5999999999999"/>
    <x v="0"/>
    <m/>
    <m/>
  </r>
  <r>
    <x v="0"/>
    <x v="24"/>
    <x v="15"/>
    <s v="AVEO|2022|AZUL|MUF515A"/>
    <s v="ASHC"/>
    <s v="ASHC"/>
    <s v="UBER"/>
    <n v="2549"/>
    <x v="0"/>
    <m/>
    <m/>
  </r>
  <r>
    <x v="0"/>
    <x v="24"/>
    <x v="8"/>
    <s v="VERSA|2017|ACERO|X24APU"/>
    <s v="ASHC"/>
    <s v="BYER"/>
    <s v="UBER"/>
    <n v="2343.7800000000007"/>
    <x v="0"/>
    <m/>
    <m/>
  </r>
  <r>
    <x v="0"/>
    <x v="24"/>
    <x v="35"/>
    <s v="AVEO|2018|ROJO|R51BKD"/>
    <s v="U64"/>
    <s v="BYER"/>
    <s v="UBER"/>
    <n v="1103.3999999999996"/>
    <x v="0"/>
    <m/>
    <m/>
  </r>
  <r>
    <x v="0"/>
    <x v="24"/>
    <x v="27"/>
    <s v="AVEO|2018|GRIS|X59AWG"/>
    <s v="ASHC"/>
    <s v="-"/>
    <s v="UBER"/>
    <n v="0"/>
    <x v="0"/>
    <m/>
    <m/>
  </r>
  <r>
    <x v="0"/>
    <x v="24"/>
    <x v="32"/>
    <s v="AVEO|2019|PLATA|NEL860A"/>
    <s v="ASHC"/>
    <s v="ASHC"/>
    <s v="UBER"/>
    <n v="263"/>
    <x v="0"/>
    <m/>
    <m/>
  </r>
  <r>
    <x v="0"/>
    <x v="24"/>
    <x v="9"/>
    <s v="VENTO|2017|GRIS|NZV7888"/>
    <s v="ASHC"/>
    <s v="ASHC"/>
    <s v="UBER"/>
    <n v="1969.0599999999995"/>
    <x v="0"/>
    <m/>
    <m/>
  </r>
  <r>
    <x v="0"/>
    <x v="24"/>
    <x v="38"/>
    <s v="AVEO|2019|PLATA|NEL860A"/>
    <s v="ASHC"/>
    <s v="ASHC"/>
    <s v="UBER"/>
    <n v="429"/>
    <x v="0"/>
    <m/>
    <m/>
  </r>
  <r>
    <x v="0"/>
    <x v="24"/>
    <x v="26"/>
    <s v="AVEO|2019|BLANCO|NBS225A"/>
    <s v="ASHC"/>
    <s v="ASHC"/>
    <s v="UBER"/>
    <n v="3000"/>
    <x v="0"/>
    <m/>
    <m/>
  </r>
  <r>
    <x v="0"/>
    <x v="24"/>
    <x v="28"/>
    <s v="MARCH|2021|ROJO|NZU5163"/>
    <s v="ASHC"/>
    <s v="ASHC"/>
    <s v="UBER"/>
    <n v="380.11999999999944"/>
    <x v="0"/>
    <m/>
    <m/>
  </r>
  <r>
    <x v="0"/>
    <x v="25"/>
    <x v="0"/>
    <s v="AVEO|2022|AZUL|NZY685B"/>
    <s v="ASHC"/>
    <s v="ASHC"/>
    <s v="UBER"/>
    <n v="127.61000000000013"/>
    <x v="0"/>
    <m/>
    <m/>
  </r>
  <r>
    <x v="0"/>
    <x v="25"/>
    <x v="33"/>
    <s v="HYUNDAI|2022|PLATA|D40BKD"/>
    <s v="ASHC"/>
    <s v="ASHC"/>
    <s v="UBER"/>
    <n v="1517.6400000000003"/>
    <x v="0"/>
    <m/>
    <m/>
  </r>
  <r>
    <x v="0"/>
    <x v="25"/>
    <x v="31"/>
    <s v="AVEO|2021|OCRE|NEB156A"/>
    <s v="ASHC"/>
    <s v="ASHC"/>
    <s v="UBER"/>
    <n v="3000"/>
    <x v="0"/>
    <m/>
    <m/>
  </r>
  <r>
    <x v="0"/>
    <x v="25"/>
    <x v="21"/>
    <s v="AVEO|2018|GRIS|X59AWG"/>
    <s v="ASHC"/>
    <s v="ASHC"/>
    <s v="UBER"/>
    <n v="3000"/>
    <x v="0"/>
    <m/>
    <m/>
  </r>
  <r>
    <x v="0"/>
    <x v="25"/>
    <x v="30"/>
    <s v="VENTO|2020|GRIS|R66BER"/>
    <s v="ASHC"/>
    <s v="ASHC"/>
    <s v="UBER"/>
    <n v="2849"/>
    <x v="0"/>
    <m/>
    <m/>
  </r>
  <r>
    <x v="0"/>
    <x v="25"/>
    <x v="39"/>
    <s v="AVEO|2021|OCRE|NEB156A"/>
    <s v="ASHC"/>
    <s v="ASHC"/>
    <s v="UBER"/>
    <n v="714.66000000000008"/>
    <x v="0"/>
    <m/>
    <m/>
  </r>
  <r>
    <x v="0"/>
    <x v="25"/>
    <x v="14"/>
    <s v="VERSA|2020|ROJO|NLP172B"/>
    <s v="ASHC"/>
    <s v="ASHC"/>
    <s v="UBER"/>
    <n v="2680.6000000000013"/>
    <x v="0"/>
    <m/>
    <m/>
  </r>
  <r>
    <x v="0"/>
    <x v="25"/>
    <x v="4"/>
    <s v="KIA RIO|2023|ROJO|H99BLC"/>
    <s v="U64"/>
    <s v="BYER"/>
    <s v="UBER"/>
    <n v="3472.12"/>
    <x v="0"/>
    <m/>
    <m/>
  </r>
  <r>
    <x v="0"/>
    <x v="25"/>
    <x v="25"/>
    <s v="VERSA|2020|BLANCO|A35BHD"/>
    <s v="ASHC"/>
    <s v="ASHC"/>
    <s v="UBER"/>
    <n v="2500"/>
    <x v="0"/>
    <m/>
    <m/>
  </r>
  <r>
    <x v="0"/>
    <x v="25"/>
    <x v="23"/>
    <s v="KIA RIO|2020|GRIS|NCK475B"/>
    <s v="ASHC"/>
    <s v="ASHC"/>
    <s v="UBER"/>
    <n v="2500"/>
    <x v="0"/>
    <m/>
    <m/>
  </r>
  <r>
    <x v="0"/>
    <x v="25"/>
    <x v="34"/>
    <s v="VENTO|2018|AMARILLO|PED1652"/>
    <s v="ASHC"/>
    <s v="ASHC"/>
    <s v="UBER"/>
    <n v="-318.14000000000033"/>
    <x v="0"/>
    <m/>
    <m/>
  </r>
  <r>
    <x v="0"/>
    <x v="25"/>
    <x v="7"/>
    <s v="AVEO|2020|AZUL|D28BET"/>
    <s v="ASHC"/>
    <s v="ASHC"/>
    <s v="UBER"/>
    <n v="3324"/>
    <x v="0"/>
    <m/>
    <m/>
  </r>
  <r>
    <x v="0"/>
    <x v="25"/>
    <x v="15"/>
    <s v="AVEO|2022|AZUL|MUF515A"/>
    <s v="ASHC"/>
    <s v="ASHC"/>
    <s v="UBER"/>
    <n v="2500"/>
    <x v="0"/>
    <m/>
    <m/>
  </r>
  <r>
    <x v="0"/>
    <x v="25"/>
    <x v="8"/>
    <s v="VERSA|2017|ACERO|X24APU"/>
    <s v="ASHC"/>
    <s v="BYER"/>
    <s v="UBER"/>
    <n v="902.47000000000025"/>
    <x v="0"/>
    <m/>
    <m/>
  </r>
  <r>
    <x v="0"/>
    <x v="25"/>
    <x v="40"/>
    <s v="KIA RIO|2017|ROJO|MYE912A"/>
    <s v="U64"/>
    <s v="BYER"/>
    <s v="UBER"/>
    <n v="1249.9999999999995"/>
    <x v="0"/>
    <m/>
    <m/>
  </r>
  <r>
    <x v="0"/>
    <x v="25"/>
    <x v="35"/>
    <s v="AVEO|2018|ROJO|R51BKD"/>
    <s v="U64"/>
    <s v="BYER"/>
    <s v="UBER"/>
    <n v="3871.1199999999981"/>
    <x v="0"/>
    <m/>
    <m/>
  </r>
  <r>
    <x v="0"/>
    <x v="25"/>
    <x v="9"/>
    <s v="VENTO|2017|GRIS|NZV7888"/>
    <s v="ASHC"/>
    <s v="ASHC"/>
    <s v="UBER"/>
    <n v="2300"/>
    <x v="0"/>
    <m/>
    <m/>
  </r>
  <r>
    <x v="0"/>
    <x v="25"/>
    <x v="38"/>
    <s v="AVEO|2019|BLANCO|NBS225A"/>
    <s v="ASHC"/>
    <s v="ASHC"/>
    <s v="UBER"/>
    <n v="-1111.4399999999987"/>
    <x v="0"/>
    <m/>
    <m/>
  </r>
  <r>
    <x v="0"/>
    <x v="25"/>
    <x v="26"/>
    <s v="VERSA|2023|PLATA|NCT814A"/>
    <s v="ASHC"/>
    <s v="ASHC"/>
    <s v="UBER"/>
    <n v="2500"/>
    <x v="0"/>
    <m/>
    <m/>
  </r>
  <r>
    <x v="0"/>
    <x v="25"/>
    <x v="41"/>
    <s v="AVEO|2019|BLANCO|NBS225A"/>
    <s v="ASHC"/>
    <s v="ASHC"/>
    <s v="UBER"/>
    <n v="1749.4600000000005"/>
    <x v="0"/>
    <m/>
    <m/>
  </r>
  <r>
    <x v="0"/>
    <x v="25"/>
    <x v="42"/>
    <s v="KIA RIO|2020|AZUL|LUE960C"/>
    <s v="JGD"/>
    <s v="JGD"/>
    <s v="UBER"/>
    <n v="1928.5714285714278"/>
    <x v="0"/>
    <m/>
    <m/>
  </r>
  <r>
    <x v="0"/>
    <x v="25"/>
    <x v="28"/>
    <s v="MARCH|2021|ROJO|NZU5163"/>
    <s v="ASHC"/>
    <s v="ASHC"/>
    <s v="UBER"/>
    <n v="1427.2200000000003"/>
    <x v="0"/>
    <m/>
    <m/>
  </r>
  <r>
    <x v="0"/>
    <x v="26"/>
    <x v="0"/>
    <s v="VENTO|2020|GRIS|R66BER"/>
    <s v="ASHC"/>
    <s v="ASHC"/>
    <s v="UBER"/>
    <n v="2999.54"/>
    <x v="0"/>
    <m/>
    <m/>
  </r>
  <r>
    <x v="0"/>
    <x v="26"/>
    <x v="33"/>
    <s v="HYUNDAI|2022|PLATA|D40BKD"/>
    <s v="ASHC"/>
    <s v="ASHC"/>
    <s v="UBER"/>
    <n v="2789.8999999999996"/>
    <x v="0"/>
    <m/>
    <m/>
  </r>
  <r>
    <x v="0"/>
    <x v="26"/>
    <x v="31"/>
    <s v="SWIFT|2017|ROJO|X89ALV"/>
    <s v="BYER"/>
    <s v="BYER"/>
    <s v="UBER"/>
    <n v="3000"/>
    <x v="0"/>
    <m/>
    <m/>
  </r>
  <r>
    <x v="0"/>
    <x v="26"/>
    <x v="2"/>
    <s v="VENTO|2019|BLANCO|LUE965C"/>
    <s v="JGD"/>
    <s v="JGD"/>
    <s v="UBER"/>
    <n v="-251.77999999999997"/>
    <x v="0"/>
    <m/>
    <m/>
  </r>
  <r>
    <x v="0"/>
    <x v="26"/>
    <x v="21"/>
    <s v="AVEO|2018|GRIS|X59AWG"/>
    <s v="ASHC"/>
    <s v="ASHC"/>
    <s v="UBER"/>
    <n v="3000.5199999999986"/>
    <x v="0"/>
    <m/>
    <m/>
  </r>
  <r>
    <x v="0"/>
    <x v="26"/>
    <x v="12"/>
    <s v="AVEO|2020|AZUL|D28BET"/>
    <s v="ASHC"/>
    <s v="ASHC"/>
    <s v="UBER"/>
    <n v="1388"/>
    <x v="0"/>
    <m/>
    <m/>
  </r>
  <r>
    <x v="0"/>
    <x v="26"/>
    <x v="30"/>
    <s v="AVEO|2024|GRIS|LRL009C"/>
    <s v="ASHC"/>
    <s v="ASHC"/>
    <s v="UBER"/>
    <n v="2815.9"/>
    <x v="0"/>
    <m/>
    <m/>
  </r>
  <r>
    <x v="0"/>
    <x v="26"/>
    <x v="39"/>
    <s v="AVEO|2021|OCRE|NEB156A"/>
    <s v="ASHC"/>
    <s v="ASHC"/>
    <s v="UBER"/>
    <n v="1550.3600000000006"/>
    <x v="0"/>
    <m/>
    <m/>
  </r>
  <r>
    <x v="0"/>
    <x v="26"/>
    <x v="14"/>
    <s v="VERSA|2020|ROJO|NLP172B"/>
    <s v="ASHC"/>
    <s v="ASHC"/>
    <s v="UBER"/>
    <n v="1133.18"/>
    <x v="0"/>
    <m/>
    <m/>
  </r>
  <r>
    <x v="0"/>
    <x v="26"/>
    <x v="4"/>
    <s v="KIA RIO|2023|ROJO|H99BLC"/>
    <s v="U64"/>
    <s v="BYER"/>
    <s v="UBER"/>
    <n v="3650"/>
    <x v="0"/>
    <m/>
    <m/>
  </r>
  <r>
    <x v="0"/>
    <x v="26"/>
    <x v="25"/>
    <s v="VERSA|2020|BLANCO|A35BHD"/>
    <s v="ASHC"/>
    <s v="ASHC"/>
    <s v="UBER"/>
    <n v="2500"/>
    <x v="0"/>
    <m/>
    <m/>
  </r>
  <r>
    <x v="0"/>
    <x v="26"/>
    <x v="23"/>
    <s v="KIA RIO|2020|GRIS|NCK475B"/>
    <s v="ASHC"/>
    <s v="ASHC"/>
    <s v="UBER"/>
    <n v="2500"/>
    <x v="0"/>
    <m/>
    <m/>
  </r>
  <r>
    <x v="0"/>
    <x v="26"/>
    <x v="34"/>
    <s v="VENTO|2018|AMARILLO|PED1652"/>
    <s v="ASHC"/>
    <s v="ASHC"/>
    <s v="UBER"/>
    <n v="-3598.62"/>
    <x v="0"/>
    <m/>
    <m/>
  </r>
  <r>
    <x v="0"/>
    <x v="26"/>
    <x v="7"/>
    <s v="MARCH|2020|TURQ|N15BKD"/>
    <s v="ASHC"/>
    <s v="ASHC"/>
    <s v="UBER"/>
    <n v="587.57999999999993"/>
    <x v="0"/>
    <m/>
    <m/>
  </r>
  <r>
    <x v="0"/>
    <x v="26"/>
    <x v="15"/>
    <s v="AVEO|2022|AZUL|MUF515A"/>
    <s v="ASHC"/>
    <s v="ASHC"/>
    <s v="UBER"/>
    <n v="2460"/>
    <x v="0"/>
    <m/>
    <m/>
  </r>
  <r>
    <x v="0"/>
    <x v="26"/>
    <x v="8"/>
    <s v="VERSA|2017|ACERO|X24APU"/>
    <s v="ASHC"/>
    <s v="BYER"/>
    <s v="UBER"/>
    <n v="2500"/>
    <x v="0"/>
    <m/>
    <m/>
  </r>
  <r>
    <x v="0"/>
    <x v="26"/>
    <x v="40"/>
    <s v="KIA RIO|2017|ROJO|MYE912A"/>
    <s v="U64"/>
    <s v="BYER"/>
    <s v="UBER"/>
    <n v="3000"/>
    <x v="0"/>
    <m/>
    <m/>
  </r>
  <r>
    <x v="0"/>
    <x v="26"/>
    <x v="35"/>
    <s v="AVEO|2018|ROJO|R51BKD"/>
    <s v="U64"/>
    <s v="BYER"/>
    <s v="UBER"/>
    <n v="2936.2999999999997"/>
    <x v="0"/>
    <m/>
    <m/>
  </r>
  <r>
    <x v="0"/>
    <x v="26"/>
    <x v="43"/>
    <s v="BEAT|2020|GRIS|NFN014B"/>
    <s v="U64"/>
    <s v="ASHC"/>
    <s v="UBER"/>
    <n v="1071"/>
    <x v="0"/>
    <m/>
    <m/>
  </r>
  <r>
    <x v="0"/>
    <x v="26"/>
    <x v="9"/>
    <s v="VENTO|2017|GRIS|NZV7888"/>
    <s v="ASHC"/>
    <s v="ASHC"/>
    <s v="UBER"/>
    <n v="2300.0599999999995"/>
    <x v="0"/>
    <m/>
    <m/>
  </r>
  <r>
    <x v="0"/>
    <x v="26"/>
    <x v="38"/>
    <s v="AVEO|2019|PLATA|NEL860A"/>
    <s v="ASHC"/>
    <s v="ASHC"/>
    <s v="UBER"/>
    <n v="-3055.7599999999984"/>
    <x v="0"/>
    <m/>
    <m/>
  </r>
  <r>
    <x v="0"/>
    <x v="26"/>
    <x v="26"/>
    <s v="VERSA|2023|PLATA|NCT814A"/>
    <s v="ASHC"/>
    <s v="ASHC"/>
    <s v="UBER"/>
    <n v="1793.6799999999994"/>
    <x v="0"/>
    <m/>
    <m/>
  </r>
  <r>
    <x v="0"/>
    <x v="26"/>
    <x v="41"/>
    <s v="AVEO|2019|BLANCO|NBS225A"/>
    <s v="ASHC"/>
    <s v="ASHC"/>
    <s v="UBER"/>
    <n v="3000"/>
    <x v="0"/>
    <m/>
    <m/>
  </r>
  <r>
    <x v="0"/>
    <x v="26"/>
    <x v="42"/>
    <s v="KIA RIO|2020|AZUL|LUE960C"/>
    <s v="JGD"/>
    <s v="JGD"/>
    <s v="UBER"/>
    <n v="3000"/>
    <x v="0"/>
    <m/>
    <m/>
  </r>
  <r>
    <x v="0"/>
    <x v="26"/>
    <x v="28"/>
    <s v="MARCH|2021|ROJO|NZU5163"/>
    <s v="ASHC"/>
    <s v="ASHC"/>
    <s v="UBER"/>
    <n v="-4855.7800000000007"/>
    <x v="0"/>
    <m/>
    <m/>
  </r>
  <r>
    <x v="0"/>
    <x v="26"/>
    <x v="44"/>
    <s v="VENTO|2018|AMARILLO|PED1652"/>
    <s v="ASHC"/>
    <s v="ASHC"/>
    <s v="UBER"/>
    <n v="643"/>
    <x v="0"/>
    <m/>
    <m/>
  </r>
  <r>
    <x v="0"/>
    <x v="27"/>
    <x v="0"/>
    <s v="AVEO|2022|AZUL|NZY685B"/>
    <s v="ASHC"/>
    <s v="ASHC"/>
    <s v="UBER"/>
    <n v="2499.6800000000003"/>
    <x v="0"/>
    <m/>
    <m/>
  </r>
  <r>
    <x v="0"/>
    <x v="27"/>
    <x v="33"/>
    <s v="HYUNDAI|2022|PLATA|D40BKD"/>
    <s v="ASHC"/>
    <s v="ASHC"/>
    <s v="UBER"/>
    <n v="815.60000000000036"/>
    <x v="0"/>
    <m/>
    <m/>
  </r>
  <r>
    <x v="0"/>
    <x v="27"/>
    <x v="31"/>
    <s v="SWIFT|2017|ROJO|X89ALV"/>
    <s v="BYER"/>
    <s v="BYER"/>
    <s v="UBER"/>
    <n v="3600"/>
    <x v="0"/>
    <m/>
    <m/>
  </r>
  <r>
    <x v="0"/>
    <x v="27"/>
    <x v="21"/>
    <s v="AVEO|2018|GRIS|X59AWG"/>
    <s v="ASHC"/>
    <s v="ASHC"/>
    <s v="UBER"/>
    <n v="3000"/>
    <x v="0"/>
    <m/>
    <m/>
  </r>
  <r>
    <x v="0"/>
    <x v="27"/>
    <x v="12"/>
    <s v="AVEO|2020|AZUL|D28BET"/>
    <s v="ASHC"/>
    <s v="ASHC"/>
    <s v="UBER"/>
    <n v="1088.8999999999987"/>
    <x v="0"/>
    <m/>
    <m/>
  </r>
  <r>
    <x v="0"/>
    <x v="27"/>
    <x v="30"/>
    <s v="AVEO|2024|GRIS|LRL009C"/>
    <s v="ASHC"/>
    <s v="ASHC"/>
    <s v="UBER"/>
    <n v="3098.46"/>
    <x v="0"/>
    <m/>
    <m/>
  </r>
  <r>
    <x v="0"/>
    <x v="27"/>
    <x v="39"/>
    <s v="AVEO|2021|OCRE|NEB156A"/>
    <s v="ASHC"/>
    <s v="ASHC"/>
    <s v="UBER"/>
    <n v="3811.74"/>
    <x v="0"/>
    <m/>
    <m/>
  </r>
  <r>
    <x v="0"/>
    <x v="27"/>
    <x v="4"/>
    <s v="KIA RIO|2023|ROJO|H99BLC"/>
    <s v="U64"/>
    <s v="BYER"/>
    <s v="UBER"/>
    <n v="2500"/>
    <x v="0"/>
    <m/>
    <m/>
  </r>
  <r>
    <x v="0"/>
    <x v="27"/>
    <x v="25"/>
    <s v="VERSA|2020|BLANCO|A35BHD"/>
    <s v="ASHC"/>
    <s v="ASHC"/>
    <s v="UBER"/>
    <n v="2500"/>
    <x v="0"/>
    <m/>
    <m/>
  </r>
  <r>
    <x v="0"/>
    <x v="27"/>
    <x v="45"/>
    <s v="AVEO|2019|PLATA|NEL860A"/>
    <s v="ASHC"/>
    <s v="ASHC"/>
    <s v="UBER"/>
    <n v="2643"/>
    <x v="0"/>
    <m/>
    <m/>
  </r>
  <r>
    <x v="0"/>
    <x v="27"/>
    <x v="23"/>
    <s v="KIA RIO|2020|GRIS|NCK475B"/>
    <s v="ASHC"/>
    <s v="ASHC"/>
    <s v="UBER"/>
    <n v="2500"/>
    <x v="0"/>
    <m/>
    <m/>
  </r>
  <r>
    <x v="0"/>
    <x v="27"/>
    <x v="7"/>
    <s v="MARCH|2020|TURQ|N15BKD"/>
    <s v="ASHC"/>
    <s v="ASHC"/>
    <s v="UBER"/>
    <n v="146.30000000000007"/>
    <x v="0"/>
    <m/>
    <m/>
  </r>
  <r>
    <x v="0"/>
    <x v="27"/>
    <x v="15"/>
    <s v="AVEO|2022|AZUL|MUF515A"/>
    <s v="ASHC"/>
    <s v="ASHC"/>
    <s v="UBER"/>
    <n v="2522"/>
    <x v="0"/>
    <m/>
    <m/>
  </r>
  <r>
    <x v="0"/>
    <x v="27"/>
    <x v="8"/>
    <s v="VERSA|2017|ACERO|X24APU"/>
    <s v="ASHC"/>
    <s v="BYER"/>
    <s v="UBER"/>
    <n v="2500"/>
    <x v="0"/>
    <m/>
    <m/>
  </r>
  <r>
    <x v="0"/>
    <x v="27"/>
    <x v="40"/>
    <s v="KIA RIO|2017|ROJO|MYE912A"/>
    <s v="U64"/>
    <s v="BYER"/>
    <s v="UBER"/>
    <n v="1928.5"/>
    <x v="0"/>
    <m/>
    <m/>
  </r>
  <r>
    <x v="0"/>
    <x v="27"/>
    <x v="35"/>
    <s v="VENTO|2020|GRIS|R66BER"/>
    <s v="ASHC"/>
    <s v="BYER"/>
    <s v="UBER"/>
    <n v="2109"/>
    <x v="0"/>
    <m/>
    <m/>
  </r>
  <r>
    <x v="0"/>
    <x v="27"/>
    <x v="43"/>
    <s v="BEAT|2020|GRIS|NFN014B"/>
    <s v="U64"/>
    <s v="BYER"/>
    <s v="UBER"/>
    <n v="1709.1999999999998"/>
    <x v="0"/>
    <m/>
    <m/>
  </r>
  <r>
    <x v="0"/>
    <x v="27"/>
    <x v="9"/>
    <s v="VENTO|2017|GRIS|NZV7888"/>
    <s v="ASHC"/>
    <s v="ASHC"/>
    <s v="UBER"/>
    <n v="2301"/>
    <x v="0"/>
    <m/>
    <m/>
  </r>
  <r>
    <x v="0"/>
    <x v="27"/>
    <x v="26"/>
    <s v="VERSA|2023|PLATA|NCT814A"/>
    <s v="ASHC"/>
    <s v="ASHC"/>
    <s v="UBER"/>
    <n v="2266.7399999999998"/>
    <x v="0"/>
    <m/>
    <m/>
  </r>
  <r>
    <x v="0"/>
    <x v="27"/>
    <x v="41"/>
    <s v="AVEO|2019|BLANCO|NBS225A"/>
    <s v="ASHC"/>
    <s v="ASHC"/>
    <s v="UBER"/>
    <n v="2998.96"/>
    <x v="0"/>
    <m/>
    <m/>
  </r>
  <r>
    <x v="0"/>
    <x v="27"/>
    <x v="42"/>
    <s v="KIA RIO|2020|AZUL|LUE960C"/>
    <s v="JGD"/>
    <s v="JGD"/>
    <s v="UBER"/>
    <n v="3000"/>
    <x v="0"/>
    <m/>
    <m/>
  </r>
  <r>
    <x v="0"/>
    <x v="27"/>
    <x v="46"/>
    <s v="VENTO|2019|BLANCO|LUE965C"/>
    <s v="JGD"/>
    <s v="JGD"/>
    <s v="UBER"/>
    <n v="1369.9999999999995"/>
    <x v="0"/>
    <m/>
    <m/>
  </r>
  <r>
    <x v="0"/>
    <x v="27"/>
    <x v="44"/>
    <s v="VENTO|2018|AMARILLO|PED1652"/>
    <s v="ASHC"/>
    <s v="ASHC"/>
    <s v="UBER"/>
    <n v="3000"/>
    <x v="0"/>
    <m/>
    <m/>
  </r>
  <r>
    <x v="0"/>
    <x v="28"/>
    <x v="0"/>
    <s v="AVEO|2022|AZUL|NZY685B"/>
    <s v="ASHC"/>
    <s v="ASHC"/>
    <s v="UBER"/>
    <n v="2999.58"/>
    <x v="0"/>
    <m/>
    <m/>
  </r>
  <r>
    <x v="0"/>
    <x v="28"/>
    <x v="33"/>
    <s v="HYUNDAI|2022|PLATA|D40BKD"/>
    <s v="ASHC"/>
    <s v="ASHC"/>
    <s v="UBER"/>
    <n v="-0.1999999999998181"/>
    <x v="0"/>
    <m/>
    <m/>
  </r>
  <r>
    <x v="0"/>
    <x v="28"/>
    <x v="31"/>
    <s v="SWIFT|2017|ROJO|X89ALV"/>
    <s v="BYER"/>
    <s v="BYER"/>
    <s v="UBER"/>
    <n v="3000"/>
    <x v="0"/>
    <m/>
    <m/>
  </r>
  <r>
    <x v="0"/>
    <x v="28"/>
    <x v="21"/>
    <s v="MARCH|2021|ROJO|NZU5163"/>
    <s v="ASHC"/>
    <s v="ASHC"/>
    <s v="UBER"/>
    <n v="2750.1400000000003"/>
    <x v="0"/>
    <m/>
    <m/>
  </r>
  <r>
    <x v="0"/>
    <x v="28"/>
    <x v="12"/>
    <s v="AVEO|2020|AZUL|D28BET"/>
    <s v="ASHC"/>
    <s v="ASHC"/>
    <s v="UBER"/>
    <n v="-864.4400000000004"/>
    <x v="0"/>
    <m/>
    <m/>
  </r>
  <r>
    <x v="0"/>
    <x v="28"/>
    <x v="30"/>
    <s v="AVEO|2024|GRIS|LRL009C"/>
    <s v="ASHC"/>
    <s v="ASHC"/>
    <s v="UBER"/>
    <n v="740.72000000000025"/>
    <x v="0"/>
    <m/>
    <m/>
  </r>
  <r>
    <x v="0"/>
    <x v="28"/>
    <x v="39"/>
    <s v="AVEO|2021|OCRE|NEB156A"/>
    <s v="ASHC"/>
    <s v="ASHC"/>
    <s v="UBER"/>
    <n v="3000.4799999999996"/>
    <x v="0"/>
    <m/>
    <m/>
  </r>
  <r>
    <x v="0"/>
    <x v="28"/>
    <x v="4"/>
    <s v="KIA RIO|2023|ROJO|H99BLC"/>
    <s v="U64"/>
    <s v="BYER"/>
    <s v="UBER"/>
    <n v="212.79999999999927"/>
    <x v="0"/>
    <m/>
    <m/>
  </r>
  <r>
    <x v="0"/>
    <x v="28"/>
    <x v="25"/>
    <s v="VERSA|2020|BLANCO|A35BHD"/>
    <s v="ASHC"/>
    <s v="ASHC"/>
    <s v="UBER"/>
    <n v="2870"/>
    <x v="0"/>
    <m/>
    <m/>
  </r>
  <r>
    <x v="0"/>
    <x v="28"/>
    <x v="45"/>
    <s v="AVEO|2019|PLATA|NEL860A"/>
    <s v="ASHC"/>
    <s v="ASHC"/>
    <s v="UBER"/>
    <n v="3000"/>
    <x v="0"/>
    <m/>
    <m/>
  </r>
  <r>
    <x v="0"/>
    <x v="28"/>
    <x v="47"/>
    <s v="AVEO|2020|AZUL|D28BET"/>
    <s v="ASHC"/>
    <s v="ASHC"/>
    <s v="UBER"/>
    <n v="642.70000000000005"/>
    <x v="0"/>
    <m/>
    <m/>
  </r>
  <r>
    <x v="0"/>
    <x v="28"/>
    <x v="23"/>
    <s v="KIA RIO|2020|GRIS|NCK475B"/>
    <s v="ASHC"/>
    <s v="ASHC"/>
    <s v="UBER"/>
    <n v="3000"/>
    <x v="0"/>
    <m/>
    <m/>
  </r>
  <r>
    <x v="0"/>
    <x v="28"/>
    <x v="15"/>
    <s v="AVEO|2022|AZUL|MUF515A"/>
    <s v="ASHC"/>
    <s v="ASHC"/>
    <s v="UBER"/>
    <n v="2529"/>
    <x v="0"/>
    <m/>
    <m/>
  </r>
  <r>
    <x v="0"/>
    <x v="28"/>
    <x v="8"/>
    <s v="AVEO|2018|ROJO|R51BKD"/>
    <s v="U64"/>
    <s v="BYER"/>
    <s v="UBER"/>
    <n v="2500"/>
    <x v="0"/>
    <m/>
    <m/>
  </r>
  <r>
    <x v="0"/>
    <x v="28"/>
    <x v="40"/>
    <s v="KIA RIO|2017|ROJO|MYE912A"/>
    <s v="U64"/>
    <s v="BYER"/>
    <s v="UBER"/>
    <n v="1213.8400000000001"/>
    <x v="0"/>
    <m/>
    <m/>
  </r>
  <r>
    <x v="0"/>
    <x v="28"/>
    <x v="35"/>
    <s v="VENTO|2020|GRIS|R66BER"/>
    <s v="ASHC"/>
    <s v="ASHC"/>
    <s v="UBER"/>
    <n v="2348.8999999999996"/>
    <x v="0"/>
    <m/>
    <m/>
  </r>
  <r>
    <x v="0"/>
    <x v="28"/>
    <x v="43"/>
    <s v="MARCH|2020|TURQ|N15BKD"/>
    <s v="ASHC"/>
    <s v="ASHC"/>
    <s v="UBER"/>
    <n v="774.92000000000098"/>
    <x v="0"/>
    <m/>
    <m/>
  </r>
  <r>
    <x v="0"/>
    <x v="28"/>
    <x v="9"/>
    <s v="VENTO|2017|GRIS|NZV7888"/>
    <s v="ASHC"/>
    <s v="ASHC"/>
    <s v="UBER"/>
    <n v="2300"/>
    <x v="0"/>
    <m/>
    <m/>
  </r>
  <r>
    <x v="0"/>
    <x v="28"/>
    <x v="26"/>
    <s v="VERSA|2023|PLATA|NCT814A"/>
    <s v="ASHC"/>
    <s v="ASHC"/>
    <s v="UBER"/>
    <n v="967.20000000000027"/>
    <x v="0"/>
    <m/>
    <m/>
  </r>
  <r>
    <x v="0"/>
    <x v="28"/>
    <x v="41"/>
    <s v="AVEO|2019|BLANCO|NBS225A"/>
    <s v="ASHC"/>
    <s v="ASHC"/>
    <s v="UBER"/>
    <n v="2999.2"/>
    <x v="0"/>
    <m/>
    <m/>
  </r>
  <r>
    <x v="0"/>
    <x v="28"/>
    <x v="42"/>
    <s v="KIA RIO|2020|AZUL|LUE960C"/>
    <s v="JGD"/>
    <s v="JGD"/>
    <s v="UBER"/>
    <n v="1969"/>
    <x v="0"/>
    <m/>
    <m/>
  </r>
  <r>
    <x v="0"/>
    <x v="28"/>
    <x v="46"/>
    <s v="VENTO|2019|BLANCO|LUE965C"/>
    <s v="JGD"/>
    <s v="JGD"/>
    <s v="UBER"/>
    <n v="3000.5400000000009"/>
    <x v="0"/>
    <m/>
    <m/>
  </r>
  <r>
    <x v="0"/>
    <x v="28"/>
    <x v="44"/>
    <s v="VENTO|2018|AMARILLO|PED1652"/>
    <s v="ASHC"/>
    <s v="ASHC"/>
    <s v="UBER"/>
    <n v="3000"/>
    <x v="0"/>
    <m/>
    <m/>
  </r>
  <r>
    <x v="0"/>
    <x v="29"/>
    <x v="0"/>
    <s v="VERSA|2020|ROJO|NLP172B"/>
    <s v="ASHC"/>
    <s v="ASHC"/>
    <s v="UBER"/>
    <n v="2999.24"/>
    <x v="0"/>
    <m/>
    <m/>
  </r>
  <r>
    <x v="0"/>
    <x v="29"/>
    <x v="31"/>
    <s v="SWIFT|2017|ROJO|X89ALV"/>
    <s v="BYER"/>
    <s v="BYER"/>
    <s v="UBER"/>
    <n v="3600"/>
    <x v="0"/>
    <m/>
    <m/>
  </r>
  <r>
    <x v="0"/>
    <x v="29"/>
    <x v="21"/>
    <s v="MARCH|2021|ROJO|NZU5163"/>
    <s v="ASHC"/>
    <s v="ASHC"/>
    <s v="UBER"/>
    <n v="2500"/>
    <x v="0"/>
    <m/>
    <m/>
  </r>
  <r>
    <x v="0"/>
    <x v="29"/>
    <x v="30"/>
    <s v="AVEO|2024|GRIS|LRL009C"/>
    <s v="ASHC"/>
    <s v="ASHC"/>
    <s v="UBER"/>
    <n v="2484.3999999999996"/>
    <x v="0"/>
    <m/>
    <m/>
  </r>
  <r>
    <x v="0"/>
    <x v="29"/>
    <x v="39"/>
    <s v="AVEO|2018|GRIS|X59AWG"/>
    <s v="ASHC"/>
    <s v="ASHC"/>
    <s v="UBER"/>
    <n v="1885.8600000000006"/>
    <x v="0"/>
    <m/>
    <m/>
  </r>
  <r>
    <x v="0"/>
    <x v="29"/>
    <x v="4"/>
    <s v="KIA RIO|2023|ROJO|H99BLC"/>
    <s v="U64"/>
    <s v="BYER"/>
    <s v="UBER"/>
    <n v="3724.66"/>
    <x v="0"/>
    <m/>
    <m/>
  </r>
  <r>
    <x v="0"/>
    <x v="29"/>
    <x v="25"/>
    <s v="VERSA|2020|BLANCO|A35BHD"/>
    <s v="ASHC"/>
    <s v="ASHC"/>
    <s v="UBER"/>
    <n v="3500"/>
    <x v="0"/>
    <m/>
    <m/>
  </r>
  <r>
    <x v="0"/>
    <x v="29"/>
    <x v="45"/>
    <s v="AVEO|2019|PLATA|NEL860A"/>
    <s v="ASHC"/>
    <s v="ASHC"/>
    <s v="UBER"/>
    <n v="0"/>
    <x v="0"/>
    <m/>
    <m/>
  </r>
  <r>
    <x v="0"/>
    <x v="29"/>
    <x v="47"/>
    <s v="AVEO|2020|AZUL|D28BET"/>
    <s v="ASHC"/>
    <s v="ASHC"/>
    <s v="UBER"/>
    <n v="3000"/>
    <x v="0"/>
    <m/>
    <m/>
  </r>
  <r>
    <x v="0"/>
    <x v="29"/>
    <x v="23"/>
    <s v="KIA RIO|2020|GRIS|NCK475B"/>
    <s v="ASHC"/>
    <s v="ASHC"/>
    <s v="UBER"/>
    <n v="3000"/>
    <x v="0"/>
    <m/>
    <m/>
  </r>
  <r>
    <x v="0"/>
    <x v="29"/>
    <x v="15"/>
    <s v="AVEO|2022|AZUL|MUF515A"/>
    <s v="ASHC"/>
    <s v="ASHC"/>
    <s v="UBER"/>
    <n v="2195"/>
    <x v="0"/>
    <m/>
    <m/>
  </r>
  <r>
    <x v="0"/>
    <x v="29"/>
    <x v="8"/>
    <s v="VERSA|2017|ACERO|X24APU"/>
    <s v="ASHC"/>
    <s v="BYER"/>
    <s v="UBER"/>
    <n v="3036.16"/>
    <x v="0"/>
    <m/>
    <m/>
  </r>
  <r>
    <x v="0"/>
    <x v="29"/>
    <x v="40"/>
    <s v="KIA RIO|2017|ROJO|MYE912A"/>
    <s v="U64"/>
    <s v="BYER"/>
    <s v="UBER"/>
    <n v="3000"/>
    <x v="0"/>
    <m/>
    <m/>
  </r>
  <r>
    <x v="0"/>
    <x v="29"/>
    <x v="48"/>
    <s v="AVEO|2018|ROJO|R51BKD"/>
    <s v="U64"/>
    <s v="BYER"/>
    <s v="UBER"/>
    <n v="4849"/>
    <x v="0"/>
    <m/>
    <m/>
  </r>
  <r>
    <x v="0"/>
    <x v="29"/>
    <x v="35"/>
    <s v="VENTO|2020|GRIS|R66BER"/>
    <s v="ASHC"/>
    <s v="ASHC"/>
    <s v="UBER"/>
    <n v="-117"/>
    <x v="0"/>
    <m/>
    <m/>
  </r>
  <r>
    <x v="0"/>
    <x v="29"/>
    <x v="43"/>
    <s v="MARCH|2020|TURQ|N15BKD"/>
    <s v="ASHC"/>
    <s v="ASHC"/>
    <s v="UBER"/>
    <n v="-2769.16"/>
    <x v="0"/>
    <m/>
    <m/>
  </r>
  <r>
    <x v="0"/>
    <x v="29"/>
    <x v="27"/>
    <s v="AVEO|2018|GRIS|X59AWG"/>
    <s v="ASHC"/>
    <s v="ASHC"/>
    <s v="UBER"/>
    <n v="-500"/>
    <x v="0"/>
    <m/>
    <m/>
  </r>
  <r>
    <x v="0"/>
    <x v="29"/>
    <x v="9"/>
    <s v="VENTO|2017|GRIS|NZV7888"/>
    <s v="ASHC"/>
    <s v="ASHC"/>
    <s v="UBER"/>
    <n v="2299.5600000000004"/>
    <x v="0"/>
    <m/>
    <m/>
  </r>
  <r>
    <x v="0"/>
    <x v="29"/>
    <x v="26"/>
    <s v="VERSA|2023|PLATA|NCT814A"/>
    <s v="ASHC"/>
    <s v="ASHC"/>
    <s v="UBER"/>
    <n v="2399.7800000000007"/>
    <x v="0"/>
    <m/>
    <m/>
  </r>
  <r>
    <x v="0"/>
    <x v="29"/>
    <x v="41"/>
    <s v="AVEO|2019|BLANCO|NBS225A"/>
    <s v="ASHC"/>
    <s v="ASHC"/>
    <s v="UBER"/>
    <n v="1999.08"/>
    <x v="0"/>
    <m/>
    <m/>
  </r>
  <r>
    <x v="0"/>
    <x v="29"/>
    <x v="46"/>
    <s v="VENTO|2019|BLANCO|LUE965C"/>
    <s v="JGD"/>
    <s v="JGD"/>
    <s v="UBER"/>
    <n v="484.98000000000047"/>
    <x v="0"/>
    <m/>
    <m/>
  </r>
  <r>
    <x v="0"/>
    <x v="29"/>
    <x v="44"/>
    <s v="VENTO|2018|AMARILLO|PED1652"/>
    <s v="ASHC"/>
    <s v="ASHC"/>
    <s v="UBER"/>
    <n v="3000"/>
    <x v="0"/>
    <m/>
    <m/>
  </r>
  <r>
    <x v="0"/>
    <x v="30"/>
    <x v="0"/>
    <s v="VERSA|2020|ROJO|NLP172B"/>
    <s v="ASHC"/>
    <s v="ASHC"/>
    <s v="UBER"/>
    <n v="3000.38"/>
    <x v="0"/>
    <m/>
    <m/>
  </r>
  <r>
    <x v="0"/>
    <x v="30"/>
    <x v="31"/>
    <s v="SWIFT|2017|ROJO|X89ALV"/>
    <s v="BYER"/>
    <s v="BYER"/>
    <s v="UBER"/>
    <n v="3000"/>
    <x v="0"/>
    <m/>
    <m/>
  </r>
  <r>
    <x v="0"/>
    <x v="30"/>
    <x v="21"/>
    <s v="MARCH|2021|ROJO|NZU5163"/>
    <s v="ASHC"/>
    <s v="ASHC"/>
    <s v="UBER"/>
    <n v="2500"/>
    <x v="0"/>
    <m/>
    <m/>
  </r>
  <r>
    <x v="0"/>
    <x v="30"/>
    <x v="30"/>
    <s v="AVEO|2024|GRIS|LRL009C"/>
    <s v="ASHC"/>
    <s v="ASHC"/>
    <s v="UBER"/>
    <n v="1835.4999999999993"/>
    <x v="0"/>
    <m/>
    <m/>
  </r>
  <r>
    <x v="0"/>
    <x v="30"/>
    <x v="39"/>
    <s v="AVEO|2018|GRIS|X59AWG"/>
    <s v="ASHC"/>
    <s v="ASHC"/>
    <s v="UBER"/>
    <n v="3265.92"/>
    <x v="0"/>
    <m/>
    <m/>
  </r>
  <r>
    <x v="0"/>
    <x v="30"/>
    <x v="4"/>
    <s v="KIA RIO|2023|ROJO|H99BLC"/>
    <s v="U64"/>
    <s v="BYER"/>
    <s v="UBER"/>
    <n v="3717.3799999999992"/>
    <x v="0"/>
    <m/>
    <m/>
  </r>
  <r>
    <x v="0"/>
    <x v="30"/>
    <x v="25"/>
    <s v="VERSA|2020|BLANCO|A35BHD"/>
    <s v="ASHC"/>
    <s v="ASHC"/>
    <s v="UBER"/>
    <n v="3500"/>
    <x v="0"/>
    <m/>
    <m/>
  </r>
  <r>
    <x v="0"/>
    <x v="30"/>
    <x v="45"/>
    <s v="AVEO|2019|PLATA|NEL860A"/>
    <s v="ASHC"/>
    <s v="ASHC"/>
    <s v="UBER"/>
    <n v="3000"/>
    <x v="0"/>
    <m/>
    <m/>
  </r>
  <r>
    <x v="0"/>
    <x v="30"/>
    <x v="47"/>
    <s v="AVEO|2020|AZUL|D28BET"/>
    <s v="ASHC"/>
    <s v="ASHC"/>
    <s v="UBER"/>
    <n v="3000"/>
    <x v="0"/>
    <m/>
    <m/>
  </r>
  <r>
    <x v="0"/>
    <x v="30"/>
    <x v="23"/>
    <s v="KIA RIO|2020|GRIS|NCK475B"/>
    <s v="ASHC"/>
    <s v="ASHC"/>
    <s v="UBER"/>
    <n v="3000"/>
    <x v="0"/>
    <m/>
    <m/>
  </r>
  <r>
    <x v="0"/>
    <x v="30"/>
    <x v="15"/>
    <s v="AVEO|2022|AZUL|MUF515A"/>
    <s v="ASHC"/>
    <s v="ASHC"/>
    <s v="UBER"/>
    <n v="3022"/>
    <x v="0"/>
    <m/>
    <m/>
  </r>
  <r>
    <x v="0"/>
    <x v="30"/>
    <x v="8"/>
    <s v="VERSA|2017|ACERO|X24APU"/>
    <s v="ASHC"/>
    <s v="BYER"/>
    <s v="UBER"/>
    <n v="2995.5399999999991"/>
    <x v="0"/>
    <m/>
    <m/>
  </r>
  <r>
    <x v="0"/>
    <x v="30"/>
    <x v="40"/>
    <s v="KIA RIO|2017|ROJO|MYE912A"/>
    <s v="U64"/>
    <s v="BYER"/>
    <s v="UBER"/>
    <n v="3000"/>
    <x v="0"/>
    <m/>
    <m/>
  </r>
  <r>
    <x v="0"/>
    <x v="30"/>
    <x v="48"/>
    <s v="AVEO|2018|ROJO|R51BKD"/>
    <s v="U64"/>
    <s v="BYER"/>
    <s v="UBER"/>
    <n v="-256"/>
    <x v="0"/>
    <m/>
    <m/>
  </r>
  <r>
    <x v="0"/>
    <x v="30"/>
    <x v="35"/>
    <s v="VENTO|2020|GRIS|R66BER"/>
    <s v="ASHC"/>
    <s v="ASHC"/>
    <s v="UBER"/>
    <n v="-505.94000000000051"/>
    <x v="0"/>
    <m/>
    <m/>
  </r>
  <r>
    <x v="0"/>
    <x v="30"/>
    <x v="43"/>
    <s v="MARCH|2020|TURQ|N15BKD"/>
    <s v="ASHC"/>
    <s v="ASHC"/>
    <s v="UBER"/>
    <n v="-2478.5"/>
    <x v="0"/>
    <m/>
    <m/>
  </r>
  <r>
    <x v="0"/>
    <x v="30"/>
    <x v="27"/>
    <s v="AVEO|2018|GRIS|X59AWG"/>
    <s v="ASHC"/>
    <s v="ASHC"/>
    <s v="UBER"/>
    <n v="-500"/>
    <x v="0"/>
    <m/>
    <m/>
  </r>
  <r>
    <x v="0"/>
    <x v="30"/>
    <x v="9"/>
    <s v="VENTO|2017|GRIS|NZV7888"/>
    <s v="ASHC"/>
    <s v="ASHC"/>
    <s v="UBER"/>
    <n v="2300.42"/>
    <x v="0"/>
    <m/>
    <m/>
  </r>
  <r>
    <x v="0"/>
    <x v="30"/>
    <x v="26"/>
    <s v="VERSA|2023|PLATA|NCT814A"/>
    <s v="ASHC"/>
    <s v="ASHC"/>
    <s v="UBER"/>
    <n v="2022.2600000000007"/>
    <x v="0"/>
    <m/>
    <m/>
  </r>
  <r>
    <x v="0"/>
    <x v="30"/>
    <x v="41"/>
    <s v="AVEO|2019|BLANCO|NBS225A"/>
    <s v="ASHC"/>
    <s v="ASHC"/>
    <s v="UBER"/>
    <n v="3509.34"/>
    <x v="0"/>
    <m/>
    <m/>
  </r>
  <r>
    <x v="0"/>
    <x v="30"/>
    <x v="42"/>
    <s v="KIA RIO|2020|AZUL|LUE960C"/>
    <s v="JGD"/>
    <s v="JGD"/>
    <s v="UBER"/>
    <n v="-500"/>
    <x v="0"/>
    <m/>
    <m/>
  </r>
  <r>
    <x v="0"/>
    <x v="30"/>
    <x v="49"/>
    <s v="KIA RIO|2020|AZUL|LUE960C"/>
    <s v="JGD"/>
    <s v="JGD"/>
    <s v="UBER"/>
    <n v="3000"/>
    <x v="0"/>
    <m/>
    <m/>
  </r>
  <r>
    <x v="0"/>
    <x v="30"/>
    <x v="46"/>
    <s v="VENTO|2019|BLANCO|LUE965C"/>
    <s v="JGD"/>
    <s v="JGD"/>
    <s v="UBER"/>
    <n v="4064.1800000000003"/>
    <x v="0"/>
    <m/>
    <m/>
  </r>
  <r>
    <x v="0"/>
    <x v="30"/>
    <x v="44"/>
    <s v="VENTO|2018|AMARILLO|PED1652"/>
    <s v="ASHC"/>
    <s v="ASHC"/>
    <s v="UBER"/>
    <n v="0"/>
    <x v="0"/>
    <m/>
    <m/>
  </r>
  <r>
    <x v="0"/>
    <x v="31"/>
    <x v="0"/>
    <s v="VERSA|2020|ROJO|NLP172B"/>
    <s v="ASHC"/>
    <s v="ASHC"/>
    <s v="UBER"/>
    <n v="3000.6800000000003"/>
    <x v="0"/>
    <m/>
    <m/>
  </r>
  <r>
    <x v="0"/>
    <x v="31"/>
    <x v="31"/>
    <s v="SWIFT|2017|ROJO|X89ALV"/>
    <s v="BYER"/>
    <s v="BYER"/>
    <s v="UBER"/>
    <n v="1602.5599999999995"/>
    <x v="0"/>
    <m/>
    <m/>
  </r>
  <r>
    <x v="0"/>
    <x v="31"/>
    <x v="50"/>
    <s v="AVEO|2022|AZUL|NZY685B"/>
    <s v="ASHC"/>
    <s v="ASHC"/>
    <s v="UBER"/>
    <n v="3000"/>
    <x v="0"/>
    <m/>
    <m/>
  </r>
  <r>
    <x v="0"/>
    <x v="31"/>
    <x v="51"/>
    <s v="BEAT|2020|GRIS|NFN014B"/>
    <s v="U64"/>
    <s v="BYER"/>
    <s v="UBER"/>
    <n v="643"/>
    <x v="0"/>
    <m/>
    <m/>
  </r>
  <r>
    <x v="0"/>
    <x v="31"/>
    <x v="21"/>
    <s v="MARCH|2021|ROJO|NZU5163"/>
    <s v="ASHC"/>
    <s v="ASHC"/>
    <s v="UBER"/>
    <n v="2500"/>
    <x v="0"/>
    <m/>
    <m/>
  </r>
  <r>
    <x v="0"/>
    <x v="31"/>
    <x v="30"/>
    <s v="AVEO|2024|GRIS|LRL009C"/>
    <s v="ASHC"/>
    <s v="ASHC"/>
    <s v="UBER"/>
    <n v="1989.0800000000004"/>
    <x v="0"/>
    <m/>
    <m/>
  </r>
  <r>
    <x v="0"/>
    <x v="31"/>
    <x v="39"/>
    <s v="AVEO|2018|GRIS|X59AWG"/>
    <s v="ASHC"/>
    <s v="ASHC"/>
    <s v="UBER"/>
    <n v="2999.1399999999994"/>
    <x v="0"/>
    <m/>
    <m/>
  </r>
  <r>
    <x v="0"/>
    <x v="31"/>
    <x v="4"/>
    <s v="KIA RIO|2023|ROJO|H99BLC"/>
    <s v="U64"/>
    <s v="BYER"/>
    <s v="UBER"/>
    <n v="2917"/>
    <x v="0"/>
    <m/>
    <m/>
  </r>
  <r>
    <x v="0"/>
    <x v="31"/>
    <x v="25"/>
    <s v="VERSA|2020|BLANCO|A35BHD"/>
    <s v="ASHC"/>
    <s v="ASHC"/>
    <s v="UBER"/>
    <n v="3500"/>
    <x v="0"/>
    <m/>
    <m/>
  </r>
  <r>
    <x v="0"/>
    <x v="31"/>
    <x v="45"/>
    <s v="AVEO|2019|PLATA|NEL860A"/>
    <s v="ASHC"/>
    <s v="ASHC"/>
    <s v="UBER"/>
    <n v="3000"/>
    <x v="0"/>
    <m/>
    <m/>
  </r>
  <r>
    <x v="0"/>
    <x v="31"/>
    <x v="47"/>
    <s v="AVEO|2020|AZUL|D28BET"/>
    <s v="ASHC"/>
    <s v="ASHC"/>
    <s v="UBER"/>
    <n v="3000"/>
    <x v="0"/>
    <m/>
    <m/>
  </r>
  <r>
    <x v="0"/>
    <x v="31"/>
    <x v="23"/>
    <s v="KIA RIO|2020|GRIS|NCK475B"/>
    <s v="ASHC"/>
    <s v="ASHC"/>
    <s v="UBER"/>
    <n v="3000"/>
    <x v="0"/>
    <m/>
    <m/>
  </r>
  <r>
    <x v="0"/>
    <x v="31"/>
    <x v="15"/>
    <s v="AVEO|2022|AZUL|MUF515A"/>
    <s v="ASHC"/>
    <s v="ASHC"/>
    <s v="UBER"/>
    <n v="2993"/>
    <x v="0"/>
    <m/>
    <m/>
  </r>
  <r>
    <x v="0"/>
    <x v="31"/>
    <x v="8"/>
    <s v="VERSA|2017|ACERO|X24APU"/>
    <s v="ASHC"/>
    <s v="BYER"/>
    <s v="UBER"/>
    <n v="3018.7800000000007"/>
    <x v="0"/>
    <m/>
    <m/>
  </r>
  <r>
    <x v="0"/>
    <x v="31"/>
    <x v="40"/>
    <s v="KIA RIO|2017|ROJO|MYE912A"/>
    <s v="U64"/>
    <s v="BYER"/>
    <s v="UBER"/>
    <n v="2500"/>
    <x v="0"/>
    <m/>
    <m/>
  </r>
  <r>
    <x v="0"/>
    <x v="31"/>
    <x v="48"/>
    <s v="AVEO|2018|ROJO|R51BKD"/>
    <s v="U64"/>
    <s v="BYER"/>
    <s v="UBER"/>
    <n v="1245.1599999999999"/>
    <x v="0"/>
    <m/>
    <m/>
  </r>
  <r>
    <x v="0"/>
    <x v="31"/>
    <x v="35"/>
    <s v="VENTO|2020|GRIS|R66BER"/>
    <s v="ASHC"/>
    <s v="ASHC"/>
    <s v="UBER"/>
    <n v="-201.42000000000007"/>
    <x v="0"/>
    <m/>
    <m/>
  </r>
  <r>
    <x v="0"/>
    <x v="31"/>
    <x v="43"/>
    <s v="MARCH|2020|TURQ|N15BKD"/>
    <s v="ASHC"/>
    <s v="ASHC"/>
    <s v="UBER"/>
    <n v="-2431"/>
    <x v="0"/>
    <m/>
    <m/>
  </r>
  <r>
    <x v="0"/>
    <x v="31"/>
    <x v="27"/>
    <s v="AVEO|2018|GRIS|X59AWG"/>
    <s v="ASHC"/>
    <s v="ASHC"/>
    <s v="UBER"/>
    <n v="-500"/>
    <x v="0"/>
    <m/>
    <m/>
  </r>
  <r>
    <x v="0"/>
    <x v="31"/>
    <x v="9"/>
    <s v="VENTO|2017|GRIS|NZV7888"/>
    <s v="ASHC"/>
    <s v="ASHC"/>
    <s v="UBER"/>
    <n v="2300.8000000000002"/>
    <x v="0"/>
    <m/>
    <m/>
  </r>
  <r>
    <x v="0"/>
    <x v="31"/>
    <x v="26"/>
    <s v="VERSA|2023|PLATA|NCT814A"/>
    <s v="ASHC"/>
    <s v="ASHC"/>
    <s v="UBER"/>
    <n v="3078.24"/>
    <x v="0"/>
    <m/>
    <m/>
  </r>
  <r>
    <x v="0"/>
    <x v="31"/>
    <x v="41"/>
    <s v="AVEO|2019|BLANCO|NBS225A"/>
    <s v="ASHC"/>
    <s v="ASHC"/>
    <s v="UBER"/>
    <n v="3027.2599999999993"/>
    <x v="0"/>
    <m/>
    <m/>
  </r>
  <r>
    <x v="0"/>
    <x v="31"/>
    <x v="42"/>
    <s v="KIA RIO|2020|AZUL|LUE960C"/>
    <s v="JGD"/>
    <s v="JGD"/>
    <s v="UBER"/>
    <n v="-500"/>
    <x v="0"/>
    <m/>
    <m/>
  </r>
  <r>
    <x v="0"/>
    <x v="31"/>
    <x v="49"/>
    <s v="VENTO|2019|BLANCO|LUE965C"/>
    <s v="JGD"/>
    <s v="JGD"/>
    <s v="UBER"/>
    <n v="3000"/>
    <x v="0"/>
    <m/>
    <m/>
  </r>
  <r>
    <x v="0"/>
    <x v="31"/>
    <x v="46"/>
    <s v="KIA RIO|2020|AZUL|LUE960C"/>
    <s v="JGD"/>
    <s v="JGD"/>
    <s v="UBER"/>
    <n v="3000.6800000000003"/>
    <x v="0"/>
    <m/>
    <m/>
  </r>
  <r>
    <x v="0"/>
    <x v="32"/>
    <x v="0"/>
    <s v="VERSA|2020|ROJO|NLP172B"/>
    <s v="ASHC"/>
    <s v="ASHC"/>
    <s v="UBER"/>
    <n v="3000.5"/>
    <x v="0"/>
    <m/>
    <m/>
  </r>
  <r>
    <x v="0"/>
    <x v="32"/>
    <x v="52"/>
    <s v="AVEO|2019|PLATA|NEL860A"/>
    <s v="ASHC"/>
    <s v="ASHC"/>
    <s v="UBER"/>
    <n v="1500"/>
    <x v="0"/>
    <m/>
    <m/>
  </r>
  <r>
    <x v="0"/>
    <x v="32"/>
    <x v="31"/>
    <s v="SWIFT|2017|ROJO|X89ALV"/>
    <s v="BYER"/>
    <s v="BYER"/>
    <s v="UBER"/>
    <n v="4275.68"/>
    <x v="0"/>
    <m/>
    <m/>
  </r>
  <r>
    <x v="0"/>
    <x v="32"/>
    <x v="50"/>
    <s v="HYUNDAI|2022|PLATA|D40BKD"/>
    <s v="ASHC"/>
    <s v="ASHC"/>
    <s v="UBER"/>
    <n v="1928.56"/>
    <x v="0"/>
    <m/>
    <m/>
  </r>
  <r>
    <x v="0"/>
    <x v="32"/>
    <x v="51"/>
    <s v="BEAT|2020|GRIS|NFN014B"/>
    <s v="U64"/>
    <s v="BYER"/>
    <s v="UBER"/>
    <n v="2999.76"/>
    <x v="0"/>
    <m/>
    <m/>
  </r>
  <r>
    <x v="0"/>
    <x v="32"/>
    <x v="21"/>
    <s v="MARCH|2021|ROJO|NZU5163"/>
    <s v="ASHC"/>
    <s v="ASHC"/>
    <s v="UBER"/>
    <n v="2500"/>
    <x v="0"/>
    <m/>
    <m/>
  </r>
  <r>
    <x v="0"/>
    <x v="32"/>
    <x v="30"/>
    <s v="AVEO|2024|GRIS|LRL009C"/>
    <s v="ASHC"/>
    <s v="ASHC"/>
    <s v="UBER"/>
    <n v="3695.8199999999997"/>
    <x v="0"/>
    <m/>
    <m/>
  </r>
  <r>
    <x v="0"/>
    <x v="32"/>
    <x v="39"/>
    <s v="AVEO|2018|GRIS|X59AWG"/>
    <s v="ASHC"/>
    <s v="ASHC"/>
    <s v="UBER"/>
    <n v="-400"/>
    <x v="0"/>
    <m/>
    <m/>
  </r>
  <r>
    <x v="0"/>
    <x v="32"/>
    <x v="4"/>
    <s v="KIA RIO|2023|ROJO|H99BLC"/>
    <s v="U64"/>
    <s v="BYER"/>
    <s v="UBER"/>
    <n v="2500"/>
    <x v="0"/>
    <m/>
    <m/>
  </r>
  <r>
    <x v="0"/>
    <x v="32"/>
    <x v="25"/>
    <s v="VERSA|2020|BLANCO|A35BHD"/>
    <s v="ASHC"/>
    <s v="ASHC"/>
    <s v="UBER"/>
    <n v="3500"/>
    <x v="0"/>
    <m/>
    <m/>
  </r>
  <r>
    <x v="0"/>
    <x v="32"/>
    <x v="47"/>
    <s v="AVEO|2020|AZUL|D28BET"/>
    <s v="ASHC"/>
    <s v="ASHC"/>
    <s v="UBER"/>
    <n v="3000"/>
    <x v="0"/>
    <m/>
    <m/>
  </r>
  <r>
    <x v="0"/>
    <x v="32"/>
    <x v="23"/>
    <s v="KIA RIO|2020|GRIS|NCK475B"/>
    <s v="ASHC"/>
    <s v="ASHC"/>
    <s v="UBER"/>
    <n v="2500"/>
    <x v="0"/>
    <m/>
    <m/>
  </r>
  <r>
    <x v="0"/>
    <x v="32"/>
    <x v="15"/>
    <s v="AVEO|2022|AZUL|MUF515A"/>
    <s v="ASHC"/>
    <s v="ASHC"/>
    <s v="UBER"/>
    <n v="3038"/>
    <x v="0"/>
    <m/>
    <m/>
  </r>
  <r>
    <x v="0"/>
    <x v="32"/>
    <x v="8"/>
    <s v="VERSA|2017|ACERO|X24APU"/>
    <s v="ASHC"/>
    <s v="BYER"/>
    <s v="UBER"/>
    <n v="2913.1400000000003"/>
    <x v="0"/>
    <m/>
    <m/>
  </r>
  <r>
    <x v="0"/>
    <x v="32"/>
    <x v="40"/>
    <s v="KIA RIO|2017|ROJO|MYE912A"/>
    <s v="U64"/>
    <s v="BYER"/>
    <s v="UBER"/>
    <n v="2500"/>
    <x v="0"/>
    <m/>
    <m/>
  </r>
  <r>
    <x v="0"/>
    <x v="32"/>
    <x v="48"/>
    <s v="AVEO|2018|ROJO|R51BKD"/>
    <s v="U64"/>
    <s v="BYER"/>
    <s v="UBER"/>
    <n v="3245.8"/>
    <x v="0"/>
    <m/>
    <m/>
  </r>
  <r>
    <x v="0"/>
    <x v="32"/>
    <x v="27"/>
    <s v="AVEO|2018|GRIS|X59AWG"/>
    <s v="ASHC"/>
    <s v="ASHC"/>
    <s v="UBER"/>
    <n v="-500"/>
    <x v="0"/>
    <m/>
    <m/>
  </r>
  <r>
    <x v="0"/>
    <x v="32"/>
    <x v="9"/>
    <s v="VENTO|2020|GRIS|R66BER"/>
    <s v="ASHC"/>
    <s v="ASHC"/>
    <s v="UBER"/>
    <n v="2500"/>
    <x v="0"/>
    <m/>
    <m/>
  </r>
  <r>
    <x v="0"/>
    <x v="32"/>
    <x v="26"/>
    <s v="VERSA|2023|PLATA|NCT814A"/>
    <s v="ASHC"/>
    <s v="ASHC"/>
    <s v="UBER"/>
    <n v="2461.7399999999998"/>
    <x v="0"/>
    <m/>
    <m/>
  </r>
  <r>
    <x v="0"/>
    <x v="32"/>
    <x v="41"/>
    <s v="AVEO|2019|BLANCO|NBS225A"/>
    <s v="ASHC"/>
    <s v="ASHC"/>
    <s v="UBER"/>
    <n v="1983.8600000000006"/>
    <x v="0"/>
    <m/>
    <m/>
  </r>
  <r>
    <x v="0"/>
    <x v="32"/>
    <x v="42"/>
    <s v="KIA RIO|2020|AZUL|LUE960C"/>
    <s v="JGD"/>
    <s v="JGD"/>
    <s v="UBER"/>
    <n v="-321"/>
    <x v="0"/>
    <m/>
    <m/>
  </r>
  <r>
    <x v="0"/>
    <x v="32"/>
    <x v="49"/>
    <s v="VENTO|2019|BLANCO|LUE965C"/>
    <s v="JGD"/>
    <s v="JGD"/>
    <s v="UBER"/>
    <n v="3000"/>
    <x v="0"/>
    <m/>
    <m/>
  </r>
  <r>
    <x v="0"/>
    <x v="32"/>
    <x v="46"/>
    <s v="KIA RIO|2020|AZUL|LUE960C"/>
    <s v="JGD"/>
    <s v="JGD"/>
    <s v="UBER"/>
    <n v="1290"/>
    <x v="0"/>
    <m/>
    <m/>
  </r>
  <r>
    <x v="0"/>
    <x v="32"/>
    <x v="44"/>
    <s v="VENTO|2017|GRIS|NZV7888"/>
    <s v="ASHC"/>
    <s v="ASHC"/>
    <s v="UBER"/>
    <n v="1571.42"/>
    <x v="0"/>
    <m/>
    <m/>
  </r>
  <r>
    <x v="0"/>
    <x v="33"/>
    <x v="0"/>
    <s v="VERSA|2020|ROJO|NLP172B"/>
    <s v="ASHC"/>
    <s v="ASHC"/>
    <s v="UBER"/>
    <n v="3000"/>
    <x v="0"/>
    <m/>
    <m/>
  </r>
  <r>
    <x v="0"/>
    <x v="33"/>
    <x v="52"/>
    <s v="AVEO|2019|PLATA|NEL860A"/>
    <s v="ASHC"/>
    <s v="ASHC"/>
    <s v="UBER"/>
    <n v="3000"/>
    <x v="0"/>
    <m/>
    <m/>
  </r>
  <r>
    <x v="0"/>
    <x v="33"/>
    <x v="31"/>
    <s v="SWIFT|2017|ROJO|X89ALV"/>
    <s v="BYER"/>
    <s v="BYER"/>
    <s v="UBER"/>
    <n v="3000"/>
    <x v="0"/>
    <m/>
    <m/>
  </r>
  <r>
    <x v="0"/>
    <x v="33"/>
    <x v="53"/>
    <s v="MARCH|2020|TURQ|N15BKD"/>
    <s v="ASHC"/>
    <s v="ASHC"/>
    <s v="UBER"/>
    <n v="2643"/>
    <x v="0"/>
    <m/>
    <m/>
  </r>
  <r>
    <x v="0"/>
    <x v="33"/>
    <x v="50"/>
    <s v="HYUNDAI|2022|PLATA|D40BKD"/>
    <s v="ASHC"/>
    <s v="ASHC"/>
    <s v="UBER"/>
    <n v="3000"/>
    <x v="0"/>
    <m/>
    <m/>
  </r>
  <r>
    <x v="0"/>
    <x v="33"/>
    <x v="51"/>
    <s v="BEAT|2020|GRIS|NFN014B"/>
    <s v="U64"/>
    <s v="BYER"/>
    <s v="UBER"/>
    <n v="3000"/>
    <x v="0"/>
    <m/>
    <m/>
  </r>
  <r>
    <x v="0"/>
    <x v="33"/>
    <x v="21"/>
    <s v="MARCH|2021|ROJO|NZU5163"/>
    <s v="ASHC"/>
    <s v="ASHC"/>
    <s v="UBER"/>
    <n v="2500"/>
    <x v="0"/>
    <m/>
    <m/>
  </r>
  <r>
    <x v="0"/>
    <x v="33"/>
    <x v="30"/>
    <s v="AVEO|2024|GRIS|LRL009C"/>
    <s v="ASHC"/>
    <s v="ASHC"/>
    <s v="UBER"/>
    <n v="2029.96"/>
    <x v="0"/>
    <m/>
    <m/>
  </r>
  <r>
    <x v="0"/>
    <x v="33"/>
    <x v="39"/>
    <s v="AVEO|2018|GRIS|X59AWG"/>
    <s v="ASHC"/>
    <s v="ASHC"/>
    <s v="UBER"/>
    <n v="39.940000000000509"/>
    <x v="0"/>
    <m/>
    <m/>
  </r>
  <r>
    <x v="0"/>
    <x v="33"/>
    <x v="4"/>
    <s v="KIA RIO|2023|ROJO|H99BLC"/>
    <s v="U64"/>
    <s v="BYER"/>
    <s v="UBER"/>
    <n v="3100"/>
    <x v="0"/>
    <m/>
    <m/>
  </r>
  <r>
    <x v="0"/>
    <x v="33"/>
    <x v="25"/>
    <s v="VERSA|2020|BLANCO|A35BHD"/>
    <s v="ASHC"/>
    <s v="ASHC"/>
    <s v="UBER"/>
    <n v="2800"/>
    <x v="0"/>
    <m/>
    <m/>
  </r>
  <r>
    <x v="0"/>
    <x v="33"/>
    <x v="47"/>
    <s v="AVEO|2020|AZUL|D28BET"/>
    <s v="ASHC"/>
    <s v="ASHC"/>
    <s v="UBER"/>
    <n v="3000.26"/>
    <x v="0"/>
    <m/>
    <m/>
  </r>
  <r>
    <x v="0"/>
    <x v="33"/>
    <x v="23"/>
    <s v="KIA RIO|2020|GRIS|NCK475B"/>
    <s v="ASHC"/>
    <s v="ASHC"/>
    <s v="UBER"/>
    <n v="2500"/>
    <x v="0"/>
    <m/>
    <m/>
  </r>
  <r>
    <x v="0"/>
    <x v="33"/>
    <x v="15"/>
    <s v="AVEO|2022|AZUL|MUF515A"/>
    <s v="ASHC"/>
    <s v="ASHC"/>
    <s v="UBER"/>
    <n v="2977"/>
    <x v="0"/>
    <m/>
    <m/>
  </r>
  <r>
    <x v="0"/>
    <x v="33"/>
    <x v="8"/>
    <s v="AVEO|2021|GRIS|D51BHV"/>
    <s v="ASHC"/>
    <s v="BYER"/>
    <s v="UBER"/>
    <n v="2187"/>
    <x v="0"/>
    <m/>
    <m/>
  </r>
  <r>
    <x v="0"/>
    <x v="33"/>
    <x v="8"/>
    <s v="VENTO|2018|AMARILLO|PED1652"/>
    <s v="ASHC"/>
    <s v="ASHC"/>
    <s v="UBER"/>
    <n v="-161.57999999999996"/>
    <x v="0"/>
    <m/>
    <m/>
  </r>
  <r>
    <x v="0"/>
    <x v="33"/>
    <x v="40"/>
    <s v="KIA RIO|2017|ROJO|MYE912A"/>
    <s v="U64"/>
    <s v="BYER"/>
    <s v="UBER"/>
    <n v="2500"/>
    <x v="0"/>
    <m/>
    <m/>
  </r>
  <r>
    <x v="0"/>
    <x v="33"/>
    <x v="48"/>
    <s v="AVEO|2018|ROJO|R51BKD"/>
    <s v="U64"/>
    <s v="BYER"/>
    <s v="UBER"/>
    <n v="4852.3599999999997"/>
    <x v="0"/>
    <m/>
    <m/>
  </r>
  <r>
    <x v="0"/>
    <x v="33"/>
    <x v="27"/>
    <s v="AVEO|2018|GRIS|X59AWG"/>
    <s v="ASHC"/>
    <s v="ASHC"/>
    <s v="UBER"/>
    <n v="-500"/>
    <x v="0"/>
    <m/>
    <m/>
  </r>
  <r>
    <x v="0"/>
    <x v="33"/>
    <x v="9"/>
    <s v="VENTO|2020|GRIS|R66BER"/>
    <s v="ASHC"/>
    <s v="ASHC"/>
    <s v="UBER"/>
    <n v="2499.3000000000002"/>
    <x v="0"/>
    <m/>
    <m/>
  </r>
  <r>
    <x v="0"/>
    <x v="33"/>
    <x v="26"/>
    <s v="VERSA|2023|PLATA|NCT814A"/>
    <s v="ASHC"/>
    <s v="ASHC"/>
    <s v="UBER"/>
    <n v="1224.7799999999997"/>
    <x v="0"/>
    <m/>
    <m/>
  </r>
  <r>
    <x v="0"/>
    <x v="33"/>
    <x v="41"/>
    <s v="AVEO|2019|BLANCO|NBS225A"/>
    <s v="ASHC"/>
    <s v="ASHC"/>
    <s v="UBER"/>
    <n v="2129.6800000000003"/>
    <x v="0"/>
    <m/>
    <m/>
  </r>
  <r>
    <x v="0"/>
    <x v="33"/>
    <x v="54"/>
    <s v="VENTO|2018|AMARILLO|PED1652"/>
    <s v="ASHC"/>
    <s v="ASHC"/>
    <s v="UBER"/>
    <n v="1571.42"/>
    <x v="0"/>
    <m/>
    <m/>
  </r>
  <r>
    <x v="0"/>
    <x v="33"/>
    <x v="49"/>
    <s v="VENTO|2019|BLANCO|LUE965C"/>
    <s v="JGD"/>
    <s v="JGD"/>
    <s v="UBER"/>
    <n v="3000"/>
    <x v="0"/>
    <m/>
    <m/>
  </r>
  <r>
    <x v="0"/>
    <x v="33"/>
    <x v="46"/>
    <s v="KIA RIO|2020|AZUL|LUE960C"/>
    <s v="JGD"/>
    <s v="JGD"/>
    <s v="UBER"/>
    <n v="-1770.8600000000006"/>
    <x v="0"/>
    <m/>
    <m/>
  </r>
  <r>
    <x v="0"/>
    <x v="33"/>
    <x v="44"/>
    <s v="VENTO|2017|GRIS|NZV7888"/>
    <s v="ASHC"/>
    <s v="ASHC"/>
    <s v="UBER"/>
    <n v="3000"/>
    <x v="0"/>
    <m/>
    <m/>
  </r>
  <r>
    <x v="0"/>
    <x v="34"/>
    <x v="0"/>
    <s v="VERSA|2020|ROJO|NLP172B"/>
    <s v="ASHC"/>
    <s v="ASHC"/>
    <s v="UBER"/>
    <n v="3000"/>
    <x v="0"/>
    <m/>
    <m/>
  </r>
  <r>
    <x v="0"/>
    <x v="34"/>
    <x v="52"/>
    <s v="AVEO|2019|PLATA|NEL860A"/>
    <s v="ASHC"/>
    <s v="ASHC"/>
    <s v="UBER"/>
    <n v="3000"/>
    <x v="0"/>
    <m/>
    <m/>
  </r>
  <r>
    <x v="0"/>
    <x v="34"/>
    <x v="31"/>
    <s v="SWIFT|2017|ROJO|X89ALV"/>
    <s v="BYER"/>
    <s v="BYER"/>
    <s v="UBER"/>
    <n v="1407.7600000000002"/>
    <x v="0"/>
    <m/>
    <m/>
  </r>
  <r>
    <x v="0"/>
    <x v="34"/>
    <x v="31"/>
    <s v="SWIFT|2017|ROJO|X89ALV"/>
    <s v="BYER"/>
    <s v="BYER"/>
    <s v="UBER"/>
    <n v="2143"/>
    <x v="1"/>
    <m/>
    <m/>
  </r>
  <r>
    <x v="0"/>
    <x v="34"/>
    <x v="53"/>
    <s v="MARCH|2020|TURQ|N15BKD"/>
    <s v="ASHC"/>
    <s v="ASHC"/>
    <s v="UBER"/>
    <n v="3000"/>
    <x v="0"/>
    <m/>
    <m/>
  </r>
  <r>
    <x v="0"/>
    <x v="34"/>
    <x v="50"/>
    <s v="HYUNDAI|2022|PLATA|D40BKD"/>
    <s v="ASHC"/>
    <s v="ASHC"/>
    <s v="UBER"/>
    <n v="3000"/>
    <x v="0"/>
    <m/>
    <m/>
  </r>
  <r>
    <x v="0"/>
    <x v="34"/>
    <x v="51"/>
    <s v="BEAT|2020|GRIS|NFN014B"/>
    <s v="U64"/>
    <s v="BYER"/>
    <s v="UBER"/>
    <n v="3000.1200000000008"/>
    <x v="0"/>
    <m/>
    <m/>
  </r>
  <r>
    <x v="0"/>
    <x v="34"/>
    <x v="21"/>
    <s v="MARCH|2021|ROJO|NZU5163"/>
    <s v="ASHC"/>
    <s v="ASHC"/>
    <s v="UBER"/>
    <n v="2500.7599999999984"/>
    <x v="0"/>
    <m/>
    <m/>
  </r>
  <r>
    <x v="0"/>
    <x v="34"/>
    <x v="30"/>
    <s v="AVEO|2024|GRIS|LRL009C"/>
    <s v="ASHC"/>
    <s v="ASHC"/>
    <s v="UBER"/>
    <n v="884.8"/>
    <x v="0"/>
    <m/>
    <m/>
  </r>
  <r>
    <x v="0"/>
    <x v="34"/>
    <x v="30"/>
    <s v="KIA RIO|2020|ROJO|MFP751C"/>
    <s v="ASHC"/>
    <s v="BYER"/>
    <s v="UBER"/>
    <n v="714"/>
    <x v="1"/>
    <m/>
    <m/>
  </r>
  <r>
    <x v="0"/>
    <x v="34"/>
    <x v="55"/>
    <s v="AVEO|2024|GRIS|LRL009C"/>
    <s v="ASHC"/>
    <s v="ASHC"/>
    <s v="UBER"/>
    <n v="1986"/>
    <x v="0"/>
    <m/>
    <m/>
  </r>
  <r>
    <x v="0"/>
    <x v="34"/>
    <x v="39"/>
    <s v="AVEO|2018|GRIS|X59AWG"/>
    <s v="ASHC"/>
    <s v="ASHC"/>
    <s v="UBER"/>
    <n v="-283.15999999999985"/>
    <x v="0"/>
    <m/>
    <m/>
  </r>
  <r>
    <x v="0"/>
    <x v="34"/>
    <x v="4"/>
    <s v="KIA RIO|2023|ROJO|H99BLC"/>
    <s v="U64"/>
    <s v="BYER"/>
    <s v="UBER"/>
    <n v="3050"/>
    <x v="0"/>
    <m/>
    <m/>
  </r>
  <r>
    <x v="0"/>
    <x v="34"/>
    <x v="25"/>
    <s v="VERSA|2020|BLANCO|A35BHD"/>
    <s v="ASHC"/>
    <s v="ASHC"/>
    <s v="UBER"/>
    <n v="2928"/>
    <x v="0"/>
    <m/>
    <m/>
  </r>
  <r>
    <x v="0"/>
    <x v="34"/>
    <x v="5"/>
    <s v="VENTO|2019|BLANCO|LUE965C"/>
    <s v="JGD"/>
    <s v="JGD"/>
    <s v="UBER"/>
    <n v="357"/>
    <x v="0"/>
    <m/>
    <m/>
  </r>
  <r>
    <x v="0"/>
    <x v="34"/>
    <x v="47"/>
    <s v="AVEO|2020|AZUL|D28BET"/>
    <s v="ASHC"/>
    <s v="ASHC"/>
    <s v="UBER"/>
    <n v="3000"/>
    <x v="0"/>
    <m/>
    <m/>
  </r>
  <r>
    <x v="0"/>
    <x v="34"/>
    <x v="23"/>
    <s v="KIA RIO|2020|GRIS|NCK475B"/>
    <s v="ASHC"/>
    <s v="ASHC"/>
    <s v="UBER"/>
    <n v="2500"/>
    <x v="0"/>
    <m/>
    <m/>
  </r>
  <r>
    <x v="0"/>
    <x v="34"/>
    <x v="15"/>
    <s v="AVEO|2022|AZUL|MUF515A"/>
    <s v="ASHC"/>
    <s v="ASHC"/>
    <s v="UBER"/>
    <n v="2514"/>
    <x v="0"/>
    <m/>
    <m/>
  </r>
  <r>
    <x v="0"/>
    <x v="34"/>
    <x v="8"/>
    <s v="AVEO|2021|GRIS|D51BHV"/>
    <s v="ASHC"/>
    <s v="BYER"/>
    <s v="UBER"/>
    <n v="2076.08"/>
    <x v="0"/>
    <m/>
    <m/>
  </r>
  <r>
    <x v="0"/>
    <x v="34"/>
    <x v="40"/>
    <s v="KIA RIO|2017|ROJO|MYE912A"/>
    <s v="U64"/>
    <s v="BYER"/>
    <s v="UBER"/>
    <n v="2500"/>
    <x v="0"/>
    <m/>
    <m/>
  </r>
  <r>
    <x v="0"/>
    <x v="34"/>
    <x v="48"/>
    <s v="AVEO|2018|ROJO|R51BKD"/>
    <s v="U64"/>
    <s v="BYER"/>
    <s v="UBER"/>
    <n v="3901.6399999999994"/>
    <x v="0"/>
    <m/>
    <m/>
  </r>
  <r>
    <x v="0"/>
    <x v="34"/>
    <x v="27"/>
    <s v="AVEO|2018|GRIS|X59AWG"/>
    <s v="ASHC"/>
    <s v="ASHC"/>
    <s v="UBER"/>
    <n v="-358"/>
    <x v="0"/>
    <m/>
    <m/>
  </r>
  <r>
    <x v="0"/>
    <x v="34"/>
    <x v="56"/>
    <s v="VENTO|2019|BLANCO|MGC410C"/>
    <s v="JGD"/>
    <s v="JGD"/>
    <s v="UBER"/>
    <n v="1109"/>
    <x v="0"/>
    <m/>
    <m/>
  </r>
  <r>
    <x v="0"/>
    <x v="34"/>
    <x v="9"/>
    <s v="VENTO|2020|GRIS|R66BER"/>
    <s v="ASHC"/>
    <s v="ASHC"/>
    <s v="UBER"/>
    <n v="2999.3799999999983"/>
    <x v="0"/>
    <m/>
    <m/>
  </r>
  <r>
    <x v="0"/>
    <x v="34"/>
    <x v="26"/>
    <s v="VERSA|2023|PLATA|NCT814A"/>
    <s v="ASHC"/>
    <s v="ASHC"/>
    <s v="UBER"/>
    <n v="4255.659999999998"/>
    <x v="0"/>
    <m/>
    <m/>
  </r>
  <r>
    <x v="0"/>
    <x v="34"/>
    <x v="41"/>
    <s v="AVEO|2019|BLANCO|NBS225A"/>
    <s v="ASHC"/>
    <s v="ASHC"/>
    <s v="UBER"/>
    <n v="3485.7799999999929"/>
    <x v="0"/>
    <m/>
    <m/>
  </r>
  <r>
    <x v="0"/>
    <x v="34"/>
    <x v="54"/>
    <s v="VENTO|2018|AMARILLO|PED1652"/>
    <s v="ASHC"/>
    <s v="ASHC"/>
    <s v="UBER"/>
    <n v="3000"/>
    <x v="0"/>
    <m/>
    <m/>
  </r>
  <r>
    <x v="0"/>
    <x v="34"/>
    <x v="49"/>
    <s v="VENTO|2019|BLANCO|LUE965C"/>
    <s v="JGD"/>
    <s v="JGD"/>
    <s v="UBER"/>
    <n v="893"/>
    <x v="0"/>
    <m/>
    <m/>
  </r>
  <r>
    <x v="0"/>
    <x v="34"/>
    <x v="49"/>
    <s v="VERSA|2021|BLANCO|MEE228C"/>
    <s v="ASHC"/>
    <s v="BYER"/>
    <s v="UBER"/>
    <n v="2062.5599999999995"/>
    <x v="1"/>
    <m/>
    <m/>
  </r>
  <r>
    <x v="0"/>
    <x v="34"/>
    <x v="46"/>
    <s v="KIA RIO|2020|AZUL|LUE960C"/>
    <s v="JGD"/>
    <s v="JGD"/>
    <s v="UBER"/>
    <n v="-399.60000000000036"/>
    <x v="0"/>
    <m/>
    <m/>
  </r>
  <r>
    <x v="0"/>
    <x v="34"/>
    <x v="44"/>
    <s v="MARCH|2019|TURQ|MAY737C"/>
    <s v="BYER"/>
    <s v="BYER"/>
    <s v="UBER"/>
    <n v="1370"/>
    <x v="0"/>
    <m/>
    <m/>
  </r>
  <r>
    <x v="0"/>
    <x v="35"/>
    <x v="0"/>
    <s v="VERSA|2020|ROJO|NLP172B"/>
    <s v="ASHC"/>
    <s v="ASHC"/>
    <s v="UBER"/>
    <n v="3000"/>
    <x v="0"/>
    <m/>
    <m/>
  </r>
  <r>
    <x v="0"/>
    <x v="35"/>
    <x v="52"/>
    <s v="AVEO|2019|PLATA|NEL860A"/>
    <s v="ASHC"/>
    <s v="ASHC"/>
    <s v="UBER"/>
    <n v="3000"/>
    <x v="0"/>
    <m/>
    <m/>
  </r>
  <r>
    <x v="0"/>
    <x v="35"/>
    <x v="31"/>
    <s v="SWIFT|2017|ROJO|X89ALV"/>
    <s v="BYER"/>
    <s v="BYER"/>
    <s v="UBER"/>
    <n v="3000"/>
    <x v="0"/>
    <m/>
    <m/>
  </r>
  <r>
    <x v="0"/>
    <x v="35"/>
    <x v="53"/>
    <s v="MARCH|2020|TURQ|N15BKD"/>
    <s v="ASHC"/>
    <s v="ASHC"/>
    <s v="UBER"/>
    <n v="3000"/>
    <x v="0"/>
    <m/>
    <m/>
  </r>
  <r>
    <x v="0"/>
    <x v="35"/>
    <x v="50"/>
    <s v="HYUNDAI|2022|PLATA|D40BKD"/>
    <s v="ASHC"/>
    <s v="ASHC"/>
    <s v="UBER"/>
    <n v="3000"/>
    <x v="0"/>
    <m/>
    <m/>
  </r>
  <r>
    <x v="0"/>
    <x v="35"/>
    <x v="51"/>
    <s v="BEAT|2020|GRIS|NFN014B"/>
    <s v="U64"/>
    <s v="BYER"/>
    <s v="UBER"/>
    <n v="3000"/>
    <x v="0"/>
    <m/>
    <m/>
  </r>
  <r>
    <x v="0"/>
    <x v="35"/>
    <x v="21"/>
    <s v="MARCH|2021|ROJO|NZU5163"/>
    <s v="ASHC"/>
    <s v="ASHC"/>
    <s v="UBER"/>
    <n v="2497.619999999999"/>
    <x v="0"/>
    <m/>
    <m/>
  </r>
  <r>
    <x v="0"/>
    <x v="35"/>
    <x v="30"/>
    <s v="KIA RIO|2020|ROJO|MFP751C"/>
    <s v="ASHC"/>
    <s v="BYER"/>
    <s v="UBER"/>
    <n v="-524.30000000000018"/>
    <x v="0"/>
    <m/>
    <m/>
  </r>
  <r>
    <x v="0"/>
    <x v="35"/>
    <x v="55"/>
    <s v="AVEO|2024|GRIS|LRL009C"/>
    <s v="ASHC"/>
    <s v="ASHC"/>
    <s v="UBER"/>
    <n v="2142.6999999999998"/>
    <x v="0"/>
    <m/>
    <m/>
  </r>
  <r>
    <x v="0"/>
    <x v="35"/>
    <x v="57"/>
    <s v="AVEO|2018|GRIS|X59AWG"/>
    <s v="ASHC"/>
    <s v="ASHC"/>
    <s v="UBER"/>
    <n v="134"/>
    <x v="0"/>
    <m/>
    <m/>
  </r>
  <r>
    <x v="0"/>
    <x v="35"/>
    <x v="58"/>
    <s v="VENTO|2019|BLANCO|MGC410C"/>
    <s v="JGD"/>
    <s v="JGD"/>
    <s v="UBER"/>
    <n v="1071"/>
    <x v="0"/>
    <m/>
    <m/>
  </r>
  <r>
    <x v="0"/>
    <x v="35"/>
    <x v="4"/>
    <s v="KIA RIO|2023|ROJO|H99BLC"/>
    <s v="U64"/>
    <s v="BYER"/>
    <s v="UBER"/>
    <n v="2500"/>
    <x v="0"/>
    <m/>
    <m/>
  </r>
  <r>
    <x v="0"/>
    <x v="35"/>
    <x v="25"/>
    <s v="VERSA|2020|BLANCO|A35BHD"/>
    <s v="ASHC"/>
    <s v="ASHC"/>
    <s v="UBER"/>
    <n v="3072"/>
    <x v="0"/>
    <m/>
    <m/>
  </r>
  <r>
    <x v="0"/>
    <x v="35"/>
    <x v="5"/>
    <s v="VENTO|2019|BLANCO|LUE965C"/>
    <s v="JGD"/>
    <s v="JGD"/>
    <s v="DIDI"/>
    <n v="3050"/>
    <x v="0"/>
    <m/>
    <m/>
  </r>
  <r>
    <x v="0"/>
    <x v="35"/>
    <x v="47"/>
    <s v="AVEO|2020|AZUL|D28BET"/>
    <s v="ASHC"/>
    <s v="ASHC"/>
    <s v="UBER"/>
    <n v="3000"/>
    <x v="0"/>
    <m/>
    <m/>
  </r>
  <r>
    <x v="0"/>
    <x v="35"/>
    <x v="23"/>
    <s v="KIA RIO|2020|GRIS|NCK475B"/>
    <s v="ASHC"/>
    <s v="ASHC"/>
    <s v="UBER"/>
    <n v="2500"/>
    <x v="0"/>
    <m/>
    <m/>
  </r>
  <r>
    <x v="0"/>
    <x v="35"/>
    <x v="15"/>
    <s v="AVEO|2022|AZUL|MUF515A"/>
    <s v="ASHC"/>
    <s v="ASHC"/>
    <s v="UBER"/>
    <n v="2449"/>
    <x v="0"/>
    <m/>
    <m/>
  </r>
  <r>
    <x v="0"/>
    <x v="35"/>
    <x v="8"/>
    <s v="AVEO|2021|GRIS|D51BHV"/>
    <s v="ASHC"/>
    <s v="BYER"/>
    <s v="UBER"/>
    <n v="-695.01999999999953"/>
    <x v="0"/>
    <m/>
    <m/>
  </r>
  <r>
    <x v="0"/>
    <x v="35"/>
    <x v="40"/>
    <s v="KIA RIO|2017|ROJO|MYE912A"/>
    <s v="U64"/>
    <s v="BYER"/>
    <s v="UBER"/>
    <n v="2500"/>
    <x v="0"/>
    <m/>
    <m/>
  </r>
  <r>
    <x v="0"/>
    <x v="35"/>
    <x v="48"/>
    <s v="AVEO|2018|ROJO|R51BKD"/>
    <s v="U64"/>
    <s v="BYER"/>
    <s v="UBER"/>
    <n v="1998.7199999999998"/>
    <x v="0"/>
    <m/>
    <m/>
  </r>
  <r>
    <x v="0"/>
    <x v="35"/>
    <x v="56"/>
    <s v="VENTO|2020|GRIS|MGC414C"/>
    <s v="JGD"/>
    <s v="JGD"/>
    <s v="UBER"/>
    <n v="2960.34"/>
    <x v="0"/>
    <m/>
    <m/>
  </r>
  <r>
    <x v="0"/>
    <x v="35"/>
    <x v="9"/>
    <s v="VENTO|2020|GRIS|R66BER"/>
    <s v="ASHC"/>
    <s v="ASHC"/>
    <s v="UBER"/>
    <n v="3000.4799999999996"/>
    <x v="0"/>
    <m/>
    <m/>
  </r>
  <r>
    <x v="0"/>
    <x v="35"/>
    <x v="26"/>
    <s v="VERSA|2023|PLATA|NCT814A"/>
    <s v="ASHC"/>
    <s v="ASHC"/>
    <s v="UBER"/>
    <n v="488.21999999999935"/>
    <x v="0"/>
    <m/>
    <m/>
  </r>
  <r>
    <x v="0"/>
    <x v="35"/>
    <x v="41"/>
    <s v="AVEO|2019|BLANCO|NBS225A"/>
    <s v="ASHC"/>
    <s v="ASHC"/>
    <s v="UBER"/>
    <n v="2500.34"/>
    <x v="0"/>
    <m/>
    <m/>
  </r>
  <r>
    <x v="0"/>
    <x v="35"/>
    <x v="54"/>
    <s v="VENTO|2018|AMARILLO|PED1652"/>
    <s v="ASHC"/>
    <s v="ASHC"/>
    <s v="UBER"/>
    <n v="2927"/>
    <x v="0"/>
    <m/>
    <m/>
  </r>
  <r>
    <x v="0"/>
    <x v="35"/>
    <x v="49"/>
    <s v="VERSA|2021|BLANCO|MEE228C"/>
    <s v="ASHC"/>
    <s v="BYER"/>
    <s v="UBER"/>
    <n v="2105.34"/>
    <x v="0"/>
    <m/>
    <m/>
  </r>
  <r>
    <x v="0"/>
    <x v="35"/>
    <x v="46"/>
    <s v="KIA RIO|2020|AZUL|LUE960C"/>
    <s v="JGD"/>
    <s v="JGD"/>
    <s v="UBER"/>
    <n v="-760.33999999999969"/>
    <x v="0"/>
    <m/>
    <m/>
  </r>
  <r>
    <x v="0"/>
    <x v="35"/>
    <x v="44"/>
    <s v="MARCH|2019|TURQ|MAY737C"/>
    <s v="BYER"/>
    <s v="BYER"/>
    <s v="UBER"/>
    <n v="-2293"/>
    <x v="0"/>
    <m/>
    <m/>
  </r>
  <r>
    <x v="0"/>
    <x v="36"/>
    <x v="59"/>
    <s v="AVEO|2022|AZUL|NZY685B"/>
    <s v="ASHC"/>
    <s v="ASHC"/>
    <s v="UBER"/>
    <n v="2570.86"/>
    <x v="0"/>
    <m/>
    <m/>
  </r>
  <r>
    <x v="0"/>
    <x v="36"/>
    <x v="0"/>
    <s v="VERSA|2020|ROJO|NLP172B"/>
    <s v="ASHC"/>
    <s v="ASHC"/>
    <s v="UBER"/>
    <n v="2999.2799999999997"/>
    <x v="0"/>
    <m/>
    <m/>
  </r>
  <r>
    <x v="0"/>
    <x v="36"/>
    <x v="52"/>
    <s v="AVEO|2019|PLATA|NEL860A"/>
    <s v="ASHC"/>
    <s v="ASHC"/>
    <s v="UBER"/>
    <n v="3000"/>
    <x v="0"/>
    <m/>
    <m/>
  </r>
  <r>
    <x v="0"/>
    <x v="36"/>
    <x v="31"/>
    <s v="SWIFT|2017|ROJO|X89ALV"/>
    <s v="BYER"/>
    <s v="BYER"/>
    <s v="UBER"/>
    <n v="3000"/>
    <x v="0"/>
    <m/>
    <m/>
  </r>
  <r>
    <x v="0"/>
    <x v="36"/>
    <x v="53"/>
    <s v="MARCH|2020|TURQ|N15BKD"/>
    <s v="ASHC"/>
    <s v="ASHC"/>
    <s v="UBER"/>
    <n v="3647.5"/>
    <x v="0"/>
    <m/>
    <m/>
  </r>
  <r>
    <x v="0"/>
    <x v="36"/>
    <x v="50"/>
    <s v="HYUNDAI|2022|PLATA|D40BKD"/>
    <s v="ASHC"/>
    <s v="ASHC"/>
    <s v="UBER"/>
    <n v="5500"/>
    <x v="0"/>
    <m/>
    <m/>
  </r>
  <r>
    <x v="0"/>
    <x v="36"/>
    <x v="51"/>
    <s v="BEAT|2020|GRIS|NFN014B"/>
    <s v="U64"/>
    <s v="BYER"/>
    <s v="UBER"/>
    <n v="2892.8799999999983"/>
    <x v="0"/>
    <m/>
    <m/>
  </r>
  <r>
    <x v="0"/>
    <x v="36"/>
    <x v="21"/>
    <s v="MARCH|2021|ROJO|NZU5163"/>
    <s v="ASHC"/>
    <s v="ASHC"/>
    <s v="UBER"/>
    <n v="2422.5999999999995"/>
    <x v="0"/>
    <m/>
    <m/>
  </r>
  <r>
    <x v="0"/>
    <x v="36"/>
    <x v="30"/>
    <s v="KIA RIO|2020|ROJO|MFP751C"/>
    <s v="ASHC"/>
    <s v="BYER"/>
    <s v="UBER"/>
    <n v="-70.099999999999454"/>
    <x v="0"/>
    <m/>
    <m/>
  </r>
  <r>
    <x v="0"/>
    <x v="36"/>
    <x v="55"/>
    <s v="AVEO|2024|GRIS|LRL009C"/>
    <s v="ASHC"/>
    <s v="ASHC"/>
    <s v="UBER"/>
    <n v="3000"/>
    <x v="0"/>
    <m/>
    <m/>
  </r>
  <r>
    <x v="0"/>
    <x v="36"/>
    <x v="57"/>
    <s v="AVEO|2023|GRIS|MLC126A"/>
    <s v="ASHC"/>
    <s v="BYER"/>
    <s v="UBER"/>
    <n v="499"/>
    <x v="0"/>
    <m/>
    <m/>
  </r>
  <r>
    <x v="0"/>
    <x v="36"/>
    <x v="58"/>
    <s v="VENTO|2019|BLANCO|MGC410C"/>
    <s v="JGD"/>
    <s v="JGD"/>
    <s v="UBER"/>
    <n v="-200"/>
    <x v="0"/>
    <m/>
    <m/>
  </r>
  <r>
    <x v="0"/>
    <x v="36"/>
    <x v="4"/>
    <s v="KIA RIO|2023|ROJO|H99BLC"/>
    <s v="U64"/>
    <s v="BYER"/>
    <s v="UBER"/>
    <n v="2500"/>
    <x v="0"/>
    <m/>
    <m/>
  </r>
  <r>
    <x v="0"/>
    <x v="36"/>
    <x v="25"/>
    <s v="VERSA|2020|BLANCO|A35BHD"/>
    <s v="ASHC"/>
    <s v="ASHC"/>
    <s v="UBER"/>
    <n v="3000.08"/>
    <x v="0"/>
    <m/>
    <m/>
  </r>
  <r>
    <x v="0"/>
    <x v="36"/>
    <x v="45"/>
    <s v="AVEO|2019|PLATA|NEL860A"/>
    <s v="ASHC"/>
    <s v="ASHC"/>
    <s v="UBER"/>
    <n v="-1000"/>
    <x v="0"/>
    <m/>
    <m/>
  </r>
  <r>
    <x v="0"/>
    <x v="36"/>
    <x v="5"/>
    <s v="VENTO|2019|BLANCO|LUE965C"/>
    <s v="JGD"/>
    <s v="JGD"/>
    <s v="DIDI"/>
    <n v="3000"/>
    <x v="0"/>
    <m/>
    <m/>
  </r>
  <r>
    <x v="0"/>
    <x v="36"/>
    <x v="47"/>
    <s v="AVEO|2020|AZUL|D28BET"/>
    <s v="ASHC"/>
    <s v="ASHC"/>
    <s v="UBER"/>
    <n v="3000"/>
    <x v="0"/>
    <m/>
    <m/>
  </r>
  <r>
    <x v="0"/>
    <x v="36"/>
    <x v="23"/>
    <s v="KIA RIO|2020|GRIS|NCK475B"/>
    <s v="ASHC"/>
    <s v="ASHC"/>
    <s v="UBER"/>
    <n v="2500"/>
    <x v="0"/>
    <m/>
    <m/>
  </r>
  <r>
    <x v="0"/>
    <x v="36"/>
    <x v="15"/>
    <s v="AVEO|2022|AZUL|MUF515A"/>
    <s v="ASHC"/>
    <s v="ASHC"/>
    <s v="UBER"/>
    <n v="2466"/>
    <x v="0"/>
    <m/>
    <m/>
  </r>
  <r>
    <x v="0"/>
    <x v="36"/>
    <x v="8"/>
    <s v="AVEO|2021|GRIS|D51BHV"/>
    <s v="ASHC"/>
    <s v="BYER"/>
    <s v="UBER"/>
    <n v="3622.9399999999996"/>
    <x v="0"/>
    <m/>
    <m/>
  </r>
  <r>
    <x v="0"/>
    <x v="36"/>
    <x v="60"/>
    <s v="AVEO|2018|GRIS|X59AWG"/>
    <s v="ASHC"/>
    <s v="ASHC"/>
    <s v="UBER"/>
    <n v="858.28"/>
    <x v="0"/>
    <m/>
    <m/>
  </r>
  <r>
    <x v="0"/>
    <x v="36"/>
    <x v="40"/>
    <s v="KIA RIO|2017|ROJO|MYE912A"/>
    <s v="U64"/>
    <s v="BYER"/>
    <s v="UBER"/>
    <n v="2500"/>
    <x v="0"/>
    <m/>
    <m/>
  </r>
  <r>
    <x v="0"/>
    <x v="36"/>
    <x v="48"/>
    <s v="AVEO|2018|ROJO|R51BKD"/>
    <s v="U64"/>
    <s v="BYER"/>
    <s v="UBER"/>
    <n v="2816.9400000000005"/>
    <x v="0"/>
    <m/>
    <m/>
  </r>
  <r>
    <x v="0"/>
    <x v="36"/>
    <x v="61"/>
    <s v="MARCH|2019|TURQ|MAY737C"/>
    <s v="BYER"/>
    <s v="BYER"/>
    <s v="UBER"/>
    <n v="912.44571428571408"/>
    <x v="0"/>
    <m/>
    <m/>
  </r>
  <r>
    <x v="0"/>
    <x v="36"/>
    <x v="56"/>
    <s v="VENTO|2020|GRIS|MGC414C"/>
    <s v="JGD"/>
    <s v="JGD"/>
    <s v="UBER"/>
    <n v="3000.6600000000008"/>
    <x v="0"/>
    <m/>
    <m/>
  </r>
  <r>
    <x v="0"/>
    <x v="36"/>
    <x v="9"/>
    <s v="VENTO|2020|GRIS|R66BER"/>
    <s v="ASHC"/>
    <s v="ASHC"/>
    <s v="UBER"/>
    <n v="3499.6800000000003"/>
    <x v="0"/>
    <m/>
    <m/>
  </r>
  <r>
    <x v="0"/>
    <x v="36"/>
    <x v="26"/>
    <s v="VERSA|2023|PLATA|NCT814A"/>
    <s v="ASHC"/>
    <s v="ASHC"/>
    <s v="UBER"/>
    <n v="3679.24"/>
    <x v="0"/>
    <m/>
    <m/>
  </r>
  <r>
    <x v="0"/>
    <x v="36"/>
    <x v="41"/>
    <s v="AVEO|2019|BLANCO|NBS225A"/>
    <s v="ASHC"/>
    <s v="ASHC"/>
    <s v="UBER"/>
    <n v="2469.54"/>
    <x v="0"/>
    <m/>
    <m/>
  </r>
  <r>
    <x v="0"/>
    <x v="36"/>
    <x v="54"/>
    <s v="VENTO|2018|AMARILLO|PED1652"/>
    <s v="ASHC"/>
    <s v="ASHC"/>
    <s v="UBER"/>
    <n v="1392.85"/>
    <x v="0"/>
    <m/>
    <m/>
  </r>
  <r>
    <x v="0"/>
    <x v="36"/>
    <x v="54"/>
    <s v="AVEO|2022|VINO|P62BHW"/>
    <s v="ASHC"/>
    <s v="BYER"/>
    <s v="UBER"/>
    <n v="892.84999999999991"/>
    <x v="1"/>
    <m/>
    <m/>
  </r>
  <r>
    <x v="0"/>
    <x v="36"/>
    <x v="49"/>
    <s v="VERSA|2021|BLANCO|MEE228C"/>
    <s v="ASHC"/>
    <s v="BYER"/>
    <s v="UBER"/>
    <n v="3000"/>
    <x v="0"/>
    <m/>
    <m/>
  </r>
  <r>
    <x v="0"/>
    <x v="36"/>
    <x v="62"/>
    <s v="MARCH|2022|BLANCO|MGC417C"/>
    <s v="JGD"/>
    <s v="JGD"/>
    <s v="UBER"/>
    <n v="1930.1"/>
    <x v="0"/>
    <m/>
    <m/>
  </r>
  <r>
    <x v="0"/>
    <x v="36"/>
    <x v="44"/>
    <s v="VENTO|2018|AMARILLO|PED1652"/>
    <s v="ASHC"/>
    <s v="ASHC"/>
    <s v="UBER"/>
    <n v="1143.5599999999995"/>
    <x v="0"/>
    <m/>
    <m/>
  </r>
  <r>
    <x v="0"/>
    <x v="37"/>
    <x v="59"/>
    <s v="AVEO|2022|AZUL|NZY685B"/>
    <s v="ASHC"/>
    <s v="ASHC"/>
    <s v="UBER"/>
    <n v="2575.9799999999987"/>
    <x v="0"/>
    <m/>
    <m/>
  </r>
  <r>
    <x v="0"/>
    <x v="37"/>
    <x v="0"/>
    <s v="VERSA|2020|ROJO|NLP172B"/>
    <s v="ASHC"/>
    <s v="ASHC"/>
    <s v="UBER"/>
    <n v="2500"/>
    <x v="0"/>
    <m/>
    <m/>
  </r>
  <r>
    <x v="0"/>
    <x v="37"/>
    <x v="52"/>
    <s v="AVEO|2019|PLATA|NEL860A"/>
    <s v="ASHC"/>
    <s v="ASHC"/>
    <s v="UBER"/>
    <n v="3000"/>
    <x v="0"/>
    <m/>
    <m/>
  </r>
  <r>
    <x v="0"/>
    <x v="37"/>
    <x v="31"/>
    <s v="SWIFT|2017|ROJO|X89ALV"/>
    <s v="BYER"/>
    <s v="BYER"/>
    <s v="UBER"/>
    <n v="2900"/>
    <x v="0"/>
    <m/>
    <m/>
  </r>
  <r>
    <x v="0"/>
    <x v="37"/>
    <x v="53"/>
    <s v="MARCH|2020|TURQ|N15BKD"/>
    <s v="ASHC"/>
    <s v="ASHC"/>
    <s v="UBER"/>
    <n v="3469"/>
    <x v="0"/>
    <m/>
    <m/>
  </r>
  <r>
    <x v="0"/>
    <x v="37"/>
    <x v="50"/>
    <s v="HYUNDAI|2022|PLATA|D40BKD"/>
    <s v="ASHC"/>
    <s v="ASHC"/>
    <s v="UBER"/>
    <n v="3321"/>
    <x v="0"/>
    <m/>
    <m/>
  </r>
  <r>
    <x v="0"/>
    <x v="37"/>
    <x v="51"/>
    <s v="BEAT|2020|GRIS|NFN014B"/>
    <s v="U64"/>
    <s v="BYER"/>
    <s v="UBER"/>
    <n v="2500.9399999999987"/>
    <x v="0"/>
    <m/>
    <m/>
  </r>
  <r>
    <x v="0"/>
    <x v="37"/>
    <x v="21"/>
    <s v="MARCH|2021|ROJO|NZU5163"/>
    <s v="ASHC"/>
    <s v="ASHC"/>
    <s v="UBER"/>
    <n v="1822.5500000000002"/>
    <x v="0"/>
    <m/>
    <m/>
  </r>
  <r>
    <x v="0"/>
    <x v="37"/>
    <x v="21"/>
    <s v="AVEO|2023|GRIS|MLC126A"/>
    <s v="ASHC"/>
    <s v="BYER"/>
    <s v="UBER"/>
    <n v="714.77999999999884"/>
    <x v="0"/>
    <m/>
    <m/>
  </r>
  <r>
    <x v="0"/>
    <x v="37"/>
    <x v="63"/>
    <s v="VENTO|2019|BLANCO|MGC410C"/>
    <s v="JGD"/>
    <s v="JGD"/>
    <s v="UBER"/>
    <n v="2500"/>
    <x v="0"/>
    <m/>
    <m/>
  </r>
  <r>
    <x v="0"/>
    <x v="37"/>
    <x v="30"/>
    <s v="KIA RIO|2020|ROJO|MFP751C"/>
    <s v="ASHC"/>
    <s v="BYER"/>
    <s v="UBER"/>
    <n v="2090.7000000000007"/>
    <x v="0"/>
    <m/>
    <m/>
  </r>
  <r>
    <x v="0"/>
    <x v="37"/>
    <x v="64"/>
    <s v="KIA RIO|2020|AZUL|LUE960C"/>
    <s v="JGD"/>
    <s v="JGD"/>
    <s v="UBER"/>
    <n v="2500"/>
    <x v="0"/>
    <m/>
    <m/>
  </r>
  <r>
    <x v="0"/>
    <x v="37"/>
    <x v="55"/>
    <s v="AVEO|2024|GRIS|LRL009C"/>
    <s v="ASHC"/>
    <s v="ASHC"/>
    <s v="UBER"/>
    <n v="3000.619999999999"/>
    <x v="0"/>
    <m/>
    <m/>
  </r>
  <r>
    <x v="0"/>
    <x v="37"/>
    <x v="58"/>
    <s v="VENTO|2019|BLANCO|MGC410C"/>
    <s v="JGD"/>
    <s v="JGD"/>
    <s v="UBER"/>
    <n v="-200"/>
    <x v="0"/>
    <m/>
    <m/>
  </r>
  <r>
    <x v="0"/>
    <x v="37"/>
    <x v="65"/>
    <s v="AVEO|2023|VINO|R22BMR"/>
    <s v="ASHC"/>
    <s v="BYER"/>
    <s v="UBER"/>
    <n v="3500.5199999999995"/>
    <x v="0"/>
    <m/>
    <m/>
  </r>
  <r>
    <x v="0"/>
    <x v="37"/>
    <x v="4"/>
    <s v="KIA RIO|2023|ROJO|H99BLC"/>
    <s v="U64"/>
    <s v="BYER"/>
    <s v="UBER"/>
    <n v="2500"/>
    <x v="0"/>
    <m/>
    <m/>
  </r>
  <r>
    <x v="0"/>
    <x v="37"/>
    <x v="25"/>
    <s v="VERSA|2020|BLANCO|A35BHD"/>
    <s v="ASHC"/>
    <s v="ASHC"/>
    <s v="UBER"/>
    <n v="2500"/>
    <x v="0"/>
    <m/>
    <m/>
  </r>
  <r>
    <x v="0"/>
    <x v="37"/>
    <x v="5"/>
    <s v="VENTO|2019|BLANCO|LUE965C"/>
    <s v="JGD"/>
    <s v="JGD"/>
    <s v="DIDI"/>
    <n v="3000"/>
    <x v="0"/>
    <m/>
    <m/>
  </r>
  <r>
    <x v="0"/>
    <x v="37"/>
    <x v="47"/>
    <s v="AVEO|2020|AZUL|D28BET"/>
    <s v="ASHC"/>
    <s v="ASHC"/>
    <s v="UBER"/>
    <n v="602.84000000000106"/>
    <x v="0"/>
    <m/>
    <m/>
  </r>
  <r>
    <x v="0"/>
    <x v="37"/>
    <x v="23"/>
    <s v="KIA RIO|2020|GRIS|NCK475B"/>
    <s v="ASHC"/>
    <s v="ASHC"/>
    <s v="UBER"/>
    <n v="2500"/>
    <x v="0"/>
    <m/>
    <m/>
  </r>
  <r>
    <x v="0"/>
    <x v="37"/>
    <x v="15"/>
    <s v="AVEO|2022|AZUL|MUF515A"/>
    <s v="ASHC"/>
    <s v="ASHC"/>
    <s v="UBER"/>
    <n v="517.62999999999988"/>
    <x v="0"/>
    <m/>
    <m/>
  </r>
  <r>
    <x v="0"/>
    <x v="37"/>
    <x v="15"/>
    <s v="AVEO|2023|GRIS|MLC126A"/>
    <s v="ASHC"/>
    <s v="BYER"/>
    <s v="UBER"/>
    <n v="129.22000000000003"/>
    <x v="1"/>
    <m/>
    <m/>
  </r>
  <r>
    <x v="0"/>
    <x v="37"/>
    <x v="8"/>
    <s v="AVEO|2021|GRIS|D51BHV"/>
    <s v="ASHC"/>
    <s v="BYER"/>
    <s v="UBER"/>
    <n v="2507.9600000000009"/>
    <x v="0"/>
    <m/>
    <m/>
  </r>
  <r>
    <x v="0"/>
    <x v="37"/>
    <x v="60"/>
    <s v="AVEO|2018|GRIS|X59AWG"/>
    <s v="ASHC"/>
    <s v="ASHC"/>
    <s v="UBER"/>
    <n v="3000.1000000000004"/>
    <x v="0"/>
    <m/>
    <m/>
  </r>
  <r>
    <x v="0"/>
    <x v="37"/>
    <x v="40"/>
    <s v="KIA RIO|2017|ROJO|MYE912A"/>
    <s v="U64"/>
    <s v="BYER"/>
    <s v="UBER"/>
    <n v="2500"/>
    <x v="0"/>
    <m/>
    <m/>
  </r>
  <r>
    <x v="0"/>
    <x v="37"/>
    <x v="61"/>
    <s v="MARCH|2019|TURQ|MAY737C"/>
    <s v="BYER"/>
    <s v="BYER"/>
    <s v="UBER"/>
    <n v="1600.62"/>
    <x v="0"/>
    <m/>
    <m/>
  </r>
  <r>
    <x v="0"/>
    <x v="37"/>
    <x v="56"/>
    <s v="VENTO|2020|GRIS|MGC414C"/>
    <s v="JGD"/>
    <s v="JGD"/>
    <s v="UBER"/>
    <n v="3000"/>
    <x v="0"/>
    <m/>
    <m/>
  </r>
  <r>
    <x v="0"/>
    <x v="37"/>
    <x v="9"/>
    <s v="VENTO|2020|GRIS|R66BER"/>
    <s v="ASHC"/>
    <s v="ASHC"/>
    <s v="UBER"/>
    <n v="3499.3399999999992"/>
    <x v="0"/>
    <m/>
    <m/>
  </r>
  <r>
    <x v="0"/>
    <x v="37"/>
    <x v="26"/>
    <s v="VERSA|2023|PLATA|NCT814A"/>
    <s v="ASHC"/>
    <s v="ASHC"/>
    <s v="UBER"/>
    <n v="2689.2200000000003"/>
    <x v="0"/>
    <m/>
    <m/>
  </r>
  <r>
    <x v="0"/>
    <x v="37"/>
    <x v="41"/>
    <s v="AVEO|2019|BLANCO|NBS225A"/>
    <s v="ASHC"/>
    <s v="ASHC"/>
    <s v="UBER"/>
    <n v="2851.1000000000004"/>
    <x v="0"/>
    <m/>
    <m/>
  </r>
  <r>
    <x v="0"/>
    <x v="37"/>
    <x v="54"/>
    <s v="AVEO|2022|VINO|P62BHW"/>
    <s v="ASHC"/>
    <s v="BYER"/>
    <s v="UBER"/>
    <n v="3000"/>
    <x v="0"/>
    <m/>
    <m/>
  </r>
  <r>
    <x v="0"/>
    <x v="37"/>
    <x v="49"/>
    <s v="VERSA|2021|BLANCO|MEE228C"/>
    <s v="ASHC"/>
    <s v="BYER"/>
    <s v="UBER"/>
    <n v="3000"/>
    <x v="0"/>
    <m/>
    <m/>
  </r>
  <r>
    <x v="0"/>
    <x v="37"/>
    <x v="62"/>
    <s v="MARCH|2022|BLANCO|MGC417C"/>
    <s v="JGD"/>
    <s v="JGD"/>
    <s v="UBER"/>
    <n v="2500"/>
    <x v="0"/>
    <m/>
    <m/>
  </r>
  <r>
    <x v="0"/>
    <x v="37"/>
    <x v="44"/>
    <s v="VENTO|2018|AMARILLO|PED1652"/>
    <s v="ASHC"/>
    <s v="ASHC"/>
    <s v="UBER"/>
    <n v="-3078.7200000000003"/>
    <x v="0"/>
    <m/>
    <m/>
  </r>
  <r>
    <x v="0"/>
    <x v="38"/>
    <x v="59"/>
    <s v="AVEO|2022|AZUL|NZY685B"/>
    <s v="ASHC"/>
    <s v="ASHC"/>
    <s v="UBER"/>
    <n v="2643"/>
    <x v="0"/>
    <m/>
    <m/>
  </r>
  <r>
    <x v="0"/>
    <x v="38"/>
    <x v="0"/>
    <s v="VERSA|2020|ROJO|NLP172B"/>
    <s v="ASHC"/>
    <s v="ASHC"/>
    <s v="UBER"/>
    <n v="2500"/>
    <x v="0"/>
    <m/>
    <m/>
  </r>
  <r>
    <x v="0"/>
    <x v="38"/>
    <x v="52"/>
    <s v="AVEO|2019|PLATA|NEL860A"/>
    <s v="ASHC"/>
    <s v="ASHC"/>
    <s v="UBER"/>
    <n v="3000"/>
    <x v="0"/>
    <m/>
    <m/>
  </r>
  <r>
    <x v="0"/>
    <x v="38"/>
    <x v="31"/>
    <s v="SWIFT|2017|ROJO|X89ALV"/>
    <s v="BYER"/>
    <s v="BYER"/>
    <s v="UBER"/>
    <n v="2500"/>
    <x v="0"/>
    <m/>
    <m/>
  </r>
  <r>
    <x v="0"/>
    <x v="38"/>
    <x v="53"/>
    <s v="AVEO|2018|ROJO|R51BKD"/>
    <s v="U64"/>
    <s v="BYER"/>
    <s v="UBER"/>
    <n v="3000"/>
    <x v="0"/>
    <m/>
    <m/>
  </r>
  <r>
    <x v="0"/>
    <x v="38"/>
    <x v="50"/>
    <s v="HYUNDAI|2022|PLATA|D40BKD"/>
    <s v="ASHC"/>
    <s v="ASHC"/>
    <s v="UBER"/>
    <n v="3500"/>
    <x v="0"/>
    <m/>
    <m/>
  </r>
  <r>
    <x v="0"/>
    <x v="38"/>
    <x v="51"/>
    <s v="BEAT|2020|GRIS|NFN014B"/>
    <s v="U64"/>
    <s v="BYER"/>
    <s v="UBER"/>
    <n v="1479.2200000000007"/>
    <x v="0"/>
    <m/>
    <m/>
  </r>
  <r>
    <x v="0"/>
    <x v="38"/>
    <x v="66"/>
    <s v="MARCH|2020|TURQ|N15BKD"/>
    <s v="ASHC"/>
    <s v="ASHC"/>
    <s v="UBER"/>
    <n v="2326.62"/>
    <x v="0"/>
    <m/>
    <m/>
  </r>
  <r>
    <x v="0"/>
    <x v="38"/>
    <x v="21"/>
    <s v="MARCH|2021|ROJO|NZU5163"/>
    <s v="ASHC"/>
    <s v="ASHC"/>
    <s v="UBER"/>
    <n v="2491.34"/>
    <x v="0"/>
    <m/>
    <m/>
  </r>
  <r>
    <x v="0"/>
    <x v="38"/>
    <x v="30"/>
    <s v="KIA RIO|2020|ROJO|MFP751C"/>
    <s v="ASHC"/>
    <s v="BYER"/>
    <s v="UBER"/>
    <n v="2887.362000000001"/>
    <x v="0"/>
    <m/>
    <m/>
  </r>
  <r>
    <x v="0"/>
    <x v="38"/>
    <x v="64"/>
    <s v="KIA RIO|2020|AZUL|LUE960C"/>
    <s v="JGD"/>
    <s v="JGD"/>
    <s v="DIDI"/>
    <n v="2877.7142857142858"/>
    <x v="0"/>
    <m/>
    <m/>
  </r>
  <r>
    <x v="0"/>
    <x v="38"/>
    <x v="55"/>
    <s v="AVEO|2024|GRIS|LRL009C"/>
    <s v="ASHC"/>
    <s v="ASHC"/>
    <s v="UBER"/>
    <n v="3000.8199999999988"/>
    <x v="0"/>
    <m/>
    <m/>
  </r>
  <r>
    <x v="0"/>
    <x v="38"/>
    <x v="58"/>
    <s v="VENTO|2019|BLANCO|MGC410C"/>
    <s v="JGD"/>
    <s v="JGD"/>
    <s v="UBER"/>
    <n v="-200"/>
    <x v="0"/>
    <m/>
    <m/>
  </r>
  <r>
    <x v="0"/>
    <x v="38"/>
    <x v="65"/>
    <s v="AVEO|2023|VINO|R22BMR"/>
    <s v="ASHC"/>
    <s v="BYER"/>
    <s v="UBER"/>
    <n v="-656.74000000000069"/>
    <x v="0"/>
    <m/>
    <m/>
  </r>
  <r>
    <x v="0"/>
    <x v="38"/>
    <x v="4"/>
    <s v="KIA RIO|2023|ROJO|H99BLC"/>
    <s v="U64"/>
    <s v="BYER"/>
    <s v="UBER"/>
    <n v="2500"/>
    <x v="0"/>
    <m/>
    <m/>
  </r>
  <r>
    <x v="0"/>
    <x v="38"/>
    <x v="25"/>
    <s v="VERSA|2020|BLANCO|A35BHD"/>
    <s v="ASHC"/>
    <s v="ASHC"/>
    <s v="UBER"/>
    <n v="2500"/>
    <x v="0"/>
    <m/>
    <m/>
  </r>
  <r>
    <x v="0"/>
    <x v="38"/>
    <x v="5"/>
    <s v="VENTO|2019|BLANCO|MGC410C"/>
    <s v="JGD"/>
    <s v="JGD"/>
    <s v="DIDI"/>
    <n v="3000"/>
    <x v="0"/>
    <m/>
    <m/>
  </r>
  <r>
    <x v="0"/>
    <x v="38"/>
    <x v="47"/>
    <s v="AVEO|2020|AZUL|D28BET"/>
    <s v="ASHC"/>
    <s v="ASHC"/>
    <s v="UBER"/>
    <n v="4236"/>
    <x v="0"/>
    <m/>
    <m/>
  </r>
  <r>
    <x v="0"/>
    <x v="38"/>
    <x v="23"/>
    <s v="KIA RIO|2020|GRIS|NCK475B"/>
    <s v="ASHC"/>
    <s v="ASHC"/>
    <s v="UBER"/>
    <n v="2500"/>
    <x v="0"/>
    <m/>
    <m/>
  </r>
  <r>
    <x v="0"/>
    <x v="38"/>
    <x v="15"/>
    <s v="AVEO|2023|GRIS|MLC126A"/>
    <s v="ASHC"/>
    <s v="BYER"/>
    <s v="UBER"/>
    <n v="2828.16"/>
    <x v="0"/>
    <m/>
    <m/>
  </r>
  <r>
    <x v="0"/>
    <x v="38"/>
    <x v="15"/>
    <s v="AVEO|2022|AZUL|MUF515A"/>
    <s v="ASHC"/>
    <s v="ASHC"/>
    <s v="UBER"/>
    <n v="457.12"/>
    <x v="1"/>
    <m/>
    <m/>
  </r>
  <r>
    <x v="0"/>
    <x v="38"/>
    <x v="8"/>
    <s v="AVEO|2021|GRIS|D51BHV"/>
    <s v="ASHC"/>
    <s v="BYER"/>
    <s v="UBER"/>
    <n v="1425.2599999999998"/>
    <x v="0"/>
    <m/>
    <m/>
  </r>
  <r>
    <x v="0"/>
    <x v="38"/>
    <x v="60"/>
    <s v="AVEO|2018|GRIS|X59AWG"/>
    <s v="ASHC"/>
    <s v="ASHC"/>
    <s v="UBER"/>
    <n v="3000.9600000000009"/>
    <x v="0"/>
    <m/>
    <m/>
  </r>
  <r>
    <x v="0"/>
    <x v="38"/>
    <x v="40"/>
    <s v="KIA RIO|2017|ROJO|MYE912A"/>
    <s v="U64"/>
    <s v="BYER"/>
    <s v="UBER"/>
    <n v="3125.08"/>
    <x v="0"/>
    <m/>
    <m/>
  </r>
  <r>
    <x v="0"/>
    <x v="38"/>
    <x v="61"/>
    <s v="MARCH|2019|TURQ|MAY737C"/>
    <s v="BYER"/>
    <s v="BYER"/>
    <s v="UBER"/>
    <n v="-779"/>
    <x v="0"/>
    <m/>
    <m/>
  </r>
  <r>
    <x v="0"/>
    <x v="38"/>
    <x v="61"/>
    <s v="VENTO|2017|GRIS|MMA672C"/>
    <s v="ASHC"/>
    <s v="ASHC"/>
    <s v="UBER"/>
    <n v="2964.76"/>
    <x v="1"/>
    <m/>
    <m/>
  </r>
  <r>
    <x v="0"/>
    <x v="38"/>
    <x v="56"/>
    <s v="VENTO|2020|GRIS|MGC414C"/>
    <s v="JGD"/>
    <s v="JGD"/>
    <s v="UBER"/>
    <n v="1087.1599999999999"/>
    <x v="0"/>
    <m/>
    <m/>
  </r>
  <r>
    <x v="0"/>
    <x v="38"/>
    <x v="9"/>
    <s v="VENTO|2020|GRIS|R66BER"/>
    <s v="ASHC"/>
    <s v="ASHC"/>
    <s v="UBER"/>
    <n v="2499.3600000000006"/>
    <x v="0"/>
    <m/>
    <m/>
  </r>
  <r>
    <x v="0"/>
    <x v="38"/>
    <x v="26"/>
    <s v="VERSA|2023|PLATA|NCT814A"/>
    <s v="ASHC"/>
    <s v="ASHC"/>
    <s v="UBER"/>
    <n v="2144.38"/>
    <x v="0"/>
    <m/>
    <m/>
  </r>
  <r>
    <x v="0"/>
    <x v="38"/>
    <x v="67"/>
    <s v="VENTO|2019|BLANCO|LUE965C"/>
    <s v="JGD"/>
    <s v="JGD"/>
    <s v="UBER"/>
    <n v="1928.5600000000004"/>
    <x v="0"/>
    <m/>
    <m/>
  </r>
  <r>
    <x v="0"/>
    <x v="38"/>
    <x v="41"/>
    <s v="AVEO|2019|BLANCO|NBS225A"/>
    <s v="ASHC"/>
    <s v="ASHC"/>
    <s v="UBER"/>
    <n v="2298.5200000000004"/>
    <x v="0"/>
    <m/>
    <m/>
  </r>
  <r>
    <x v="0"/>
    <x v="38"/>
    <x v="54"/>
    <s v="AVEO|2022|VINO|P62BHW"/>
    <s v="ASHC"/>
    <s v="BYER"/>
    <s v="UBER"/>
    <n v="893"/>
    <x v="0"/>
    <m/>
    <m/>
  </r>
  <r>
    <x v="0"/>
    <x v="38"/>
    <x v="54"/>
    <s v="MARCH|2022|BLANCO|MGC417C"/>
    <s v="JGD"/>
    <s v="JGD"/>
    <s v="UBER"/>
    <n v="893"/>
    <x v="1"/>
    <m/>
    <m/>
  </r>
  <r>
    <x v="0"/>
    <x v="38"/>
    <x v="49"/>
    <s v="VERSA|2021|BLANCO|MEE228C"/>
    <s v="ASHC"/>
    <s v="BYER"/>
    <s v="UBER"/>
    <n v="2500"/>
    <x v="0"/>
    <m/>
    <m/>
  </r>
  <r>
    <x v="0"/>
    <x v="38"/>
    <x v="62"/>
    <s v="MARCH|2022|BLANCO|MGC417C"/>
    <s v="JGD"/>
    <s v="JGD"/>
    <s v="UBER"/>
    <n v="2500"/>
    <x v="0"/>
    <m/>
    <m/>
  </r>
  <r>
    <x v="0"/>
    <x v="38"/>
    <x v="68"/>
    <s v="MARCH|2019|TURQ|MAY737C"/>
    <s v="BYER"/>
    <s v="BYER"/>
    <s v="UBER"/>
    <n v="1286"/>
    <x v="0"/>
    <m/>
    <m/>
  </r>
  <r>
    <x v="0"/>
    <x v="38"/>
    <x v="44"/>
    <s v="VENTO|2018|AMARILLO|PED1652"/>
    <s v="ASHC"/>
    <s v="ASHC"/>
    <s v="UBER"/>
    <n v="2072.1400000000003"/>
    <x v="0"/>
    <m/>
    <m/>
  </r>
  <r>
    <x v="0"/>
    <x v="39"/>
    <x v="59"/>
    <s v="AVEO|2022|AZUL|NZY685B"/>
    <s v="ASHC"/>
    <s v="ASHC"/>
    <s v="UBER"/>
    <n v="2280.71"/>
    <x v="0"/>
    <m/>
    <m/>
  </r>
  <r>
    <x v="0"/>
    <x v="39"/>
    <x v="59"/>
    <s v="MARCH|2019|TURQ|MAY737C"/>
    <s v="BYER"/>
    <s v="BYER"/>
    <s v="UBER"/>
    <n v="718.65999999999985"/>
    <x v="1"/>
    <m/>
    <m/>
  </r>
  <r>
    <x v="0"/>
    <x v="39"/>
    <x v="0"/>
    <s v="VERSA|2020|ROJO|NLP172B"/>
    <s v="ASHC"/>
    <s v="ASHC"/>
    <s v="UBER"/>
    <n v="2500"/>
    <x v="0"/>
    <m/>
    <m/>
  </r>
  <r>
    <x v="0"/>
    <x v="39"/>
    <x v="52"/>
    <s v="AVEO|2019|PLATA|NEL860A"/>
    <s v="ASHC"/>
    <s v="ASHC"/>
    <s v="UBER"/>
    <n v="3000"/>
    <x v="0"/>
    <m/>
    <m/>
  </r>
  <r>
    <x v="0"/>
    <x v="39"/>
    <x v="31"/>
    <s v="SWIFT|2017|ROJO|X89ALV"/>
    <s v="BYER"/>
    <s v="BYER"/>
    <s v="UBER"/>
    <n v="2500"/>
    <x v="0"/>
    <m/>
    <m/>
  </r>
  <r>
    <x v="0"/>
    <x v="39"/>
    <x v="53"/>
    <s v="AVEO|2018|ROJO|R51BKD"/>
    <s v="U64"/>
    <s v="BYER"/>
    <s v="UBER"/>
    <n v="2250"/>
    <x v="0"/>
    <m/>
    <m/>
  </r>
  <r>
    <x v="0"/>
    <x v="39"/>
    <x v="50"/>
    <s v="HYUNDAI|2022|PLATA|D40BKD"/>
    <s v="ASHC"/>
    <s v="ASHC"/>
    <s v="UBER"/>
    <n v="3143"/>
    <x v="0"/>
    <m/>
    <m/>
  </r>
  <r>
    <x v="0"/>
    <x v="39"/>
    <x v="66"/>
    <s v="MARCH|2020|TURQ|N15BKD"/>
    <s v="ASHC"/>
    <s v="ASHC"/>
    <s v="UBER"/>
    <n v="714.41999999999985"/>
    <x v="0"/>
    <m/>
    <m/>
  </r>
  <r>
    <x v="0"/>
    <x v="39"/>
    <x v="66"/>
    <s v="BEAT|2019|OCRE|MAY730C"/>
    <s v="ASHC"/>
    <s v="BYER"/>
    <s v="UBER"/>
    <n v="2285.7199999999993"/>
    <x v="0"/>
    <m/>
    <m/>
  </r>
  <r>
    <x v="0"/>
    <x v="39"/>
    <x v="21"/>
    <s v="MARCH|2021|ROJO|NZU5163"/>
    <s v="ASHC"/>
    <s v="ASHC"/>
    <s v="UBER"/>
    <n v="2003.739999999998"/>
    <x v="0"/>
    <m/>
    <m/>
  </r>
  <r>
    <x v="0"/>
    <x v="39"/>
    <x v="30"/>
    <s v="KIA RIO|2020|ROJO|MFP751C"/>
    <s v="ASHC"/>
    <s v="BYER"/>
    <s v="UBER"/>
    <n v="1661.9799999999996"/>
    <x v="0"/>
    <m/>
    <m/>
  </r>
  <r>
    <x v="0"/>
    <x v="39"/>
    <x v="64"/>
    <s v="KIA RIO|2020|AZUL|LUE960C"/>
    <s v="JGD"/>
    <s v="JGD"/>
    <s v="DIDI"/>
    <n v="3099.7000000000007"/>
    <x v="0"/>
    <m/>
    <m/>
  </r>
  <r>
    <x v="0"/>
    <x v="39"/>
    <x v="55"/>
    <s v="AVEO|2024|GRIS|LRL009C"/>
    <s v="ASHC"/>
    <s v="ASHC"/>
    <s v="UBER"/>
    <n v="2999.4400000000005"/>
    <x v="0"/>
    <m/>
    <m/>
  </r>
  <r>
    <x v="0"/>
    <x v="39"/>
    <x v="57"/>
    <s v="BEAT|2019|OCRE|MAY730C"/>
    <s v="ASHC"/>
    <s v="BYER"/>
    <s v="UBER"/>
    <n v="1612"/>
    <x v="0"/>
    <m/>
    <m/>
  </r>
  <r>
    <x v="0"/>
    <x v="39"/>
    <x v="58"/>
    <s v="VENTO|2019|BLANCO|MGC410C"/>
    <s v="JGD"/>
    <s v="JGD"/>
    <s v="UBER"/>
    <n v="-200"/>
    <x v="0"/>
    <m/>
    <m/>
  </r>
  <r>
    <x v="0"/>
    <x v="39"/>
    <x v="65"/>
    <s v="AVEO|2023|VINO|R22BMR"/>
    <s v="ASHC"/>
    <s v="BYER"/>
    <s v="UBER"/>
    <n v="42.720000000000709"/>
    <x v="0"/>
    <m/>
    <m/>
  </r>
  <r>
    <x v="0"/>
    <x v="39"/>
    <x v="4"/>
    <s v="KIA RIO|2023|ROJO|H99BLC"/>
    <s v="U64"/>
    <s v="BYER"/>
    <s v="UBER"/>
    <n v="2500"/>
    <x v="0"/>
    <m/>
    <m/>
  </r>
  <r>
    <x v="0"/>
    <x v="39"/>
    <x v="25"/>
    <s v="VERSA|2020|BLANCO|A35BHD"/>
    <s v="ASHC"/>
    <s v="ASHC"/>
    <s v="UBER"/>
    <n v="2500"/>
    <x v="0"/>
    <m/>
    <m/>
  </r>
  <r>
    <x v="0"/>
    <x v="39"/>
    <x v="5"/>
    <s v="MARCH|2022|BLANCO|MGC417C"/>
    <s v="JGD"/>
    <s v="JGD"/>
    <s v="DIDI"/>
    <n v="2000"/>
    <x v="0"/>
    <m/>
    <m/>
  </r>
  <r>
    <x v="0"/>
    <x v="39"/>
    <x v="69"/>
    <s v="MARCH|2020|TURQ|N15BKD"/>
    <s v="ASHC"/>
    <s v="ASHC"/>
    <s v="UBER"/>
    <n v="1714.28"/>
    <x v="0"/>
    <m/>
    <m/>
  </r>
  <r>
    <x v="0"/>
    <x v="39"/>
    <x v="47"/>
    <s v="AVEO|2020|AZUL|D28BET"/>
    <s v="ASHC"/>
    <s v="ASHC"/>
    <s v="UBER"/>
    <n v="2499.2600000000002"/>
    <x v="0"/>
    <m/>
    <m/>
  </r>
  <r>
    <x v="0"/>
    <x v="39"/>
    <x v="15"/>
    <s v="AVEO|2023|GRIS|MLC126A"/>
    <s v="ASHC"/>
    <s v="BYER"/>
    <s v="UBER"/>
    <n v="2542"/>
    <x v="0"/>
    <m/>
    <m/>
  </r>
  <r>
    <x v="0"/>
    <x v="39"/>
    <x v="8"/>
    <s v="AVEO|2021|GRIS|D51BHV"/>
    <s v="ASHC"/>
    <s v="BYER"/>
    <s v="UBER"/>
    <n v="3066.14"/>
    <x v="0"/>
    <m/>
    <m/>
  </r>
  <r>
    <x v="0"/>
    <x v="39"/>
    <x v="60"/>
    <s v="AVEO|2018|GRIS|X59AWG"/>
    <s v="ASHC"/>
    <s v="ASHC"/>
    <s v="UBER"/>
    <n v="3000"/>
    <x v="0"/>
    <m/>
    <m/>
  </r>
  <r>
    <x v="0"/>
    <x v="39"/>
    <x v="40"/>
    <s v="KIA RIO|2017|ROJO|MYE912A"/>
    <s v="U64"/>
    <s v="BYER"/>
    <s v="UBER"/>
    <n v="3125"/>
    <x v="0"/>
    <m/>
    <m/>
  </r>
  <r>
    <x v="0"/>
    <x v="39"/>
    <x v="56"/>
    <s v="VENTO|2020|GRIS|MGC414C"/>
    <s v="JGD"/>
    <s v="JGD"/>
    <s v="UBER"/>
    <n v="3956.3400000000011"/>
    <x v="0"/>
    <m/>
    <m/>
  </r>
  <r>
    <x v="0"/>
    <x v="39"/>
    <x v="9"/>
    <s v="VENTO|2020|GRIS|R66BER"/>
    <s v="ASHC"/>
    <s v="ASHC"/>
    <s v="UBER"/>
    <n v="3202.6800000000003"/>
    <x v="0"/>
    <m/>
    <m/>
  </r>
  <r>
    <x v="0"/>
    <x v="39"/>
    <x v="26"/>
    <s v="VERSA|2023|PLATA|NCT814A"/>
    <s v="ASHC"/>
    <s v="ASHC"/>
    <s v="UBER"/>
    <n v="2239.84"/>
    <x v="0"/>
    <m/>
    <m/>
  </r>
  <r>
    <x v="0"/>
    <x v="39"/>
    <x v="67"/>
    <s v="VENTO|2019|BLANCO|LUE965C"/>
    <s v="JGD"/>
    <s v="JGD"/>
    <s v="UBER"/>
    <n v="3000"/>
    <x v="0"/>
    <m/>
    <m/>
  </r>
  <r>
    <x v="0"/>
    <x v="39"/>
    <x v="41"/>
    <s v="AVEO|2019|BLANCO|NBS225A"/>
    <s v="ASHC"/>
    <s v="ASHC"/>
    <s v="UBER"/>
    <n v="1781"/>
    <x v="0"/>
    <m/>
    <m/>
  </r>
  <r>
    <x v="0"/>
    <x v="39"/>
    <x v="54"/>
    <s v="AVEO|2022|VINO|P62BHW"/>
    <s v="ASHC"/>
    <s v="BYER"/>
    <s v="UBER"/>
    <n v="714.2800000000002"/>
    <x v="0"/>
    <m/>
    <m/>
  </r>
  <r>
    <x v="0"/>
    <x v="39"/>
    <x v="54"/>
    <s v="MARCH|2022|BLANCO|MGC417C"/>
    <s v="JGD"/>
    <s v="JGD"/>
    <s v="UBER"/>
    <n v="1071.1400000000001"/>
    <x v="1"/>
    <m/>
    <m/>
  </r>
  <r>
    <x v="0"/>
    <x v="39"/>
    <x v="49"/>
    <s v="VERSA|2021|BLANCO|MEE228C"/>
    <s v="ASHC"/>
    <s v="BYER"/>
    <s v="UBER"/>
    <n v="2499.2999999999993"/>
    <x v="0"/>
    <m/>
    <m/>
  </r>
  <r>
    <x v="0"/>
    <x v="39"/>
    <x v="62"/>
    <s v="MARCH|2022|BLANCO|MGC417C"/>
    <s v="JGD"/>
    <s v="ASHC"/>
    <s v="UBER"/>
    <n v="566"/>
    <x v="0"/>
    <m/>
    <m/>
  </r>
  <r>
    <x v="0"/>
    <x v="39"/>
    <x v="68"/>
    <s v="MARCH|2019|TURQ|MAY737C"/>
    <s v="BYER"/>
    <s v="BYER"/>
    <s v="UBER"/>
    <n v="3000"/>
    <x v="0"/>
    <m/>
    <m/>
  </r>
  <r>
    <x v="0"/>
    <x v="39"/>
    <x v="44"/>
    <s v="VENTO|2018|AMARILLO|PED1652"/>
    <s v="ASHC"/>
    <s v="ASHC"/>
    <s v="UBER"/>
    <n v="4653.7799999999988"/>
    <x v="0"/>
    <m/>
    <m/>
  </r>
  <r>
    <x v="0"/>
    <x v="40"/>
    <x v="59"/>
    <s v="MARCH|2019|TURQ|MAY737C"/>
    <s v="BYER"/>
    <s v="BYER"/>
    <s v="UBER"/>
    <n v="3000"/>
    <x v="0"/>
    <m/>
    <m/>
  </r>
  <r>
    <x v="0"/>
    <x v="40"/>
    <x v="0"/>
    <s v="VERSA|2020|ROJO|NLP172B"/>
    <s v="ASHC"/>
    <s v="ASHC"/>
    <s v="UBER"/>
    <n v="2499.6999999999998"/>
    <x v="0"/>
    <m/>
    <m/>
  </r>
  <r>
    <x v="0"/>
    <x v="40"/>
    <x v="52"/>
    <s v="AVEO|2019|PLATA|NEL860A"/>
    <s v="ASHC"/>
    <s v="ASHC"/>
    <s v="UBER"/>
    <n v="3000"/>
    <x v="0"/>
    <m/>
    <m/>
  </r>
  <r>
    <x v="0"/>
    <x v="40"/>
    <x v="31"/>
    <s v="SWIFT|2017|ROJO|X89ALV"/>
    <s v="BYER"/>
    <s v="BYER"/>
    <s v="UBER"/>
    <n v="2500"/>
    <x v="0"/>
    <m/>
    <m/>
  </r>
  <r>
    <x v="0"/>
    <x v="40"/>
    <x v="53"/>
    <s v="AVEO|2018|ROJO|R51BKD"/>
    <s v="U64"/>
    <s v="BYER"/>
    <s v="UBER"/>
    <n v="3100"/>
    <x v="0"/>
    <m/>
    <m/>
  </r>
  <r>
    <x v="0"/>
    <x v="40"/>
    <x v="50"/>
    <s v="HYUNDAI|2022|PLATA|D40BKD"/>
    <s v="ASHC"/>
    <s v="ASHC"/>
    <s v="UBER"/>
    <n v="1892.85"/>
    <x v="0"/>
    <m/>
    <m/>
  </r>
  <r>
    <x v="0"/>
    <x v="40"/>
    <x v="66"/>
    <s v="BEAT|2019|OCRE|MAY730C"/>
    <s v="ASHC"/>
    <s v="BYER"/>
    <s v="UBER"/>
    <n v="3000.8999999999996"/>
    <x v="0"/>
    <m/>
    <m/>
  </r>
  <r>
    <x v="0"/>
    <x v="40"/>
    <x v="21"/>
    <s v="KIA RIO|2020|GRIS|NCK475B"/>
    <s v="ASHC"/>
    <s v="ASHC"/>
    <s v="UBER"/>
    <n v="3205.42"/>
    <x v="0"/>
    <m/>
    <m/>
  </r>
  <r>
    <x v="0"/>
    <x v="40"/>
    <x v="30"/>
    <s v="KIA RIO|2020|ROJO|MFP751C"/>
    <s v="ASHC"/>
    <s v="BYER"/>
    <s v="UBER"/>
    <n v="3117.12"/>
    <x v="0"/>
    <m/>
    <m/>
  </r>
  <r>
    <x v="0"/>
    <x v="40"/>
    <x v="64"/>
    <s v="KIA RIO|2020|AZUL|LUE960C"/>
    <s v="JGD"/>
    <s v="JGD"/>
    <s v="DIDI"/>
    <n v="3102.7999999999993"/>
    <x v="0"/>
    <m/>
    <m/>
  </r>
  <r>
    <x v="0"/>
    <x v="40"/>
    <x v="55"/>
    <s v="AVEO|2024|GRIS|LRL009C"/>
    <s v="ASHC"/>
    <s v="ASHC"/>
    <s v="UBER"/>
    <n v="2999.0800000000008"/>
    <x v="0"/>
    <m/>
    <m/>
  </r>
  <r>
    <x v="0"/>
    <x v="40"/>
    <x v="57"/>
    <s v="BEAT|2019|OCRE|MAY730C"/>
    <s v="ASHC"/>
    <s v="BYER"/>
    <s v="UBER"/>
    <n v="639"/>
    <x v="0"/>
    <m/>
    <m/>
  </r>
  <r>
    <x v="0"/>
    <x v="40"/>
    <x v="5"/>
    <s v="MARCH|2022|BLANCO|MGC417C"/>
    <s v="JGD"/>
    <s v="JGD"/>
    <s v="DIDI"/>
    <n v="-2000"/>
    <x v="0"/>
    <m/>
    <m/>
  </r>
  <r>
    <x v="0"/>
    <x v="40"/>
    <x v="65"/>
    <s v="AVEO|2023|VINO|R22BMR"/>
    <s v="ASHC"/>
    <s v="BYER"/>
    <s v="UBER"/>
    <n v="304.4699999999998"/>
    <x v="0"/>
    <m/>
    <m/>
  </r>
  <r>
    <x v="0"/>
    <x v="40"/>
    <x v="4"/>
    <s v="KIA RIO|2023|ROJO|H99BLC"/>
    <s v="U64"/>
    <s v="BYER"/>
    <s v="UBER"/>
    <n v="2329.5"/>
    <x v="0"/>
    <m/>
    <m/>
  </r>
  <r>
    <x v="0"/>
    <x v="40"/>
    <x v="25"/>
    <s v="VERSA|2020|BLANCO|A35BHD"/>
    <s v="ASHC"/>
    <s v="ASHC"/>
    <s v="UBER"/>
    <n v="2500"/>
    <x v="0"/>
    <m/>
    <m/>
  </r>
  <r>
    <x v="0"/>
    <x v="40"/>
    <x v="58"/>
    <s v="VENTO|2019|BLANCO|MGC410C"/>
    <s v="JGD"/>
    <s v="JGD"/>
    <s v="UBER"/>
    <n v="-200"/>
    <x v="0"/>
    <m/>
    <m/>
  </r>
  <r>
    <x v="0"/>
    <x v="40"/>
    <x v="69"/>
    <s v="MARCH|2020|TURQ|N15BKD"/>
    <s v="ASHC"/>
    <s v="ASHC"/>
    <s v="UBER"/>
    <n v="2856.96"/>
    <x v="0"/>
    <m/>
    <m/>
  </r>
  <r>
    <x v="0"/>
    <x v="40"/>
    <x v="47"/>
    <s v="AVEO|2020|AZUL|D28BET"/>
    <s v="ASHC"/>
    <s v="ASHC"/>
    <s v="UBER"/>
    <n v="2499.380000000001"/>
    <x v="0"/>
    <m/>
    <m/>
  </r>
  <r>
    <x v="0"/>
    <x v="40"/>
    <x v="15"/>
    <s v="AVEO|2023|GRIS|MLC126A"/>
    <s v="ASHC"/>
    <s v="BYER"/>
    <s v="UBER"/>
    <n v="2481"/>
    <x v="0"/>
    <m/>
    <m/>
  </r>
  <r>
    <x v="0"/>
    <x v="40"/>
    <x v="8"/>
    <s v="AVEO|2021|GRIS|D51BHV"/>
    <s v="ASHC"/>
    <s v="BYER"/>
    <s v="UBER"/>
    <n v="-2213.2399999999998"/>
    <x v="0"/>
    <m/>
    <m/>
  </r>
  <r>
    <x v="0"/>
    <x v="40"/>
    <x v="60"/>
    <s v="AVEO|2018|GRIS|X59AWG"/>
    <s v="ASHC"/>
    <s v="ASHC"/>
    <s v="UBER"/>
    <n v="3566.8240000000005"/>
    <x v="0"/>
    <m/>
    <m/>
  </r>
  <r>
    <x v="0"/>
    <x v="40"/>
    <x v="40"/>
    <s v="KIA RIO|2017|ROJO|MYE912A"/>
    <s v="U64"/>
    <s v="BYER"/>
    <s v="UBER"/>
    <n v="14.379999999999999"/>
    <x v="0"/>
    <m/>
    <m/>
  </r>
  <r>
    <x v="0"/>
    <x v="40"/>
    <x v="56"/>
    <s v="VENTO|2020|GRIS|MGC414C"/>
    <s v="JGD"/>
    <s v="JGD"/>
    <s v="UBER"/>
    <n v="3000.1800000000003"/>
    <x v="0"/>
    <m/>
    <m/>
  </r>
  <r>
    <x v="0"/>
    <x v="40"/>
    <x v="9"/>
    <s v="VENTO|2020|GRIS|R66BER"/>
    <s v="ASHC"/>
    <s v="ASHC"/>
    <s v="UBER"/>
    <n v="3000.6000000000004"/>
    <x v="0"/>
    <m/>
    <m/>
  </r>
  <r>
    <x v="0"/>
    <x v="40"/>
    <x v="26"/>
    <s v="VERSA|2023|PLATA|NCT814A"/>
    <s v="ASHC"/>
    <s v="ASHC"/>
    <s v="UBER"/>
    <n v="1003.9000000000001"/>
    <x v="0"/>
    <m/>
    <m/>
  </r>
  <r>
    <x v="0"/>
    <x v="40"/>
    <x v="67"/>
    <s v="VENTO|2019|BLANCO|LUE965C"/>
    <s v="JGD"/>
    <s v="JGD"/>
    <s v="UBER"/>
    <n v="2285.71"/>
    <x v="0"/>
    <m/>
    <m/>
  </r>
  <r>
    <x v="0"/>
    <x v="40"/>
    <x v="41"/>
    <s v="AVEO|2019|BLANCO|NBS225A"/>
    <s v="ASHC"/>
    <s v="ASHC"/>
    <s v="UBER"/>
    <n v="-1113.2799999999997"/>
    <x v="0"/>
    <m/>
    <m/>
  </r>
  <r>
    <x v="0"/>
    <x v="40"/>
    <x v="54"/>
    <s v="AVEO|2022|VINO|P62BHW"/>
    <s v="ASHC"/>
    <s v="BYER"/>
    <s v="UBER"/>
    <n v="2500"/>
    <x v="0"/>
    <m/>
    <m/>
  </r>
  <r>
    <x v="0"/>
    <x v="40"/>
    <x v="49"/>
    <s v="VERSA|2021|BLANCO|MEE228C"/>
    <s v="ASHC"/>
    <s v="BYER"/>
    <s v="UBER"/>
    <n v="2499.0200000000004"/>
    <x v="0"/>
    <m/>
    <m/>
  </r>
  <r>
    <x v="0"/>
    <x v="40"/>
    <x v="68"/>
    <s v="MARCH|2021|ROJO|NZU5163"/>
    <s v="ASHC"/>
    <s v="ASHC"/>
    <s v="UBER"/>
    <n v="3000"/>
    <x v="0"/>
    <m/>
    <m/>
  </r>
  <r>
    <x v="0"/>
    <x v="40"/>
    <x v="44"/>
    <s v="VENTO|2018|AMARILLO|PED1652"/>
    <s v="ASHC"/>
    <s v="ASHC"/>
    <s v="UBER"/>
    <n v="2500.4399999999996"/>
    <x v="0"/>
    <m/>
    <m/>
  </r>
  <r>
    <x v="0"/>
    <x v="40"/>
    <x v="70"/>
    <s v="MARCH|2019|TURQ|MAY737C"/>
    <s v="BYER"/>
    <s v="BYER"/>
    <s v="UBER"/>
    <n v="1163.5400000000004"/>
    <x v="0"/>
    <m/>
    <m/>
  </r>
  <r>
    <x v="0"/>
    <x v="40"/>
    <x v="71"/>
    <s v="VENTO|2019|BLANCO|MGC410C"/>
    <s v="JGD"/>
    <s v="JGD"/>
    <s v="UBER"/>
    <n v="1929.14"/>
    <x v="0"/>
    <m/>
    <m/>
  </r>
  <r>
    <x v="0"/>
    <x v="41"/>
    <x v="59"/>
    <s v="KIA RIO|2017|ROJO|MYE912A"/>
    <s v="U64"/>
    <s v="BYER"/>
    <s v="UBER"/>
    <n v="2715"/>
    <x v="0"/>
    <m/>
    <m/>
  </r>
  <r>
    <x v="0"/>
    <x v="41"/>
    <x v="0"/>
    <s v="VERSA|2020|ROJO|NLP172B"/>
    <s v="ASHC"/>
    <s v="ASHC"/>
    <s v="UBER"/>
    <n v="0"/>
    <x v="0"/>
    <m/>
    <m/>
  </r>
  <r>
    <x v="0"/>
    <x v="41"/>
    <x v="52"/>
    <s v="AVEO|2019|PLATA|NEL860A"/>
    <s v="ASHC"/>
    <s v="ASHC"/>
    <s v="UBER"/>
    <n v="820"/>
    <x v="0"/>
    <m/>
    <m/>
  </r>
  <r>
    <x v="0"/>
    <x v="41"/>
    <x v="31"/>
    <s v="SWIFT|2017|ROJO|X89ALV"/>
    <s v="BYER"/>
    <s v="BYER"/>
    <s v="UBER"/>
    <n v="2500"/>
    <x v="0"/>
    <m/>
    <m/>
  </r>
  <r>
    <x v="0"/>
    <x v="41"/>
    <x v="53"/>
    <s v="AVEO|2018|ROJO|R51BKD"/>
    <s v="U64"/>
    <s v="BYER"/>
    <s v="UBER"/>
    <n v="2500"/>
    <x v="0"/>
    <m/>
    <m/>
  </r>
  <r>
    <x v="0"/>
    <x v="41"/>
    <x v="50"/>
    <s v="HYUNDAI|2022|PLATA|D40BKD"/>
    <s v="ASHC"/>
    <s v="ASHC"/>
    <s v="UBER"/>
    <n v="3500"/>
    <x v="0"/>
    <m/>
    <m/>
  </r>
  <r>
    <x v="0"/>
    <x v="41"/>
    <x v="66"/>
    <s v="BEAT|2019|OCRE|MAY730C"/>
    <s v="ASHC"/>
    <s v="BYER"/>
    <s v="UBER"/>
    <n v="1943"/>
    <x v="0"/>
    <m/>
    <m/>
  </r>
  <r>
    <x v="0"/>
    <x v="41"/>
    <x v="21"/>
    <s v="AVEO|2022|AZUL|MUF515A"/>
    <s v="ASHC"/>
    <s v="ASHC"/>
    <s v="UBER"/>
    <n v="3002.0400000000009"/>
    <x v="0"/>
    <m/>
    <m/>
  </r>
  <r>
    <x v="0"/>
    <x v="41"/>
    <x v="30"/>
    <s v="KIA RIO|2020|ROJO|MFP751C"/>
    <s v="ASHC"/>
    <s v="BYER"/>
    <s v="UBER"/>
    <n v="2500"/>
    <x v="0"/>
    <m/>
    <m/>
  </r>
  <r>
    <x v="0"/>
    <x v="41"/>
    <x v="64"/>
    <s v="KIA RIO|2020|AZUL|LUE960C"/>
    <s v="JGD"/>
    <s v="JGD"/>
    <s v="DIDI"/>
    <n v="3099.1800000000003"/>
    <x v="0"/>
    <m/>
    <m/>
  </r>
  <r>
    <x v="0"/>
    <x v="41"/>
    <x v="55"/>
    <s v="AVEO|2024|GRIS|LRL009C"/>
    <s v="ASHC"/>
    <s v="ASHC"/>
    <s v="UBER"/>
    <n v="2999.2200000000003"/>
    <x v="0"/>
    <m/>
    <m/>
  </r>
  <r>
    <x v="0"/>
    <x v="41"/>
    <x v="57"/>
    <s v="BEAT|2019|OCRE|MAY730C"/>
    <s v="ASHC"/>
    <s v="BYER"/>
    <s v="UBER"/>
    <n v="465.26"/>
    <x v="0"/>
    <m/>
    <m/>
  </r>
  <r>
    <x v="0"/>
    <x v="41"/>
    <x v="5"/>
    <s v="MARCH|2022|BLANCO|MGC417C"/>
    <s v="JGD"/>
    <s v="JGD"/>
    <s v="DIDI"/>
    <n v="3000"/>
    <x v="0"/>
    <m/>
    <m/>
  </r>
  <r>
    <x v="0"/>
    <x v="41"/>
    <x v="65"/>
    <s v="AVEO|2023|VINO|R22BMR"/>
    <s v="ASHC"/>
    <s v="BYER"/>
    <s v="UBER"/>
    <n v="-620"/>
    <x v="0"/>
    <m/>
    <m/>
  </r>
  <r>
    <x v="0"/>
    <x v="41"/>
    <x v="4"/>
    <s v="KIA RIO|2023|ROJO|H99BLC"/>
    <s v="U64"/>
    <s v="BYER"/>
    <s v="UBER"/>
    <n v="2595"/>
    <x v="0"/>
    <m/>
    <m/>
  </r>
  <r>
    <x v="0"/>
    <x v="41"/>
    <x v="25"/>
    <s v="VERSA|2020|BLANCO|A35BHD"/>
    <s v="ASHC"/>
    <s v="ASHC"/>
    <s v="UBER"/>
    <n v="2500"/>
    <x v="0"/>
    <m/>
    <m/>
  </r>
  <r>
    <x v="0"/>
    <x v="41"/>
    <x v="58"/>
    <s v="VENTO|2019|BLANCO|MGC410C"/>
    <s v="JGD"/>
    <s v="JGD"/>
    <s v="UBER"/>
    <n v="-200"/>
    <x v="0"/>
    <m/>
    <m/>
  </r>
  <r>
    <x v="0"/>
    <x v="41"/>
    <x v="69"/>
    <s v="MARCH|2020|TURQ|N15BKD"/>
    <s v="ASHC"/>
    <s v="ASHC"/>
    <s v="UBER"/>
    <n v="-780.24"/>
    <x v="0"/>
    <m/>
    <m/>
  </r>
  <r>
    <x v="0"/>
    <x v="41"/>
    <x v="47"/>
    <s v="AVEO|2020|AZUL|D28BET"/>
    <s v="ASHC"/>
    <s v="ASHC"/>
    <s v="UBER"/>
    <n v="2500"/>
    <x v="0"/>
    <m/>
    <m/>
  </r>
  <r>
    <x v="0"/>
    <x v="41"/>
    <x v="15"/>
    <s v="AVEO|2023|GRIS|MLC126A"/>
    <s v="ASHC"/>
    <s v="BYER"/>
    <s v="UBER"/>
    <n v="1885.5199999999986"/>
    <x v="0"/>
    <m/>
    <m/>
  </r>
  <r>
    <x v="0"/>
    <x v="41"/>
    <x v="60"/>
    <s v="AVEO|2018|GRIS|X59AWG"/>
    <s v="ASHC"/>
    <s v="ASHC"/>
    <s v="UBER"/>
    <n v="3818.0199999999995"/>
    <x v="0"/>
    <m/>
    <m/>
  </r>
  <r>
    <x v="0"/>
    <x v="41"/>
    <x v="56"/>
    <s v="VENTO|2020|GRIS|MGC414C"/>
    <s v="JGD"/>
    <s v="JGD"/>
    <s v="UBER"/>
    <n v="3000"/>
    <x v="0"/>
    <m/>
    <m/>
  </r>
  <r>
    <x v="0"/>
    <x v="41"/>
    <x v="9"/>
    <s v="VENTO|2020|GRIS|R66BER"/>
    <s v="ASHC"/>
    <s v="ASHC"/>
    <s v="UBER"/>
    <n v="2999.5199999999995"/>
    <x v="0"/>
    <m/>
    <m/>
  </r>
  <r>
    <x v="0"/>
    <x v="41"/>
    <x v="26"/>
    <s v="VERSA|2023|PLATA|NCT814A"/>
    <s v="ASHC"/>
    <s v="ASHC"/>
    <s v="UBER"/>
    <n v="2598.0599999999995"/>
    <x v="0"/>
    <m/>
    <m/>
  </r>
  <r>
    <x v="0"/>
    <x v="41"/>
    <x v="67"/>
    <s v="VENTO|2019|BLANCO|LUE965C"/>
    <s v="JGD"/>
    <s v="JGD"/>
    <s v="UBER"/>
    <n v="0"/>
    <x v="0"/>
    <m/>
    <m/>
  </r>
  <r>
    <x v="0"/>
    <x v="41"/>
    <x v="41"/>
    <s v="AVEO|2019|BLANCO|NBS225A"/>
    <s v="ASHC"/>
    <s v="ASHC"/>
    <s v="UBER"/>
    <n v="5703.42"/>
    <x v="0"/>
    <m/>
    <m/>
  </r>
  <r>
    <x v="0"/>
    <x v="41"/>
    <x v="54"/>
    <s v="AVEO|2022|VINO|P62BHW"/>
    <s v="ASHC"/>
    <s v="BYER"/>
    <s v="UBER"/>
    <n v="2500"/>
    <x v="0"/>
    <m/>
    <m/>
  </r>
  <r>
    <x v="0"/>
    <x v="41"/>
    <x v="49"/>
    <s v="VERSA|2021|BLANCO|MEE228C"/>
    <s v="ASHC"/>
    <s v="BYER"/>
    <s v="UBER"/>
    <n v="2500"/>
    <x v="0"/>
    <m/>
    <m/>
  </r>
  <r>
    <x v="0"/>
    <x v="41"/>
    <x v="68"/>
    <s v="MARCH|2021|ROJO|NZU5163"/>
    <s v="ASHC"/>
    <s v="ASHC"/>
    <s v="UBER"/>
    <n v="3000"/>
    <x v="0"/>
    <m/>
    <m/>
  </r>
  <r>
    <x v="0"/>
    <x v="41"/>
    <x v="44"/>
    <s v="VENTO|2018|AMARILLO|PED1652"/>
    <s v="ASHC"/>
    <s v="ASHC"/>
    <s v="UBER"/>
    <n v="-321.60000000000036"/>
    <x v="0"/>
    <m/>
    <m/>
  </r>
  <r>
    <x v="0"/>
    <x v="41"/>
    <x v="70"/>
    <s v="MARCH|2019|TURQ|MAY737C"/>
    <s v="BYER"/>
    <s v="BYER"/>
    <s v="UBER"/>
    <n v="3700.5999999999995"/>
    <x v="0"/>
    <m/>
    <m/>
  </r>
  <r>
    <x v="0"/>
    <x v="41"/>
    <x v="71"/>
    <s v="VENTO|2019|BLANCO|MGC410C"/>
    <s v="JGD"/>
    <s v="JGD"/>
    <s v="UBER"/>
    <n v="1329.3799999999997"/>
    <x v="0"/>
    <m/>
    <m/>
  </r>
  <r>
    <x v="0"/>
    <x v="41"/>
    <x v="8"/>
    <s v="AVEO|2019|PLATA|NEL860A"/>
    <s v="ASHC"/>
    <s v="ASHC"/>
    <s v="UBER"/>
    <n v="2411.1800000000003"/>
    <x v="0"/>
    <m/>
    <m/>
  </r>
  <r>
    <x v="0"/>
    <x v="41"/>
    <x v="72"/>
    <s v="VENTO|2017|GRIS|MMA672C"/>
    <s v="ASHC"/>
    <s v="ASHC"/>
    <s v="UBER"/>
    <n v="643"/>
    <x v="0"/>
    <m/>
    <m/>
  </r>
  <r>
    <x v="0"/>
    <x v="41"/>
    <x v="52"/>
    <s v="AVEO|2021|GRIS|D51BHV"/>
    <s v="ASHC"/>
    <s v="BYER"/>
    <s v="UBER"/>
    <n v="2180"/>
    <x v="1"/>
    <m/>
    <m/>
  </r>
  <r>
    <x v="0"/>
    <x v="41"/>
    <x v="67"/>
    <s v="BEAT|2020|GRIS|NFN014B"/>
    <s v="U64"/>
    <s v="BYER"/>
    <s v="UBER"/>
    <n v="2200"/>
    <x v="0"/>
    <m/>
    <m/>
  </r>
  <r>
    <x v="0"/>
    <x v="41"/>
    <x v="51"/>
    <s v="BEAT|2020|GRIS|NFN014B"/>
    <s v="U64"/>
    <s v="BYER"/>
    <s v="UBER"/>
    <n v="-1016"/>
    <x v="0"/>
    <m/>
    <m/>
  </r>
  <r>
    <x v="0"/>
    <x v="42"/>
    <x v="59"/>
    <s v="AVEO|2023|VINO|R22BMR"/>
    <s v="ASHC"/>
    <s v="BYER"/>
    <s v="UBER"/>
    <n v="2500"/>
    <x v="0"/>
    <m/>
    <m/>
  </r>
  <r>
    <x v="0"/>
    <x v="42"/>
    <x v="0"/>
    <s v="VERSA|2020|ROJO|NLP172B"/>
    <s v="ASHC"/>
    <s v="ASHC"/>
    <s v="UBER"/>
    <n v="2500"/>
    <x v="0"/>
    <m/>
    <m/>
  </r>
  <r>
    <x v="0"/>
    <x v="42"/>
    <x v="52"/>
    <s v="MARCH|2020|TURQ|N15BKD"/>
    <s v="ASHC"/>
    <s v="ASHC"/>
    <s v="UBER"/>
    <n v="0"/>
    <x v="0"/>
    <m/>
    <m/>
  </r>
  <r>
    <x v="0"/>
    <x v="42"/>
    <x v="31"/>
    <s v="SWIFT|2017|ROJO|X89ALV"/>
    <s v="BYER"/>
    <s v="BYER"/>
    <s v="UBER"/>
    <n v="2500"/>
    <x v="0"/>
    <m/>
    <m/>
  </r>
  <r>
    <x v="0"/>
    <x v="42"/>
    <x v="53"/>
    <s v="AVEO|2018|ROJO|R51BKD"/>
    <s v="U64"/>
    <s v="BYER"/>
    <s v="UBER"/>
    <n v="2500"/>
    <x v="0"/>
    <m/>
    <m/>
  </r>
  <r>
    <x v="0"/>
    <x v="42"/>
    <x v="50"/>
    <s v="HYUNDAI|2022|PLATA|D40BKD"/>
    <s v="ASHC"/>
    <s v="ASHC"/>
    <s v="UBER"/>
    <n v="3500"/>
    <x v="0"/>
    <m/>
    <m/>
  </r>
  <r>
    <x v="0"/>
    <x v="42"/>
    <x v="66"/>
    <s v="BEAT|2019|OCRE|MAY730C"/>
    <s v="ASHC"/>
    <s v="BYER"/>
    <s v="UBER"/>
    <n v="3000"/>
    <x v="0"/>
    <m/>
    <m/>
  </r>
  <r>
    <x v="0"/>
    <x v="42"/>
    <x v="21"/>
    <s v="AVEO|2022|AZUL|MUF515A"/>
    <s v="ASHC"/>
    <s v="ASHC"/>
    <s v="UBER"/>
    <n v="3472.880000000001"/>
    <x v="0"/>
    <m/>
    <m/>
  </r>
  <r>
    <x v="0"/>
    <x v="42"/>
    <x v="30"/>
    <s v="KIA RIO|2020|ROJO|MFP751C"/>
    <s v="ASHC"/>
    <s v="BYER"/>
    <s v="UBER"/>
    <n v="1971.3199999999997"/>
    <x v="0"/>
    <m/>
    <m/>
  </r>
  <r>
    <x v="0"/>
    <x v="42"/>
    <x v="64"/>
    <s v="KIA RIO|2020|AZUL|LUE960C"/>
    <s v="JGD"/>
    <s v="JGD"/>
    <s v="DIDI"/>
    <n v="3100.7999999999993"/>
    <x v="0"/>
    <m/>
    <m/>
  </r>
  <r>
    <x v="0"/>
    <x v="42"/>
    <x v="55"/>
    <s v="AVEO|2024|GRIS|LRL009C"/>
    <s v="ASHC"/>
    <s v="ASHC"/>
    <s v="UBER"/>
    <n v="2999.0599999999995"/>
    <x v="0"/>
    <m/>
    <m/>
  </r>
  <r>
    <x v="0"/>
    <x v="42"/>
    <x v="5"/>
    <s v="MARCH|2022|BLANCO|MGC417C"/>
    <s v="JGD"/>
    <s v="JGD"/>
    <s v="DIDI"/>
    <n v="3000"/>
    <x v="0"/>
    <m/>
    <m/>
  </r>
  <r>
    <x v="0"/>
    <x v="42"/>
    <x v="4"/>
    <s v="KIA RIO|2023|ROJO|H99BLC"/>
    <s v="U64"/>
    <s v="BYER"/>
    <s v="UBER"/>
    <n v="3200"/>
    <x v="0"/>
    <m/>
    <m/>
  </r>
  <r>
    <x v="0"/>
    <x v="42"/>
    <x v="25"/>
    <s v="VERSA|2020|BLANCO|A35BHD"/>
    <s v="ASHC"/>
    <s v="ASHC"/>
    <s v="UBER"/>
    <n v="326"/>
    <x v="0"/>
    <m/>
    <m/>
  </r>
  <r>
    <x v="0"/>
    <x v="42"/>
    <x v="47"/>
    <s v="AVEO|2020|AZUL|D28BET"/>
    <s v="ASHC"/>
    <s v="ASHC"/>
    <s v="UBER"/>
    <n v="2500"/>
    <x v="0"/>
    <m/>
    <m/>
  </r>
  <r>
    <x v="0"/>
    <x v="42"/>
    <x v="15"/>
    <s v="AVEO|2023|GRIS|MLC126A"/>
    <s v="ASHC"/>
    <s v="BYER"/>
    <s v="UBER"/>
    <n v="2510.3200000000002"/>
    <x v="0"/>
    <m/>
    <m/>
  </r>
  <r>
    <x v="0"/>
    <x v="42"/>
    <x v="60"/>
    <s v="AVEO|2018|GRIS|X59AWG"/>
    <s v="ASHC"/>
    <s v="ASHC"/>
    <s v="UBER"/>
    <n v="3556"/>
    <x v="0"/>
    <m/>
    <m/>
  </r>
  <r>
    <x v="0"/>
    <x v="42"/>
    <x v="56"/>
    <s v="VENTO|2020|GRIS|MGC414C"/>
    <s v="JGD"/>
    <s v="JGD"/>
    <s v="UBER"/>
    <n v="3000.1399999999994"/>
    <x v="0"/>
    <m/>
    <m/>
  </r>
  <r>
    <x v="0"/>
    <x v="42"/>
    <x v="9"/>
    <s v="VENTO|2020|GRIS|R66BER"/>
    <s v="ASHC"/>
    <s v="ASHC"/>
    <s v="UBER"/>
    <n v="2656"/>
    <x v="0"/>
    <m/>
    <m/>
  </r>
  <r>
    <x v="0"/>
    <x v="42"/>
    <x v="26"/>
    <s v="VERSA|2023|PLATA|NCT814A"/>
    <s v="ASHC"/>
    <s v="ASHC"/>
    <s v="UBER"/>
    <n v="2906.62"/>
    <x v="0"/>
    <m/>
    <m/>
  </r>
  <r>
    <x v="0"/>
    <x v="42"/>
    <x v="41"/>
    <s v="AVEO|2019|BLANCO|NBS225A"/>
    <s v="ASHC"/>
    <s v="ASHC"/>
    <s v="UBER"/>
    <n v="0"/>
    <x v="0"/>
    <m/>
    <m/>
  </r>
  <r>
    <x v="0"/>
    <x v="42"/>
    <x v="54"/>
    <s v="AVEO|2022|VINO|P62BHW"/>
    <s v="ASHC"/>
    <s v="BYER"/>
    <s v="UBER"/>
    <n v="2500"/>
    <x v="0"/>
    <m/>
    <m/>
  </r>
  <r>
    <x v="0"/>
    <x v="42"/>
    <x v="49"/>
    <s v="VERSA|2021|BLANCO|MEE228C"/>
    <s v="ASHC"/>
    <s v="BYER"/>
    <s v="UBER"/>
    <n v="2500"/>
    <x v="0"/>
    <m/>
    <m/>
  </r>
  <r>
    <x v="0"/>
    <x v="42"/>
    <x v="68"/>
    <s v="MARCH|2021|ROJO|NZU5163"/>
    <s v="ASHC"/>
    <s v="ASHC"/>
    <s v="UBER"/>
    <n v="3130"/>
    <x v="0"/>
    <m/>
    <m/>
  </r>
  <r>
    <x v="0"/>
    <x v="42"/>
    <x v="44"/>
    <s v="VENTO|2018|AMARILLO|PED1652"/>
    <s v="ASHC"/>
    <s v="ASHC"/>
    <s v="UBER"/>
    <n v="118.5"/>
    <x v="0"/>
    <m/>
    <m/>
  </r>
  <r>
    <x v="0"/>
    <x v="42"/>
    <x v="70"/>
    <s v="MARCH|2019|TURQ|MAY737C"/>
    <s v="BYER"/>
    <s v="BYER"/>
    <s v="UBER"/>
    <n v="3000"/>
    <x v="0"/>
    <m/>
    <m/>
  </r>
  <r>
    <x v="0"/>
    <x v="42"/>
    <x v="71"/>
    <s v="VENTO|2019|BLANCO|MGC410C"/>
    <s v="JGD"/>
    <s v="JGD"/>
    <s v="UBER"/>
    <n v="-5263.7000000000007"/>
    <x v="0"/>
    <m/>
    <m/>
  </r>
  <r>
    <x v="0"/>
    <x v="42"/>
    <x v="8"/>
    <s v="AVEO|2019|PLATA|NEL860A"/>
    <s v="ASHC"/>
    <s v="ASHC"/>
    <s v="UBER"/>
    <n v="3857"/>
    <x v="0"/>
    <m/>
    <m/>
  </r>
  <r>
    <x v="0"/>
    <x v="42"/>
    <x v="72"/>
    <s v="VENTO|2017|GRIS|MMA672C"/>
    <s v="ASHC"/>
    <s v="ASHC"/>
    <s v="UBER"/>
    <n v="2572"/>
    <x v="0"/>
    <m/>
    <m/>
  </r>
  <r>
    <x v="0"/>
    <x v="42"/>
    <x v="52"/>
    <s v="AVEO|2021|GRIS|D51BHV"/>
    <s v="ASHC"/>
    <s v="BYER"/>
    <s v="UBER"/>
    <n v="2750"/>
    <x v="1"/>
    <m/>
    <m/>
  </r>
  <r>
    <x v="0"/>
    <x v="42"/>
    <x v="67"/>
    <s v="BEAT|2020|GRIS|NFN014B"/>
    <s v="U64"/>
    <s v="BYER"/>
    <s v="UBER"/>
    <n v="4000"/>
    <x v="0"/>
    <m/>
    <m/>
  </r>
  <r>
    <x v="0"/>
    <x v="42"/>
    <x v="51"/>
    <s v="BEAT|2020|GRIS|NFN014B"/>
    <s v="U64"/>
    <s v="BYER"/>
    <s v="UBER"/>
    <n v="-500"/>
    <x v="0"/>
    <m/>
    <m/>
  </r>
  <r>
    <x v="0"/>
    <x v="42"/>
    <x v="73"/>
    <s v="KIA RIO|2017|ROJO|MYE912A"/>
    <s v="U64"/>
    <s v="BYER"/>
    <s v="UBER"/>
    <n v="2142.5700000000011"/>
    <x v="0"/>
    <m/>
    <m/>
  </r>
  <r>
    <x v="0"/>
    <x v="42"/>
    <x v="73"/>
    <s v="MARCH|2020|TURQ|N15BKD"/>
    <s v="ASHC"/>
    <s v="ASHC"/>
    <s v="UBER"/>
    <n v="0"/>
    <x v="1"/>
    <m/>
    <m/>
  </r>
  <r>
    <x v="0"/>
    <x v="42"/>
    <x v="74"/>
    <s v="MARCH|2021|ROJO|NZU5163"/>
    <s v="ASHC"/>
    <s v="ASHC"/>
    <s v="UBER"/>
    <n v="642.78000000000009"/>
    <x v="0"/>
    <m/>
    <m/>
  </r>
  <r>
    <x v="0"/>
    <x v="42"/>
    <x v="23"/>
    <s v="KIA RIO|2020|GRIS|NCK475B"/>
    <s v="ASHC"/>
    <s v="ASHC"/>
    <s v="UBER"/>
    <n v="-500"/>
    <x v="0"/>
    <m/>
    <m/>
  </r>
  <r>
    <x v="0"/>
    <x v="43"/>
    <x v="72"/>
    <s v="VENTO|2017|GRIS|MMA672C"/>
    <s v="ASHC"/>
    <s v="ASHC"/>
    <s v="UBER"/>
    <n v="3000"/>
    <x v="0"/>
    <m/>
    <m/>
  </r>
  <r>
    <x v="0"/>
    <x v="43"/>
    <x v="21"/>
    <s v="AVEO|2022|AZUL|MUF515A"/>
    <s v="ASHC"/>
    <s v="ASHC"/>
    <s v="UBER"/>
    <n v="2766.9000000000015"/>
    <x v="0"/>
    <m/>
    <m/>
  </r>
  <r>
    <x v="0"/>
    <x v="43"/>
    <x v="50"/>
    <s v="HYUNDAI|2022|PLATA|D40BKD"/>
    <s v="ASHC"/>
    <s v="ASHC"/>
    <s v="UBER"/>
    <n v="3500"/>
    <x v="0"/>
    <m/>
    <m/>
  </r>
  <r>
    <x v="0"/>
    <x v="43"/>
    <x v="74"/>
    <s v="MARCH|2021|ROJO|NZU5163"/>
    <s v="ASHC"/>
    <s v="ASHC"/>
    <s v="UBER"/>
    <n v="2442"/>
    <x v="0"/>
    <m/>
    <m/>
  </r>
  <r>
    <x v="0"/>
    <x v="43"/>
    <x v="67"/>
    <s v="MARCH|2020|TURQ|N15BKD"/>
    <s v="ASHC"/>
    <s v="ASHC"/>
    <s v="UBER"/>
    <n v="1801"/>
    <x v="0"/>
    <m/>
    <m/>
  </r>
  <r>
    <x v="0"/>
    <x v="43"/>
    <x v="55"/>
    <s v="AVEO|2024|GRIS|LRL009C"/>
    <s v="ASHC"/>
    <s v="ASHC"/>
    <s v="UBER"/>
    <n v="2999.2000000000007"/>
    <x v="0"/>
    <m/>
    <m/>
  </r>
  <r>
    <x v="0"/>
    <x v="43"/>
    <x v="68"/>
    <s v="MARCH|2021|ROJO|NZU5163"/>
    <s v="ASHC"/>
    <s v="ASHC"/>
    <s v="UBER"/>
    <n v="2500"/>
    <x v="0"/>
    <m/>
    <m/>
  </r>
  <r>
    <x v="0"/>
    <x v="43"/>
    <x v="47"/>
    <s v="AVEO|2020|AZUL|D28BET"/>
    <s v="ASHC"/>
    <s v="ASHC"/>
    <s v="UBER"/>
    <n v="2500"/>
    <x v="0"/>
    <m/>
    <m/>
  </r>
  <r>
    <x v="0"/>
    <x v="43"/>
    <x v="60"/>
    <s v="AVEO|2018|GRIS|X59AWG"/>
    <s v="ASHC"/>
    <s v="ASHC"/>
    <s v="UBER"/>
    <n v="3199.0199999999986"/>
    <x v="0"/>
    <m/>
    <m/>
  </r>
  <r>
    <x v="0"/>
    <x v="43"/>
    <x v="9"/>
    <s v="VENTO|2020|GRIS|R66BER"/>
    <s v="ASHC"/>
    <s v="ASHC"/>
    <s v="UBER"/>
    <n v="2500"/>
    <x v="0"/>
    <m/>
    <m/>
  </r>
  <r>
    <x v="0"/>
    <x v="43"/>
    <x v="75"/>
    <s v="MARCH|2020|TURQ|N15BKD"/>
    <s v="ASHC"/>
    <s v="ASHC"/>
    <s v="DIDI"/>
    <n v="2213.52"/>
    <x v="0"/>
    <m/>
    <m/>
  </r>
  <r>
    <x v="0"/>
    <x v="43"/>
    <x v="8"/>
    <s v="AVEO|2019|PLATA|NEL860A"/>
    <s v="ASHC"/>
    <s v="ASHC"/>
    <s v="UBER"/>
    <n v="2600.08"/>
    <x v="0"/>
    <m/>
    <m/>
  </r>
  <r>
    <x v="0"/>
    <x v="43"/>
    <x v="26"/>
    <s v="VERSA|2023|PLATA|NCT814A"/>
    <s v="ASHC"/>
    <s v="ASHC"/>
    <s v="UBER"/>
    <n v="3035.8600000000006"/>
    <x v="0"/>
    <m/>
    <m/>
  </r>
  <r>
    <x v="0"/>
    <x v="43"/>
    <x v="44"/>
    <s v="VENTO|2018|AMARILLO|PED1652"/>
    <s v="ASHC"/>
    <s v="ASHC"/>
    <s v="UBER"/>
    <n v="4719.76"/>
    <x v="0"/>
    <m/>
    <m/>
  </r>
  <r>
    <x v="0"/>
    <x v="43"/>
    <x v="52"/>
    <s v="MARCH|2020|TURQ|N15BKD"/>
    <s v="ASHC"/>
    <s v="ASHC"/>
    <s v="UBER"/>
    <n v="562.40000000000009"/>
    <x v="0"/>
    <m/>
    <m/>
  </r>
  <r>
    <x v="0"/>
    <x v="43"/>
    <x v="0"/>
    <s v="VERSA|2020|ROJO|NLP172B"/>
    <s v="ASHC"/>
    <s v="ASHC"/>
    <s v="UBER"/>
    <n v="2500"/>
    <x v="0"/>
    <m/>
    <m/>
  </r>
  <r>
    <x v="0"/>
    <x v="43"/>
    <x v="23"/>
    <s v="KIA RIO|2020|GRIS|NCK475B"/>
    <s v="ASHC"/>
    <s v="ASHC"/>
    <s v="UBER"/>
    <n v="-500"/>
    <x v="0"/>
    <m/>
    <m/>
  </r>
  <r>
    <x v="0"/>
    <x v="43"/>
    <x v="59"/>
    <s v="AVEO|2023|VINO|R22BMR"/>
    <s v="ASHC"/>
    <s v="BYER"/>
    <s v="UBER"/>
    <n v="2143"/>
    <x v="0"/>
    <m/>
    <m/>
  </r>
  <r>
    <x v="0"/>
    <x v="43"/>
    <x v="52"/>
    <s v="AVEO|2021|GRIS|D51BHV"/>
    <s v="ASHC"/>
    <s v="BYER"/>
    <s v="UBER"/>
    <n v="1937"/>
    <x v="1"/>
    <m/>
    <m/>
  </r>
  <r>
    <x v="0"/>
    <x v="43"/>
    <x v="73"/>
    <s v="KIA RIO|2017|ROJO|MYE912A"/>
    <s v="U64"/>
    <s v="BYER"/>
    <s v="UBER"/>
    <n v="2650"/>
    <x v="0"/>
    <m/>
    <m/>
  </r>
  <r>
    <x v="0"/>
    <x v="43"/>
    <x v="31"/>
    <s v="SWIFT|2017|ROJO|X89ALV"/>
    <s v="BYER"/>
    <s v="BYER"/>
    <s v="UBER"/>
    <n v="2500"/>
    <x v="0"/>
    <m/>
    <m/>
  </r>
  <r>
    <x v="0"/>
    <x v="43"/>
    <x v="53"/>
    <s v="AVEO|2018|ROJO|R51BKD"/>
    <s v="U64"/>
    <s v="BYER"/>
    <s v="UBER"/>
    <n v="2500"/>
    <x v="0"/>
    <m/>
    <m/>
  </r>
  <r>
    <x v="0"/>
    <x v="43"/>
    <x v="51"/>
    <s v="BEAT|2020|GRIS|NFN014B"/>
    <s v="U64"/>
    <s v="BYER"/>
    <s v="UBER"/>
    <n v="-500"/>
    <x v="0"/>
    <m/>
    <m/>
  </r>
  <r>
    <x v="0"/>
    <x v="43"/>
    <x v="66"/>
    <s v="BEAT|2019|OCRE|MAY730C"/>
    <s v="ASHC"/>
    <s v="BYER"/>
    <s v="UBER"/>
    <n v="2499.1800000000003"/>
    <x v="0"/>
    <m/>
    <m/>
  </r>
  <r>
    <x v="0"/>
    <x v="43"/>
    <x v="30"/>
    <s v="KIA RIO|2020|ROJO|MFP751C"/>
    <s v="ASHC"/>
    <s v="BYER"/>
    <s v="UBER"/>
    <n v="1955.34"/>
    <x v="0"/>
    <m/>
    <m/>
  </r>
  <r>
    <x v="0"/>
    <x v="43"/>
    <x v="4"/>
    <s v="KIA RIO|2023|ROJO|H99BLC"/>
    <s v="U64"/>
    <s v="BYER"/>
    <s v="UBER"/>
    <n v="3200"/>
    <x v="0"/>
    <m/>
    <m/>
  </r>
  <r>
    <x v="0"/>
    <x v="43"/>
    <x v="15"/>
    <s v="AVEO|2023|GRIS|MLC126A"/>
    <s v="ASHC"/>
    <s v="BYER"/>
    <s v="UBER"/>
    <n v="3385"/>
    <x v="0"/>
    <m/>
    <m/>
  </r>
  <r>
    <x v="0"/>
    <x v="43"/>
    <x v="40"/>
    <s v="KIA RIO|2017|ROJO|MYE912A"/>
    <s v="U64"/>
    <s v="BYER"/>
    <s v="UBER"/>
    <n v="-500"/>
    <x v="0"/>
    <m/>
    <m/>
  </r>
  <r>
    <x v="0"/>
    <x v="43"/>
    <x v="67"/>
    <s v="BEAT|2020|GRIS|NFN014B"/>
    <s v="U64"/>
    <s v="BYER"/>
    <s v="UBER"/>
    <n v="1899"/>
    <x v="1"/>
    <m/>
    <m/>
  </r>
  <r>
    <x v="0"/>
    <x v="43"/>
    <x v="54"/>
    <s v="AVEO|2022|VINO|P62BHW"/>
    <s v="ASHC"/>
    <s v="BYER"/>
    <s v="UBER"/>
    <n v="3451"/>
    <x v="0"/>
    <m/>
    <m/>
  </r>
  <r>
    <x v="0"/>
    <x v="43"/>
    <x v="49"/>
    <s v="VERSA|2021|BLANCO|MEE228C"/>
    <s v="ASHC"/>
    <s v="BYER"/>
    <s v="UBER"/>
    <n v="2499.7799999999997"/>
    <x v="0"/>
    <m/>
    <m/>
  </r>
  <r>
    <x v="0"/>
    <x v="43"/>
    <x v="70"/>
    <s v="MARCH|2019|TURQ|MAY737C"/>
    <s v="BYER"/>
    <s v="BYER"/>
    <s v="UBER"/>
    <n v="2542.7799999999997"/>
    <x v="0"/>
    <m/>
    <m/>
  </r>
  <r>
    <x v="0"/>
    <x v="44"/>
    <x v="67"/>
    <s v="MARCH|2020|TURQ|N15BKD"/>
    <s v="ASHC"/>
    <s v="ASHC"/>
    <s v="UBER"/>
    <n v="3700"/>
    <x v="0"/>
    <m/>
    <m/>
  </r>
  <r>
    <x v="0"/>
    <x v="44"/>
    <x v="74"/>
    <s v="MARCH|2021|ROJO|NZU5163"/>
    <s v="ASHC"/>
    <s v="ASHC"/>
    <s v="UBER"/>
    <n v="3000"/>
    <x v="0"/>
    <m/>
    <m/>
  </r>
  <r>
    <x v="0"/>
    <x v="44"/>
    <x v="72"/>
    <s v="VENTO|2017|GRIS|MMA672C"/>
    <s v="ASHC"/>
    <s v="ASHC"/>
    <s v="UBER"/>
    <n v="3000"/>
    <x v="0"/>
    <m/>
    <m/>
  </r>
  <r>
    <x v="0"/>
    <x v="44"/>
    <x v="50"/>
    <s v="HYUNDAI|2022|PLATA|D40BKD"/>
    <s v="ASHC"/>
    <s v="ASHC"/>
    <s v="UBER"/>
    <n v="3500"/>
    <x v="0"/>
    <m/>
    <m/>
  </r>
  <r>
    <x v="0"/>
    <x v="44"/>
    <x v="68"/>
    <s v="MARCH|2021|ROJO|NZU5163"/>
    <s v="ASHC"/>
    <s v="ASHC"/>
    <s v="UBER"/>
    <n v="3000"/>
    <x v="0"/>
    <m/>
    <m/>
  </r>
  <r>
    <x v="0"/>
    <x v="44"/>
    <x v="9"/>
    <s v="VENTO|2020|GRIS|R66BER"/>
    <s v="ASHC"/>
    <s v="ASHC"/>
    <s v="UBER"/>
    <n v="2500"/>
    <x v="0"/>
    <m/>
    <m/>
  </r>
  <r>
    <x v="0"/>
    <x v="44"/>
    <x v="8"/>
    <s v="AVEO|2019|PLATA|NEL860A"/>
    <s v="ASHC"/>
    <s v="ASHC"/>
    <s v="UBER"/>
    <n v="2500"/>
    <x v="0"/>
    <m/>
    <m/>
  </r>
  <r>
    <x v="0"/>
    <x v="44"/>
    <x v="60"/>
    <s v="AVEO|2018|GRIS|X59AWG"/>
    <s v="ASHC"/>
    <s v="ASHC"/>
    <s v="UBER"/>
    <n v="3200.42"/>
    <x v="0"/>
    <m/>
    <m/>
  </r>
  <r>
    <x v="0"/>
    <x v="44"/>
    <x v="55"/>
    <s v="AVEO|2024|GRIS|LRL009C"/>
    <s v="ASHC"/>
    <s v="ASHC"/>
    <s v="UBER"/>
    <n v="3000.1800000000003"/>
    <x v="0"/>
    <m/>
    <m/>
  </r>
  <r>
    <x v="0"/>
    <x v="44"/>
    <x v="47"/>
    <s v="AVEO|2020|AZUL|D28BET"/>
    <s v="ASHC"/>
    <s v="ASHC"/>
    <s v="UBER"/>
    <n v="1071.3314285714287"/>
    <x v="0"/>
    <m/>
    <m/>
  </r>
  <r>
    <x v="0"/>
    <x v="44"/>
    <x v="75"/>
    <s v="MARCH|2020|TURQ|N15BKD"/>
    <s v="ASHC"/>
    <s v="ASHC"/>
    <s v="DIDI"/>
    <n v="6910.0600000000013"/>
    <x v="0"/>
    <m/>
    <m/>
  </r>
  <r>
    <x v="0"/>
    <x v="44"/>
    <x v="26"/>
    <s v="VENTO|2017|GRIS|MMA672C"/>
    <s v="ASHC"/>
    <s v="ASHC"/>
    <s v="UBER"/>
    <n v="2432.21"/>
    <x v="0"/>
    <m/>
    <m/>
  </r>
  <r>
    <x v="0"/>
    <x v="44"/>
    <x v="44"/>
    <s v="VENTO|2018|AMARILLO|PED1652"/>
    <s v="ASHC"/>
    <s v="ASHC"/>
    <s v="UBER"/>
    <n v="300"/>
    <x v="0"/>
    <m/>
    <m/>
  </r>
  <r>
    <x v="0"/>
    <x v="44"/>
    <x v="0"/>
    <s v="VERSA|2020|ROJO|NLP172B"/>
    <s v="ASHC"/>
    <s v="ASHC"/>
    <s v="UBER"/>
    <n v="2500"/>
    <x v="0"/>
    <m/>
    <m/>
  </r>
  <r>
    <x v="0"/>
    <x v="44"/>
    <x v="23"/>
    <s v="KIA RIO|2020|GRIS|NCK475B"/>
    <s v="ASHC"/>
    <s v="ASHC"/>
    <s v="UBER"/>
    <n v="-500"/>
    <x v="0"/>
    <m/>
    <m/>
  </r>
  <r>
    <x v="0"/>
    <x v="44"/>
    <x v="21"/>
    <s v="AVEO|2022|AZUL|MUF515A"/>
    <s v="ASHC"/>
    <s v="ASHC"/>
    <s v="UBER"/>
    <n v="3139.0199999999995"/>
    <x v="0"/>
    <m/>
    <m/>
  </r>
  <r>
    <x v="0"/>
    <x v="44"/>
    <x v="25"/>
    <s v="VERSA|2020|BLANCO|A35BHD"/>
    <s v="ASHC"/>
    <s v="ASHC"/>
    <s v="UBER"/>
    <n v="-500"/>
    <x v="0"/>
    <m/>
    <m/>
  </r>
  <r>
    <x v="0"/>
    <x v="44"/>
    <x v="52"/>
    <s v="AVEO|2021|GRIS|D51BHV"/>
    <s v="ASHC"/>
    <s v="BYER"/>
    <s v="UBER"/>
    <n v="2500"/>
    <x v="0"/>
    <m/>
    <m/>
  </r>
  <r>
    <x v="0"/>
    <x v="44"/>
    <x v="59"/>
    <s v="AVEO|2023|VINO|R22BMR"/>
    <s v="ASHC"/>
    <s v="BYER"/>
    <s v="UBER"/>
    <n v="2500"/>
    <x v="0"/>
    <m/>
    <m/>
  </r>
  <r>
    <x v="0"/>
    <x v="44"/>
    <x v="15"/>
    <s v="AVEO|2023|GRIS|MLC126A"/>
    <s v="ASHC"/>
    <s v="BYER"/>
    <s v="UBER"/>
    <n v="3000"/>
    <x v="0"/>
    <m/>
    <m/>
  </r>
  <r>
    <x v="0"/>
    <x v="44"/>
    <x v="30"/>
    <s v="KIA RIO|2020|ROJO|MFP751C"/>
    <s v="ASHC"/>
    <s v="BYER"/>
    <s v="UBER"/>
    <n v="2970.4"/>
    <x v="0"/>
    <m/>
    <m/>
  </r>
  <r>
    <x v="0"/>
    <x v="44"/>
    <x v="76"/>
    <s v="BEAT|2019|OCRE|MAY730C"/>
    <s v="ASHC"/>
    <s v="BYER"/>
    <s v="UBER"/>
    <n v="1499.99"/>
    <x v="0"/>
    <m/>
    <m/>
  </r>
  <r>
    <x v="0"/>
    <x v="44"/>
    <x v="49"/>
    <s v="VERSA|2021|BLANCO|MEE228C"/>
    <s v="ASHC"/>
    <s v="BYER"/>
    <s v="UBER"/>
    <n v="1786.0500000000002"/>
    <x v="0"/>
    <m/>
    <m/>
  </r>
  <r>
    <x v="0"/>
    <x v="44"/>
    <x v="66"/>
    <s v="BEAT|2019|OCRE|MAY730C"/>
    <s v="ASHC"/>
    <s v="BYER"/>
    <s v="UBER"/>
    <n v="-0.42000000000007276"/>
    <x v="0"/>
    <m/>
    <m/>
  </r>
  <r>
    <x v="0"/>
    <x v="44"/>
    <x v="31"/>
    <s v="SWIFT|2017|ROJO|X89ALV"/>
    <s v="BYER"/>
    <s v="BYER"/>
    <s v="UBER"/>
    <n v="2080"/>
    <x v="0"/>
    <m/>
    <m/>
  </r>
  <r>
    <x v="0"/>
    <x v="44"/>
    <x v="70"/>
    <s v="MARCH|2019|TURQ|MAY737C"/>
    <s v="BYER"/>
    <s v="BYER"/>
    <s v="UBER"/>
    <n v="3293.44"/>
    <x v="0"/>
    <m/>
    <m/>
  </r>
  <r>
    <x v="0"/>
    <x v="44"/>
    <x v="4"/>
    <s v="KIA RIO|2023|ROJO|H99BLC"/>
    <s v="U64"/>
    <s v="BYER"/>
    <s v="UBER"/>
    <n v="3200"/>
    <x v="0"/>
    <m/>
    <m/>
  </r>
  <r>
    <x v="0"/>
    <x v="44"/>
    <x v="53"/>
    <s v="AVEO|2018|ROJO|R51BKD"/>
    <s v="U64"/>
    <s v="BYER"/>
    <s v="UBER"/>
    <n v="2500"/>
    <x v="0"/>
    <m/>
    <m/>
  </r>
  <r>
    <x v="0"/>
    <x v="44"/>
    <x v="73"/>
    <s v="KIA RIO|2017|ROJO|MYE912A"/>
    <s v="U64"/>
    <s v="BYER"/>
    <s v="UBER"/>
    <n v="3000"/>
    <x v="0"/>
    <m/>
    <m/>
  </r>
  <r>
    <x v="0"/>
    <x v="44"/>
    <x v="51"/>
    <s v="BEAT|2020|GRIS|NFN014B"/>
    <s v="U64"/>
    <s v="BYER"/>
    <s v="UBER"/>
    <n v="-500"/>
    <x v="0"/>
    <m/>
    <m/>
  </r>
  <r>
    <x v="0"/>
    <x v="44"/>
    <x v="40"/>
    <s v="KIA RIO|2017|ROJO|MYE912A"/>
    <s v="U64"/>
    <s v="BYER"/>
    <s v="UBER"/>
    <n v="-500"/>
    <x v="0"/>
    <m/>
    <m/>
  </r>
  <r>
    <x v="0"/>
    <x v="44"/>
    <x v="64"/>
    <s v="KIA RIO|2020|AZUL|LUE960C"/>
    <s v="JGD"/>
    <s v="JGD"/>
    <s v="DIDI"/>
    <n v="3100"/>
    <x v="0"/>
    <m/>
    <m/>
  </r>
  <r>
    <x v="0"/>
    <x v="44"/>
    <x v="5"/>
    <s v="MARCH|2022|BLANCO|MGC417C"/>
    <s v="JGD"/>
    <s v="JGD"/>
    <s v="DIDI"/>
    <n v="3000"/>
    <x v="0"/>
    <m/>
    <m/>
  </r>
  <r>
    <x v="0"/>
    <x v="44"/>
    <x v="56"/>
    <s v="VENTO|2020|GRIS|MGC414C"/>
    <s v="JGD"/>
    <s v="JGD"/>
    <s v="UBER"/>
    <n v="1640"/>
    <x v="0"/>
    <m/>
    <m/>
  </r>
  <r>
    <x v="0"/>
    <x v="44"/>
    <x v="46"/>
    <s v="VENTO|2019|BLANCO|LUE965C"/>
    <s v="JGD"/>
    <s v="JGD"/>
    <s v="UBER"/>
    <n v="857"/>
    <x v="0"/>
    <m/>
    <m/>
  </r>
  <r>
    <x v="0"/>
    <x v="45"/>
    <x v="52"/>
    <s v="AVEO|2021|GRIS|D51BHV"/>
    <s v="ASHC"/>
    <s v="BYER"/>
    <s v="UBER"/>
    <n v="2600"/>
    <x v="0"/>
    <m/>
    <m/>
  </r>
  <r>
    <x v="0"/>
    <x v="45"/>
    <x v="59"/>
    <s v="AVEO|2023|VINO|R22BMR"/>
    <s v="ASHC"/>
    <s v="BYER"/>
    <s v="UBER"/>
    <n v="2500"/>
    <x v="0"/>
    <m/>
    <m/>
  </r>
  <r>
    <x v="0"/>
    <x v="45"/>
    <x v="15"/>
    <s v="AVEO|2023|GRIS|MLC126A"/>
    <s v="ASHC"/>
    <s v="BYER"/>
    <s v="UBER"/>
    <n v="3000"/>
    <x v="0"/>
    <m/>
    <m/>
  </r>
  <r>
    <x v="0"/>
    <x v="45"/>
    <x v="30"/>
    <s v="KIA RIO|2020|ROJO|MFP751C"/>
    <s v="ASHC"/>
    <s v="BYER"/>
    <s v="UBER"/>
    <n v="1822.3600000000006"/>
    <x v="0"/>
    <m/>
    <m/>
  </r>
  <r>
    <x v="0"/>
    <x v="45"/>
    <x v="76"/>
    <s v="BEAT|2019|OCRE|MAY730C"/>
    <s v="ASHC"/>
    <s v="BYER"/>
    <s v="UBER"/>
    <n v="2464.659999999998"/>
    <x v="0"/>
    <m/>
    <m/>
  </r>
  <r>
    <x v="0"/>
    <x v="45"/>
    <x v="49"/>
    <s v="VERSA|2021|BLANCO|MEE228C"/>
    <s v="ASHC"/>
    <s v="BYER"/>
    <s v="UBER"/>
    <n v="2680.8200000000006"/>
    <x v="0"/>
    <m/>
    <m/>
  </r>
  <r>
    <x v="0"/>
    <x v="45"/>
    <x v="31"/>
    <s v="SWIFT|2017|ROJO|X89ALV"/>
    <s v="BYER"/>
    <s v="BYER"/>
    <s v="UBER"/>
    <n v="2500"/>
    <x v="0"/>
    <m/>
    <m/>
  </r>
  <r>
    <x v="0"/>
    <x v="45"/>
    <x v="70"/>
    <s v="MARCH|2019|TURQ|MAY737C"/>
    <s v="BYER"/>
    <s v="BYER"/>
    <s v="UBER"/>
    <n v="666"/>
    <x v="0"/>
    <m/>
    <m/>
  </r>
  <r>
    <x v="0"/>
    <x v="45"/>
    <x v="4"/>
    <s v="KIA RIO|2023|ROJO|H99BLC"/>
    <s v="U64"/>
    <s v="BYER"/>
    <s v="UBER"/>
    <n v="3200"/>
    <x v="0"/>
    <m/>
    <m/>
  </r>
  <r>
    <x v="0"/>
    <x v="45"/>
    <x v="53"/>
    <s v="AVEO|2018|ROJO|R51BKD"/>
    <s v="U64"/>
    <s v="BYER"/>
    <s v="UBER"/>
    <n v="2500"/>
    <x v="0"/>
    <m/>
    <m/>
  </r>
  <r>
    <x v="0"/>
    <x v="45"/>
    <x v="73"/>
    <s v="KIA RIO|2017|ROJO|MYE912A"/>
    <s v="U64"/>
    <s v="BYER"/>
    <s v="UBER"/>
    <n v="-743"/>
    <x v="0"/>
    <m/>
    <m/>
  </r>
  <r>
    <x v="0"/>
    <x v="45"/>
    <x v="51"/>
    <s v="BEAT|2020|GRIS|NFN014B"/>
    <s v="U64"/>
    <s v="BYER"/>
    <s v="UBER"/>
    <n v="-500"/>
    <x v="0"/>
    <m/>
    <m/>
  </r>
  <r>
    <x v="0"/>
    <x v="45"/>
    <x v="40"/>
    <s v="KIA RIO|2017|ROJO|MYE912A"/>
    <s v="U64"/>
    <s v="BYER"/>
    <s v="UBER"/>
    <n v="-500"/>
    <x v="0"/>
    <m/>
    <m/>
  </r>
  <r>
    <x v="0"/>
    <x v="45"/>
    <x v="67"/>
    <s v="MARCH|2020|TURQ|N15BKD"/>
    <s v="ASHC"/>
    <s v="ASHC"/>
    <s v="UBER"/>
    <n v="3700"/>
    <x v="0"/>
    <m/>
    <m/>
  </r>
  <r>
    <x v="0"/>
    <x v="45"/>
    <x v="74"/>
    <s v="MARCH|2021|ROJO|NZU5163"/>
    <s v="ASHC"/>
    <s v="ASHC"/>
    <s v="UBER"/>
    <n v="3000"/>
    <x v="0"/>
    <m/>
    <m/>
  </r>
  <r>
    <x v="0"/>
    <x v="45"/>
    <x v="72"/>
    <s v="VENTO|2017|GRIS|MMA672C"/>
    <s v="ASHC"/>
    <s v="ASHC"/>
    <s v="UBER"/>
    <n v="3000"/>
    <x v="0"/>
    <m/>
    <m/>
  </r>
  <r>
    <x v="0"/>
    <x v="45"/>
    <x v="50"/>
    <s v="HYUNDAI|2022|PLATA|D40BKD"/>
    <s v="ASHC"/>
    <s v="ASHC"/>
    <s v="UBER"/>
    <n v="3500"/>
    <x v="0"/>
    <m/>
    <m/>
  </r>
  <r>
    <x v="0"/>
    <x v="45"/>
    <x v="68"/>
    <s v="MARCH|2021|ROJO|NZU5163"/>
    <s v="ASHC"/>
    <s v="ASHC"/>
    <s v="UBER"/>
    <n v="2500"/>
    <x v="0"/>
    <m/>
    <m/>
  </r>
  <r>
    <x v="0"/>
    <x v="45"/>
    <x v="9"/>
    <s v="VENTO|2020|GRIS|R66BER"/>
    <s v="ASHC"/>
    <s v="ASHC"/>
    <s v="UBER"/>
    <n v="2500.4800000000014"/>
    <x v="0"/>
    <m/>
    <m/>
  </r>
  <r>
    <x v="0"/>
    <x v="45"/>
    <x v="8"/>
    <s v="AVEO|2019|PLATA|NEL860A"/>
    <s v="ASHC"/>
    <s v="ASHC"/>
    <s v="UBER"/>
    <n v="2500"/>
    <x v="0"/>
    <m/>
    <m/>
  </r>
  <r>
    <x v="0"/>
    <x v="45"/>
    <x v="60"/>
    <s v="AVEO|2018|GRIS|X59AWG"/>
    <s v="ASHC"/>
    <s v="ASHC"/>
    <s v="UBER"/>
    <n v="3200"/>
    <x v="0"/>
    <m/>
    <m/>
  </r>
  <r>
    <x v="0"/>
    <x v="45"/>
    <x v="55"/>
    <s v="AVEO|2024|GRIS|LRL009C"/>
    <s v="ASHC"/>
    <s v="ASHC"/>
    <s v="DIDI"/>
    <n v="105"/>
    <x v="0"/>
    <m/>
    <m/>
  </r>
  <r>
    <x v="0"/>
    <x v="45"/>
    <x v="55"/>
    <s v="AVEO|2024|GRIS|LRL009C"/>
    <s v="ASHC"/>
    <s v="ASHC"/>
    <s v="UBER"/>
    <n v="2537.2799999999997"/>
    <x v="1"/>
    <m/>
    <m/>
  </r>
  <r>
    <x v="0"/>
    <x v="45"/>
    <x v="47"/>
    <s v="AVEO|2020|AZUL|D28BET"/>
    <s v="ASHC"/>
    <s v="ASHC"/>
    <s v="UBER"/>
    <n v="-70.47999999999999"/>
    <x v="0"/>
    <m/>
    <m/>
  </r>
  <r>
    <x v="0"/>
    <x v="45"/>
    <x v="75"/>
    <s v="MARCH|2020|TURQ|N15BKD"/>
    <s v="ASHC"/>
    <s v="ASHC"/>
    <s v="DIDI"/>
    <n v="4395"/>
    <x v="0"/>
    <m/>
    <m/>
  </r>
  <r>
    <x v="0"/>
    <x v="45"/>
    <x v="26"/>
    <s v="VENTO|2017|GRIS|MMA672C"/>
    <s v="ASHC"/>
    <s v="ASHC"/>
    <s v="UBER"/>
    <n v="3050.42"/>
    <x v="0"/>
    <m/>
    <m/>
  </r>
  <r>
    <x v="0"/>
    <x v="45"/>
    <x v="44"/>
    <s v="VENTO|2018|AMARILLO|PED1652"/>
    <s v="ASHC"/>
    <s v="ASHC"/>
    <s v="UBER"/>
    <n v="3198"/>
    <x v="0"/>
    <m/>
    <m/>
  </r>
  <r>
    <x v="0"/>
    <x v="45"/>
    <x v="0"/>
    <s v="VERSA|2020|ROJO|NLP172B"/>
    <s v="ASHC"/>
    <s v="ASHC"/>
    <s v="UBER"/>
    <n v="2500"/>
    <x v="0"/>
    <m/>
    <m/>
  </r>
  <r>
    <x v="0"/>
    <x v="45"/>
    <x v="23"/>
    <s v="KIA RIO|2020|GRIS|NCK475B"/>
    <s v="ASHC"/>
    <s v="ASHC"/>
    <s v="UBER"/>
    <n v="-500"/>
    <x v="0"/>
    <m/>
    <m/>
  </r>
  <r>
    <x v="0"/>
    <x v="45"/>
    <x v="21"/>
    <s v="AVEO|2022|AZUL|MUF515A"/>
    <s v="ASHC"/>
    <s v="ASHC"/>
    <s v="UBER"/>
    <n v="3196.6400000000012"/>
    <x v="0"/>
    <m/>
    <m/>
  </r>
  <r>
    <x v="0"/>
    <x v="45"/>
    <x v="25"/>
    <s v="VERSA|2020|BLANCO|A35BHD"/>
    <s v="ASHC"/>
    <s v="ASHC"/>
    <s v="UBER"/>
    <n v="-500"/>
    <x v="0"/>
    <m/>
    <m/>
  </r>
  <r>
    <x v="0"/>
    <x v="45"/>
    <x v="64"/>
    <s v="KIA RIO|2020|AZUL|LUE960C"/>
    <s v="JGD"/>
    <s v="JGD"/>
    <s v="DIDI"/>
    <n v="3102.16"/>
    <x v="0"/>
    <m/>
    <m/>
  </r>
  <r>
    <x v="0"/>
    <x v="45"/>
    <x v="5"/>
    <s v="MARCH|2022|BLANCO|MGC417C"/>
    <s v="JGD"/>
    <s v="JGD"/>
    <s v="DIDI"/>
    <n v="3000"/>
    <x v="0"/>
    <m/>
    <m/>
  </r>
  <r>
    <x v="0"/>
    <x v="45"/>
    <x v="56"/>
    <s v="VENTO|2020|GRIS|MGC414C"/>
    <s v="JGD"/>
    <s v="JGD"/>
    <s v="UBER"/>
    <n v="3072"/>
    <x v="0"/>
    <m/>
    <m/>
  </r>
  <r>
    <x v="0"/>
    <x v="45"/>
    <x v="46"/>
    <s v="VENTO|2019|BLANCO|LUE965C"/>
    <s v="JGD"/>
    <s v="JGD"/>
    <s v="UBER"/>
    <n v="2700.5399999999991"/>
    <x v="0"/>
    <m/>
    <m/>
  </r>
  <r>
    <x v="0"/>
    <x v="45"/>
    <x v="41"/>
    <s v="AVEO|2019|BLANCO|NBS225A"/>
    <s v="ASHC"/>
    <s v="ASHC"/>
    <s v="UBER"/>
    <n v="0"/>
    <x v="0"/>
    <m/>
    <m/>
  </r>
  <r>
    <x v="0"/>
    <x v="46"/>
    <x v="52"/>
    <s v="AVEO|2021|GRIS|D51BHV"/>
    <s v="ASHC"/>
    <s v="BYER"/>
    <s v="UBER"/>
    <n v="1428.57"/>
    <x v="0"/>
    <m/>
    <m/>
  </r>
  <r>
    <x v="0"/>
    <x v="46"/>
    <x v="59"/>
    <s v="AVEO|2023|VINO|R22BMR"/>
    <s v="ASHC"/>
    <s v="BYER"/>
    <s v="UBER"/>
    <n v="1428.57"/>
    <x v="0"/>
    <m/>
    <m/>
  </r>
  <r>
    <x v="0"/>
    <x v="46"/>
    <x v="15"/>
    <s v="AVEO|2023|GRIS|MLC126A"/>
    <s v="ASHC"/>
    <s v="BYER"/>
    <s v="UBER"/>
    <n v="2128.17"/>
    <x v="0"/>
    <m/>
    <m/>
  </r>
  <r>
    <x v="0"/>
    <x v="46"/>
    <x v="30"/>
    <s v="KIA RIO|2020|ROJO|MFP751C"/>
    <s v="ASHC"/>
    <s v="BYER"/>
    <s v="UBER"/>
    <n v="478.17000000000007"/>
    <x v="0"/>
    <m/>
    <m/>
  </r>
  <r>
    <x v="0"/>
    <x v="46"/>
    <x v="76"/>
    <s v="BEAT|2019|OCRE|MAY730C"/>
    <s v="ASHC"/>
    <s v="BYER"/>
    <s v="UBER"/>
    <n v="-386.68000000000006"/>
    <x v="0"/>
    <m/>
    <m/>
  </r>
  <r>
    <x v="0"/>
    <x v="46"/>
    <x v="49"/>
    <s v="BEAT|2020|GRIS|NFN014B"/>
    <s v="U64"/>
    <s v="BYER"/>
    <s v="UBER"/>
    <n v="1845.3799999999994"/>
    <x v="0"/>
    <m/>
    <m/>
  </r>
  <r>
    <x v="0"/>
    <x v="46"/>
    <x v="31"/>
    <s v="SWIFT|2017|ROJO|X89ALV"/>
    <s v="BYER"/>
    <s v="BYER"/>
    <s v="UBER"/>
    <n v="2500"/>
    <x v="0"/>
    <m/>
    <m/>
  </r>
  <r>
    <x v="0"/>
    <x v="46"/>
    <x v="70"/>
    <s v="MARCH|2019|TURQ|MAY737C"/>
    <s v="BYER"/>
    <s v="BYER"/>
    <s v="UBER"/>
    <n v="3000.26"/>
    <x v="0"/>
    <m/>
    <m/>
  </r>
  <r>
    <x v="0"/>
    <x v="46"/>
    <x v="4"/>
    <s v="KIA RIO|2023|ROJO|H99BLC"/>
    <s v="U64"/>
    <s v="BYER"/>
    <s v="UBER"/>
    <n v="3200"/>
    <x v="0"/>
    <m/>
    <m/>
  </r>
  <r>
    <x v="0"/>
    <x v="46"/>
    <x v="53"/>
    <s v="AVEO|2018|ROJO|R51BKD"/>
    <s v="U64"/>
    <s v="BYER"/>
    <s v="UBER"/>
    <n v="2345.9400000000005"/>
    <x v="0"/>
    <m/>
    <m/>
  </r>
  <r>
    <x v="0"/>
    <x v="46"/>
    <x v="51"/>
    <s v="BEAT|2020|GRIS|NFN014B"/>
    <s v="U64"/>
    <s v="BYER"/>
    <s v="UBER"/>
    <n v="-500"/>
    <x v="0"/>
    <m/>
    <m/>
  </r>
  <r>
    <x v="0"/>
    <x v="46"/>
    <x v="40"/>
    <s v="KIA RIO|2017|ROJO|MYE912A"/>
    <s v="U64"/>
    <s v="BYER"/>
    <s v="UBER"/>
    <n v="-500"/>
    <x v="0"/>
    <m/>
    <m/>
  </r>
  <r>
    <x v="0"/>
    <x v="46"/>
    <x v="46"/>
    <s v="KIA RIO|2017|ROJO|MYE912A"/>
    <s v="U64"/>
    <s v="BYER"/>
    <s v="UBER"/>
    <n v="2285.17"/>
    <x v="0"/>
    <m/>
    <m/>
  </r>
  <r>
    <x v="0"/>
    <x v="46"/>
    <x v="67"/>
    <s v="AVEO|2019|BLANCO|NBS225A"/>
    <s v="ASHC"/>
    <s v="ASHC"/>
    <s v="UBER"/>
    <n v="3700"/>
    <x v="0"/>
    <m/>
    <m/>
  </r>
  <r>
    <x v="0"/>
    <x v="46"/>
    <x v="74"/>
    <s v="MARCH|2021|ROJO|NZU5163"/>
    <s v="ASHC"/>
    <s v="ASHC"/>
    <s v="UBER"/>
    <n v="3000.2199999999993"/>
    <x v="0"/>
    <m/>
    <m/>
  </r>
  <r>
    <x v="0"/>
    <x v="46"/>
    <x v="72"/>
    <s v="VENTO|2017|GRIS|MMA672C"/>
    <s v="ASHC"/>
    <s v="ASHC"/>
    <s v="UBER"/>
    <n v="3000"/>
    <x v="0"/>
    <m/>
    <m/>
  </r>
  <r>
    <x v="0"/>
    <x v="46"/>
    <x v="50"/>
    <s v="HYUNDAI|2022|PLATA|D40BKD"/>
    <s v="ASHC"/>
    <s v="ASHC"/>
    <s v="UBER"/>
    <n v="3500"/>
    <x v="0"/>
    <m/>
    <m/>
  </r>
  <r>
    <x v="0"/>
    <x v="46"/>
    <x v="68"/>
    <s v="VERSA|2020|BLANCO|A35BHD"/>
    <s v="ASHC"/>
    <s v="ASHC"/>
    <s v="UBER"/>
    <n v="2500"/>
    <x v="0"/>
    <m/>
    <m/>
  </r>
  <r>
    <x v="0"/>
    <x v="46"/>
    <x v="9"/>
    <s v="VENTO|2020|GRIS|R66BER"/>
    <s v="ASHC"/>
    <s v="ASHC"/>
    <s v="UBER"/>
    <n v="958.54"/>
    <x v="0"/>
    <m/>
    <m/>
  </r>
  <r>
    <x v="0"/>
    <x v="46"/>
    <x v="8"/>
    <s v="AVEO|2019|PLATA|NEL860A"/>
    <s v="ASHC"/>
    <s v="ASHC"/>
    <s v="UBER"/>
    <n v="2480.1000000000004"/>
    <x v="0"/>
    <m/>
    <m/>
  </r>
  <r>
    <x v="0"/>
    <x v="46"/>
    <x v="60"/>
    <s v="AVEO|2018|GRIS|X59AWG"/>
    <s v="ASHC"/>
    <s v="ASHC"/>
    <s v="UBER"/>
    <n v="2261.1400000000003"/>
    <x v="0"/>
    <m/>
    <m/>
  </r>
  <r>
    <x v="0"/>
    <x v="46"/>
    <x v="55"/>
    <s v="AVEO|2024|GRIS|LRL009C"/>
    <s v="ASHC"/>
    <s v="ASHC"/>
    <s v="DIDI"/>
    <n v="1249.5200000000004"/>
    <x v="0"/>
    <m/>
    <m/>
  </r>
  <r>
    <x v="0"/>
    <x v="46"/>
    <x v="55"/>
    <s v="AVEO|2024|GRIS|LRL009C"/>
    <s v="ASHC"/>
    <s v="ASHC"/>
    <s v="UBER"/>
    <n v="1250"/>
    <x v="1"/>
    <m/>
    <m/>
  </r>
  <r>
    <x v="0"/>
    <x v="46"/>
    <x v="75"/>
    <s v="MARCH|2020|TURQ|N15BKD"/>
    <s v="ASHC"/>
    <s v="ASHC"/>
    <s v="DIDI"/>
    <n v="2477.0200000000004"/>
    <x v="0"/>
    <m/>
    <m/>
  </r>
  <r>
    <x v="0"/>
    <x v="46"/>
    <x v="26"/>
    <s v="VENTO|2017|GRIS|MMA672C"/>
    <s v="ASHC"/>
    <s v="ASHC"/>
    <s v="UBER"/>
    <n v="3025"/>
    <x v="0"/>
    <m/>
    <m/>
  </r>
  <r>
    <x v="0"/>
    <x v="46"/>
    <x v="44"/>
    <s v="VENTO|2018|AMARILLO|PED1652"/>
    <s v="ASHC"/>
    <s v="ASHC"/>
    <s v="UBER"/>
    <n v="2799"/>
    <x v="0"/>
    <m/>
    <m/>
  </r>
  <r>
    <x v="0"/>
    <x v="46"/>
    <x v="0"/>
    <s v="VERSA|2020|ROJO|NLP172B"/>
    <s v="ASHC"/>
    <s v="ASHC"/>
    <s v="UBER"/>
    <n v="2500"/>
    <x v="0"/>
    <m/>
    <m/>
  </r>
  <r>
    <x v="0"/>
    <x v="46"/>
    <x v="21"/>
    <s v="AVEO|2022|AZUL|MUF515A"/>
    <s v="ASHC"/>
    <s v="ASHC"/>
    <s v="UBER"/>
    <n v="1947.7000000000007"/>
    <x v="0"/>
    <m/>
    <m/>
  </r>
  <r>
    <x v="0"/>
    <x v="46"/>
    <x v="25"/>
    <s v="VERSA|2020|BLANCO|A35BHD"/>
    <s v="ASHC"/>
    <s v="ASHC"/>
    <s v="UBER"/>
    <n v="-500"/>
    <x v="0"/>
    <m/>
    <m/>
  </r>
  <r>
    <x v="0"/>
    <x v="46"/>
    <x v="41"/>
    <s v="AVEO|2019|BLANCO|NBS225A"/>
    <s v="ASHC"/>
    <s v="ASHC"/>
    <s v="UBER"/>
    <n v="-500"/>
    <x v="0"/>
    <m/>
    <m/>
  </r>
  <r>
    <x v="0"/>
    <x v="46"/>
    <x v="64"/>
    <s v="KIA RIO|2020|AZUL|LUE960C"/>
    <s v="JGD"/>
    <s v="JGD"/>
    <s v="DIDI"/>
    <n v="3100"/>
    <x v="0"/>
    <m/>
    <m/>
  </r>
  <r>
    <x v="0"/>
    <x v="46"/>
    <x v="5"/>
    <s v="MARCH|2022|BLANCO|MGC417C"/>
    <s v="JGD"/>
    <s v="JGD"/>
    <s v="DIDI"/>
    <n v="2500"/>
    <x v="0"/>
    <m/>
    <m/>
  </r>
  <r>
    <x v="0"/>
    <x v="46"/>
    <x v="56"/>
    <s v="VENTO|2020|GRIS|MGC414C"/>
    <s v="JGD"/>
    <s v="JGD"/>
    <s v="UBER"/>
    <n v="2500.5599999999995"/>
    <x v="0"/>
    <m/>
    <m/>
  </r>
  <r>
    <x v="0"/>
    <x v="46"/>
    <x v="77"/>
    <s v="KIA RIO|2020|GRIS|NCK475B"/>
    <s v="ASHC"/>
    <s v="ASHC"/>
    <s v="UBER"/>
    <n v="1291.1399999999999"/>
    <x v="0"/>
    <m/>
    <m/>
  </r>
  <r>
    <x v="0"/>
    <x v="46"/>
    <x v="78"/>
    <s v="AVEO|2020|AZUL|D28BET"/>
    <s v="ASHC"/>
    <s v="ASHC"/>
    <s v="UBER"/>
    <n v="1712.8500000000001"/>
    <x v="0"/>
    <m/>
    <m/>
  </r>
  <r>
    <x v="0"/>
    <x v="46"/>
    <x v="79"/>
    <s v="AVEO|2023|VINO|R22BMR"/>
    <s v="ASHC"/>
    <s v="ASHC"/>
    <s v="UBER"/>
    <n v="1500.1599999999999"/>
    <x v="0"/>
    <m/>
    <m/>
  </r>
  <r>
    <x v="0"/>
    <x v="46"/>
    <x v="52"/>
    <s v="AVEO|2021|GRIS|D51BHV"/>
    <s v="ASHC"/>
    <s v="ASHC"/>
    <s v="UBER"/>
    <n v="1071"/>
    <x v="1"/>
    <m/>
    <m/>
  </r>
  <r>
    <x v="0"/>
    <x v="46"/>
    <x v="15"/>
    <s v="AVEO|2023|GRIS|MLC126A"/>
    <s v="ASHC"/>
    <s v="ASHC"/>
    <s v="UBER"/>
    <n v="1071"/>
    <x v="1"/>
    <m/>
    <m/>
  </r>
  <r>
    <x v="0"/>
    <x v="46"/>
    <x v="59"/>
    <s v="AVEO|2022|VINO|P62BHW"/>
    <s v="ASHC"/>
    <s v="ASHC"/>
    <s v="UBER"/>
    <n v="1071.1199999999999"/>
    <x v="1"/>
    <m/>
    <m/>
  </r>
  <r>
    <x v="0"/>
    <x v="46"/>
    <x v="30"/>
    <s v="KIA RIO|2020|ROJO|MFP751C"/>
    <s v="ASHC"/>
    <s v="ASHC"/>
    <s v="UBER"/>
    <n v="1071"/>
    <x v="1"/>
    <m/>
    <m/>
  </r>
  <r>
    <x v="0"/>
    <x v="46"/>
    <x v="54"/>
    <s v="AVEO|2022|VINO|P62BHW"/>
    <s v="ASHC"/>
    <s v="ASHC"/>
    <s v="UBER"/>
    <n v="-2000"/>
    <x v="0"/>
    <m/>
    <m/>
  </r>
  <r>
    <x v="0"/>
    <x v="46"/>
    <x v="46"/>
    <s v="VENTO|2019|BLANCO|LUE965C"/>
    <s v="JGD"/>
    <s v="JGD"/>
    <s v="UBER"/>
    <n v="714.83999999999992"/>
    <x v="1"/>
    <m/>
    <m/>
  </r>
  <r>
    <x v="0"/>
    <x v="47"/>
    <x v="52"/>
    <s v="AVEO|2025|PERSUASION|MXM503C"/>
    <s v="ASHC"/>
    <s v="ASHC"/>
    <s v="UBER"/>
    <n v="2671"/>
    <x v="0"/>
    <m/>
    <m/>
  </r>
  <r>
    <x v="0"/>
    <x v="47"/>
    <x v="52"/>
    <s v="AVEO|2021|GRIS|D51BHV"/>
    <s v="ASHC"/>
    <s v="ASHC"/>
    <s v="UBER"/>
    <n v="-0.42000000000000171"/>
    <x v="1"/>
    <m/>
    <m/>
  </r>
  <r>
    <x v="0"/>
    <x v="47"/>
    <x v="59"/>
    <s v="AVEO|2023|VINO|R22BMR"/>
    <s v="ASHC"/>
    <s v="ASHC"/>
    <s v="UBER"/>
    <n v="2671"/>
    <x v="0"/>
    <m/>
    <m/>
  </r>
  <r>
    <x v="0"/>
    <x v="47"/>
    <x v="15"/>
    <s v="AVEO|2023|GRIS|MLC126A"/>
    <s v="ASHC"/>
    <s v="ASHC"/>
    <s v="UBER"/>
    <n v="3000"/>
    <x v="0"/>
    <m/>
    <m/>
  </r>
  <r>
    <x v="0"/>
    <x v="47"/>
    <x v="30"/>
    <s v="KIA RIO|2020|ROJO|MFP751C"/>
    <s v="ASHC"/>
    <s v="ASHC"/>
    <s v="UBER"/>
    <n v="2472.6400000000003"/>
    <x v="0"/>
    <m/>
    <m/>
  </r>
  <r>
    <x v="0"/>
    <x v="47"/>
    <x v="51"/>
    <s v="BEAT|2020|GRIS|NFN014B"/>
    <s v="U64"/>
    <s v="BYER"/>
    <s v="UBER"/>
    <n v="-500"/>
    <x v="0"/>
    <m/>
    <m/>
  </r>
  <r>
    <x v="0"/>
    <x v="47"/>
    <x v="67"/>
    <s v="AVEO|2019|BLANCO|NBS225A"/>
    <s v="ASHC"/>
    <s v="ASHC"/>
    <s v="UBER"/>
    <n v="3700"/>
    <x v="0"/>
    <m/>
    <m/>
  </r>
  <r>
    <x v="0"/>
    <x v="47"/>
    <x v="74"/>
    <s v="MARCH|2021|ROJO|NZU5163"/>
    <s v="ASHC"/>
    <s v="ASHC"/>
    <s v="UBER"/>
    <n v="3000.8999999999996"/>
    <x v="0"/>
    <m/>
    <m/>
  </r>
  <r>
    <x v="0"/>
    <x v="47"/>
    <x v="72"/>
    <s v="VENTO|2017|GRIS|MMA672C"/>
    <s v="ASHC"/>
    <s v="ASHC"/>
    <s v="UBER"/>
    <n v="2500"/>
    <x v="0"/>
    <m/>
    <m/>
  </r>
  <r>
    <x v="0"/>
    <x v="47"/>
    <x v="50"/>
    <s v="HYUNDAI|2022|PLATA|D40BKD"/>
    <s v="ASHC"/>
    <s v="ASHC"/>
    <s v="UBER"/>
    <n v="3500"/>
    <x v="0"/>
    <m/>
    <m/>
  </r>
  <r>
    <x v="0"/>
    <x v="47"/>
    <x v="68"/>
    <s v="VERSA|2020|BLANCO|A35BHD"/>
    <s v="ASHC"/>
    <s v="ASHC"/>
    <s v="UBER"/>
    <n v="2500"/>
    <x v="0"/>
    <m/>
    <m/>
  </r>
  <r>
    <x v="0"/>
    <x v="47"/>
    <x v="9"/>
    <s v="VENTO|2020|GRIS|R66BER"/>
    <s v="ASHC"/>
    <s v="ASHC"/>
    <s v="UBER"/>
    <n v="1837.6224"/>
    <x v="0"/>
    <m/>
    <m/>
  </r>
  <r>
    <x v="0"/>
    <x v="47"/>
    <x v="8"/>
    <s v="AVEO|2019|PLATA|NEL860A"/>
    <s v="ASHC"/>
    <s v="ASHC"/>
    <s v="UBER"/>
    <n v="2372.66"/>
    <x v="0"/>
    <m/>
    <m/>
  </r>
  <r>
    <x v="0"/>
    <x v="47"/>
    <x v="60"/>
    <s v="AVEO|2018|GRIS|X59AWG"/>
    <s v="ASHC"/>
    <s v="ASHC"/>
    <s v="UBER"/>
    <n v="3725.1800000000003"/>
    <x v="0"/>
    <m/>
    <m/>
  </r>
  <r>
    <x v="0"/>
    <x v="47"/>
    <x v="55"/>
    <s v="AVEO|2024|GRIS|LRL009C"/>
    <s v="ASHC"/>
    <s v="ASHC"/>
    <s v="DIDI"/>
    <n v="1047.3200000000006"/>
    <x v="0"/>
    <m/>
    <m/>
  </r>
  <r>
    <x v="0"/>
    <x v="47"/>
    <x v="55"/>
    <s v="AVEO|2024|GRIS|LRL009C"/>
    <s v="ASHC"/>
    <s v="ASHC"/>
    <s v="UBER"/>
    <n v="1250.2200000000003"/>
    <x v="1"/>
    <m/>
    <m/>
  </r>
  <r>
    <x v="0"/>
    <x v="47"/>
    <x v="75"/>
    <s v="MARCH|2020|TURQ|N15BKD"/>
    <s v="ASHC"/>
    <s v="ASHC"/>
    <s v="DIDI"/>
    <n v="-530.80000000000018"/>
    <x v="0"/>
    <m/>
    <m/>
  </r>
  <r>
    <x v="0"/>
    <x v="47"/>
    <x v="26"/>
    <s v="VENTO|2017|GRIS|MMA672C"/>
    <s v="ASHC"/>
    <s v="ASHC"/>
    <s v="UBER"/>
    <n v="3203.58"/>
    <x v="0"/>
    <m/>
    <m/>
  </r>
  <r>
    <x v="0"/>
    <x v="47"/>
    <x v="44"/>
    <s v="VENTO|2018|AMARILLO|PED1652"/>
    <s v="ASHC"/>
    <s v="ASHC"/>
    <s v="UBER"/>
    <n v="2500"/>
    <x v="0"/>
    <m/>
    <m/>
  </r>
  <r>
    <x v="0"/>
    <x v="47"/>
    <x v="0"/>
    <s v="VERSA|2020|ROJO|NLP172B"/>
    <s v="ASHC"/>
    <s v="ASHC"/>
    <s v="UBER"/>
    <n v="2500"/>
    <x v="0"/>
    <m/>
    <m/>
  </r>
  <r>
    <x v="0"/>
    <x v="47"/>
    <x v="21"/>
    <s v="AVEO|2025|PERSUASION|MXM502C"/>
    <s v="ASHC"/>
    <s v="ASHC"/>
    <s v="UBER"/>
    <n v="3932.96"/>
    <x v="0"/>
    <m/>
    <m/>
  </r>
  <r>
    <x v="0"/>
    <x v="47"/>
    <x v="25"/>
    <s v="VERSA|2020|BLANCO|A35BHD"/>
    <s v="ASHC"/>
    <s v="ASHC"/>
    <s v="UBER"/>
    <n v="-500"/>
    <x v="0"/>
    <m/>
    <m/>
  </r>
  <r>
    <x v="0"/>
    <x v="47"/>
    <x v="41"/>
    <s v="AVEO|2019|BLANCO|NBS225A"/>
    <s v="ASHC"/>
    <s v="ASHC"/>
    <s v="UBER"/>
    <n v="-500"/>
    <x v="0"/>
    <m/>
    <m/>
  </r>
  <r>
    <x v="0"/>
    <x v="47"/>
    <x v="64"/>
    <s v="KIA RIO|2020|AZUL|LUE960C"/>
    <s v="JGD"/>
    <s v="JGD"/>
    <s v="DIDI"/>
    <n v="-1916"/>
    <x v="0"/>
    <m/>
    <m/>
  </r>
  <r>
    <x v="0"/>
    <x v="47"/>
    <x v="5"/>
    <s v="MARCH|2022|BLANCO|MGC417C"/>
    <s v="JGD"/>
    <s v="JGD"/>
    <s v="DIDI"/>
    <n v="2500"/>
    <x v="0"/>
    <m/>
    <m/>
  </r>
  <r>
    <x v="0"/>
    <x v="47"/>
    <x v="56"/>
    <s v="VENTO|2020|GRIS|MGC414C"/>
    <s v="JGD"/>
    <s v="JGD"/>
    <s v="UBER"/>
    <n v="3049.4399999999996"/>
    <x v="0"/>
    <m/>
    <m/>
  </r>
  <r>
    <x v="0"/>
    <x v="47"/>
    <x v="77"/>
    <s v="KIA RIO|2020|GRIS|NCK475B"/>
    <s v="ASHC"/>
    <s v="ASHC"/>
    <s v="UBER"/>
    <n v="2999.84"/>
    <x v="0"/>
    <m/>
    <m/>
  </r>
  <r>
    <x v="0"/>
    <x v="47"/>
    <x v="78"/>
    <s v="AVEO|2020|AZUL|D28BET"/>
    <s v="ASHC"/>
    <s v="ASHC"/>
    <s v="UBER"/>
    <n v="3000.7"/>
    <x v="0"/>
    <m/>
    <m/>
  </r>
  <r>
    <x v="0"/>
    <x v="47"/>
    <x v="79"/>
    <s v="AVEO|2023|VINO|R22BMR"/>
    <s v="ASHC"/>
    <s v="ASHC"/>
    <s v="UBER"/>
    <n v="2285.6899999999996"/>
    <x v="0"/>
    <m/>
    <m/>
  </r>
  <r>
    <x v="0"/>
    <x v="47"/>
    <x v="54"/>
    <s v="AVEO|2022|VINO|P62BHW"/>
    <s v="ASHC"/>
    <s v="ASHC"/>
    <s v="UBER"/>
    <n v="-500"/>
    <x v="0"/>
    <m/>
    <m/>
  </r>
  <r>
    <x v="0"/>
    <x v="47"/>
    <x v="80"/>
    <s v="AVEO|2022|VINO|P62BHW"/>
    <s v="ASHC"/>
    <s v="ASHC"/>
    <s v="UBER"/>
    <n v="1714.5699999999997"/>
    <x v="0"/>
    <m/>
    <m/>
  </r>
  <r>
    <x v="0"/>
    <x v="47"/>
    <x v="81"/>
    <s v="AVEO|2022|AZUL|NZY685B"/>
    <s v="ASHC"/>
    <s v="ASHC"/>
    <s v="UBER"/>
    <n v="428.56"/>
    <x v="0"/>
    <m/>
    <m/>
  </r>
  <r>
    <x v="0"/>
    <x v="47"/>
    <x v="82"/>
    <s v="AVEO|2021|GRIS|D51BHV"/>
    <s v="ASHC"/>
    <s v="ASHC"/>
    <s v="UBER"/>
    <n v="2142.85"/>
    <x v="0"/>
    <m/>
    <m/>
  </r>
  <r>
    <x v="0"/>
    <x v="47"/>
    <x v="53"/>
    <s v="AVEO|2025|PERSUASION|MZN091C"/>
    <s v="ASHC"/>
    <s v="ASHC"/>
    <s v="UBER"/>
    <n v="1793.29"/>
    <x v="0"/>
    <m/>
    <m/>
  </r>
  <r>
    <x v="0"/>
    <x v="47"/>
    <x v="53"/>
    <s v="AVEO|2018|ROJO|R51BKD"/>
    <s v="U64"/>
    <s v="BYER"/>
    <s v="UBER"/>
    <n v="1157.6600000000001"/>
    <x v="0"/>
    <m/>
    <m/>
  </r>
  <r>
    <x v="0"/>
    <x v="47"/>
    <x v="46"/>
    <s v="KIA RIO|2017|ROJO|MYE912A"/>
    <s v="U64"/>
    <s v="BYER"/>
    <s v="UBER"/>
    <n v="2971.2999999999993"/>
    <x v="0"/>
    <m/>
    <m/>
  </r>
  <r>
    <x v="0"/>
    <x v="47"/>
    <x v="49"/>
    <s v="BEAT|2020|GRIS|NFN014B"/>
    <s v="U64"/>
    <s v="BYER"/>
    <s v="UBER"/>
    <n v="-156.80000000000018"/>
    <x v="0"/>
    <m/>
    <m/>
  </r>
  <r>
    <x v="0"/>
    <x v="47"/>
    <x v="31"/>
    <s v="SWIFT|2017|ROJO|X89ALV"/>
    <s v="BYER"/>
    <s v="BYER"/>
    <s v="UBER"/>
    <n v="2500"/>
    <x v="0"/>
    <m/>
    <m/>
  </r>
  <r>
    <x v="0"/>
    <x v="47"/>
    <x v="70"/>
    <s v="MARCH|2019|TURQ|MAY737C"/>
    <s v="BYER"/>
    <s v="BYER"/>
    <s v="UBER"/>
    <n v="1307.5600000000004"/>
    <x v="0"/>
    <m/>
    <m/>
  </r>
  <r>
    <x v="0"/>
    <x v="47"/>
    <x v="83"/>
    <s v="AVEO|2018|ROJO|R51BKD"/>
    <s v="U64"/>
    <s v="BYER"/>
    <s v="UBER"/>
    <n v="3227.74"/>
    <x v="0"/>
    <m/>
    <m/>
  </r>
  <r>
    <x v="0"/>
    <x v="47"/>
    <x v="4"/>
    <s v="KIA RIO|2023|ROJO|H99BLC"/>
    <s v="U64"/>
    <s v="BYER"/>
    <s v="UBER"/>
    <n v="3200"/>
    <x v="0"/>
    <m/>
    <m/>
  </r>
  <r>
    <x v="0"/>
    <x v="47"/>
    <x v="47"/>
    <s v="AVEO|2020|AZUL|D28BET"/>
    <s v="ASHC"/>
    <s v="ASHC"/>
    <s v="UBER"/>
    <n v="-500"/>
    <x v="0"/>
    <m/>
    <m/>
  </r>
  <r>
    <x v="0"/>
    <x v="47"/>
    <x v="84"/>
    <s v="AVEO|2022|AZUL|MUF515A"/>
    <s v="ASHC"/>
    <s v="ASHC"/>
    <s v="UBER"/>
    <n v="2143"/>
    <x v="0"/>
    <m/>
    <m/>
  </r>
  <r>
    <x v="0"/>
    <x v="48"/>
    <x v="52"/>
    <s v="AVEO|2025|PERSUASION|MXM503C"/>
    <s v="ASHC"/>
    <s v="ASHC"/>
    <s v="UBER"/>
    <n v="2700"/>
    <x v="0"/>
    <m/>
    <m/>
  </r>
  <r>
    <x v="0"/>
    <x v="48"/>
    <x v="59"/>
    <s v="AVEO|2025|PERSUASION|MXM510C"/>
    <s v="ASHC"/>
    <s v="ASHC"/>
    <s v="UBER"/>
    <n v="3100"/>
    <x v="0"/>
    <m/>
    <m/>
  </r>
  <r>
    <x v="0"/>
    <x v="48"/>
    <x v="15"/>
    <s v="AVEO|2023|GRIS|MLC126A"/>
    <s v="ASHC"/>
    <s v="ASHC"/>
    <s v="UBER"/>
    <n v="3000"/>
    <x v="0"/>
    <m/>
    <m/>
  </r>
  <r>
    <x v="0"/>
    <x v="48"/>
    <x v="30"/>
    <s v="KIA RIO|2020|ROJO|MFP751C"/>
    <s v="ASHC"/>
    <s v="ASHC"/>
    <s v="UBER"/>
    <n v="2362.5600000000004"/>
    <x v="0"/>
    <m/>
    <m/>
  </r>
  <r>
    <x v="0"/>
    <x v="48"/>
    <x v="51"/>
    <s v="BEAT|2020|GRIS|NFN014B"/>
    <s v="U64"/>
    <s v="ASHC"/>
    <s v="UBER"/>
    <n v="-500"/>
    <x v="0"/>
    <m/>
    <m/>
  </r>
  <r>
    <x v="0"/>
    <x v="48"/>
    <x v="67"/>
    <s v="AVEO|2019|BLANCO|NBS225A"/>
    <s v="ASHC"/>
    <s v="ASHC"/>
    <s v="UBER"/>
    <n v="3379"/>
    <x v="0"/>
    <m/>
    <m/>
  </r>
  <r>
    <x v="0"/>
    <x v="48"/>
    <x v="74"/>
    <s v="MARCH|2021|ROJO|NZU5163"/>
    <s v="ASHC"/>
    <s v="ASHC"/>
    <s v="UBER"/>
    <n v="3000"/>
    <x v="0"/>
    <m/>
    <m/>
  </r>
  <r>
    <x v="0"/>
    <x v="48"/>
    <x v="50"/>
    <s v="AVEO|2022|AZUL|NZY685B"/>
    <s v="ASHC"/>
    <s v="ASHC"/>
    <s v="UBER"/>
    <n v="3500"/>
    <x v="0"/>
    <m/>
    <m/>
  </r>
  <r>
    <x v="0"/>
    <x v="48"/>
    <x v="68"/>
    <s v="VERSA|2020|BLANCO|A35BHD"/>
    <s v="ASHC"/>
    <s v="ASHC"/>
    <s v="UBER"/>
    <n v="2500"/>
    <x v="0"/>
    <m/>
    <m/>
  </r>
  <r>
    <x v="0"/>
    <x v="48"/>
    <x v="9"/>
    <s v="VENTO|2020|GRIS|R66BER"/>
    <s v="ASHC"/>
    <s v="ASHC"/>
    <s v="UBER"/>
    <n v="3242.56"/>
    <x v="0"/>
    <m/>
    <m/>
  </r>
  <r>
    <x v="0"/>
    <x v="48"/>
    <x v="8"/>
    <s v="AVEO|2019|PLATA|NEL860A"/>
    <s v="ASHC"/>
    <s v="ASHC"/>
    <s v="UBER"/>
    <n v="2493.900000000001"/>
    <x v="0"/>
    <m/>
    <m/>
  </r>
  <r>
    <x v="0"/>
    <x v="48"/>
    <x v="60"/>
    <s v="AVEO|2018|GRIS|X59AWG"/>
    <s v="ASHC"/>
    <s v="ASHC"/>
    <s v="UBER"/>
    <n v="3200"/>
    <x v="0"/>
    <m/>
    <m/>
  </r>
  <r>
    <x v="0"/>
    <x v="48"/>
    <x v="55"/>
    <s v="AVEO|2024|GRIS|LRL009C"/>
    <s v="ASHC"/>
    <s v="ASHC"/>
    <s v="UBER"/>
    <n v="1175.32"/>
    <x v="0"/>
    <m/>
    <m/>
  </r>
  <r>
    <x v="0"/>
    <x v="48"/>
    <x v="55"/>
    <s v="AVEO|2024|GRIS|LRL009C"/>
    <s v="ASHC"/>
    <s v="ASHC"/>
    <s v="DIDI"/>
    <n v="1249.0600000000013"/>
    <x v="1"/>
    <m/>
    <m/>
  </r>
  <r>
    <x v="0"/>
    <x v="48"/>
    <x v="75"/>
    <s v="MARCH|2020|TURQ|N15BKD"/>
    <s v="ASHC"/>
    <s v="ASHC"/>
    <s v="DIDI"/>
    <n v="1012.1600000000003"/>
    <x v="0"/>
    <m/>
    <m/>
  </r>
  <r>
    <x v="0"/>
    <x v="48"/>
    <x v="26"/>
    <s v="VENTO|2017|GRIS|MMA672C"/>
    <s v="ASHC"/>
    <s v="ASHC"/>
    <s v="UBER"/>
    <n v="2284"/>
    <x v="0"/>
    <m/>
    <m/>
  </r>
  <r>
    <x v="0"/>
    <x v="48"/>
    <x v="44"/>
    <s v="VENTO|2018|AMARILLO|PED1652"/>
    <s v="ASHC"/>
    <s v="ASHC"/>
    <s v="UBER"/>
    <n v="2253.96"/>
    <x v="0"/>
    <m/>
    <m/>
  </r>
  <r>
    <x v="0"/>
    <x v="48"/>
    <x v="0"/>
    <s v="VERSA|2020|ROJO|NLP172B"/>
    <s v="ASHC"/>
    <s v="ASHC"/>
    <s v="UBER"/>
    <n v="2500"/>
    <x v="0"/>
    <m/>
    <m/>
  </r>
  <r>
    <x v="0"/>
    <x v="48"/>
    <x v="21"/>
    <s v="AVEO|2025|PERSUASION|MXM502C"/>
    <s v="ASHC"/>
    <s v="ASHC"/>
    <s v="UBER"/>
    <n v="3003.3400000000011"/>
    <x v="0"/>
    <m/>
    <m/>
  </r>
  <r>
    <x v="0"/>
    <x v="48"/>
    <x v="25"/>
    <s v="VERSA|2023|PLATA|NCT814A"/>
    <s v="ASHC"/>
    <s v="ASHC"/>
    <s v="UBER"/>
    <n v="-500"/>
    <x v="0"/>
    <m/>
    <m/>
  </r>
  <r>
    <x v="0"/>
    <x v="48"/>
    <x v="41"/>
    <s v="AVEO|2019|BLANCO|NBS225A"/>
    <s v="ASHC"/>
    <s v="ASHC"/>
    <s v="UBER"/>
    <n v="-500"/>
    <x v="0"/>
    <m/>
    <m/>
  </r>
  <r>
    <x v="0"/>
    <x v="48"/>
    <x v="64"/>
    <s v="KIA RIO|2020|AZUL|LUE960C"/>
    <s v="JGD"/>
    <s v="JGD"/>
    <s v="DIDI"/>
    <n v="2599.3599999999988"/>
    <x v="0"/>
    <m/>
    <m/>
  </r>
  <r>
    <x v="0"/>
    <x v="48"/>
    <x v="5"/>
    <s v="MARCH|2021|BLANCO|MGC417C"/>
    <s v="JGD"/>
    <s v="JGD"/>
    <s v="UBER"/>
    <n v="2500"/>
    <x v="0"/>
    <m/>
    <m/>
  </r>
  <r>
    <x v="0"/>
    <x v="48"/>
    <x v="56"/>
    <s v="VENTO|2020|GRIS|MGC414C"/>
    <s v="JGD"/>
    <s v="JGD"/>
    <s v="UBER"/>
    <n v="3000.8"/>
    <x v="0"/>
    <m/>
    <m/>
  </r>
  <r>
    <x v="0"/>
    <x v="48"/>
    <x v="77"/>
    <s v="KIA RIO|2020|GRIS|NCK475B"/>
    <s v="ASHC"/>
    <s v="ASHC"/>
    <s v="UBER"/>
    <n v="3110.6800000000003"/>
    <x v="0"/>
    <m/>
    <m/>
  </r>
  <r>
    <x v="0"/>
    <x v="48"/>
    <x v="78"/>
    <s v="AVEO|2020|AZUL|D28BET"/>
    <s v="ASHC"/>
    <s v="ASHC"/>
    <s v="UBER"/>
    <n v="2999.08"/>
    <x v="0"/>
    <m/>
    <m/>
  </r>
  <r>
    <x v="0"/>
    <x v="48"/>
    <x v="79"/>
    <s v="AVEO|2023|VINO|R22BMR"/>
    <s v="ASHC"/>
    <s v="ASHC"/>
    <s v="UBER"/>
    <n v="1928.58"/>
    <x v="0"/>
    <m/>
    <m/>
  </r>
  <r>
    <x v="0"/>
    <x v="48"/>
    <x v="54"/>
    <s v="AVEO|2022|VINO|P62BHW"/>
    <s v="ASHC"/>
    <s v="ASHC"/>
    <s v="UBER"/>
    <n v="-500"/>
    <x v="0"/>
    <m/>
    <m/>
  </r>
  <r>
    <x v="0"/>
    <x v="48"/>
    <x v="80"/>
    <s v="AVEO|2022|VINO|P62BHW"/>
    <s v="ASHC"/>
    <s v="ASHC"/>
    <s v="UBER"/>
    <n v="3000"/>
    <x v="0"/>
    <m/>
    <m/>
  </r>
  <r>
    <x v="0"/>
    <x v="48"/>
    <x v="81"/>
    <s v="AVEO|2022|AZUL|NZY685B"/>
    <s v="ASHC"/>
    <s v="ASHC"/>
    <s v="UBER"/>
    <n v="3000"/>
    <x v="0"/>
    <m/>
    <m/>
  </r>
  <r>
    <x v="0"/>
    <x v="48"/>
    <x v="82"/>
    <s v="AVEO|2021|GRIS|D51BHV"/>
    <s v="ASHC"/>
    <s v="ASHC"/>
    <s v="UBER"/>
    <n v="2991.66"/>
    <x v="0"/>
    <m/>
    <m/>
  </r>
  <r>
    <x v="0"/>
    <x v="48"/>
    <x v="53"/>
    <s v="AVEO|2025|PERSUASION|MZN091C"/>
    <s v="ASHC"/>
    <s v="ASHC"/>
    <s v="UBER"/>
    <n v="2300"/>
    <x v="0"/>
    <m/>
    <m/>
  </r>
  <r>
    <x v="0"/>
    <x v="48"/>
    <x v="46"/>
    <s v="VERSA|2021|BLANCO|MEE228C"/>
    <s v="ASHC"/>
    <s v="ASHC"/>
    <s v="UBER"/>
    <n v="2990.0800000000004"/>
    <x v="0"/>
    <m/>
    <m/>
  </r>
  <r>
    <x v="0"/>
    <x v="48"/>
    <x v="58"/>
    <s v="BEAT|2019|OCRE|MAY730C"/>
    <s v="ASHC"/>
    <s v="ASHC"/>
    <s v="UBER"/>
    <n v="349.90000000000009"/>
    <x v="0"/>
    <m/>
    <m/>
  </r>
  <r>
    <x v="0"/>
    <x v="48"/>
    <x v="84"/>
    <s v="AVEO|2022|AZUL|MUF515A"/>
    <s v="ASHC"/>
    <s v="ASHC"/>
    <s v="UBER"/>
    <n v="3000"/>
    <x v="0"/>
    <m/>
    <m/>
  </r>
  <r>
    <x v="0"/>
    <x v="48"/>
    <x v="85"/>
    <s v="VERSA|2023|PLATA|NCT814A"/>
    <s v="ASHC"/>
    <s v="ASHC"/>
    <s v="UBER"/>
    <n v="1785.71"/>
    <x v="0"/>
    <m/>
    <m/>
  </r>
  <r>
    <x v="0"/>
    <x v="48"/>
    <x v="85"/>
    <s v="KIA RIO|2017|ROJO|MYE912A"/>
    <s v="U64"/>
    <s v="BYER"/>
    <s v="UBER"/>
    <n v="714.66000000000008"/>
    <x v="1"/>
    <m/>
    <m/>
  </r>
  <r>
    <x v="0"/>
    <x v="48"/>
    <x v="49"/>
    <s v="BEAT|2020|GRIS|NFN014B"/>
    <s v="U64"/>
    <s v="BYER"/>
    <s v="UBER"/>
    <n v="-1979.8799999999999"/>
    <x v="0"/>
    <m/>
    <m/>
  </r>
  <r>
    <x v="0"/>
    <x v="48"/>
    <x v="31"/>
    <s v="SWIFT|2017|ROJO|X89ALV"/>
    <s v="BYER"/>
    <s v="BYER"/>
    <s v="UBER"/>
    <n v="3200"/>
    <x v="0"/>
    <m/>
    <m/>
  </r>
  <r>
    <x v="0"/>
    <x v="48"/>
    <x v="70"/>
    <s v="MARCH|2019|TURQ|MAY737C"/>
    <s v="BYER"/>
    <s v="BYER"/>
    <s v="UBER"/>
    <n v="2642.85"/>
    <x v="0"/>
    <m/>
    <m/>
  </r>
  <r>
    <x v="0"/>
    <x v="48"/>
    <x v="83"/>
    <s v="AVEO|2018|ROJO|R51BKD"/>
    <s v="U64"/>
    <s v="BYER"/>
    <s v="UBER"/>
    <n v="2912"/>
    <x v="0"/>
    <m/>
    <m/>
  </r>
  <r>
    <x v="0"/>
    <x v="48"/>
    <x v="4"/>
    <s v="KIA RIO|2023|ROJO|H99BLC"/>
    <s v="U64"/>
    <s v="BYER"/>
    <s v="UBER"/>
    <n v="3200"/>
    <x v="0"/>
    <m/>
    <m/>
  </r>
  <r>
    <x v="0"/>
    <x v="48"/>
    <x v="47"/>
    <s v="AVEO|2020|AZUL|D28BET"/>
    <s v="ASHC"/>
    <s v="BYER"/>
    <s v="UBER"/>
    <n v="-500"/>
    <x v="0"/>
    <m/>
    <m/>
  </r>
  <r>
    <x v="0"/>
    <x v="48"/>
    <x v="66"/>
    <s v="BEAT|2019|OCRE|MAY730C"/>
    <s v="ASHC"/>
    <s v="ASHC"/>
    <s v="UBER"/>
    <n v="-1000"/>
    <x v="0"/>
    <m/>
    <m/>
  </r>
  <r>
    <x v="0"/>
    <x v="48"/>
    <x v="86"/>
    <s v="AVEO|2025|PERSUASION|MZN057C"/>
    <s v="ASHC"/>
    <s v="ASHC"/>
    <s v="UBER"/>
    <n v="2700"/>
    <x v="0"/>
    <m/>
    <m/>
  </r>
  <r>
    <x v="0"/>
    <x v="49"/>
    <x v="52"/>
    <s v="AVEO|2025|PERSUASION|MXM503C"/>
    <s v="ASHC"/>
    <s v="ASHC"/>
    <s v="UBER"/>
    <n v="2700"/>
    <x v="0"/>
    <m/>
    <m/>
  </r>
  <r>
    <x v="0"/>
    <x v="49"/>
    <x v="59"/>
    <s v="AVEO|2025|PERSUASION|MXM510C"/>
    <s v="ASHC"/>
    <s v="ASHC"/>
    <s v="UBER"/>
    <n v="3100"/>
    <x v="0"/>
    <m/>
    <m/>
  </r>
  <r>
    <x v="0"/>
    <x v="49"/>
    <x v="15"/>
    <s v="AVEO|2023|GRIS|MLC126A"/>
    <s v="ASHC"/>
    <s v="ASHC"/>
    <s v="UBER"/>
    <n v="2957"/>
    <x v="0"/>
    <m/>
    <m/>
  </r>
  <r>
    <x v="0"/>
    <x v="49"/>
    <x v="30"/>
    <s v="AVEOH|2024|BLANCO|MWV156C"/>
    <s v="ASHC"/>
    <s v="BYER"/>
    <s v="UBER"/>
    <n v="1678.57"/>
    <x v="0"/>
    <m/>
    <m/>
  </r>
  <r>
    <x v="0"/>
    <x v="49"/>
    <x v="30"/>
    <s v="KIA RIO|2020|ROJO|MFP751C"/>
    <s v="ASHC"/>
    <s v="ASHC"/>
    <s v="UBER"/>
    <n v="2790.62"/>
    <x v="1"/>
    <m/>
    <m/>
  </r>
  <r>
    <x v="0"/>
    <x v="49"/>
    <x v="67"/>
    <s v="AVEO|2019|BLANCO|NBS225A"/>
    <s v="ASHC"/>
    <s v="ASHC"/>
    <s v="UBER"/>
    <n v="3021.42"/>
    <x v="0"/>
    <m/>
    <m/>
  </r>
  <r>
    <x v="0"/>
    <x v="49"/>
    <x v="74"/>
    <s v="MARCH|2021|ROJO|NZU5163"/>
    <s v="ASHC"/>
    <s v="ASHC"/>
    <s v="UBER"/>
    <n v="3000"/>
    <x v="0"/>
    <m/>
    <m/>
  </r>
  <r>
    <x v="0"/>
    <x v="49"/>
    <x v="50"/>
    <s v="AVEO|2022|AZUL|NZY685B"/>
    <s v="ASHC"/>
    <s v="ASHC"/>
    <s v="UBER"/>
    <n v="3022.8500000000004"/>
    <x v="0"/>
    <m/>
    <m/>
  </r>
  <r>
    <x v="0"/>
    <x v="49"/>
    <x v="68"/>
    <s v="VERSA|2020|BLANCO|A35BHD"/>
    <s v="ASHC"/>
    <s v="ASHC"/>
    <s v="UBER"/>
    <n v="2412"/>
    <x v="0"/>
    <m/>
    <m/>
  </r>
  <r>
    <x v="0"/>
    <x v="49"/>
    <x v="9"/>
    <s v="VENTO|2020|GRIS|R66BER"/>
    <s v="ASHC"/>
    <s v="ASHC"/>
    <s v="UBER"/>
    <n v="2500.5399999999991"/>
    <x v="0"/>
    <m/>
    <m/>
  </r>
  <r>
    <x v="0"/>
    <x v="49"/>
    <x v="8"/>
    <s v="AVEO|2019|PLATA|NEL860A"/>
    <s v="ASHC"/>
    <s v="ASHC"/>
    <s v="UBER"/>
    <n v="2543"/>
    <x v="0"/>
    <m/>
    <m/>
  </r>
  <r>
    <x v="0"/>
    <x v="49"/>
    <x v="60"/>
    <s v="VENTO|2019|BLANCO|LUE965C"/>
    <s v="JGD"/>
    <s v="JGD"/>
    <s v="UBER"/>
    <n v="536"/>
    <x v="0"/>
    <m/>
    <m/>
  </r>
  <r>
    <x v="0"/>
    <x v="49"/>
    <x v="60"/>
    <s v="AVEO|2018|GRIS|X59AWG"/>
    <s v="ASHC"/>
    <s v="ASHC"/>
    <s v="UBER"/>
    <n v="2485.6299999999992"/>
    <x v="1"/>
    <m/>
    <m/>
  </r>
  <r>
    <x v="0"/>
    <x v="49"/>
    <x v="55"/>
    <s v="AVEO|2024|GRIS|LRL009C"/>
    <s v="ASHC"/>
    <s v="ASHC"/>
    <s v="UBER"/>
    <n v="1304.9000000000001"/>
    <x v="0"/>
    <m/>
    <m/>
  </r>
  <r>
    <x v="0"/>
    <x v="49"/>
    <x v="55"/>
    <s v="AVEO|2024|GRIS|LRL009C"/>
    <s v="ASHC"/>
    <s v="ASHC"/>
    <s v="DIDI"/>
    <n v="1251.2600000000002"/>
    <x v="1"/>
    <m/>
    <m/>
  </r>
  <r>
    <x v="0"/>
    <x v="49"/>
    <x v="75"/>
    <s v="MARCH|2020|TURQ|N15BKD"/>
    <s v="ASHC"/>
    <s v="ASHC"/>
    <s v="DIDI"/>
    <n v="2581.3000000000011"/>
    <x v="0"/>
    <m/>
    <m/>
  </r>
  <r>
    <x v="0"/>
    <x v="49"/>
    <x v="26"/>
    <s v="VENTO|2017|GRIS|MMA672C"/>
    <s v="ASHC"/>
    <s v="ASHC"/>
    <s v="DIDI"/>
    <n v="1071.42"/>
    <x v="0"/>
    <m/>
    <m/>
  </r>
  <r>
    <x v="0"/>
    <x v="49"/>
    <x v="26"/>
    <s v="VENTO|2017|GRIS|MMA672C"/>
    <s v="ASHC"/>
    <s v="ASHC"/>
    <s v="UBER"/>
    <n v="-1203.52"/>
    <x v="1"/>
    <m/>
    <m/>
  </r>
  <r>
    <x v="0"/>
    <x v="49"/>
    <x v="44"/>
    <s v="VENTO|2018|AMARILLO|PED1652"/>
    <s v="ASHC"/>
    <s v="ASHC"/>
    <s v="UBER"/>
    <n v="2637.38"/>
    <x v="0"/>
    <m/>
    <m/>
  </r>
  <r>
    <x v="0"/>
    <x v="49"/>
    <x v="0"/>
    <s v="VERSA|2020|ROJO|NLP172B"/>
    <s v="ASHC"/>
    <s v="ASHC"/>
    <s v="UBER"/>
    <n v="1850"/>
    <x v="0"/>
    <m/>
    <m/>
  </r>
  <r>
    <x v="0"/>
    <x v="49"/>
    <x v="21"/>
    <s v="AVEO|2025|PERSUASION|MXM502C"/>
    <s v="ASHC"/>
    <s v="ASHC"/>
    <s v="UBER"/>
    <n v="3032.7999999999993"/>
    <x v="0"/>
    <m/>
    <m/>
  </r>
  <r>
    <x v="0"/>
    <x v="49"/>
    <x v="25"/>
    <s v="VERSA|2023|PLATA|NCT814A"/>
    <s v="ASHC"/>
    <s v="ASHC"/>
    <s v="UBER"/>
    <n v="-495"/>
    <x v="0"/>
    <m/>
    <m/>
  </r>
  <r>
    <x v="0"/>
    <x v="49"/>
    <x v="41"/>
    <s v="AVEO|2019|BLANCO|NBS225A"/>
    <s v="ASHC"/>
    <s v="ASHC"/>
    <s v="UBER"/>
    <n v="-594"/>
    <x v="0"/>
    <m/>
    <m/>
  </r>
  <r>
    <x v="0"/>
    <x v="49"/>
    <x v="64"/>
    <s v="KIA RIO|2020|AZUL|LUE960C"/>
    <s v="JGD"/>
    <s v="JGD"/>
    <s v="DIDI"/>
    <n v="2600"/>
    <x v="0"/>
    <m/>
    <m/>
  </r>
  <r>
    <x v="0"/>
    <x v="49"/>
    <x v="5"/>
    <s v="MARCH|2021|BLANCO|MGC417C"/>
    <s v="JGD"/>
    <s v="JGD"/>
    <s v="UBER"/>
    <n v="2500"/>
    <x v="0"/>
    <m/>
    <m/>
  </r>
  <r>
    <x v="0"/>
    <x v="49"/>
    <x v="56"/>
    <s v="VENTO|2020|GRIS|MGC414C"/>
    <s v="JGD"/>
    <s v="JGD"/>
    <s v="UBER"/>
    <n v="2500.8600000000006"/>
    <x v="0"/>
    <m/>
    <m/>
  </r>
  <r>
    <x v="0"/>
    <x v="49"/>
    <x v="77"/>
    <s v="KIA RIO|2020|GRIS|NCK475B"/>
    <s v="ASHC"/>
    <s v="ASHC"/>
    <s v="UBER"/>
    <n v="2864.3199999999997"/>
    <x v="0"/>
    <m/>
    <m/>
  </r>
  <r>
    <x v="0"/>
    <x v="49"/>
    <x v="78"/>
    <s v="AVEO|2020|AZUL|D28BET"/>
    <s v="ASHC"/>
    <s v="ASHC"/>
    <s v="UBER"/>
    <n v="3000.5600000000004"/>
    <x v="0"/>
    <m/>
    <m/>
  </r>
  <r>
    <x v="0"/>
    <x v="49"/>
    <x v="79"/>
    <s v="AVEO|2023|VINO|R22BMR"/>
    <s v="ASHC"/>
    <s v="ASHC"/>
    <s v="UBER"/>
    <n v="-1578.08"/>
    <x v="0"/>
    <m/>
    <m/>
  </r>
  <r>
    <x v="0"/>
    <x v="49"/>
    <x v="54"/>
    <s v="AVEO|2022|VINO|P62BHW"/>
    <s v="ASHC"/>
    <s v="ASHC"/>
    <s v="UBER"/>
    <n v="-500"/>
    <x v="0"/>
    <m/>
    <m/>
  </r>
  <r>
    <x v="0"/>
    <x v="49"/>
    <x v="80"/>
    <s v="AVEO|2022|VINO|P62BHW"/>
    <s v="ASHC"/>
    <s v="ASHC"/>
    <s v="UBER"/>
    <n v="3000"/>
    <x v="0"/>
    <m/>
    <m/>
  </r>
  <r>
    <x v="0"/>
    <x v="49"/>
    <x v="81"/>
    <s v="AVEO|2022|AZUL|NZY685B"/>
    <s v="ASHC"/>
    <s v="ASHC"/>
    <s v="UBER"/>
    <n v="3000"/>
    <x v="0"/>
    <m/>
    <m/>
  </r>
  <r>
    <x v="0"/>
    <x v="49"/>
    <x v="82"/>
    <s v="AVEO|2021|GRIS|D51BHV"/>
    <s v="ASHC"/>
    <s v="ASHC"/>
    <s v="UBER"/>
    <n v="3005"/>
    <x v="0"/>
    <m/>
    <m/>
  </r>
  <r>
    <x v="0"/>
    <x v="49"/>
    <x v="53"/>
    <s v="AVEO|2025|PERSUASION|MZN091C"/>
    <s v="ASHC"/>
    <s v="ASHC"/>
    <s v="UBER"/>
    <n v="4699.4999999999982"/>
    <x v="0"/>
    <m/>
    <m/>
  </r>
  <r>
    <x v="0"/>
    <x v="49"/>
    <x v="46"/>
    <s v="VERSA|2021|BLANCO|MEE228C"/>
    <s v="ASHC"/>
    <s v="ASHC"/>
    <s v="UBER"/>
    <n v="2317.34"/>
    <x v="0"/>
    <m/>
    <m/>
  </r>
  <r>
    <x v="0"/>
    <x v="49"/>
    <x v="84"/>
    <s v="AVEO|2022|AZUL|MUF515A"/>
    <s v="ASHC"/>
    <s v="ASHC"/>
    <s v="UBER"/>
    <n v="3000"/>
    <x v="0"/>
    <m/>
    <m/>
  </r>
  <r>
    <x v="0"/>
    <x v="49"/>
    <x v="85"/>
    <s v="VERSA|2023|PLATA|NCT814A"/>
    <s v="ASHC"/>
    <s v="ASHC"/>
    <s v="UBER"/>
    <n v="2999.4799999999996"/>
    <x v="0"/>
    <m/>
    <m/>
  </r>
  <r>
    <x v="0"/>
    <x v="49"/>
    <x v="49"/>
    <s v="BEAT|2020|GRIS|NFN014B"/>
    <s v="U64"/>
    <s v="BYER"/>
    <s v="UBER"/>
    <n v="-3669.0700000000006"/>
    <x v="0"/>
    <m/>
    <m/>
  </r>
  <r>
    <x v="0"/>
    <x v="49"/>
    <x v="31"/>
    <s v="SWIFT|2017|ROJO|X89ALV"/>
    <s v="BYER"/>
    <s v="BYER"/>
    <s v="UBER"/>
    <n v="3200"/>
    <x v="0"/>
    <m/>
    <m/>
  </r>
  <r>
    <x v="0"/>
    <x v="49"/>
    <x v="70"/>
    <s v="MARCH|2019|TURQ|MAY737C"/>
    <s v="BYER"/>
    <s v="BYER"/>
    <s v="UBER"/>
    <n v="3000"/>
    <x v="0"/>
    <m/>
    <m/>
  </r>
  <r>
    <x v="0"/>
    <x v="49"/>
    <x v="83"/>
    <s v="AVEO|2018|ROJO|R51BKD"/>
    <s v="U64"/>
    <s v="BYER"/>
    <s v="UBER"/>
    <n v="3000"/>
    <x v="0"/>
    <m/>
    <m/>
  </r>
  <r>
    <x v="0"/>
    <x v="49"/>
    <x v="4"/>
    <s v="KIA RIO|2023|ROJO|H99BLC"/>
    <s v="U64"/>
    <s v="BYER"/>
    <s v="UBER"/>
    <n v="3200"/>
    <x v="0"/>
    <m/>
    <m/>
  </r>
  <r>
    <x v="0"/>
    <x v="49"/>
    <x v="47"/>
    <s v="AVEO|2020|AZUL|D28BET"/>
    <s v="ASHC"/>
    <s v="BYER"/>
    <s v="UBER"/>
    <n v="-500"/>
    <x v="0"/>
    <m/>
    <m/>
  </r>
  <r>
    <x v="0"/>
    <x v="49"/>
    <x v="66"/>
    <s v="BEAT|2019|OCRE|MAY730C"/>
    <s v="ASHC"/>
    <s v="ASHC"/>
    <s v="UBER"/>
    <n v="-500"/>
    <x v="0"/>
    <m/>
    <m/>
  </r>
  <r>
    <x v="0"/>
    <x v="49"/>
    <x v="86"/>
    <s v="AVEO|2025|PERSUASION|MZN057C"/>
    <s v="ASHC"/>
    <s v="ASHC"/>
    <s v="UBER"/>
    <n v="2000"/>
    <x v="0"/>
    <m/>
    <m/>
  </r>
  <r>
    <x v="0"/>
    <x v="49"/>
    <x v="87"/>
    <s v="BEAT|2019|OCRE|MAY730C"/>
    <s v="ASHC"/>
    <s v="ASHC"/>
    <s v="UBER"/>
    <n v="1071.21"/>
    <x v="0"/>
    <m/>
    <m/>
  </r>
  <r>
    <x v="0"/>
    <x v="49"/>
    <x v="88"/>
    <s v="KIA RIO|2017|ROJO|MYE912A"/>
    <s v="U64"/>
    <s v="BYER"/>
    <s v="UBER"/>
    <n v="2570.8200000000002"/>
    <x v="0"/>
    <m/>
    <m/>
  </r>
  <r>
    <x v="0"/>
    <x v="49"/>
    <x v="57"/>
    <s v="VENTO|2020|GRIS|A19BDY"/>
    <s v="ASHC"/>
    <s v="BYER"/>
    <s v="UBER"/>
    <n v="2946.38"/>
    <x v="0"/>
    <m/>
    <m/>
  </r>
  <r>
    <x v="0"/>
    <x v="49"/>
    <x v="89"/>
    <s v="V DRIVE|2023|GRIS|MXW453C"/>
    <s v="ASHC"/>
    <s v="ASHC"/>
    <s v="DIDI"/>
    <n v="926.8"/>
    <x v="0"/>
    <m/>
    <m/>
  </r>
  <r>
    <x v="0"/>
    <x v="49"/>
    <x v="90"/>
    <s v="VENTO|2017|GRIS|MMA672C"/>
    <s v="ASHC"/>
    <s v="ASHC"/>
    <s v="UBER"/>
    <n v="2500"/>
    <x v="0"/>
    <m/>
    <m/>
  </r>
  <r>
    <x v="0"/>
    <x v="50"/>
    <x v="9"/>
    <s v="VENTO|2020|GRIS|R66BER"/>
    <s v="ASHC"/>
    <s v="ASHC"/>
    <s v="UBER"/>
    <n v="2500"/>
    <x v="0"/>
    <m/>
    <m/>
  </r>
  <r>
    <x v="0"/>
    <x v="50"/>
    <x v="84"/>
    <s v="AVEO|2022|AZUL|MUF515A"/>
    <s v="ASHC"/>
    <s v="ASHC"/>
    <s v="UBER"/>
    <n v="3000"/>
    <x v="0"/>
    <m/>
    <m/>
  </r>
  <r>
    <x v="0"/>
    <x v="50"/>
    <x v="83"/>
    <s v="AVEO|2018|ROJO|R51BKD"/>
    <s v="U64"/>
    <s v="BYER"/>
    <s v="UBER"/>
    <n v="2263.2199999999993"/>
    <x v="0"/>
    <m/>
    <m/>
  </r>
  <r>
    <x v="0"/>
    <x v="50"/>
    <x v="91"/>
    <s v="AVEO|2019|PLATA|NEL860A"/>
    <s v="ASHC"/>
    <s v="ASHC"/>
    <s v="UBER"/>
    <n v="2143.27"/>
    <x v="0"/>
    <m/>
    <m/>
  </r>
  <r>
    <x v="0"/>
    <x v="50"/>
    <x v="67"/>
    <s v="AVEO|2019|BLANCO|NBS225A"/>
    <s v="ASHC"/>
    <s v="ASHC"/>
    <s v="UBER"/>
    <n v="3200"/>
    <x v="0"/>
    <m/>
    <m/>
  </r>
  <r>
    <x v="0"/>
    <x v="50"/>
    <x v="75"/>
    <s v="MARCH|2020|TURQ|N15BKD"/>
    <s v="ASHC_DIDI"/>
    <s v="ASHC"/>
    <s v="DIDI"/>
    <n v="2018.0999999999985"/>
    <x v="0"/>
    <m/>
    <m/>
  </r>
  <r>
    <x v="0"/>
    <x v="50"/>
    <x v="92"/>
    <s v="KIA RIO|2017|ROJO|MYE912A"/>
    <s v="U64"/>
    <s v="BYER"/>
    <s v="UBER"/>
    <n v="1084.8099999999979"/>
    <x v="0"/>
    <m/>
    <m/>
  </r>
  <r>
    <x v="0"/>
    <x v="50"/>
    <x v="88"/>
    <s v="AVEO|2018|GRIS|X59AWG"/>
    <s v="ASHC"/>
    <s v="ASHC"/>
    <s v="UBER"/>
    <n v="3028.2799999999997"/>
    <x v="0"/>
    <m/>
    <m/>
  </r>
  <r>
    <x v="0"/>
    <x v="50"/>
    <x v="49"/>
    <s v="BEAT|2020|GRIS|NFN014B"/>
    <s v="U64"/>
    <s v="BYER"/>
    <s v="UBER"/>
    <n v="2693.5599999999995"/>
    <x v="0"/>
    <m/>
    <m/>
  </r>
  <r>
    <x v="0"/>
    <x v="50"/>
    <x v="90"/>
    <s v="VENTO|2017|GRIS|MMA672C"/>
    <s v="ASHC"/>
    <s v="ASHC"/>
    <s v="UBER"/>
    <n v="857.82"/>
    <x v="0"/>
    <m/>
    <m/>
  </r>
  <r>
    <x v="0"/>
    <x v="50"/>
    <x v="85"/>
    <s v="VERSA|2023|PLATA|NCT814A"/>
    <s v="ASHC"/>
    <s v="ASHC"/>
    <s v="UBER"/>
    <n v="2999.7"/>
    <x v="0"/>
    <m/>
    <m/>
  </r>
  <r>
    <x v="0"/>
    <x v="50"/>
    <x v="50"/>
    <s v="HYUNDAI|2022|PLATA|D40BKD"/>
    <s v="ASHC"/>
    <s v="ASHC"/>
    <s v="UBER"/>
    <n v="3380"/>
    <x v="0"/>
    <m/>
    <m/>
  </r>
  <r>
    <x v="0"/>
    <x v="50"/>
    <x v="77"/>
    <s v="KIA RIO|2020|GRIS|NCK475B"/>
    <s v="ASHC"/>
    <s v="ASHC"/>
    <s v="UBER"/>
    <n v="3123.9800000000005"/>
    <x v="0"/>
    <m/>
    <m/>
  </r>
  <r>
    <x v="0"/>
    <x v="50"/>
    <x v="81"/>
    <s v="AVEO|2022|AZUL|NZY685B"/>
    <s v="ASHC"/>
    <s v="ASHC"/>
    <s v="UBER"/>
    <n v="2999.3"/>
    <x v="0"/>
    <m/>
    <m/>
  </r>
  <r>
    <x v="0"/>
    <x v="50"/>
    <x v="44"/>
    <s v="VENTO|2018|AMARILLO|PED1652"/>
    <s v="ASHC"/>
    <s v="ASHC"/>
    <s v="UBER"/>
    <n v="2500.2600000000002"/>
    <x v="0"/>
    <m/>
    <m/>
  </r>
  <r>
    <x v="0"/>
    <x v="50"/>
    <x v="0"/>
    <s v="VERSA|2020|ROJO|NLP172B"/>
    <s v="ASHC"/>
    <s v="ASHC"/>
    <s v="UBER"/>
    <n v="1070.58"/>
    <x v="0"/>
    <m/>
    <m/>
  </r>
  <r>
    <x v="0"/>
    <x v="50"/>
    <x v="55"/>
    <s v="AVEO|2024|GRIS|LRL009C"/>
    <s v="ASHC_DIDI"/>
    <s v="ASHC"/>
    <s v="DIDI"/>
    <n v="314.61999999999898"/>
    <x v="0"/>
    <m/>
    <m/>
  </r>
  <r>
    <x v="0"/>
    <x v="50"/>
    <x v="55"/>
    <s v="AVEO|2024|GRIS|LRL009C"/>
    <s v="ASHC"/>
    <s v="ASHC"/>
    <s v="UBER"/>
    <n v="2185.96"/>
    <x v="1"/>
    <m/>
    <m/>
  </r>
  <r>
    <x v="0"/>
    <x v="50"/>
    <x v="31"/>
    <s v="SWIFT|2017|ROJO|X89ALV"/>
    <s v="BYER"/>
    <s v="BYER"/>
    <s v="UBER"/>
    <n v="2128.5699999999997"/>
    <x v="0"/>
    <m/>
    <m/>
  </r>
  <r>
    <x v="0"/>
    <x v="50"/>
    <x v="68"/>
    <s v="VERSA|2020|BLANCO|A35BHD"/>
    <s v="ASHC"/>
    <s v="ASHC"/>
    <s v="UBER"/>
    <n v="2500"/>
    <x v="0"/>
    <m/>
    <m/>
  </r>
  <r>
    <x v="0"/>
    <x v="50"/>
    <x v="78"/>
    <s v="AVEO|2020|AZUL|D28BET"/>
    <s v="ASHC"/>
    <s v="ASHC"/>
    <s v="UBER"/>
    <n v="2999.04"/>
    <x v="0"/>
    <m/>
    <m/>
  </r>
  <r>
    <x v="0"/>
    <x v="50"/>
    <x v="74"/>
    <s v="MARCH|2021|ROJO|NZU5163"/>
    <s v="ASHC"/>
    <s v="ASHC"/>
    <s v="UBER"/>
    <n v="3000"/>
    <x v="0"/>
    <m/>
    <m/>
  </r>
  <r>
    <x v="0"/>
    <x v="50"/>
    <x v="4"/>
    <s v="KIA RIO|2023|ROJO|H99BLC"/>
    <s v="U64"/>
    <s v="BYER"/>
    <s v="UBER"/>
    <n v="2500"/>
    <x v="0"/>
    <m/>
    <m/>
  </r>
  <r>
    <x v="0"/>
    <x v="50"/>
    <x v="87"/>
    <s v="BEAT|2019|OCRE|MAY730C"/>
    <s v="ASHC"/>
    <s v="ASHC"/>
    <s v="UBER"/>
    <n v="2771.4000000000005"/>
    <x v="0"/>
    <m/>
    <m/>
  </r>
  <r>
    <x v="0"/>
    <x v="50"/>
    <x v="70"/>
    <s v="MARCH|2019|TURQ|MAY737C"/>
    <s v="BYER"/>
    <s v="BYER"/>
    <s v="UBER"/>
    <n v="2678"/>
    <x v="0"/>
    <m/>
    <m/>
  </r>
  <r>
    <x v="0"/>
    <x v="50"/>
    <x v="60"/>
    <s v="AVEO|2018|GRIS|X59AWG"/>
    <s v="ASHC"/>
    <s v="ASHC"/>
    <s v="UBER"/>
    <n v="700"/>
    <x v="0"/>
    <m/>
    <m/>
  </r>
  <r>
    <x v="0"/>
    <x v="50"/>
    <x v="60"/>
    <s v="VENTO|2019|BLANCO|LUE965C"/>
    <s v="JGD"/>
    <s v="JGD"/>
    <s v="UBER"/>
    <n v="2500"/>
    <x v="0"/>
    <m/>
    <m/>
  </r>
  <r>
    <x v="0"/>
    <x v="50"/>
    <x v="64"/>
    <s v="KIA RIO|2020|AZUL|LUE960C"/>
    <s v="JGD"/>
    <s v="JGD"/>
    <s v="DIDI"/>
    <n v="1157.4000000000015"/>
    <x v="0"/>
    <m/>
    <m/>
  </r>
  <r>
    <x v="0"/>
    <x v="50"/>
    <x v="56"/>
    <s v="VENTO|2020|GRIS|MGC414C"/>
    <s v="JGD"/>
    <s v="JGD"/>
    <s v="UBER"/>
    <n v="2500"/>
    <x v="0"/>
    <m/>
    <m/>
  </r>
  <r>
    <x v="0"/>
    <x v="50"/>
    <x v="82"/>
    <s v="AVEO|2021|GRIS|D51BHV"/>
    <s v="ASHC"/>
    <s v="ASHC"/>
    <s v="UBER"/>
    <n v="2999.3152000000009"/>
    <x v="0"/>
    <m/>
    <m/>
  </r>
  <r>
    <x v="0"/>
    <x v="50"/>
    <x v="46"/>
    <s v="VERSA|2021|BLANCO|MEE228C"/>
    <s v="ASHC"/>
    <s v="BYER"/>
    <s v="UBER"/>
    <n v="-1995.3000000000002"/>
    <x v="0"/>
    <m/>
    <m/>
  </r>
  <r>
    <x v="0"/>
    <x v="50"/>
    <x v="79"/>
    <s v="AVEO|2023|VINO|R22BMR"/>
    <s v="ASHC"/>
    <s v="ASHC"/>
    <s v="UBER"/>
    <n v="1251.2299999999996"/>
    <x v="0"/>
    <m/>
    <m/>
  </r>
  <r>
    <x v="0"/>
    <x v="50"/>
    <x v="80"/>
    <s v="AVEO|2022|VINO|P62BHW"/>
    <s v="ASHC"/>
    <s v="BYER"/>
    <s v="UBER"/>
    <n v="1715"/>
    <x v="0"/>
    <m/>
    <m/>
  </r>
  <r>
    <x v="0"/>
    <x v="50"/>
    <x v="80"/>
    <s v="AVEO|2022|VINO|P62BHW"/>
    <s v="ASHC"/>
    <s v="ASHC"/>
    <s v="UBER"/>
    <n v="1285.42"/>
    <x v="1"/>
    <m/>
    <m/>
  </r>
  <r>
    <x v="0"/>
    <x v="50"/>
    <x v="15"/>
    <s v="AVEO|2023|GRIS|MLC126A"/>
    <s v="ASHC"/>
    <s v="ASHC"/>
    <s v="UBER"/>
    <n v="2969"/>
    <x v="0"/>
    <m/>
    <m/>
  </r>
  <r>
    <x v="0"/>
    <x v="50"/>
    <x v="52"/>
    <s v="AVEO|2025|PERSUASION|MXM503C"/>
    <s v="ASHC"/>
    <s v="ASHC"/>
    <s v="UBER"/>
    <n v="2700"/>
    <x v="0"/>
    <m/>
    <m/>
  </r>
  <r>
    <x v="0"/>
    <x v="50"/>
    <x v="59"/>
    <s v="AVEO|2025|PERSUASION|MXM510C"/>
    <s v="ASHC"/>
    <s v="ASHC"/>
    <s v="UBER"/>
    <n v="2700"/>
    <x v="0"/>
    <m/>
    <m/>
  </r>
  <r>
    <x v="0"/>
    <x v="50"/>
    <x v="21"/>
    <s v="AVEO|2025|PERSUASION|MXM502C"/>
    <s v="ASHC"/>
    <s v="ASHC"/>
    <s v="UBER"/>
    <n v="3390.1599999999994"/>
    <x v="0"/>
    <m/>
    <m/>
  </r>
  <r>
    <x v="0"/>
    <x v="50"/>
    <x v="53"/>
    <s v="AVEO|2025|PERSUASION|MZN091C"/>
    <s v="ASHC"/>
    <s v="ASHC"/>
    <s v="UBER"/>
    <n v="2700.1400000000003"/>
    <x v="0"/>
    <m/>
    <m/>
  </r>
  <r>
    <x v="0"/>
    <x v="50"/>
    <x v="86"/>
    <s v="AVEO|2025|PERSUASION|MZN057C"/>
    <s v="ASHC"/>
    <s v="ASHC"/>
    <s v="UBER"/>
    <n v="2000"/>
    <x v="0"/>
    <m/>
    <m/>
  </r>
  <r>
    <x v="0"/>
    <x v="50"/>
    <x v="30"/>
    <s v="AVEOH|2024|BLANCO|MWV156C"/>
    <s v="ASHC"/>
    <s v="BYER"/>
    <s v="UBER"/>
    <n v="480.55999999999995"/>
    <x v="0"/>
    <m/>
    <m/>
  </r>
  <r>
    <x v="0"/>
    <x v="50"/>
    <x v="30"/>
    <s v="AVEOH|2024|BLANCO|MWV156C"/>
    <s v="ASHC"/>
    <s v="ASHC"/>
    <s v="UBER"/>
    <n v="1419"/>
    <x v="1"/>
    <m/>
    <m/>
  </r>
  <r>
    <x v="0"/>
    <x v="50"/>
    <x v="8"/>
    <s v="VENTO|2020|GRIS|A19BDY"/>
    <s v="ASHC"/>
    <s v="ASHC"/>
    <s v="UBER"/>
    <n v="2500"/>
    <x v="0"/>
    <m/>
    <m/>
  </r>
  <r>
    <x v="0"/>
    <x v="50"/>
    <x v="26"/>
    <s v="V DRIVE|2023|GRIS|MXW453C"/>
    <s v="ASHC_DIDI"/>
    <s v="ASHC"/>
    <s v="DIDI"/>
    <n v="-323.41999999999916"/>
    <x v="0"/>
    <m/>
    <m/>
  </r>
  <r>
    <x v="0"/>
    <x v="50"/>
    <x v="89"/>
    <s v="V DRIVE|2023|GRIS|MXW453C"/>
    <s v="ASHC_DIDI"/>
    <s v="ASHC"/>
    <s v="DIDI"/>
    <n v="793.48"/>
    <x v="0"/>
    <m/>
    <m/>
  </r>
  <r>
    <x v="0"/>
    <x v="50"/>
    <x v="47"/>
    <s v="AVEO|2020|AZUL|D28BET"/>
    <s v="ASHC"/>
    <s v="ASHC"/>
    <s v="UBER"/>
    <n v="-500"/>
    <x v="0"/>
    <m/>
    <m/>
  </r>
  <r>
    <x v="0"/>
    <x v="50"/>
    <x v="54"/>
    <s v="AVEO|2022|VINO|P62BHW"/>
    <s v="ASHC"/>
    <s v="ASHC"/>
    <s v="UBER"/>
    <n v="-500"/>
    <x v="0"/>
    <m/>
    <m/>
  </r>
  <r>
    <x v="0"/>
    <x v="50"/>
    <x v="66"/>
    <s v="BEAT|2019|OCRE|MAY730C"/>
    <s v="ASHC"/>
    <s v="ASHC"/>
    <s v="UBER"/>
    <n v="-500"/>
    <x v="0"/>
    <m/>
    <m/>
  </r>
  <r>
    <x v="0"/>
    <x v="50"/>
    <x v="72"/>
    <s v="VENTO|2017|GRIS|MMA672C"/>
    <s v="ASHC"/>
    <s v="ASHC"/>
    <s v="UBER"/>
    <n v="0"/>
    <x v="0"/>
    <m/>
    <m/>
  </r>
  <r>
    <x v="0"/>
    <x v="51"/>
    <x v="75"/>
    <s v="MARCH|2020|TURQ|N15BKD"/>
    <s v="ASHC"/>
    <s v="ASHC"/>
    <s v="DIDI"/>
    <n v="-2756.1699999999983"/>
    <x v="0"/>
    <m/>
    <m/>
  </r>
  <r>
    <x v="0"/>
    <x v="51"/>
    <x v="26"/>
    <s v="V DRIVE|2023|GRIS|MXW453C"/>
    <s v="ASHC"/>
    <s v="ASHC"/>
    <s v="DIDI"/>
    <n v="5193.604800000001"/>
    <x v="0"/>
    <m/>
    <m/>
  </r>
  <r>
    <x v="0"/>
    <x v="51"/>
    <x v="64"/>
    <s v="KIA RIO|2020|AZUL|LUE960C"/>
    <s v="JGD"/>
    <s v="JGD"/>
    <s v="DIDI"/>
    <n v="2600.5800000000017"/>
    <x v="0"/>
    <m/>
    <m/>
  </r>
  <r>
    <x v="0"/>
    <x v="51"/>
    <x v="59"/>
    <s v="AVEO|2025|PERSUASION|MXM510C"/>
    <s v="ASHC"/>
    <s v="ASHC"/>
    <s v="UBER"/>
    <n v="2700"/>
    <x v="0"/>
    <m/>
    <m/>
  </r>
  <r>
    <x v="0"/>
    <x v="51"/>
    <x v="52"/>
    <s v="AVEO|2025|PERSUASION|MXM503C"/>
    <s v="ASHC"/>
    <s v="ASHC"/>
    <s v="UBER"/>
    <n v="2700"/>
    <x v="0"/>
    <m/>
    <m/>
  </r>
  <r>
    <x v="0"/>
    <x v="51"/>
    <x v="78"/>
    <s v="AVEO|2020|AZUL|D28BET"/>
    <s v="ASHC"/>
    <s v="ASHC"/>
    <s v="UBER"/>
    <n v="3000.1070718726087"/>
    <x v="0"/>
    <m/>
    <m/>
  </r>
  <r>
    <x v="0"/>
    <x v="51"/>
    <x v="53"/>
    <s v="AVEO|2025|PERSUASION|MZN091C"/>
    <s v="ASHC"/>
    <s v="ASHC"/>
    <s v="UBER"/>
    <n v="1384.7513662772826"/>
    <x v="0"/>
    <m/>
    <m/>
  </r>
  <r>
    <x v="0"/>
    <x v="51"/>
    <x v="50"/>
    <s v="HYUNDAI|2022|PLATA|D40BKD"/>
    <s v="ASHC"/>
    <s v="ASHC"/>
    <s v="UBER"/>
    <n v="3100"/>
    <x v="0"/>
    <m/>
    <m/>
  </r>
  <r>
    <x v="0"/>
    <x v="51"/>
    <x v="77"/>
    <s v="KIA RIO|2020|GRIS|NCK475B"/>
    <s v="ASHC"/>
    <s v="ASHC"/>
    <s v="UBER"/>
    <n v="2959.4639128688996"/>
    <x v="0"/>
    <m/>
    <m/>
  </r>
  <r>
    <x v="0"/>
    <x v="51"/>
    <x v="21"/>
    <s v="AVEO|2025|PERSUASION|MXM502C"/>
    <s v="ASHC"/>
    <s v="ASHC"/>
    <s v="UBER"/>
    <n v="-5558.5479811271643"/>
    <x v="0"/>
    <m/>
    <m/>
  </r>
  <r>
    <x v="0"/>
    <x v="51"/>
    <x v="30"/>
    <s v="AVEOH|2024|BLANCO|MWV156C"/>
    <s v="ASHC"/>
    <s v="ASHC"/>
    <s v="UBER"/>
    <n v="1953.4008554987931"/>
    <x v="0"/>
    <m/>
    <m/>
  </r>
  <r>
    <x v="0"/>
    <x v="51"/>
    <x v="85"/>
    <s v="VERSA|2023|PLATA|NCT814A"/>
    <s v="ASHC"/>
    <s v="ASHC"/>
    <s v="UBER"/>
    <n v="2999.8421720378319"/>
    <x v="0"/>
    <m/>
    <m/>
  </r>
  <r>
    <x v="0"/>
    <x v="51"/>
    <x v="55"/>
    <s v="AVEO|2024|GRIS|LRL009C"/>
    <s v="ASHC"/>
    <s v="ASHC"/>
    <s v="UBER"/>
    <n v="2600.1080000000002"/>
    <x v="0"/>
    <m/>
    <m/>
  </r>
  <r>
    <x v="0"/>
    <x v="51"/>
    <x v="82"/>
    <s v="AVEO|2021|GRIS|D51BHV"/>
    <s v="ASHC"/>
    <s v="ASHC"/>
    <s v="UBER"/>
    <n v="3000"/>
    <x v="0"/>
    <m/>
    <m/>
  </r>
  <r>
    <x v="0"/>
    <x v="51"/>
    <x v="84"/>
    <s v="AVEO|2022|AZUL|MUF515A"/>
    <s v="ASHC"/>
    <s v="ASHC"/>
    <s v="UBER"/>
    <n v="3000"/>
    <x v="0"/>
    <m/>
    <m/>
  </r>
  <r>
    <x v="0"/>
    <x v="51"/>
    <x v="88"/>
    <s v="AVEO|2018|GRIS|X59AWG"/>
    <s v="ASHC"/>
    <s v="ASHC"/>
    <s v="UBER"/>
    <n v="2580.8051320705317"/>
    <x v="0"/>
    <m/>
    <m/>
  </r>
  <r>
    <x v="0"/>
    <x v="51"/>
    <x v="15"/>
    <s v="AVEO|2023|GRIS|MLC126A"/>
    <s v="ASHC"/>
    <s v="ASHC"/>
    <s v="UBER"/>
    <n v="2291.5103582134989"/>
    <x v="0"/>
    <m/>
    <m/>
  </r>
  <r>
    <x v="0"/>
    <x v="51"/>
    <x v="8"/>
    <s v="VENTO|2020|GRIS|A19BDY"/>
    <s v="ASHC"/>
    <s v="ASHC"/>
    <s v="UBER"/>
    <n v="2125.3978092057114"/>
    <x v="0"/>
    <m/>
    <m/>
  </r>
  <r>
    <x v="0"/>
    <x v="51"/>
    <x v="91"/>
    <s v="AVEO|2019|PLATA|NEL860A"/>
    <s v="ASHC"/>
    <s v="ASHC"/>
    <s v="UBER"/>
    <n v="2998.9954270781"/>
    <x v="0"/>
    <m/>
    <m/>
  </r>
  <r>
    <x v="0"/>
    <x v="51"/>
    <x v="90"/>
    <s v="VENTO|2017|GRIS|MMA672C"/>
    <s v="ASHC"/>
    <s v="ASHC"/>
    <s v="UBER"/>
    <n v="2357.142857142856"/>
    <x v="0"/>
    <m/>
    <m/>
  </r>
  <r>
    <x v="0"/>
    <x v="51"/>
    <x v="87"/>
    <s v="BEAT|2019|OCRE|MAY730C"/>
    <s v="ASHC"/>
    <s v="ASHC"/>
    <s v="UBER"/>
    <n v="2992.5040000000008"/>
    <x v="0"/>
    <m/>
    <m/>
  </r>
  <r>
    <x v="0"/>
    <x v="51"/>
    <x v="9"/>
    <s v="VENTO|2020|GRIS|R66BER"/>
    <s v="ASHC"/>
    <s v="ASHC"/>
    <s v="UBER"/>
    <n v="2500"/>
    <x v="0"/>
    <m/>
    <m/>
  </r>
  <r>
    <x v="0"/>
    <x v="51"/>
    <x v="74"/>
    <s v="MARCH|2021|ROJO|NZU5163"/>
    <s v="ASHC"/>
    <s v="ASHC"/>
    <s v="UBER"/>
    <n v="2999.7322857049621"/>
    <x v="0"/>
    <m/>
    <m/>
  </r>
  <r>
    <x v="0"/>
    <x v="51"/>
    <x v="67"/>
    <s v="AVEO|2019|BLANCO|NBS225A"/>
    <s v="ASHC"/>
    <s v="ASHC"/>
    <s v="UBER"/>
    <n v="3200"/>
    <x v="0"/>
    <m/>
    <m/>
  </r>
  <r>
    <x v="0"/>
    <x v="51"/>
    <x v="68"/>
    <s v="VERSA|2020|BLANCO|A35BHD"/>
    <s v="ASHC"/>
    <s v="ASHC"/>
    <s v="UBER"/>
    <n v="2500"/>
    <x v="0"/>
    <m/>
    <m/>
  </r>
  <r>
    <x v="0"/>
    <x v="51"/>
    <x v="79"/>
    <s v="AVEO|2023|VINO|R22BMR"/>
    <s v="ASHC"/>
    <s v="ASHC"/>
    <s v="UBER"/>
    <n v="4000"/>
    <x v="0"/>
    <m/>
    <m/>
  </r>
  <r>
    <x v="0"/>
    <x v="51"/>
    <x v="44"/>
    <s v="VENTO|2018|AMARILLO|PED1652"/>
    <s v="ASHC"/>
    <s v="ASHC"/>
    <s v="UBER"/>
    <n v="4241.7700000000004"/>
    <x v="0"/>
    <m/>
    <m/>
  </r>
  <r>
    <x v="0"/>
    <x v="51"/>
    <x v="47"/>
    <s v="AVEO|2020|AZUL|D28BET"/>
    <s v="ASHC"/>
    <s v="ASHC"/>
    <s v="UBER"/>
    <n v="-500"/>
    <x v="0"/>
    <m/>
    <m/>
  </r>
  <r>
    <x v="0"/>
    <x v="51"/>
    <x v="54"/>
    <s v="AVEO|2022|VINO|P62BHW"/>
    <s v="ASHC"/>
    <s v="ASHC"/>
    <s v="UBER"/>
    <n v="-500"/>
    <x v="0"/>
    <m/>
    <m/>
  </r>
  <r>
    <x v="0"/>
    <x v="51"/>
    <x v="66"/>
    <s v="BEAT|2019|OCRE|MAY730C"/>
    <s v="ASHC"/>
    <s v="ASHC"/>
    <s v="UBER"/>
    <n v="-321"/>
    <x v="0"/>
    <m/>
    <m/>
  </r>
  <r>
    <x v="0"/>
    <x v="51"/>
    <x v="72"/>
    <s v="VENTO|2017|GRIS|MMA672C"/>
    <s v="ASHC"/>
    <s v="ASHC"/>
    <s v="UBER"/>
    <n v="-500"/>
    <x v="0"/>
    <m/>
    <m/>
  </r>
  <r>
    <x v="0"/>
    <x v="51"/>
    <x v="60"/>
    <s v="AVEO|2018|GRIS|X59AWG"/>
    <s v="ASHC"/>
    <s v="ASHC"/>
    <s v="UBER"/>
    <n v="700"/>
    <x v="0"/>
    <m/>
    <m/>
  </r>
  <r>
    <x v="0"/>
    <x v="51"/>
    <x v="31"/>
    <s v="SWIFT|2017|ROJO|X89ALV"/>
    <s v="BYER"/>
    <s v="BYER"/>
    <s v="UBER"/>
    <n v="2128.1359999999995"/>
    <x v="0"/>
    <m/>
    <m/>
  </r>
  <r>
    <x v="0"/>
    <x v="51"/>
    <x v="80"/>
    <s v="AVEO|2022|VINO|P62BHW"/>
    <s v="ASHC"/>
    <s v="BYER"/>
    <s v="UBER"/>
    <n v="3000"/>
    <x v="0"/>
    <m/>
    <m/>
  </r>
  <r>
    <x v="0"/>
    <x v="51"/>
    <x v="92"/>
    <s v="KIA RIO|2017|ROJO|MYE912A"/>
    <s v="U64"/>
    <s v="BYER"/>
    <s v="UBER"/>
    <n v="2804.2709999999988"/>
    <x v="0"/>
    <m/>
    <m/>
  </r>
  <r>
    <x v="0"/>
    <x v="51"/>
    <x v="83"/>
    <s v="AVEO|2018|ROJO|R51BKD"/>
    <s v="U64"/>
    <s v="BYER"/>
    <s v="UBER"/>
    <n v="3412.5968000000003"/>
    <x v="0"/>
    <m/>
    <m/>
  </r>
  <r>
    <x v="0"/>
    <x v="51"/>
    <x v="57"/>
    <s v="BYD|2026|VERDE|78F032"/>
    <s v="ASHC"/>
    <s v="BYER"/>
    <s v="UBER"/>
    <n v="0"/>
    <x v="0"/>
    <m/>
    <m/>
  </r>
  <r>
    <x v="0"/>
    <x v="51"/>
    <x v="4"/>
    <s v="KIA RIO|2023|ROJO|H99BLC"/>
    <s v="U64"/>
    <s v="BYER"/>
    <s v="UBER"/>
    <n v="2500"/>
    <x v="0"/>
    <m/>
    <m/>
  </r>
  <r>
    <x v="0"/>
    <x v="51"/>
    <x v="49"/>
    <s v="BEAT|2020|GRIS|NFN014B"/>
    <s v="U64"/>
    <s v="BYER"/>
    <s v="UBER"/>
    <n v="4634.1082000000006"/>
    <x v="0"/>
    <m/>
    <m/>
  </r>
  <r>
    <x v="0"/>
    <x v="51"/>
    <x v="46"/>
    <s v="VERSA|2021|BLANCO|MEE228C"/>
    <s v="ASHC"/>
    <s v="BYER"/>
    <s v="UBER"/>
    <n v="4924.5"/>
    <x v="0"/>
    <m/>
    <m/>
  </r>
  <r>
    <x v="0"/>
    <x v="51"/>
    <x v="70"/>
    <s v="MARCH|2019|TURQ|MAY737C"/>
    <s v="BYER"/>
    <s v="BYER"/>
    <s v="UBER"/>
    <n v="-2500"/>
    <x v="0"/>
    <m/>
    <m/>
  </r>
  <r>
    <x v="0"/>
    <x v="51"/>
    <x v="0"/>
    <s v="VERSA|2020|ROJO|NLP172B"/>
    <s v="ASHC"/>
    <s v="ASHC"/>
    <s v="UBER"/>
    <n v="2500"/>
    <x v="0"/>
    <m/>
    <m/>
  </r>
  <r>
    <x v="0"/>
    <x v="51"/>
    <x v="86"/>
    <s v="AVEO|2025|PERSUASION|MZN057C"/>
    <s v="ASHC"/>
    <s v="ASHC"/>
    <s v="UBER"/>
    <n v="2000"/>
    <x v="0"/>
    <m/>
    <m/>
  </r>
  <r>
    <x v="0"/>
    <x v="51"/>
    <x v="93"/>
    <s v="AVEO|2022|VINO|P62BHW"/>
    <s v="ASHC"/>
    <s v="BYER"/>
    <s v="UBER"/>
    <n v="1000"/>
    <x v="0"/>
    <m/>
    <m/>
  </r>
  <r>
    <x v="1"/>
    <x v="0"/>
    <x v="59"/>
    <s v="AVEO|2025|PERSUASION|MXM510C"/>
    <s v="ASHC"/>
    <s v="ASHC"/>
    <s v="UBER"/>
    <n v="2700"/>
    <x v="0"/>
    <m/>
    <m/>
  </r>
  <r>
    <x v="1"/>
    <x v="0"/>
    <x v="0"/>
    <s v="VERSA|2020|ROJO|NLP172B"/>
    <s v="ASHC"/>
    <s v="ASHC"/>
    <s v="UBER"/>
    <n v="2500"/>
    <x v="0"/>
    <m/>
    <s v="PAGO 7 ENE 2,500"/>
  </r>
  <r>
    <x v="1"/>
    <x v="0"/>
    <x v="52"/>
    <s v="AVEO|2025|PERSUASION|MXM503C"/>
    <s v="ASHC"/>
    <s v="ASHC"/>
    <s v="UBER"/>
    <n v="2700"/>
    <x v="0"/>
    <m/>
    <m/>
  </r>
  <r>
    <x v="1"/>
    <x v="0"/>
    <x v="78"/>
    <s v="AVEO|2020|AZUL|D28BET"/>
    <s v="ASHC"/>
    <s v="ASHC"/>
    <s v="UBER"/>
    <n v="3000.46"/>
    <x v="0"/>
    <m/>
    <s v="FIANZA 7/11 PAGO 7 ENE 1,100 + 1,085 8 ENE"/>
  </r>
  <r>
    <x v="1"/>
    <x v="0"/>
    <x v="75"/>
    <s v="MARCH|2020|TURQ|N15BKD"/>
    <s v="ASHC"/>
    <s v="ASHC"/>
    <s v="DIDI"/>
    <n v="-487.96999999999935"/>
    <x v="0"/>
    <m/>
    <s v="SE CONDONA ADEUDO Y SE AJUSTA DEUDO 2025"/>
  </r>
  <r>
    <x v="1"/>
    <x v="0"/>
    <x v="31"/>
    <s v="SWIFT|2017|ROJO|X89ALV"/>
    <s v="BYER"/>
    <s v="BYER"/>
    <s v="UBER"/>
    <n v="3800"/>
    <x v="0"/>
    <m/>
    <s v=" ADEUDO SEMANA PASADA A 12%,HOJALATERIA 7/8"/>
  </r>
  <r>
    <x v="1"/>
    <x v="0"/>
    <x v="53"/>
    <s v="AVEO|2025|PERSUASION|MZN091C"/>
    <s v="ASHC"/>
    <s v="ASHC"/>
    <s v="UBER"/>
    <n v="410.39999999999986"/>
    <x v="0"/>
    <m/>
    <s v="ADEUDO SEM ANT - PROB FAM HIJA LEUSEM PAGA EL LUNES SE CONDONA LA CUENTA"/>
  </r>
  <r>
    <x v="1"/>
    <x v="0"/>
    <x v="50"/>
    <s v="HYUNDAI|2022|PLATA|D40BKD"/>
    <s v="ASHC"/>
    <s v="ASHC"/>
    <s v="UBER"/>
    <n v="742.5971428571429"/>
    <x v="0"/>
    <m/>
    <s v="HOJALATERIA 2/5 PAGA HASTA LA SEM 3 SIN DESC DE HOJ"/>
  </r>
  <r>
    <x v="1"/>
    <x v="0"/>
    <x v="77"/>
    <s v="KIA RIO|2020|GRIS|NCK475B"/>
    <s v="ASHC"/>
    <s v="ASHC"/>
    <s v="UBER"/>
    <n v="2999.16"/>
    <x v="0"/>
    <m/>
    <s v="FIANZA 5/10 PAGO 7 ENE 902"/>
  </r>
  <r>
    <x v="1"/>
    <x v="0"/>
    <x v="80"/>
    <s v="AVEOH|2026|ACERO|NEJ990C"/>
    <s v="ASHC"/>
    <s v="ASHC"/>
    <s v="UBER"/>
    <n v="2264.42"/>
    <x v="0"/>
    <m/>
    <s v="CTA PROP TRABAJO EN PLAT 1 DÍA 2,500 SEM RESTANTE 2,700.. FIANZA 6/11"/>
  </r>
  <r>
    <x v="1"/>
    <x v="0"/>
    <x v="80"/>
    <s v="AVEO|2022|VINO|P62BHW"/>
    <s v="ASHC"/>
    <s v="BYER"/>
    <s v="UBER"/>
    <n v="906.76"/>
    <x v="1"/>
    <m/>
    <s v="CTA PROP TRABAJO EN FLOTILLA"/>
  </r>
  <r>
    <x v="1"/>
    <x v="0"/>
    <x v="21"/>
    <s v="AVEO|2025|PERSUASION|MXM502C"/>
    <s v="ASHC"/>
    <s v="ASHC"/>
    <s v="UBER"/>
    <n v="-289.2800000000002"/>
    <x v="0"/>
    <m/>
    <s v="CTA PROP 2 DIAS PQ SALIO CDMX,HOJALATERIA 11/26 - 1,300 9 ENE + 1,000 11 ENE 8ene 1000"/>
  </r>
  <r>
    <x v="1"/>
    <x v="0"/>
    <x v="94"/>
    <s v="AVEO|2023|VINO|R22BMR"/>
    <s v="ASHC"/>
    <s v="ASHC"/>
    <s v="UBER"/>
    <n v="2435.15"/>
    <x v="0"/>
    <m/>
    <s v="CTA PROP 5 DÍAS, FIANZA 1/10 PAGA 571 6 ENE"/>
  </r>
  <r>
    <x v="1"/>
    <x v="0"/>
    <x v="92"/>
    <s v="KIA RIO|2020|ROJO|MFP751C"/>
    <s v="ASHC"/>
    <s v="ASHC"/>
    <s v="UBER"/>
    <n v="2993.7"/>
    <x v="0"/>
    <m/>
    <s v="FIANZA 4/9  - PAGA 2,182 7 ENE"/>
  </r>
  <r>
    <x v="1"/>
    <x v="0"/>
    <x v="30"/>
    <s v="AVEOH|2024|BLANCO|MWV156C"/>
    <s v="ASHC"/>
    <s v="ASHC"/>
    <s v="UBER"/>
    <n v="3077.6400000000003"/>
    <x v="0"/>
    <m/>
    <s v="PAGO TRANSF ASHC 5 ENE 610, 473 9 ENE, 375 10 ENE, 400 10 ENE, 500 11 ENE, 306 11 ENE"/>
  </r>
  <r>
    <x v="1"/>
    <x v="0"/>
    <x v="83"/>
    <s v="AVEO|2018|ROJO|R51BKD"/>
    <s v="U64"/>
    <s v="BYER"/>
    <s v="UBER"/>
    <n v="2632.66"/>
    <x v="0"/>
    <m/>
    <s v="FIANZA 4/11"/>
  </r>
  <r>
    <x v="1"/>
    <x v="0"/>
    <x v="72"/>
    <s v="VERSA|2023|PLATA|NCT814A"/>
    <s v="ASHC"/>
    <s v="ASHC"/>
    <s v="UBER"/>
    <n v="-500"/>
    <x v="0"/>
    <m/>
    <s v="DEV DE FIANZA 3/7"/>
  </r>
  <r>
    <x v="1"/>
    <x v="0"/>
    <x v="85"/>
    <s v="VERSA|2023|PLATA|NCT814A"/>
    <s v="ASHC"/>
    <s v="ASHC"/>
    <s v="UBER"/>
    <n v="2999.92"/>
    <x v="0"/>
    <m/>
    <s v=" FIANZA 5/10 -  PAGO 800 6 ENE"/>
  </r>
  <r>
    <x v="1"/>
    <x v="0"/>
    <x v="55"/>
    <s v="AVEO|2024|GRIS|LRL009C"/>
    <s v="ASHC"/>
    <s v="ASHC"/>
    <s v="DIDI"/>
    <n v="382"/>
    <x v="0"/>
    <m/>
    <s v="TRABAJA AMBAS APPS | PAGO 7 ENE 1,200 + 1,000 10 ENE GESTIONAR PAGO URGE"/>
  </r>
  <r>
    <x v="1"/>
    <x v="0"/>
    <x v="55"/>
    <s v="AVEO|2024|GRIS|LRL009C"/>
    <s v="ASHC"/>
    <s v="ASHC"/>
    <s v="UBER"/>
    <n v="0"/>
    <x v="1"/>
    <m/>
    <s v="SE COBRA CTA COMPL EN DIDI"/>
  </r>
  <r>
    <x v="1"/>
    <x v="0"/>
    <x v="64"/>
    <s v="KIA RIO|2020|AZUL|LUE960C"/>
    <s v="ASHC"/>
    <s v="ASHC"/>
    <s v="DIDI"/>
    <n v="3146.34"/>
    <x v="0"/>
    <m/>
    <s v="TRABAJA DIDI-ASHC, PAGO 2,857 10 ENE (273 DE DIDI ATRASOS)"/>
  </r>
  <r>
    <x v="1"/>
    <x v="0"/>
    <x v="57"/>
    <s v="BYD|2026|VERDE|78F032"/>
    <s v="ASHC"/>
    <s v="BYER"/>
    <s v="UBER"/>
    <n v="2622"/>
    <x v="0"/>
    <m/>
    <s v="OPERACION"/>
  </r>
  <r>
    <x v="1"/>
    <x v="0"/>
    <x v="82"/>
    <s v="AVEO|2021|GRIS|D51BHV"/>
    <s v="ASHC"/>
    <s v="ASHC"/>
    <s v="UBER"/>
    <n v="3000"/>
    <x v="0"/>
    <m/>
    <s v=" FIANZA 6/11"/>
  </r>
  <r>
    <x v="1"/>
    <x v="0"/>
    <x v="4"/>
    <s v="KIA RIO|2023|ROJO|H99BLC"/>
    <s v="U64"/>
    <s v="BYER"/>
    <s v="UBER"/>
    <n v="1250"/>
    <x v="0"/>
    <m/>
    <s v="REDUCCION DE CTA 1/2"/>
  </r>
  <r>
    <x v="1"/>
    <x v="0"/>
    <x v="5"/>
    <s v="MARCH|2021|ROJO|NZU5163"/>
    <s v="ASHC"/>
    <s v="ASHC"/>
    <s v="DIDI"/>
    <n v="2500"/>
    <x v="0"/>
    <m/>
    <s v="GENERA EN DIDI COMO SOCIO"/>
  </r>
  <r>
    <x v="1"/>
    <x v="0"/>
    <x v="84"/>
    <s v="AVEOH|2026|ACERO|NEJ996C"/>
    <s v="ASHC"/>
    <s v="ASHC"/>
    <s v="UBER"/>
    <n v="3171.42"/>
    <x v="0"/>
    <m/>
    <s v="CTA PROPDEL LUNES 2,500, RESTO DE SEM 2700"/>
  </r>
  <r>
    <x v="1"/>
    <x v="0"/>
    <x v="88"/>
    <s v="AVEO|2018|GRIS|X59AWG"/>
    <s v="ASHC"/>
    <s v="ASHC"/>
    <s v="UBER"/>
    <n v="2651.4800000000005"/>
    <x v="0"/>
    <m/>
    <s v="PAGA 1,800 10 ENE"/>
  </r>
  <r>
    <x v="1"/>
    <x v="0"/>
    <x v="47"/>
    <s v="AVEO|2020|AZUL|D28BET"/>
    <s v="ASHC"/>
    <s v="ASHC"/>
    <s v="UBER"/>
    <n v="-500"/>
    <x v="0"/>
    <m/>
    <s v="DEV FIANZA 7/10"/>
  </r>
  <r>
    <x v="1"/>
    <x v="0"/>
    <x v="15"/>
    <s v="AVEO|2023|GRIS|MLC126A"/>
    <s v="ASHC"/>
    <s v="ASHC"/>
    <s v="UBER"/>
    <n v="1610"/>
    <x v="0"/>
    <m/>
    <s v="REDUCCION DE CTA 1/2"/>
  </r>
  <r>
    <x v="1"/>
    <x v="0"/>
    <x v="8"/>
    <s v="VENTO|2020|GRIS|A19BDY"/>
    <s v="ASHC"/>
    <s v="ASHC"/>
    <s v="UBER"/>
    <n v="2710"/>
    <x v="0"/>
    <m/>
    <m/>
  </r>
  <r>
    <x v="1"/>
    <x v="0"/>
    <x v="60"/>
    <s v="AVEO|2018|GRIS|X59AWG"/>
    <s v="ASHC"/>
    <s v="ASHC"/>
    <s v="UBER"/>
    <n v="700"/>
    <x v="0"/>
    <m/>
    <s v="TRABAJA APP JG UBER, HOJALATERIA 12/15 - PAGA 700 7 ENE"/>
  </r>
  <r>
    <x v="1"/>
    <x v="0"/>
    <x v="91"/>
    <s v="AVEO|2019|PLATA|NEL860A"/>
    <s v="ASHC"/>
    <s v="ASHC"/>
    <s v="UBER"/>
    <n v="2399.8600000000006"/>
    <x v="0"/>
    <m/>
    <s v="FIANZA 3/11 PAGO 7 ENE 605 NO CONTESTA"/>
  </r>
  <r>
    <x v="1"/>
    <x v="0"/>
    <x v="90"/>
    <s v="VENTO|2017|GRIS|MMA672C"/>
    <s v="ASHC"/>
    <s v="ASHC"/>
    <s v="UBER"/>
    <n v="1360"/>
    <x v="0"/>
    <m/>
    <s v="CTA PROPAL JUEVES, ABANDONA AUTO, NO SE LE REGRESA FIANZA NI PAGO."/>
  </r>
  <r>
    <x v="1"/>
    <x v="0"/>
    <x v="87"/>
    <s v="BEAT|2019|OCRE|MAY730C"/>
    <s v="ASHC"/>
    <s v="ASHC"/>
    <s v="UBER"/>
    <n v="2931.2000000000007"/>
    <x v="0"/>
    <m/>
    <s v="FIANZA 3/10 PAGO 7 ENE 1,000 Y 500 11 ENE"/>
  </r>
  <r>
    <x v="1"/>
    <x v="0"/>
    <x v="86"/>
    <s v="AVEO|2025|PERSUASION|MZN057C"/>
    <s v="ASHC"/>
    <s v="ASHC"/>
    <s v="UBER"/>
    <n v="2000"/>
    <x v="0"/>
    <m/>
    <s v="PAGO 5 ENE 2,000"/>
  </r>
  <r>
    <x v="1"/>
    <x v="0"/>
    <x v="9"/>
    <s v="VENTO|2020|GRIS|R66BER"/>
    <s v="ASHC"/>
    <s v="ASHC"/>
    <s v="UBER"/>
    <n v="1428.57"/>
    <x v="0"/>
    <m/>
    <s v="CTA PROP 4 DÍAS, SE BAJA VIE, ADEUDA HOJTRIA, LLAVE, Y LAV INTER (SIN DEV DE FIANZA)"/>
  </r>
  <r>
    <x v="1"/>
    <x v="0"/>
    <x v="93"/>
    <s v="AVEO|2022|VINO|P62BHW"/>
    <s v="ASHC"/>
    <s v="BYER"/>
    <s v="UBER"/>
    <n v="2658"/>
    <x v="0"/>
    <m/>
    <s v="CTA PROP 5.5 DÍAS, FIANZA 1/8"/>
  </r>
  <r>
    <x v="1"/>
    <x v="0"/>
    <x v="26"/>
    <s v="V DRIVE|2023|GRIS|MXW453C"/>
    <s v="ASHC"/>
    <s v="ASHC"/>
    <s v="DIDI"/>
    <n v="2442.4799999999996"/>
    <x v="0"/>
    <m/>
    <s v="DA RENTA POR FUERA HOJALATERIA 11/18, PAGA 2,800 11 ENE"/>
  </r>
  <r>
    <x v="1"/>
    <x v="0"/>
    <x v="74"/>
    <s v="AVEOH|2026|ACERO|NEJ971C"/>
    <s v="ASHC"/>
    <s v="ASHC"/>
    <s v="UBER"/>
    <n v="185.05999999999949"/>
    <x v="0"/>
    <m/>
    <s v="CTA LUNES 2,500, MAR-DOM 2700, FIANZA 10/10 - QUEDA CON ROUS PAGO EN DOS EXHIBISIONES S2 746.5  Y S3 746.5 +12%"/>
  </r>
  <r>
    <x v="1"/>
    <x v="0"/>
    <x v="67"/>
    <s v="AVEO|2019|BLANCO|NBS225A"/>
    <s v="ASHC"/>
    <s v="ASHC"/>
    <s v="UBER"/>
    <n v="3200"/>
    <x v="0"/>
    <m/>
    <s v="HOJALATERIA 11/23"/>
  </r>
  <r>
    <x v="1"/>
    <x v="0"/>
    <x v="95"/>
    <s v="AVEO|2022|VINO|P62BHW"/>
    <s v="ASHC"/>
    <s v="BYER"/>
    <s v="UBER"/>
    <n v="-500"/>
    <x v="0"/>
    <m/>
    <s v="ULTIMO PAGO DE FIANZA"/>
  </r>
  <r>
    <x v="1"/>
    <x v="0"/>
    <x v="49"/>
    <s v="BEAT|2020|GRIS|NFN014B"/>
    <s v="U64"/>
    <s v="BYER"/>
    <s v="UBER"/>
    <n v="3678.3999999999996"/>
    <x v="0"/>
    <m/>
    <s v="HOJALATERIA 7/18,PROMESA DE PAGO DIA MARTES NO CONTESTA. PAGA 503 10 ENE Y 200 11 ENE"/>
  </r>
  <r>
    <x v="1"/>
    <x v="0"/>
    <x v="68"/>
    <s v="VERSA|2020|BLANCO|A35BHD"/>
    <s v="ASHC"/>
    <s v="ASHC"/>
    <s v="UBER"/>
    <n v="2499.3999999999996"/>
    <x v="0"/>
    <m/>
    <s v="PAGA 192 6 ENE"/>
  </r>
  <r>
    <x v="1"/>
    <x v="0"/>
    <x v="79"/>
    <s v="AVEO|2022|AZUL|NZY685B"/>
    <s v="ASHC"/>
    <s v="ASHC"/>
    <s v="UBER"/>
    <n v="3999.8799999999992"/>
    <x v="0"/>
    <m/>
    <s v="FIANZA 7/10, PAGA ADEUDO 2/2 | PAGO 7 ENE 391"/>
  </r>
  <r>
    <x v="1"/>
    <x v="0"/>
    <x v="70"/>
    <s v="MARCH|2019|TURQ|MAY737C"/>
    <s v="BYER"/>
    <s v="BYER"/>
    <s v="UBER"/>
    <n v="-2204"/>
    <x v="0"/>
    <m/>
    <s v="NO CONTESTA"/>
  </r>
  <r>
    <x v="1"/>
    <x v="0"/>
    <x v="46"/>
    <s v="VERSA|2021|BLANCO|MEE228C"/>
    <s v="ASHC"/>
    <s v="BYER"/>
    <s v="UBER"/>
    <n v="2802.24"/>
    <x v="0"/>
    <m/>
    <s v="FIANZA 4/10, PROM PAGO DIA MARTES, PAGA 2,000 7 ENE"/>
  </r>
  <r>
    <x v="1"/>
    <x v="0"/>
    <x v="96"/>
    <s v="AVEO|2022|AZUL|NZY685B"/>
    <s v="ASHC"/>
    <s v="ASHC"/>
    <s v="UBER"/>
    <n v="2642.84"/>
    <x v="0"/>
    <m/>
    <s v="FIANZA 7/11 - PAGA 1,400 6 ENE"/>
  </r>
  <r>
    <x v="1"/>
    <x v="0"/>
    <x v="44"/>
    <s v="KIA RIO|2017|ROJO|MYE912A"/>
    <s v="U64"/>
    <s v="BYER"/>
    <s v="UBER"/>
    <n v="1629.56"/>
    <x v="0"/>
    <m/>
    <s v="SEM 817 A FAVOR, ADEUDO DE GOLPE 2018, $5000 SEMANALES - DEPOSITA 3,000 6 ENE (900 A CUENTA Y 2,100 GLPE PED)"/>
  </r>
  <r>
    <x v="1"/>
    <x v="1"/>
    <x v="59"/>
    <s v="AVEO|2025|PERSUASION|MXM510C"/>
    <s v="ASHC"/>
    <s v="ASHC"/>
    <s v="UBER"/>
    <n v="2572"/>
    <x v="0"/>
    <m/>
    <s v="PAGO 15 ENE 1000"/>
  </r>
  <r>
    <x v="1"/>
    <x v="1"/>
    <x v="0"/>
    <s v="VERSA|2020|ROJO|NLP172B"/>
    <s v="ASHC"/>
    <s v="ASHC"/>
    <s v="UBER"/>
    <n v="2500"/>
    <x v="0"/>
    <m/>
    <s v="PAGA 2,500 13 ENE"/>
  </r>
  <r>
    <x v="1"/>
    <x v="1"/>
    <x v="52"/>
    <s v="AVEO|2025|PERSUASION|MXM503C"/>
    <s v="ASHC"/>
    <s v="ASHC"/>
    <s v="UBER"/>
    <n v="2700"/>
    <x v="0"/>
    <m/>
    <m/>
  </r>
  <r>
    <x v="1"/>
    <x v="1"/>
    <x v="78"/>
    <s v="AVEOH|2026|ROJO|NEZ101C"/>
    <s v="ASHC"/>
    <s v="ASHC"/>
    <s v="UBER"/>
    <n v="284"/>
    <x v="0"/>
    <m/>
    <s v="FIANZA 8/11 SE BAJA DEL AUTO 15 ENE CON ADEUDO Y NOS QUEDAMOS CON LA FIANZA"/>
  </r>
  <r>
    <x v="1"/>
    <x v="1"/>
    <x v="31"/>
    <s v="SWIFT|2017|ROJO|X89ALV"/>
    <s v="BYER"/>
    <s v="BYER"/>
    <s v="UBER"/>
    <n v="1762.2999999999993"/>
    <x v="0"/>
    <m/>
    <s v="ULTIMO PAGO HOJALATERIA EN VISTO"/>
  </r>
  <r>
    <x v="1"/>
    <x v="1"/>
    <x v="53"/>
    <s v="AVEO|2025|PERSUASION|MZN091C"/>
    <s v="ASHC"/>
    <s v="ASHC"/>
    <s v="UBER"/>
    <n v="2863"/>
    <x v="0"/>
    <m/>
    <s v="PAGO 14 ENE 835"/>
  </r>
  <r>
    <x v="1"/>
    <x v="1"/>
    <x v="50"/>
    <s v="HYUNDAI|2022|PLATA|D40BKD"/>
    <s v="ASHC"/>
    <s v="ASHC"/>
    <s v="UBER"/>
    <n v="1905.7142857142858"/>
    <x v="0"/>
    <m/>
    <s v="PIDIO Q EL DESC FUERA HASTA LA SEM 3"/>
  </r>
  <r>
    <x v="1"/>
    <x v="1"/>
    <x v="50"/>
    <s v="AVEO|2026|GRIS|NEZ115C"/>
    <s v="IVETT"/>
    <s v="IVETT"/>
    <s v="UBER"/>
    <n v="714.28571428571433"/>
    <x v="1"/>
    <m/>
    <m/>
  </r>
  <r>
    <x v="1"/>
    <x v="1"/>
    <x v="77"/>
    <s v="KIA RIO|2020|GRIS|NCK475B"/>
    <s v="ASHC"/>
    <s v="ASHC"/>
    <s v="UBER"/>
    <n v="3000"/>
    <x v="0"/>
    <m/>
    <s v="FIANZA 6/10  PAGO 15 ENE EN EFECTIVO A ASHC"/>
  </r>
  <r>
    <x v="1"/>
    <x v="1"/>
    <x v="80"/>
    <s v="AVEOH|2026|ACERO|NEJ990C"/>
    <s v="ASHC"/>
    <s v="ASHC"/>
    <s v="UBER"/>
    <n v="3200"/>
    <x v="0"/>
    <m/>
    <s v="FIANZA 7/11 PAGO 14 ENE 762"/>
  </r>
  <r>
    <x v="1"/>
    <x v="1"/>
    <x v="97"/>
    <s v="AVEO|2020|AZUL|D28BET"/>
    <s v="ASHC"/>
    <s v="ASHC"/>
    <s v="UBER"/>
    <n v="2356.8571428571427"/>
    <x v="0"/>
    <m/>
    <s v="INICIA MAR 6 26_CTA Y FIANZ PROP 5.5 DÍAS DEJA EN GARANTÍA 2 CARTERAS ORIG TOMY Y MKOR PAGO 16 ENE"/>
  </r>
  <r>
    <x v="1"/>
    <x v="1"/>
    <x v="21"/>
    <s v="AVEO|2025|PERSUASION|MXM502C"/>
    <s v="ASHC"/>
    <s v="ASHC"/>
    <s v="UBER"/>
    <n v="3132.3428571428567"/>
    <x v="0"/>
    <m/>
    <s v="P14ENE 1000|P14ENE 1400|P18ENE 1300"/>
  </r>
  <r>
    <x v="1"/>
    <x v="1"/>
    <x v="21"/>
    <s v="KIA RIO|2020|GRIS|NCK475B"/>
    <s v="ASHC"/>
    <s v="ASHC"/>
    <s v="UBER"/>
    <n v="500"/>
    <x v="1"/>
    <m/>
    <s v="HOJALATERIA 12/26 P14ENE 1000 P18N 500"/>
  </r>
  <r>
    <x v="1"/>
    <x v="1"/>
    <x v="94"/>
    <s v="AVEO|2023|VINO|R22BMR"/>
    <s v="ASHC"/>
    <s v="ASHC"/>
    <s v="UBER"/>
    <n v="2810"/>
    <x v="0"/>
    <m/>
    <s v="FIANZA 2/10 PAGO 14 ENE 1150"/>
  </r>
  <r>
    <x v="1"/>
    <x v="1"/>
    <x v="92"/>
    <s v="KIA RIO|2020|ROJO|MFP751C"/>
    <s v="ASHC"/>
    <s v="ASHC"/>
    <s v="UBER"/>
    <n v="2821"/>
    <x v="0"/>
    <m/>
    <s v="FIANZA 5/9"/>
  </r>
  <r>
    <x v="1"/>
    <x v="1"/>
    <x v="30"/>
    <s v="AVEOH|2024|BLANCO|MWV156C"/>
    <s v="ASHC"/>
    <s v="ASHC"/>
    <s v="UBER"/>
    <n v="-2178"/>
    <x v="0"/>
    <m/>
    <s v="HOY PAGA"/>
  </r>
  <r>
    <x v="1"/>
    <x v="1"/>
    <x v="30"/>
    <s v="KIA RIO|2020|ROJO|MFP751C"/>
    <s v="ASHC"/>
    <s v="ASHC"/>
    <s v="UBER"/>
    <n v="-500"/>
    <x v="1"/>
    <m/>
    <s v="HOJALAT 1/6 SE EMPIEZA A DESCONTAR DEBIDO A QUE NO FUE ARREGLADO A LA FECHA ACORDADA CON ROSA QUE ES 15DIC25| PENDIENTE COMPRA DE ANTENA Y DESCUENTO A CONDUCTOR"/>
  </r>
  <r>
    <x v="1"/>
    <x v="1"/>
    <x v="83"/>
    <s v="AVEO|2018|ROJO|R51BKD"/>
    <s v="U64"/>
    <s v="BYER"/>
    <s v="UBER"/>
    <n v="-815.48000000000047"/>
    <x v="0"/>
    <m/>
    <s v="NO CONTESTA"/>
  </r>
  <r>
    <x v="1"/>
    <x v="1"/>
    <x v="72"/>
    <s v="VERSA|2023|PLATA|NCT814A"/>
    <s v="ASHC"/>
    <s v="ASHC"/>
    <s v="UBER"/>
    <n v="-500"/>
    <x v="0"/>
    <m/>
    <s v="DEV DE FIANZA 4/7"/>
  </r>
  <r>
    <x v="1"/>
    <x v="1"/>
    <x v="85"/>
    <s v="VERSA|2023|PLATA|NCT814A"/>
    <s v="ASHC"/>
    <s v="ASHC"/>
    <s v="UBER"/>
    <n v="2464"/>
    <x v="0"/>
    <m/>
    <s v="SE DESC 1.5 POR INGRESAR MECANC FIANZA 6/10"/>
  </r>
  <r>
    <x v="1"/>
    <x v="1"/>
    <x v="55"/>
    <s v="AVEO|2024|GRIS|LRL009C"/>
    <s v="ASHC"/>
    <s v="ASHC"/>
    <s v="DIDI"/>
    <n v="1339.7600000000002"/>
    <x v="0"/>
    <m/>
    <s v="P12ENE 600 P14ENE 700 P16ENE 1000 P18ENE 1300"/>
  </r>
  <r>
    <x v="1"/>
    <x v="1"/>
    <x v="57"/>
    <s v="BYD|2026|VERDE|78F032"/>
    <s v="ASHC"/>
    <s v="BYER"/>
    <s v="UBER"/>
    <n v="5191"/>
    <x v="0"/>
    <m/>
    <s v="GOLPE KIA Y BYD PENDIENTE CON ASHC"/>
  </r>
  <r>
    <x v="1"/>
    <x v="1"/>
    <x v="82"/>
    <s v="AVEOH|2026|ROJO|NEZ108C"/>
    <s v="ASHC"/>
    <s v="ASHC"/>
    <s v="UBER"/>
    <n v="3200"/>
    <x v="0"/>
    <m/>
    <s v=" FIANZA 7/11 - PAGO 14 ENE 140"/>
  </r>
  <r>
    <x v="1"/>
    <x v="1"/>
    <x v="4"/>
    <s v="KIA RIO|2023|ROJO|H99BLC"/>
    <s v="U64"/>
    <s v="BYER"/>
    <s v="UBER"/>
    <n v="1250"/>
    <x v="0"/>
    <m/>
    <s v="REDUCCION DE CTA 2/2"/>
  </r>
  <r>
    <x v="1"/>
    <x v="1"/>
    <x v="98"/>
    <s v="AVEO|2021|GRIS|D51BHV"/>
    <s v="ASHC"/>
    <s v="ASHC"/>
    <s v="UBER"/>
    <n v="2785.7142857142858"/>
    <x v="0"/>
    <m/>
    <s v="INICIA 5 ENE 26 DEJA EN GARANTÍA LAPTOP"/>
  </r>
  <r>
    <x v="1"/>
    <x v="1"/>
    <x v="5"/>
    <s v="MARCH|2021|ROJO|NZU5163"/>
    <s v="ASHC"/>
    <s v="ASHC"/>
    <s v="DIDI"/>
    <n v="2500"/>
    <x v="0"/>
    <m/>
    <s v="GENERA EN DIDI COMO SOCIO"/>
  </r>
  <r>
    <x v="1"/>
    <x v="1"/>
    <x v="84"/>
    <s v="AVEOH|2026|ACERO|NEJ996C"/>
    <s v="ASHC"/>
    <s v="ASHC"/>
    <s v="UBER"/>
    <n v="3200"/>
    <x v="0"/>
    <m/>
    <s v="FIANZA 7/10 "/>
  </r>
  <r>
    <x v="1"/>
    <x v="1"/>
    <x v="99"/>
    <s v="AVEO|2019|BLANCO|NBS225A"/>
    <s v="ASHC"/>
    <s v="ASHC"/>
    <s v="UBER"/>
    <n v="-174"/>
    <x v="0"/>
    <n v="1000"/>
    <s v="INICIA JUE 8 26 ENTREGA 1000 FIANZA EN EFE MAÑANA PAGA UNA PARTE"/>
  </r>
  <r>
    <x v="1"/>
    <x v="1"/>
    <x v="88"/>
    <s v="AVEO|2018|GRIS|X59AWG"/>
    <s v="ASHC"/>
    <s v="ASHC"/>
    <s v="UBER"/>
    <n v="-2676.56"/>
    <x v="0"/>
    <m/>
    <s v="FIANZA 4/11| HOJALATERIA 3 DE 11 ACUERDO CON ASHC"/>
  </r>
  <r>
    <x v="1"/>
    <x v="1"/>
    <x v="100"/>
    <s v="AVEO|2026|GRIS|NEZ115C"/>
    <s v="IVETT"/>
    <s v="IVETT"/>
    <s v="UBER"/>
    <n v="456.71428571428572"/>
    <x v="0"/>
    <n v="2000"/>
    <s v="INGRESA 10 ENE (1 DÍA) FIANZA 2K X TRANS ASH BAZ"/>
  </r>
  <r>
    <x v="1"/>
    <x v="1"/>
    <x v="47"/>
    <s v="AVEO|2020|AZUL|D28BET"/>
    <s v="ASHC"/>
    <s v="ASHC"/>
    <s v="UBER"/>
    <n v="-500"/>
    <x v="0"/>
    <m/>
    <s v="DEV FIANZA 8/10 PAGO 14 ENE"/>
  </r>
  <r>
    <x v="1"/>
    <x v="1"/>
    <x v="15"/>
    <s v="AVEO|2023|GRIS|MLC126A"/>
    <s v="ASHC"/>
    <s v="ASHC"/>
    <s v="UBER"/>
    <n v="1216"/>
    <x v="0"/>
    <m/>
    <s v="REDUCCION DE CTA 2/2"/>
  </r>
  <r>
    <x v="1"/>
    <x v="1"/>
    <x v="8"/>
    <s v="VENTO|2020|GRIS|A19BDY"/>
    <s v="ASHC"/>
    <s v="ASHC"/>
    <s v="UBER"/>
    <n v="-1144"/>
    <x v="0"/>
    <m/>
    <s v="SE COMUNICARÁ MÁS TARDE"/>
  </r>
  <r>
    <x v="1"/>
    <x v="1"/>
    <x v="60"/>
    <s v="AVEO|2018|GRIS|X59AWG"/>
    <s v="ASHC"/>
    <s v="ASHC"/>
    <s v="UBER"/>
    <n v="700"/>
    <x v="0"/>
    <m/>
    <s v="HOJALATERIA 13 DE 15"/>
  </r>
  <r>
    <x v="1"/>
    <x v="1"/>
    <x v="60"/>
    <s v="AVEO|2022|AZUL|PCH9635"/>
    <s v="IVETT"/>
    <s v="IVETT"/>
    <s v="UBER"/>
    <n v="628"/>
    <x v="1"/>
    <m/>
    <s v="ESTE ADEUDO LO ABSORBE ASHC"/>
  </r>
  <r>
    <x v="1"/>
    <x v="1"/>
    <x v="91"/>
    <s v="AVEO|2019|PLATA|NEL860A"/>
    <s v="ASHC"/>
    <s v="ASHC"/>
    <s v="UBER"/>
    <n v="-646"/>
    <x v="0"/>
    <m/>
    <s v="FIANZA 4/11 SE TUVO CONTACTO Y HASTA EL DOM PAGA"/>
  </r>
  <r>
    <x v="1"/>
    <x v="1"/>
    <x v="101"/>
    <s v="VENTO|2017|GRIS|MMA672C"/>
    <s v="ASHC"/>
    <s v="BYER"/>
    <s v="UBER"/>
    <n v="493.82285714285712"/>
    <x v="0"/>
    <m/>
    <s v="INGRESA MIE 7 SE CONSIDERA 1.5 DÍAS PAGO 14 ENE 207"/>
  </r>
  <r>
    <x v="1"/>
    <x v="1"/>
    <x v="101"/>
    <s v="AVEO|2026|GRIS|NEZ110C"/>
    <s v="IVETT"/>
    <s v="IVETT"/>
    <s v="UBER"/>
    <n v="1040.5714285714284"/>
    <x v="1"/>
    <m/>
    <s v="INGRESA SAB 10 CON 2 DÍAS"/>
  </r>
  <r>
    <x v="1"/>
    <x v="1"/>
    <x v="102"/>
    <s v="VENTO|2020|GRIS|R66BER"/>
    <s v="ASHC"/>
    <s v="ASHC"/>
    <s v="UBER"/>
    <n v="1285.42"/>
    <x v="0"/>
    <n v="2000"/>
    <s v="SE DIO 2,000 DE FIANZA EN EFECTIVO"/>
  </r>
  <r>
    <x v="1"/>
    <x v="1"/>
    <x v="87"/>
    <s v="BEAT|2019|OCRE|MAY730C"/>
    <s v="ASHC"/>
    <s v="ASHC"/>
    <s v="UBER"/>
    <n v="2155.36"/>
    <x v="0"/>
    <m/>
    <s v="FIANZA 4/10 PAGA 13 ENE 1400 PAGO MIER 15 1150"/>
  </r>
  <r>
    <x v="1"/>
    <x v="1"/>
    <x v="86"/>
    <s v="AVEO|2025|PERSUASION|MZN057C"/>
    <s v="ASHC"/>
    <s v="ASHC"/>
    <s v="UBER"/>
    <n v="2000"/>
    <x v="0"/>
    <m/>
    <s v="PAGO 14 ENE 2000"/>
  </r>
  <r>
    <x v="1"/>
    <x v="1"/>
    <x v="93"/>
    <s v="AVEO|2022|VINO|P62BHW"/>
    <s v="ASHC"/>
    <s v="BYER"/>
    <s v="UBER"/>
    <n v="3000"/>
    <x v="0"/>
    <m/>
    <m/>
  </r>
  <r>
    <x v="1"/>
    <x v="1"/>
    <x v="103"/>
    <s v="MARCH|2020|TURQ|N15BKD"/>
    <s v="ASHC"/>
    <s v="ASHC"/>
    <s v="UBER"/>
    <n v="2142.7142857142858"/>
    <x v="0"/>
    <m/>
    <s v="INICIA MIER 7 26_CTA Y FIANZ PROP 5 DÍAS"/>
  </r>
  <r>
    <x v="1"/>
    <x v="1"/>
    <x v="26"/>
    <s v="V DRIVE|2023|GRIS|MXW453C"/>
    <s v="ASHC"/>
    <s v="ASHC"/>
    <s v="DIDI"/>
    <n v="-2865.12"/>
    <x v="0"/>
    <m/>
    <s v="PAGA EL DOMINGO"/>
  </r>
  <r>
    <x v="1"/>
    <x v="1"/>
    <x v="26"/>
    <s v="VENTO|2017|GRIS|MMA672C"/>
    <s v="ASHC"/>
    <s v="ASHC"/>
    <s v="DIDI"/>
    <n v="-500"/>
    <x v="1"/>
    <m/>
    <s v="PAGA EL DOMINGO"/>
  </r>
  <r>
    <x v="1"/>
    <x v="1"/>
    <x v="74"/>
    <s v="AVEOH|2026|ACERO|NEJ971C"/>
    <s v="ASHC"/>
    <s v="ASHC"/>
    <s v="UBER"/>
    <n v="3156.52"/>
    <x v="0"/>
    <m/>
    <s v="DESC 1 DÍA INACTIVO|REPARACIÓN ESTEREO|1/2 DEV SEM 1 746"/>
  </r>
  <r>
    <x v="1"/>
    <x v="1"/>
    <x v="67"/>
    <s v="VERSA|2022|GRIS|NES596C"/>
    <s v="ASHC"/>
    <s v="ASHC"/>
    <s v="UBER"/>
    <n v="3200"/>
    <x v="0"/>
    <m/>
    <s v="HOJALAT 12/23 ADEUDO AUT JGD"/>
  </r>
  <r>
    <x v="1"/>
    <x v="1"/>
    <x v="49"/>
    <s v="VERSA|2021|BLANCO|MEE228C"/>
    <s v="ASHC"/>
    <s v="ASHC"/>
    <s v="UBER"/>
    <n v="-1360.5714285714287"/>
    <x v="0"/>
    <m/>
    <s v="CTA PROP 4 DÍAS HOLT 8/9 RUBÍ CON ADEUDO + INTERÉS"/>
  </r>
  <r>
    <x v="1"/>
    <x v="1"/>
    <x v="49"/>
    <s v="BEAT|2020|GRIS|NFN014B"/>
    <s v="U64"/>
    <s v="BYER"/>
    <s v="UBER"/>
    <n v="427.97142857142853"/>
    <x v="1"/>
    <m/>
    <s v="CTA PROP 3 DÍAS SE PASA A ASHC"/>
  </r>
  <r>
    <x v="1"/>
    <x v="1"/>
    <x v="68"/>
    <s v="VERSA|2020|BLANCO|A35BHD"/>
    <s v="ASHC"/>
    <s v="ASHC"/>
    <s v="UBER"/>
    <n v="2500"/>
    <x v="0"/>
    <m/>
    <s v="PENDIENTE ARREGLO DE CAJUELA SEM 3"/>
  </r>
  <r>
    <x v="1"/>
    <x v="1"/>
    <x v="79"/>
    <s v="AVEO|2022|AZUL|NZY685B"/>
    <s v="ASHC"/>
    <s v="ASHC"/>
    <s v="UBER"/>
    <n v="528"/>
    <x v="0"/>
    <m/>
    <s v="FIANZA 8/10 PAGA 236 CON INTERÉS"/>
  </r>
  <r>
    <x v="1"/>
    <x v="1"/>
    <x v="70"/>
    <s v="MARCH|2019|TURQ|MAY737C"/>
    <s v="BYER"/>
    <s v="BYER"/>
    <s v="UBER"/>
    <n v="-2399.0000000000005"/>
    <x v="0"/>
    <m/>
    <s v="PROMESA DE PAGO 19 ENE ACUERDO CON BYER"/>
  </r>
  <r>
    <x v="1"/>
    <x v="1"/>
    <x v="46"/>
    <s v="VERSA|2021|BLANCO|MEE228C"/>
    <s v="ASHC"/>
    <s v="BYER"/>
    <s v="UBER"/>
    <n v="-520.35142857142853"/>
    <x v="0"/>
    <m/>
    <s v="GOLPE FASCIA PENDIENTE 1500 POR KIA, PEND Q CONFIRME SEM DE ARREGLO PAGA 16"/>
  </r>
  <r>
    <x v="1"/>
    <x v="1"/>
    <x v="96"/>
    <s v="AVEO|2022|AZUL|MUF515A"/>
    <s v="ASHC"/>
    <s v="ASHC"/>
    <s v="UBER"/>
    <n v="3000"/>
    <x v="0"/>
    <m/>
    <s v="FIANZA 8/11 TRANSF"/>
  </r>
  <r>
    <x v="1"/>
    <x v="1"/>
    <x v="44"/>
    <s v="KIA RIO|2017|ROJO|MYE912A"/>
    <s v="U64"/>
    <s v="BYER"/>
    <s v="UBER"/>
    <n v="2500.42"/>
    <x v="0"/>
    <m/>
    <s v="PENDIENTE CAMBIO DE COCHE VENTO O KIA PAGO 16 ENE  510"/>
  </r>
  <r>
    <x v="1"/>
    <x v="2"/>
    <x v="59"/>
    <s v="AVEO|2025|PERSUASION|MXM510C"/>
    <s v="ASHC"/>
    <s v="ASHC"/>
    <s v="UBER"/>
    <n v="2771.68"/>
    <x v="0"/>
    <m/>
    <m/>
  </r>
  <r>
    <x v="1"/>
    <x v="2"/>
    <x v="0"/>
    <s v="VERSA|2020|ROJO|NLP172B"/>
    <s v="ASHC"/>
    <s v="ASHC"/>
    <s v="UBER"/>
    <n v="2500"/>
    <x v="0"/>
    <m/>
    <s v="FIANZA PAGADA P20ENE$2,500"/>
  </r>
  <r>
    <x v="1"/>
    <x v="2"/>
    <x v="52"/>
    <s v="AVEO|2025|PERSUASION|MXM503C"/>
    <s v="ASHC"/>
    <s v="ASHC"/>
    <s v="UBER"/>
    <n v="2700"/>
    <x v="0"/>
    <m/>
    <m/>
  </r>
  <r>
    <x v="1"/>
    <x v="2"/>
    <x v="78"/>
    <s v="AVEOH|2026|ROJO|NEZ101C"/>
    <s v="ASHC"/>
    <s v="ASHC"/>
    <s v="UBER"/>
    <n v="-2510.1028571428569"/>
    <x v="0"/>
    <m/>
    <s v="BAJA DEL AUTO 15 ENE . SE PAGAN 3 DIAS"/>
  </r>
  <r>
    <x v="1"/>
    <x v="2"/>
    <x v="31"/>
    <s v="SWIFT|2017|ROJO|X89ALV"/>
    <s v="BYER"/>
    <s v="BYER"/>
    <s v="UBER"/>
    <n v="3305.28"/>
    <x v="0"/>
    <m/>
    <s v="ULTIMO PAGO HOJALATERIA EN VISTO"/>
  </r>
  <r>
    <x v="1"/>
    <x v="2"/>
    <x v="53"/>
    <s v="AVEO|2025|PERSUASION|MZN091C"/>
    <s v="ASHC"/>
    <s v="ASHC"/>
    <s v="UBER"/>
    <n v="2700.54"/>
    <x v="0"/>
    <m/>
    <s v="FIANZA CUBIERTA PENE20$2,646"/>
  </r>
  <r>
    <x v="1"/>
    <x v="2"/>
    <x v="50"/>
    <s v="HYUNDAI|2022|PLATA|D40BKD"/>
    <s v="ASHC"/>
    <s v="ASHC"/>
    <s v="UBER"/>
    <n v="3100"/>
    <x v="0"/>
    <m/>
    <s v="FIANZA CUBIERTA |"/>
  </r>
  <r>
    <x v="1"/>
    <x v="2"/>
    <x v="77"/>
    <s v="KIA RIO|2020|GRIS|NCK475B"/>
    <s v="ASHC"/>
    <s v="ASHC"/>
    <s v="UBER"/>
    <n v="3014.54"/>
    <x v="0"/>
    <m/>
    <s v="FIANZA 7/10  P20ENE $1300"/>
  </r>
  <r>
    <x v="1"/>
    <x v="2"/>
    <x v="80"/>
    <s v="AVEOH|2026|ACERO|NEJ990C"/>
    <s v="ASHC"/>
    <s v="ASHC"/>
    <s v="UBER"/>
    <n v="3200"/>
    <x v="0"/>
    <m/>
    <s v="FIANZA 7/11 "/>
  </r>
  <r>
    <x v="1"/>
    <x v="2"/>
    <x v="97"/>
    <s v="AVEO|2020|AZUL|D28BET"/>
    <s v="ASHC"/>
    <s v="ASHC"/>
    <s v="UBER"/>
    <n v="3000"/>
    <x v="0"/>
    <m/>
    <s v="FIANZA 2 DE 10"/>
  </r>
  <r>
    <x v="1"/>
    <x v="2"/>
    <x v="21"/>
    <s v="AVEO|2025|PERSUASION|MXM502C"/>
    <s v="ASHC"/>
    <s v="ASHC"/>
    <s v="UBER"/>
    <n v="1766.2392"/>
    <x v="0"/>
    <m/>
    <s v="FIANZA CUBIERTA P20ENE 1600 EFE P22 ENE $500 P23 ENE 500 P26 ENE 700"/>
  </r>
  <r>
    <x v="1"/>
    <x v="2"/>
    <x v="21"/>
    <s v="KIA RIO|2020|GRIS|NCK475B"/>
    <s v="ASHC"/>
    <s v="ASHC"/>
    <s v="UBER"/>
    <n v="700"/>
    <x v="1"/>
    <m/>
    <s v="HOJALATERIA 13/26 P20ENE 1600 EFE"/>
  </r>
  <r>
    <x v="1"/>
    <x v="2"/>
    <x v="104"/>
    <s v="BEAT|2020|GRIS|NFN014B"/>
    <s v="U64"/>
    <s v="BYER"/>
    <s v="UBER"/>
    <n v="2142.8571428571431"/>
    <x v="0"/>
    <n v="2000"/>
    <m/>
  </r>
  <r>
    <x v="1"/>
    <x v="2"/>
    <x v="105"/>
    <s v="VENTO|2020|GRIS|R66BER"/>
    <s v="ASHC"/>
    <s v="ASHC"/>
    <s v="DIDI"/>
    <n v="532.86571428571415"/>
    <x v="0"/>
    <m/>
    <m/>
  </r>
  <r>
    <x v="1"/>
    <x v="2"/>
    <x v="94"/>
    <s v="AVEO|2023|VINO|R22BMR"/>
    <s v="ASHC"/>
    <s v="ASHC"/>
    <s v="UBER"/>
    <n v="3106.2200000000007"/>
    <x v="0"/>
    <m/>
    <s v="FIANZA 3/11 PENE20$1,151"/>
  </r>
  <r>
    <x v="1"/>
    <x v="2"/>
    <x v="92"/>
    <s v="KIA RIO|2020|ROJO|MFP751C"/>
    <s v="ASHC"/>
    <s v="ASHC"/>
    <s v="UBER"/>
    <n v="607.94000000000278"/>
    <x v="0"/>
    <m/>
    <s v="FIANZA 5/9"/>
  </r>
  <r>
    <x v="1"/>
    <x v="2"/>
    <x v="30"/>
    <s v="AVEOH|2024|BLANCO|MWV156C"/>
    <s v="ASHC"/>
    <s v="ASHC"/>
    <s v="UBER"/>
    <n v="1598.1799999999994"/>
    <x v="0"/>
    <m/>
    <s v="FIANZA PAGADA P21 2000"/>
  </r>
  <r>
    <x v="1"/>
    <x v="2"/>
    <x v="30"/>
    <s v="KIA RIO|2020|ROJO|MFP751C"/>
    <s v="ASHC"/>
    <s v="ASHC"/>
    <s v="UBER"/>
    <n v="1060"/>
    <x v="1"/>
    <m/>
    <s v="HOJALAT 1/6 SE EMPIEZA A DESCONTAR DEBIDO A QUE NO FUE ARREGLADO A LA FECHA ACORDADA CON ROSA QUE ES 15DIC25| PENDIENTE COMPRA DE ANTENA Y DESCUENTO A CONDUCTOR-P21ENE $2000"/>
  </r>
  <r>
    <x v="1"/>
    <x v="2"/>
    <x v="83"/>
    <s v="AVEO|2018|ROJO|R51BKD"/>
    <s v="U64"/>
    <s v="BYER"/>
    <s v="UBER"/>
    <n v="987.85999999999922"/>
    <x v="0"/>
    <m/>
    <s v="SE BAJA EN LA SEM 3 Y SE CUBRE ADEUD CON SU FIANZA"/>
  </r>
  <r>
    <x v="1"/>
    <x v="2"/>
    <x v="72"/>
    <s v="VERSA|2023|PLATA|NCT814A"/>
    <s v="ASHC"/>
    <s v="ASHC"/>
    <s v="UBER"/>
    <n v="-500"/>
    <x v="0"/>
    <m/>
    <s v="BAJA DEV FIANZA"/>
  </r>
  <r>
    <x v="1"/>
    <x v="2"/>
    <x v="85"/>
    <s v="VERSA|2023|PLATA|NCT814A"/>
    <s v="ASHC"/>
    <s v="ASHC"/>
    <s v="UBER"/>
    <n v="2999.7599999999993"/>
    <x v="0"/>
    <m/>
    <s v=" FIANZA 6/10-P21ENE$186"/>
  </r>
  <r>
    <x v="1"/>
    <x v="2"/>
    <x v="55"/>
    <s v="AVEO|2024|GRIS|LRL009C"/>
    <s v="ASHC"/>
    <s v="ASHC"/>
    <s v="UBER"/>
    <n v="0"/>
    <x v="0"/>
    <m/>
    <m/>
  </r>
  <r>
    <x v="1"/>
    <x v="2"/>
    <x v="55"/>
    <s v="AVEO|2024|GRIS|LRL009C"/>
    <s v="ASHC"/>
    <s v="ASHC"/>
    <s v="DIDI"/>
    <n v="3553.2939999999999"/>
    <x v="1"/>
    <m/>
    <s v="P21ENE 1000 P22ENE 1000 P23 ENE $1000 P24 $1000 P25$1000"/>
  </r>
  <r>
    <x v="1"/>
    <x v="2"/>
    <x v="57"/>
    <s v="BYD|2026|VERDE|78F032"/>
    <s v="ASHC"/>
    <s v="BYER"/>
    <s v="UBER"/>
    <n v="2424.5600000000004"/>
    <x v="0"/>
    <m/>
    <s v="GOLPE KIA Y BYD PENDIENTE CON ASHC NO ESTA EN FIANZAS"/>
  </r>
  <r>
    <x v="1"/>
    <x v="2"/>
    <x v="82"/>
    <s v="AVEOH|2026|ROJO|NEZ108C"/>
    <s v="ASHC"/>
    <s v="ASHC"/>
    <s v="UBER"/>
    <n v="3200.6600000000008"/>
    <x v="0"/>
    <m/>
    <s v=" FIANZA 7/11  P20ENE $1,021"/>
  </r>
  <r>
    <x v="1"/>
    <x v="2"/>
    <x v="106"/>
    <s v="AVEOH|2026|ROJO|NEZ101C"/>
    <s v="ASHC"/>
    <s v="ASHC"/>
    <s v="DIDI"/>
    <n v="1657.9491428571428"/>
    <x v="0"/>
    <m/>
    <s v="P 20ENE$1,000"/>
  </r>
  <r>
    <x v="1"/>
    <x v="2"/>
    <x v="4"/>
    <s v="KIA RIO|2023|ROJO|H99BLC"/>
    <s v="U64"/>
    <s v="BYER"/>
    <s v="UBER"/>
    <n v="3200"/>
    <x v="0"/>
    <m/>
    <s v="FIANZA PAGADA/ MULTA 2025 "/>
  </r>
  <r>
    <x v="1"/>
    <x v="2"/>
    <x v="98"/>
    <s v="AVEO|2021|GRIS|D51BHV"/>
    <s v="ASHC"/>
    <s v="ASHC"/>
    <s v="UBER"/>
    <n v="3000"/>
    <x v="0"/>
    <m/>
    <s v="FIANZA 2 DE 10"/>
  </r>
  <r>
    <x v="1"/>
    <x v="2"/>
    <x v="5"/>
    <s v="MARCH|2021|ROJO|NZU5163"/>
    <s v="ASHC"/>
    <s v="ASHC"/>
    <s v="DIDI"/>
    <n v="2700"/>
    <x v="0"/>
    <m/>
    <s v="GENERA EN DIDI COMO SOCIO-P20ENE$2,500 P21 ENE $200"/>
  </r>
  <r>
    <x v="1"/>
    <x v="2"/>
    <x v="84"/>
    <s v="AVEOH|2026|ACERO|NEJ996C"/>
    <s v="ASHC"/>
    <s v="ASHC"/>
    <s v="UBER"/>
    <n v="3200"/>
    <x v="0"/>
    <m/>
    <s v="FIANZA 7/11"/>
  </r>
  <r>
    <x v="1"/>
    <x v="2"/>
    <x v="99"/>
    <s v="AVEO|2019|BLANCO|NBS225A"/>
    <s v="ASHC"/>
    <s v="ASHC"/>
    <s v="UBER"/>
    <n v="1070.5714285714284"/>
    <x v="0"/>
    <m/>
    <s v="FIANZA 2 DE 10 CTA 3 DÍAS P20ENE EFE 1455"/>
  </r>
  <r>
    <x v="1"/>
    <x v="2"/>
    <x v="99"/>
    <s v="AVEO|2019|BLANCO|NBS225A"/>
    <s v="ASHC"/>
    <s v="ASHC"/>
    <s v="UBER"/>
    <n v="2759.1314285714284"/>
    <x v="1"/>
    <m/>
    <s v="FIANZA 2 DE 10 CTA 3 DÍAS P20ENE EFE 1455"/>
  </r>
  <r>
    <x v="1"/>
    <x v="2"/>
    <x v="88"/>
    <s v="AVEO|2018|GRIS|X59AWG"/>
    <s v="ASHC"/>
    <s v="ASHC"/>
    <s v="UBER"/>
    <n v="2104.6000000000004"/>
    <x v="0"/>
    <m/>
    <s v="FIANZA 5/11| HOJALATERIA 3 DE 11 ACUERDO CON ASHC"/>
  </r>
  <r>
    <x v="1"/>
    <x v="2"/>
    <x v="88"/>
    <s v="KIA RIO|2017|ROJO|MYE912A"/>
    <s v="U64"/>
    <s v="BYER"/>
    <s v="UBER"/>
    <n v="-700"/>
    <x v="1"/>
    <m/>
    <s v="FIANZA 5/11| HOJALATERIA 3 DE 11 ACUERDO CON ASHC"/>
  </r>
  <r>
    <x v="1"/>
    <x v="2"/>
    <x v="47"/>
    <s v="AVEO|2020|AZUL|D28BET"/>
    <s v="ASHC"/>
    <s v="ASHC"/>
    <s v="UBER"/>
    <n v="-500"/>
    <x v="0"/>
    <m/>
    <s v="BAJA DEV FIANZA. FINALIZA LA DEV EN SEM4"/>
  </r>
  <r>
    <x v="1"/>
    <x v="2"/>
    <x v="15"/>
    <s v="AVEO|2023|GRIS|MLC126A"/>
    <s v="ASHC"/>
    <s v="ASHC"/>
    <s v="UBER"/>
    <n v="2495"/>
    <x v="0"/>
    <m/>
    <s v="FIANZA CUBIERTA. SE PAGA CON RETIRO SIN TARJETA EL DIF QUEDA EN LA SIG SEM"/>
  </r>
  <r>
    <x v="1"/>
    <x v="2"/>
    <x v="8"/>
    <s v="VENTO|2020|GRIS|A19BDY"/>
    <s v="ASHC"/>
    <s v="ASHC"/>
    <s v="UBER"/>
    <n v="4540.8399999999992"/>
    <x v="0"/>
    <m/>
    <s v="CUBRE ADEUDO CON FIANZA"/>
  </r>
  <r>
    <x v="1"/>
    <x v="2"/>
    <x v="60"/>
    <s v="AVEO|2018|GRIS|X59AWG"/>
    <s v="ASHC"/>
    <s v="ASHC"/>
    <s v="UBER"/>
    <n v="700"/>
    <x v="0"/>
    <m/>
    <s v="HOJALATERIA 13 DE 15- P 23 ENE $1000"/>
  </r>
  <r>
    <x v="1"/>
    <x v="2"/>
    <x v="91"/>
    <s v="AVEO|2019|PLATA|NEL860A"/>
    <s v="ASHC"/>
    <s v="ASHC"/>
    <s v="UBER"/>
    <n v="775.20880000000216"/>
    <x v="0"/>
    <m/>
    <s v="FIANZA 4/11  "/>
  </r>
  <r>
    <x v="1"/>
    <x v="2"/>
    <x v="102"/>
    <s v="VENTO|2020|GRIS|R66BER"/>
    <s v="ASHC"/>
    <s v="ASHC"/>
    <s v="UBER"/>
    <n v="-2150"/>
    <x v="0"/>
    <m/>
    <s v="FIANZA DEVUELTA 2,000"/>
  </r>
  <r>
    <x v="1"/>
    <x v="2"/>
    <x v="87"/>
    <s v="BEAT|2019|OCRE|MAY730C"/>
    <s v="ASHC"/>
    <s v="ASHC"/>
    <s v="UBER"/>
    <n v="2389.14"/>
    <x v="0"/>
    <m/>
    <s v="FIANZA 4/10  ( P20 ENE$1000 P21 ENE $1200, P22 ENE $500"/>
  </r>
  <r>
    <x v="1"/>
    <x v="2"/>
    <x v="93"/>
    <s v="AVEO|2022|VINO|P62BHW"/>
    <s v="ASHC"/>
    <s v="BYER"/>
    <s v="UBER"/>
    <n v="1942.6927999999998"/>
    <x v="0"/>
    <m/>
    <s v="FIANZA 3 DE 11"/>
  </r>
  <r>
    <x v="1"/>
    <x v="2"/>
    <x v="103"/>
    <s v="MARCH|2020|TURQ|N15BKD"/>
    <s v="ASHC"/>
    <s v="ASHC"/>
    <s v="UBER"/>
    <n v="3000"/>
    <x v="0"/>
    <m/>
    <s v="FIANZA 2 DE 10"/>
  </r>
  <r>
    <x v="1"/>
    <x v="2"/>
    <x v="26"/>
    <s v="V DRIVE|2023|GRIS|MXW453C"/>
    <s v="ASHC"/>
    <s v="ASHC"/>
    <s v="DIDI"/>
    <n v="6171.2"/>
    <x v="0"/>
    <m/>
    <s v="ADEUDO DE LAS SEM2 +12% - P 20ENE $1000 P21ENE$1000-P22ENE $1000-P24ENE $2000 P26$1150 P27 $850"/>
  </r>
  <r>
    <x v="1"/>
    <x v="2"/>
    <x v="26"/>
    <s v="VENTO|2017|GRIS|MMA672C"/>
    <s v="ASHC"/>
    <s v="ASHC"/>
    <s v="DIDI"/>
    <n v="1060"/>
    <x v="1"/>
    <m/>
    <s v="ADEUDO DE LAS SEM2 +12% "/>
  </r>
  <r>
    <x v="1"/>
    <x v="2"/>
    <x v="74"/>
    <s v="AVEOH|2026|ACERO|NEJ971C"/>
    <s v="ASHC"/>
    <s v="ASHC"/>
    <s v="UBER"/>
    <n v="3200"/>
    <x v="0"/>
    <m/>
    <s v="ESTABA PENDIENTE SU ULTIMA FIANZA"/>
  </r>
  <r>
    <x v="1"/>
    <x v="2"/>
    <x v="67"/>
    <s v="VERSA|2022|GRIS|NES596C"/>
    <s v="ASHC"/>
    <s v="ASHC"/>
    <s v="UBER"/>
    <n v="2500"/>
    <x v="0"/>
    <m/>
    <m/>
  </r>
  <r>
    <x v="1"/>
    <x v="2"/>
    <x v="67"/>
    <s v="VENTO|2019|BLANCO|LUE965C"/>
    <s v="ASHC"/>
    <s v="ASHC"/>
    <s v="UBER"/>
    <n v="-700"/>
    <x v="1"/>
    <m/>
    <s v="HOJALAT 12/23 ADEUDO AUT JGD"/>
  </r>
  <r>
    <x v="1"/>
    <x v="2"/>
    <x v="49"/>
    <s v="VERSA|2021|BLANCO|MEE228C"/>
    <s v="ASHC"/>
    <s v="ASHC"/>
    <s v="UBER"/>
    <n v="-1256.7599999999995"/>
    <x v="0"/>
    <m/>
    <s v="FIANZA CUBIERTA"/>
  </r>
  <r>
    <x v="1"/>
    <x v="2"/>
    <x v="49"/>
    <s v="BEAT|2020|GRIS|NFN014B"/>
    <s v="U64"/>
    <s v="BYER"/>
    <s v="UBER"/>
    <n v="739.3599999999999"/>
    <x v="1"/>
    <m/>
    <s v="HOJALATERIA 9/9 P22ENE $800"/>
  </r>
  <r>
    <x v="1"/>
    <x v="2"/>
    <x v="68"/>
    <s v="VERSA|2020|BLANCO|A35BHD"/>
    <s v="ASHC"/>
    <s v="ASHC"/>
    <s v="UBER"/>
    <n v="2500"/>
    <x v="0"/>
    <m/>
    <s v="PENDIENTE ARREGLO DE CAJUELA SEM 3"/>
  </r>
  <r>
    <x v="1"/>
    <x v="2"/>
    <x v="79"/>
    <s v="AVEO|2022|AZUL|NZY685B"/>
    <s v="ASHC"/>
    <s v="ASHC"/>
    <s v="UBER"/>
    <n v="-1228.0200000000009"/>
    <x v="0"/>
    <m/>
    <s v="FIANZA 8/10 "/>
  </r>
  <r>
    <x v="1"/>
    <x v="2"/>
    <x v="70"/>
    <s v="MARCH|2019|TURQ|MAY737C"/>
    <s v="BYER"/>
    <s v="BYER"/>
    <s v="UBER"/>
    <n v="-1051.4399999999991"/>
    <x v="0"/>
    <m/>
    <s v="TENIA PENDIENTE 500 DE FIANZA-P20ENE $507 21/01 NAYELI LO MANDO A LA CTA DE SANTIAGO"/>
  </r>
  <r>
    <x v="1"/>
    <x v="2"/>
    <x v="107"/>
    <s v="AVEO|2019|BLANCO|NBS225A"/>
    <s v="ASHC"/>
    <s v="ASHC"/>
    <s v="UBER"/>
    <n v="857.14285714285722"/>
    <x v="0"/>
    <n v="1000"/>
    <s v="SE CONSIDERA INICIO ENE 17"/>
  </r>
  <r>
    <x v="1"/>
    <x v="2"/>
    <x v="96"/>
    <s v="AVEO|2022|AZUL|MUF515A"/>
    <s v="ASHC"/>
    <s v="ASHC"/>
    <s v="UBER"/>
    <n v="713.71428571428567"/>
    <x v="0"/>
    <m/>
    <s v="FIANZA 8/11 TRANSF -P20ENE $450-P21$610"/>
  </r>
  <r>
    <x v="1"/>
    <x v="2"/>
    <x v="96"/>
    <s v="AVEO|2025|PERSUASION|MZN057C"/>
    <s v="ASHC"/>
    <s v="ASHC"/>
    <s v="UBER"/>
    <n v="1658.6171428571431"/>
    <x v="1"/>
    <m/>
    <m/>
  </r>
  <r>
    <x v="1"/>
    <x v="2"/>
    <x v="44"/>
    <s v="KIA RIO|2017|ROJO|MYE912A"/>
    <s v="U64"/>
    <s v="BYER"/>
    <s v="UBER"/>
    <n v="1836"/>
    <x v="0"/>
    <m/>
    <s v="FIANZA PAGADA  (CAMBIO DE COCHE VENTO O KIA PAGO 16 ENE  510)"/>
  </r>
  <r>
    <x v="1"/>
    <x v="2"/>
    <x v="44"/>
    <s v="VENTO|2017|GRIS|MMA672C"/>
    <s v="ASHC"/>
    <s v="ASHC"/>
    <s v="UBER"/>
    <n v="484.65142857142837"/>
    <x v="1"/>
    <m/>
    <s v="INICIA CON ESTE AUTO ENERO 16 CAMBIA DE AUTO EL 22 ENERO"/>
  </r>
  <r>
    <x v="1"/>
    <x v="3"/>
    <x v="59"/>
    <s v="AVEO|2025|PERSUASION|MXM510C"/>
    <s v="ASHC"/>
    <s v="ASHC"/>
    <s v="UBER"/>
    <n v="2700"/>
    <x v="0"/>
    <m/>
    <m/>
  </r>
  <r>
    <x v="1"/>
    <x v="3"/>
    <x v="0"/>
    <s v="VERSA|2020|ROJO|NLP172B"/>
    <s v="ASHC"/>
    <s v="ASHC"/>
    <s v="UBER"/>
    <n v="2500"/>
    <x v="0"/>
    <m/>
    <s v="PAGA ASHC 27/01"/>
  </r>
  <r>
    <x v="1"/>
    <x v="3"/>
    <x v="52"/>
    <s v="AVEO|2025|PERSUASION|MXM503C"/>
    <s v="ASHC"/>
    <s v="ASHC"/>
    <s v="UBER"/>
    <n v="2700"/>
    <x v="0"/>
    <m/>
    <m/>
  </r>
  <r>
    <x v="1"/>
    <x v="3"/>
    <x v="108"/>
    <s v="VENTO|2020|GRIS|A19BDY"/>
    <s v="ASHC"/>
    <s v="ASHC"/>
    <s v="UBER"/>
    <n v="2029.2228571428539"/>
    <x v="0"/>
    <n v="1500"/>
    <s v="DIO 1500 EN EFECTIVO DE FIANZA/ $700 29 ENE"/>
  </r>
  <r>
    <x v="1"/>
    <x v="3"/>
    <x v="109"/>
    <s v="BEAT|2019|OCRE|MAY730C"/>
    <s v="ASHC"/>
    <s v="ASHC"/>
    <s v="UBER"/>
    <n v="1285.4285714285716"/>
    <x v="0"/>
    <n v="2000"/>
    <s v="TRANSFER DE 2000 FIANZA. DEV 62"/>
  </r>
  <r>
    <x v="1"/>
    <x v="3"/>
    <x v="31"/>
    <s v="SWIFT|2017|ROJO|X89ALV"/>
    <s v="BYER"/>
    <s v="BYER"/>
    <s v="UBER"/>
    <n v="2500"/>
    <x v="0"/>
    <m/>
    <s v="ULTIMO PAGO HOJALATERIA EN VISTO"/>
  </r>
  <r>
    <x v="1"/>
    <x v="3"/>
    <x v="110"/>
    <s v="VERSA|2021|BLANCO|NEJ957C"/>
    <s v="ASHC"/>
    <s v="ASHC"/>
    <s v="UBER"/>
    <n v="1992.4285714285716"/>
    <x v="0"/>
    <n v="2000"/>
    <s v="DIO 2000 EN EFECTIVO DE FIANZA"/>
  </r>
  <r>
    <x v="1"/>
    <x v="3"/>
    <x v="53"/>
    <s v="AVEO|2025|PERSUASION|MZN091C"/>
    <s v="ASHC"/>
    <s v="ASHC"/>
    <s v="UBER"/>
    <n v="-1269.8800000000006"/>
    <x v="0"/>
    <m/>
    <s v="FIANZA CUBIERTA PENE20$2,646"/>
  </r>
  <r>
    <x v="1"/>
    <x v="3"/>
    <x v="50"/>
    <s v="HYUNDAI|2022|PLATA|D40BKD"/>
    <s v="ASHC"/>
    <s v="ASHC"/>
    <s v="UBER"/>
    <n v="3100"/>
    <x v="0"/>
    <m/>
    <s v="FIANZA CUBIERTA "/>
  </r>
  <r>
    <x v="1"/>
    <x v="3"/>
    <x v="111"/>
    <s v="AVEO|2018|ROJO|R51BKD"/>
    <s v="U64"/>
    <s v="BYER"/>
    <s v="UBER"/>
    <n v="642.71428571428578"/>
    <x v="0"/>
    <n v="2000"/>
    <s v="A PARTIR DEL 23/01 2K EN EFECTIVO PARA FIANZA"/>
  </r>
  <r>
    <x v="1"/>
    <x v="3"/>
    <x v="77"/>
    <s v="KIA RIO|2020|GRIS|NCK475B"/>
    <s v="ASHC"/>
    <s v="ASHC"/>
    <s v="UBER"/>
    <n v="3014.6800000000003"/>
    <x v="0"/>
    <m/>
    <s v="SE CONSIDERAM 7 PESOS QUE QUEDARON A FAVOR/ DEPOSITA A ASHC 27 ENE A BANORTE"/>
  </r>
  <r>
    <x v="1"/>
    <x v="3"/>
    <x v="80"/>
    <s v="AVEOH|2026|ACERO|NEJ990C"/>
    <s v="ASHC"/>
    <s v="ASHC"/>
    <s v="UBER"/>
    <n v="3200"/>
    <x v="0"/>
    <m/>
    <s v="FIANZA 7/11 "/>
  </r>
  <r>
    <x v="1"/>
    <x v="3"/>
    <x v="97"/>
    <s v="AVEO|2020|AZUL|D28BET"/>
    <s v="ASHC"/>
    <s v="ASHC"/>
    <s v="UBER"/>
    <n v="3000"/>
    <x v="0"/>
    <m/>
    <s v="FIANZA 2 DE 10"/>
  </r>
  <r>
    <x v="1"/>
    <x v="3"/>
    <x v="21"/>
    <s v="AVEO|2025|PERSUASION|MXM502C"/>
    <s v="ASHC"/>
    <s v="ASHC"/>
    <s v="UBER"/>
    <n v="-618.89839999999958"/>
    <x v="0"/>
    <m/>
    <s v="PAGA 600 27/01 ASHC BANORTE, 600 28/01 ASHC BANORTE "/>
  </r>
  <r>
    <x v="1"/>
    <x v="3"/>
    <x v="21"/>
    <s v="KIA RIO|2020|GRIS|NCK475B"/>
    <s v="ASHC"/>
    <s v="ASHC"/>
    <s v="UBER"/>
    <n v="500"/>
    <x v="1"/>
    <m/>
    <m/>
  </r>
  <r>
    <x v="1"/>
    <x v="3"/>
    <x v="104"/>
    <s v="BEAT|2020|GRIS|NFN014B"/>
    <s v="U64"/>
    <s v="BYER"/>
    <s v="UBER"/>
    <n v="3000"/>
    <x v="0"/>
    <m/>
    <m/>
  </r>
  <r>
    <x v="1"/>
    <x v="3"/>
    <x v="94"/>
    <s v="AVEO|2023|VINO|R22BMR"/>
    <s v="ASHC"/>
    <s v="ASHC"/>
    <s v="UBER"/>
    <n v="2999.1800000000003"/>
    <x v="0"/>
    <m/>
    <s v="FIANZA 3/11 PENE20$1,151, PAGO 27/01 "/>
  </r>
  <r>
    <x v="1"/>
    <x v="3"/>
    <x v="92"/>
    <s v="KIA RIO|2020|ROJO|MFP751C"/>
    <s v="ASHC"/>
    <s v="ASHC"/>
    <s v="UBER"/>
    <n v="1864.0800000000002"/>
    <x v="0"/>
    <m/>
    <s v="FIANZA 5/9"/>
  </r>
  <r>
    <x v="1"/>
    <x v="3"/>
    <x v="30"/>
    <s v="AVEOH|2024|BLANCO|MWV156C"/>
    <s v="ASHC"/>
    <s v="ASHC"/>
    <s v="UBER"/>
    <n v="3531.0600000000004"/>
    <x v="0"/>
    <m/>
    <s v="FIANZA PAGADA P21 2000"/>
  </r>
  <r>
    <x v="1"/>
    <x v="3"/>
    <x v="30"/>
    <s v="KIA RIO|2020|ROJO|MFP751C"/>
    <s v="ASHC"/>
    <s v="ASHC"/>
    <s v="UBER"/>
    <n v="-500"/>
    <x v="1"/>
    <m/>
    <s v="HOJALAT 1/6 SE EMPIEZA A DESCONTAR DEBIDO A QUE NO FUE ARREGLADO A LA FECHA ACORDADA CON ROSA QUE ES 15DIC25| PENDIENTE COMPRA DE ANTENA Y DESCUENTO A CONDUCTOR-P21ENE $2000"/>
  </r>
  <r>
    <x v="1"/>
    <x v="3"/>
    <x v="83"/>
    <s v="AVEO|2018|ROJO|R51BKD"/>
    <s v="U64"/>
    <s v="BYER"/>
    <s v="UBER"/>
    <n v="1250"/>
    <x v="0"/>
    <m/>
    <s v="SE BAJO EL JUEVES A LAS 13.00"/>
  </r>
  <r>
    <x v="1"/>
    <x v="3"/>
    <x v="72"/>
    <s v="VERSA|2023|PLATA|NCT814A"/>
    <s v="ASHC"/>
    <s v="ASHC"/>
    <s v="UBER"/>
    <n v="-500"/>
    <x v="0"/>
    <m/>
    <s v="DEV DE FIANZA EN SEM 5 FINALIZA"/>
  </r>
  <r>
    <x v="1"/>
    <x v="3"/>
    <x v="85"/>
    <s v="VERSA|2023|PLATA|NCT814A"/>
    <s v="ASHC"/>
    <s v="ASHC"/>
    <s v="UBER"/>
    <n v="1928.5714285714284"/>
    <x v="0"/>
    <m/>
    <s v=" FIANZA 6/10-P21ENE$186"/>
  </r>
  <r>
    <x v="1"/>
    <x v="3"/>
    <x v="85"/>
    <s v="AVEOH|2026|BLANCO|NJG467C"/>
    <s v="ASHC"/>
    <s v="ASHC"/>
    <s v="UBER"/>
    <n v="1156.8571428571429"/>
    <x v="1"/>
    <m/>
    <s v="A PARTIR DEL 23/01, SE AJUSTA Y SE PAGA LO 1414 PROPORCIONAL, PAGA ASHC"/>
  </r>
  <r>
    <x v="1"/>
    <x v="3"/>
    <x v="55"/>
    <s v="AVEO|2024|GRIS|LRL009C"/>
    <s v="ASHC"/>
    <s v="ASHC"/>
    <s v="DIDI"/>
    <n v="5032.3799999999992"/>
    <x v="0"/>
    <m/>
    <s v="PAGA 1429 A ASHC BANO 26/01, TRANS 27 ENE DE 1600 A BANO ASHC, 28/01 $500 BANO/ $1200 30/01 ASHC"/>
  </r>
  <r>
    <x v="1"/>
    <x v="3"/>
    <x v="57"/>
    <s v="BYD|2026|VERDE|78F032"/>
    <s v="ASHC"/>
    <s v="BYER"/>
    <s v="UBER"/>
    <n v="2478"/>
    <x v="0"/>
    <m/>
    <s v="GOLPE KIA Y BYD PENDIENTE CON ASHC NO ESTA EN FIANZAS"/>
  </r>
  <r>
    <x v="1"/>
    <x v="3"/>
    <x v="82"/>
    <s v="AVEOH|2026|ROJO|NEZ108C"/>
    <s v="ASHC"/>
    <s v="ASHC"/>
    <s v="UBER"/>
    <n v="3200.4400000000005"/>
    <x v="0"/>
    <m/>
    <s v=" FIANZA  8/11/ $122 A ASHC BANO 29/01"/>
  </r>
  <r>
    <x v="1"/>
    <x v="3"/>
    <x v="106"/>
    <s v="AVEOH|2026|ROJO|NEZ101C"/>
    <s v="ASHC"/>
    <s v="ASHC"/>
    <s v="DIDI"/>
    <n v="3199.5800000000008"/>
    <x v="0"/>
    <m/>
    <s v="P2901 380. SE AJUSTO IMPUESTOS"/>
  </r>
  <r>
    <x v="1"/>
    <x v="3"/>
    <x v="4"/>
    <s v="KIA RIO|2023|ROJO|H99BLC"/>
    <s v="U64"/>
    <s v="BYER"/>
    <s v="UBER"/>
    <n v="3200"/>
    <x v="0"/>
    <m/>
    <s v="FIANZA PAGADA/ MULTA 2025 "/>
  </r>
  <r>
    <x v="1"/>
    <x v="3"/>
    <x v="98"/>
    <s v="AVEO|2021|GRIS|D51BHV"/>
    <s v="ASHC"/>
    <s v="ASHC"/>
    <s v="UBER"/>
    <n v="3000"/>
    <x v="0"/>
    <m/>
    <s v="FIANZA 2 DE 10"/>
  </r>
  <r>
    <x v="1"/>
    <x v="3"/>
    <x v="5"/>
    <s v="MARCH|2021|ROJO|NZU5163"/>
    <s v="ASHC"/>
    <s v="ASHC"/>
    <s v="DIDI"/>
    <n v="2600"/>
    <x v="0"/>
    <m/>
    <s v="MARTES 2500, 2600 28/01"/>
  </r>
  <r>
    <x v="1"/>
    <x v="3"/>
    <x v="84"/>
    <s v="AVEOH|2026|ACERO|NEJ996C"/>
    <s v="ASHC"/>
    <s v="ASHC"/>
    <s v="UBER"/>
    <n v="3200"/>
    <x v="0"/>
    <m/>
    <s v="FIANZA 7/11"/>
  </r>
  <r>
    <x v="1"/>
    <x v="3"/>
    <x v="99"/>
    <s v="AVEO|2019|BLANCO|NBS225A"/>
    <s v="ASHC"/>
    <s v="ASHC"/>
    <s v="UBER"/>
    <n v="1929.4285714285713"/>
    <x v="0"/>
    <m/>
    <s v="FIANZA 2 DE 10 CTA 3 DÍAS P20ENE EFE 1455, SE AJUSTA, PAGA CON CUENTA AH2026/"/>
  </r>
  <r>
    <x v="1"/>
    <x v="3"/>
    <x v="99"/>
    <s v="AVEOH|2026|BLANCO|NJG470C"/>
    <s v="ASHC"/>
    <s v="ASHC"/>
    <s v="UBER"/>
    <n v="1157.1428571428569"/>
    <x v="1"/>
    <m/>
    <s v="A PARTIR DEL 23/01"/>
  </r>
  <r>
    <x v="1"/>
    <x v="3"/>
    <x v="88"/>
    <s v="AVEO|2018|GRIS|X59AWG"/>
    <s v="ASHC"/>
    <s v="ASHC"/>
    <s v="UBER"/>
    <n v="-687.34000000000015"/>
    <x v="0"/>
    <m/>
    <s v="FIANZA 5/11| HOJALATERIA 3 Y 4 DE 11 ACUERDO CON ASHC"/>
  </r>
  <r>
    <x v="1"/>
    <x v="3"/>
    <x v="88"/>
    <s v="KIA RIO|2017|ROJO|MYE912A"/>
    <s v="U64"/>
    <s v="BYER"/>
    <s v="UBER"/>
    <n v="-700"/>
    <x v="1"/>
    <m/>
    <s v="SE CARGAN 2 HOJALATERIA"/>
  </r>
  <r>
    <x v="1"/>
    <x v="3"/>
    <x v="47"/>
    <s v="AVEO|2020|AZUL|D28BET"/>
    <s v="ASHC"/>
    <s v="ASHC"/>
    <s v="UBER"/>
    <n v="-400"/>
    <x v="0"/>
    <m/>
    <s v="DEV DE FIANZA COMPLETA S4"/>
  </r>
  <r>
    <x v="1"/>
    <x v="3"/>
    <x v="15"/>
    <s v="AVEO|2023|GRIS|MLC126A"/>
    <s v="ASHC"/>
    <s v="ASHC"/>
    <s v="UBER"/>
    <n v="2500"/>
    <x v="0"/>
    <m/>
    <s v="FIANZA CUBIERTA. SE PAGA CON RETIRO SIN TARJETA EL DIF QUEDA EN LA SIG SEM"/>
  </r>
  <r>
    <x v="1"/>
    <x v="3"/>
    <x v="8"/>
    <s v="VENTO|2020|GRIS|A19BDY"/>
    <s v="ASHC"/>
    <s v="ASHC"/>
    <s v="UBER"/>
    <n v="0"/>
    <x v="0"/>
    <m/>
    <s v="SE BAJO EL MARTES VER SI SE COBRARA"/>
  </r>
  <r>
    <x v="1"/>
    <x v="3"/>
    <x v="91"/>
    <s v="AVEO|2019|PLATA|NEL860A"/>
    <s v="ASHC"/>
    <s v="ASHC"/>
    <s v="UBER"/>
    <n v="-3366.4400000000005"/>
    <x v="0"/>
    <m/>
    <s v="FIANZA 4/11  "/>
  </r>
  <r>
    <x v="1"/>
    <x v="3"/>
    <x v="112"/>
    <s v="VENTO|2020|GRIS|R66BER"/>
    <s v="ASHC"/>
    <s v="ASHC"/>
    <s v="UBER"/>
    <n v="2808.3971428571426"/>
    <x v="0"/>
    <m/>
    <s v="P2401 "/>
  </r>
  <r>
    <x v="1"/>
    <x v="3"/>
    <x v="87"/>
    <s v="BEAT|2019|OCRE|MAY730C"/>
    <s v="ASHC"/>
    <s v="ASHC"/>
    <s v="UBER"/>
    <n v="2326.6285714285714"/>
    <x v="0"/>
    <m/>
    <s v="FIANZA 5/10, SE COBRAN DE LA CUENTA DE AVEO, RESTAN 617, 28/01 PAGA 500 ASHC BANORTE"/>
  </r>
  <r>
    <x v="1"/>
    <x v="3"/>
    <x v="87"/>
    <s v="AVEOH|2026|BLANCO|NJG485"/>
    <s v="ASHC"/>
    <s v="ASHC"/>
    <s v="UBER"/>
    <n v="1157.1428571428571"/>
    <x v="1"/>
    <m/>
    <s v="A PARTIR DEL 23/01"/>
  </r>
  <r>
    <x v="1"/>
    <x v="3"/>
    <x v="93"/>
    <s v="AVEO|2022|VINO|P62BHW"/>
    <s v="ASHC"/>
    <s v="BYER"/>
    <s v="UBER"/>
    <n v="807.80857142857144"/>
    <x v="0"/>
    <m/>
    <s v="FIANZA 4 DE 11"/>
  </r>
  <r>
    <x v="1"/>
    <x v="3"/>
    <x v="93"/>
    <s v="AVEOH|2026|BLANCO|NJG464C"/>
    <s v="ASHC"/>
    <s v="ASHC"/>
    <s v="UBER"/>
    <n v="1157.1428571428571"/>
    <x v="1"/>
    <m/>
    <s v="A PARTIR DEL 23/01"/>
  </r>
  <r>
    <x v="1"/>
    <x v="3"/>
    <x v="103"/>
    <s v="MARCH|2020|TURQ|N15BKD"/>
    <s v="ASHC"/>
    <s v="ASHC"/>
    <s v="UBER"/>
    <n v="2999.3799999999992"/>
    <x v="0"/>
    <m/>
    <s v="$290 29/01 ASHC AZTECA"/>
  </r>
  <r>
    <x v="1"/>
    <x v="3"/>
    <x v="113"/>
    <s v="AVEO|2022|AZUL|MUF515A"/>
    <s v="ASHC"/>
    <s v="ASHC"/>
    <s v="UBER"/>
    <n v="857.28571428571422"/>
    <x v="0"/>
    <n v="1000"/>
    <s v="SE COBRA DESDE EL 24 | FIANZA DE 1000 EFECT"/>
  </r>
  <r>
    <x v="1"/>
    <x v="3"/>
    <x v="114"/>
    <s v="AVEO|2022|VINO|P62BHW"/>
    <s v="ASHC"/>
    <s v="ASHC"/>
    <s v="UBER"/>
    <n v="856.75428571428563"/>
    <x v="0"/>
    <n v="2000"/>
    <s v="DIO 2000 PARA LA FIANZA/ $547 ASHC"/>
  </r>
  <r>
    <x v="1"/>
    <x v="3"/>
    <x v="26"/>
    <s v="V DRIVE|2023|GRIS|MXW453C"/>
    <s v="ASHC"/>
    <s v="ASHC"/>
    <s v="DIDI"/>
    <n v="2331"/>
    <x v="0"/>
    <m/>
    <s v="ADEUDO DE LAS SEM2 +12% - P 20ENE $1000 P21ENE$1000-P22ENE $1000 DOM 08 PAGA 800"/>
  </r>
  <r>
    <x v="1"/>
    <x v="3"/>
    <x v="26"/>
    <s v="VENTO|2017|GRIS|MMA672C"/>
    <s v="ASHC"/>
    <s v="ASHC"/>
    <s v="DIDI"/>
    <n v="500"/>
    <x v="1"/>
    <m/>
    <s v="COMO AJUSTO EL SALDO A FAVOR"/>
  </r>
  <r>
    <x v="1"/>
    <x v="3"/>
    <x v="74"/>
    <s v="AVEOH|2026|ACERO|NEJ971C"/>
    <s v="ASHC"/>
    <s v="ASHC"/>
    <s v="UBER"/>
    <n v="2700"/>
    <x v="0"/>
    <m/>
    <s v="ESTABA PENDIENTE SU ULTIMA FIANZA"/>
  </r>
  <r>
    <x v="1"/>
    <x v="3"/>
    <x v="67"/>
    <s v="VERSA|2022|GRIS|NES596C"/>
    <s v="ASHC"/>
    <s v="ASHC"/>
    <s v="UBER"/>
    <n v="2500"/>
    <x v="0"/>
    <m/>
    <m/>
  </r>
  <r>
    <x v="1"/>
    <x v="3"/>
    <x v="67"/>
    <s v="VENTO|2019|BLANCO|LUE965C"/>
    <s v="ASHC"/>
    <s v="ASHC"/>
    <s v="UBER"/>
    <n v="700"/>
    <x v="1"/>
    <m/>
    <s v="HOJALAT 12/23 ADEUDO AUT JGD"/>
  </r>
  <r>
    <x v="1"/>
    <x v="3"/>
    <x v="115"/>
    <s v="MARCH|2020|GRIS|NEJ984C"/>
    <s v="BYER"/>
    <s v="BYER"/>
    <s v="UBER"/>
    <n v="1285.4285714285716"/>
    <x v="0"/>
    <n v="2000"/>
    <s v="DIO2K DE FIANZA"/>
  </r>
  <r>
    <x v="1"/>
    <x v="3"/>
    <x v="49"/>
    <s v="VERSA|2021|BLANCO|MEE228C"/>
    <s v="ASHC"/>
    <s v="ASHC"/>
    <s v="UBER"/>
    <n v="815.39999999999918"/>
    <x v="0"/>
    <m/>
    <s v="30 ENE BANORTE$1002"/>
  </r>
  <r>
    <x v="1"/>
    <x v="3"/>
    <x v="68"/>
    <s v="VERSA|2020|BLANCO|A35BHD"/>
    <s v="ASHC"/>
    <s v="ASHC"/>
    <s v="UBER"/>
    <n v="2500"/>
    <x v="0"/>
    <m/>
    <s v="PENDIENTE ARREGLO DE CAJUELA SEM 3"/>
  </r>
  <r>
    <x v="1"/>
    <x v="3"/>
    <x v="79"/>
    <s v="AVEO|2022|AZUL|NZY685B"/>
    <s v="ASHC"/>
    <s v="ASHC"/>
    <s v="UBER"/>
    <n v="-2722.7057142857143"/>
    <x v="0"/>
    <m/>
    <s v="SE BAJO EL 24/01 SE COBRA SOLO MEDIO DIA"/>
  </r>
  <r>
    <x v="1"/>
    <x v="3"/>
    <x v="70"/>
    <s v="MARCH|2019|TURQ|MAY737C"/>
    <s v="BYER"/>
    <s v="BYER"/>
    <s v="UBER"/>
    <n v="-551.01599999999962"/>
    <x v="0"/>
    <m/>
    <s v="PAGA EL 30/01 716 MPASHC"/>
  </r>
  <r>
    <x v="1"/>
    <x v="3"/>
    <x v="107"/>
    <s v="AVEO|2019|BLANCO|NBS225A"/>
    <s v="ASHC"/>
    <s v="ASHC"/>
    <s v="UBER"/>
    <n v="2999.5200000000004"/>
    <x v="0"/>
    <m/>
    <s v="TRANS MERCADO PAGO 30 DE ENE"/>
  </r>
  <r>
    <x v="1"/>
    <x v="3"/>
    <x v="46"/>
    <s v="KIA RIO|2020|AZUL|LUE960C"/>
    <s v="ASHC"/>
    <s v="ASHC"/>
    <s v="UBER"/>
    <n v="-500"/>
    <x v="0"/>
    <m/>
    <s v="PRIMER PAGO DE HOJALAT"/>
  </r>
  <r>
    <x v="1"/>
    <x v="3"/>
    <x v="96"/>
    <s v="AVEO|2025|PERSUASION|MZN057C"/>
    <s v="ASHC"/>
    <s v="ASHC"/>
    <s v="UBER"/>
    <n v="2333.4399999999987"/>
    <x v="0"/>
    <m/>
    <m/>
  </r>
  <r>
    <x v="1"/>
    <x v="3"/>
    <x v="116"/>
    <s v="VENTO|2020|GRIS|NES586C"/>
    <s v="ASHC"/>
    <s v="ASHC"/>
    <s v="UBER"/>
    <n v="1071.8571428571429"/>
    <x v="0"/>
    <n v="2000"/>
    <s v="DIO 2000 EN EFECTIVO DE FIANZA"/>
  </r>
  <r>
    <x v="1"/>
    <x v="3"/>
    <x v="44"/>
    <s v="VENTO|2018|AMARILLO|NJJ912C"/>
    <s v="ASHC"/>
    <s v="ASHC"/>
    <s v="UBER"/>
    <n v="1428.5714285714287"/>
    <x v="0"/>
    <m/>
    <s v="CAMBIO DE AUTO DEL VENTO 2017 GRIS AL VENTO 2018 AMARILLO"/>
  </r>
  <r>
    <x v="1"/>
    <x v="3"/>
    <x v="44"/>
    <s v="VENTO|2017|GRIS|MMA672C"/>
    <s v="ASHC"/>
    <s v="ASHC"/>
    <s v="UBER"/>
    <n v="1114.5714285714284"/>
    <x v="1"/>
    <m/>
    <s v="INICIA CON ESTE AUTO ENERO 16 ( QUE PASA COMN EL ADEUDO SE NETEA, PAGA 28/01 ASHC DEP 300, 22 A FAV"/>
  </r>
  <r>
    <x v="1"/>
    <x v="4"/>
    <x v="117"/>
    <s v="VENTO|2019|BLANCO|LUE965C"/>
    <s v="ASHC"/>
    <s v="ASHC"/>
    <s v="DIDI"/>
    <n v="286"/>
    <x v="0"/>
    <n v="1000"/>
    <s v="03/02 PAGA $428 AZTECA ASHC"/>
  </r>
  <r>
    <x v="1"/>
    <x v="4"/>
    <x v="59"/>
    <s v="AVEO|2025|PERSUASION|MXM510C"/>
    <s v="ASHC"/>
    <s v="ASHC"/>
    <s v="UBER"/>
    <n v="2507.1428571428592"/>
    <x v="0"/>
    <m/>
    <s v="P ASHC02FEB 2178"/>
  </r>
  <r>
    <x v="1"/>
    <x v="4"/>
    <x v="0"/>
    <s v="VERSA|2020|ROJO|NLP172B"/>
    <s v="ASHC"/>
    <s v="ASHC"/>
    <s v="UBER"/>
    <n v="2500"/>
    <x v="0"/>
    <m/>
    <s v="P 03FEB 2500"/>
  </r>
  <r>
    <x v="1"/>
    <x v="4"/>
    <x v="52"/>
    <s v="AVEO|2025|PERSUASION|MXM503C"/>
    <s v="ASHC"/>
    <s v="ASHC"/>
    <s v="UBER"/>
    <n v="2700"/>
    <x v="0"/>
    <m/>
    <s v="P ASHC02FEB 2887"/>
  </r>
  <r>
    <x v="1"/>
    <x v="4"/>
    <x v="108"/>
    <s v="VENTO|2020|GRIS|A19BDY"/>
    <s v="ASHC"/>
    <s v="ASHC"/>
    <s v="UBER"/>
    <n v="2782.0624299084593"/>
    <x v="0"/>
    <m/>
    <s v="P 2FEB 2564"/>
  </r>
  <r>
    <x v="1"/>
    <x v="4"/>
    <x v="109"/>
    <s v="BEAT|2019|OCRE|MAY730C"/>
    <s v="ASHC"/>
    <s v="ASHC"/>
    <s v="UBER"/>
    <n v="3000"/>
    <x v="0"/>
    <m/>
    <s v="PAGO CON GASOLINA"/>
  </r>
  <r>
    <x v="1"/>
    <x v="4"/>
    <x v="31"/>
    <s v="SWIFT|2017|ROJO|X89ALV"/>
    <s v="BYER"/>
    <s v="BYER"/>
    <s v="UBER"/>
    <n v="2500"/>
    <x v="0"/>
    <m/>
    <s v="P ASHC 820"/>
  </r>
  <r>
    <x v="1"/>
    <x v="4"/>
    <x v="110"/>
    <s v="VERSA|2021|BLANCO|NEJ957C"/>
    <s v="ASHC"/>
    <s v="ASHC"/>
    <s v="UBER"/>
    <n v="3100"/>
    <x v="0"/>
    <m/>
    <s v="P ASHC 2401"/>
  </r>
  <r>
    <x v="1"/>
    <x v="4"/>
    <x v="53"/>
    <s v="AVEO|2025|PERSUASION|MZN091C"/>
    <s v="ASHC"/>
    <s v="ASHC"/>
    <s v="UBER"/>
    <n v="3584.8600000000006"/>
    <x v="0"/>
    <m/>
    <s v="7 FEB $2000"/>
  </r>
  <r>
    <x v="1"/>
    <x v="4"/>
    <x v="50"/>
    <s v="HYUNDAI|2022|PLATA|D40BKD"/>
    <s v="ASHC"/>
    <s v="ASHC"/>
    <s v="UBER"/>
    <n v="3100"/>
    <x v="0"/>
    <m/>
    <s v="P ASHC 1383"/>
  </r>
  <r>
    <x v="1"/>
    <x v="4"/>
    <x v="111"/>
    <s v="AVEO|2018|ROJO|R51BKD"/>
    <s v="U64"/>
    <s v="BYER"/>
    <s v="UBER"/>
    <n v="3000"/>
    <x v="0"/>
    <m/>
    <s v="P ASHC 3079"/>
  </r>
  <r>
    <x v="1"/>
    <x v="4"/>
    <x v="77"/>
    <s v="KIA RIO|2020|GRIS|NCK475B"/>
    <s v="ASHC"/>
    <s v="ASHC"/>
    <s v="UBER"/>
    <n v="1798.42"/>
    <x v="0"/>
    <m/>
    <m/>
  </r>
  <r>
    <x v="1"/>
    <x v="4"/>
    <x v="80"/>
    <s v="AVEOH|2026|ACERO|NEJ990C"/>
    <s v="ASHC"/>
    <s v="ASHC"/>
    <s v="UBER"/>
    <n v="3200"/>
    <x v="0"/>
    <m/>
    <s v="P ASHC 1404"/>
  </r>
  <r>
    <x v="1"/>
    <x v="4"/>
    <x v="97"/>
    <s v="AVEO|2020|AZUL|D28BET"/>
    <s v="ASHC"/>
    <s v="ASHC"/>
    <s v="UBER"/>
    <n v="3000"/>
    <x v="0"/>
    <m/>
    <s v="P ASHC 1923"/>
  </r>
  <r>
    <x v="1"/>
    <x v="4"/>
    <x v="21"/>
    <s v="AVEO|2025|PERSUASION|MXM502C"/>
    <s v="ASHC"/>
    <s v="ASHC"/>
    <s v="UBER"/>
    <n v="3577.4548821584922"/>
    <x v="0"/>
    <m/>
    <s v="P 04FEB 1500,05FEB 1000, 06FEB 1000 +08 FEB 1500"/>
  </r>
  <r>
    <x v="1"/>
    <x v="4"/>
    <x v="21"/>
    <s v="KIA RIO|2020|GRIS|NCK475B"/>
    <s v="ASHC"/>
    <s v="ASHC"/>
    <s v="UBER"/>
    <n v="700"/>
    <x v="1"/>
    <m/>
    <m/>
  </r>
  <r>
    <x v="1"/>
    <x v="4"/>
    <x v="104"/>
    <s v="BEAT|2020|GRIS|NFN014B"/>
    <s v="U64"/>
    <s v="BYER"/>
    <s v="UBER"/>
    <n v="3700"/>
    <x v="0"/>
    <m/>
    <s v="P ASHC 1886"/>
  </r>
  <r>
    <x v="1"/>
    <x v="4"/>
    <x v="94"/>
    <s v="AVEO|2023|VINO|R22BMR"/>
    <s v="ASHC"/>
    <s v="ASHC"/>
    <s v="UBER"/>
    <n v="2999.5101428673706"/>
    <x v="0"/>
    <m/>
    <s v="03/02 FEB $898"/>
  </r>
  <r>
    <x v="1"/>
    <x v="4"/>
    <x v="92"/>
    <s v="KIA RIO|2020|ROJO|MFP751C"/>
    <s v="ASHC"/>
    <s v="ASHC"/>
    <s v="UBER"/>
    <n v="3993.5413833167077"/>
    <x v="0"/>
    <m/>
    <s v="SE DIVIDE EN 2 SU ADEUDO, PG CON F, "/>
  </r>
  <r>
    <x v="1"/>
    <x v="4"/>
    <x v="30"/>
    <s v="AVEOH|2024|BLANCO|MWV156C"/>
    <s v="ASHC"/>
    <s v="ASHC"/>
    <s v="UBER"/>
    <n v="3586.1499999999996"/>
    <x v="0"/>
    <m/>
    <s v="P 03FEB 500 04/02 $520"/>
  </r>
  <r>
    <x v="1"/>
    <x v="4"/>
    <x v="30"/>
    <s v="KIA RIO|2020|ROJO|MFP751C"/>
    <s v="ASHC"/>
    <s v="ASHC"/>
    <s v="UBER"/>
    <n v="-182"/>
    <x v="1"/>
    <m/>
    <m/>
  </r>
  <r>
    <x v="1"/>
    <x v="4"/>
    <x v="72"/>
    <s v="VERSA|2023|PLATA|NCT814A"/>
    <s v="ASHC"/>
    <s v="ASHC"/>
    <s v="UBER"/>
    <n v="-500"/>
    <x v="0"/>
    <m/>
    <s v="ULTIMA FIANZA PASHC 500"/>
  </r>
  <r>
    <x v="1"/>
    <x v="4"/>
    <x v="85"/>
    <s v="AVEOH|2026|BLANCO|NJG467C"/>
    <s v="ASHC"/>
    <s v="ASHC"/>
    <s v="UBER"/>
    <n v="1542.8571428571429"/>
    <x v="0"/>
    <m/>
    <s v="4 DÍAS DE CUENTA, S/M, PENALIZACION FIANZA. BAJA EL 30/01 P ASHC $1634"/>
  </r>
  <r>
    <x v="1"/>
    <x v="4"/>
    <x v="55"/>
    <s v="AVEO|2024|GRIS|LRL009C"/>
    <s v="ASHC"/>
    <s v="ASHC"/>
    <s v="DIDI"/>
    <n v="1638.8571428571427"/>
    <x v="0"/>
    <m/>
    <s v="PASO CON IVETTE-P 04FEB, 5FEB 500,06 FEB 429"/>
  </r>
  <r>
    <x v="1"/>
    <x v="4"/>
    <x v="57"/>
    <s v="BYD|2026|VERDE|78F032"/>
    <s v="ASHC"/>
    <s v="BYER"/>
    <s v="UBER"/>
    <n v="0"/>
    <x v="0"/>
    <m/>
    <m/>
  </r>
  <r>
    <x v="1"/>
    <x v="4"/>
    <x v="82"/>
    <s v="AVEOH|2026|ROJO|NEZ108C"/>
    <s v="ASHC"/>
    <s v="ASHC"/>
    <s v="UBER"/>
    <n v="4078.8068509169361"/>
    <x v="0"/>
    <m/>
    <s v="DEV 1821+879 PAG DE MÁS QUEDA TABLA PAGADO"/>
  </r>
  <r>
    <x v="1"/>
    <x v="4"/>
    <x v="118"/>
    <s v="AVEO|2019|BLANCO|NBS225A"/>
    <s v="ASHC"/>
    <s v="ASHC"/>
    <s v="UBER"/>
    <n v="164.42219121464416"/>
    <x v="0"/>
    <n v="2000"/>
    <m/>
  </r>
  <r>
    <x v="1"/>
    <x v="4"/>
    <x v="106"/>
    <s v="AVEOH|2026|ROJO|NEZ101C"/>
    <s v="ASHC"/>
    <s v="ASHC"/>
    <s v="DIDI"/>
    <n v="800"/>
    <x v="0"/>
    <m/>
    <s v="P 05 FEB 2000"/>
  </r>
  <r>
    <x v="1"/>
    <x v="4"/>
    <x v="4"/>
    <s v="KIA RIO|2023|ROJO|H99BLC"/>
    <s v="U64"/>
    <s v="BYER"/>
    <s v="UBER"/>
    <n v="3200"/>
    <x v="0"/>
    <m/>
    <s v="P ASHC 2983"/>
  </r>
  <r>
    <x v="1"/>
    <x v="4"/>
    <x v="98"/>
    <s v="AVEO|2021|GRIS|D51BHV"/>
    <s v="ASHC"/>
    <s v="ASHC"/>
    <s v="UBER"/>
    <n v="749.11292684763157"/>
    <x v="0"/>
    <m/>
    <m/>
  </r>
  <r>
    <x v="1"/>
    <x v="4"/>
    <x v="5"/>
    <s v="MARCH|2021|ROJO|NZU5163"/>
    <s v="ASHC"/>
    <s v="ASHC"/>
    <s v="DIDI"/>
    <n v="2600"/>
    <x v="0"/>
    <m/>
    <s v="P 02FEB 2500-P06FEB 100"/>
  </r>
  <r>
    <x v="1"/>
    <x v="4"/>
    <x v="84"/>
    <s v="AVEOH|2026|ACERO|NEJ996C"/>
    <s v="ASHC"/>
    <s v="ASHC"/>
    <s v="UBER"/>
    <n v="3200"/>
    <x v="0"/>
    <m/>
    <s v="P ASCH 1873"/>
  </r>
  <r>
    <x v="1"/>
    <x v="4"/>
    <x v="99"/>
    <s v="AVEO|2019|BLANCO|NBS225A"/>
    <s v="ASHC"/>
    <s v="ASHC"/>
    <s v="UBER"/>
    <n v="3626"/>
    <x v="0"/>
    <m/>
    <s v="AJUSTE PARA TABLA "/>
  </r>
  <r>
    <x v="1"/>
    <x v="4"/>
    <x v="99"/>
    <s v="AVEOH|2026|BLANCO|NJG470C"/>
    <s v="ASHC"/>
    <s v="ASHC"/>
    <s v="UBER"/>
    <n v="-423.68887190309238"/>
    <x v="1"/>
    <m/>
    <s v="DEP $50 04/02 ASHC"/>
  </r>
  <r>
    <x v="1"/>
    <x v="4"/>
    <x v="88"/>
    <s v="AVEO|2018|GRIS|X59AWG"/>
    <s v="ASHC"/>
    <s v="ASHC"/>
    <s v="UBER"/>
    <n v="514.52047771116759"/>
    <x v="0"/>
    <m/>
    <m/>
  </r>
  <r>
    <x v="1"/>
    <x v="4"/>
    <x v="88"/>
    <s v="KIA RIO|2017|ROJO|MYE912A"/>
    <s v="U64"/>
    <s v="BYER"/>
    <s v="UBER"/>
    <n v="-327.87952228883205"/>
    <x v="1"/>
    <m/>
    <s v="P 03FEB 200"/>
  </r>
  <r>
    <x v="1"/>
    <x v="4"/>
    <x v="15"/>
    <s v="AVEO|2023|GRIS|MLC126A"/>
    <s v="ASHC"/>
    <s v="ASHC"/>
    <s v="UBER"/>
    <n v="2500"/>
    <x v="0"/>
    <m/>
    <s v="P ASCH 1600"/>
  </r>
  <r>
    <x v="1"/>
    <x v="4"/>
    <x v="60"/>
    <s v="AVEO|2018|GRIS|X59AWG"/>
    <s v="ASHC"/>
    <s v="ASHC"/>
    <s v="UBER"/>
    <n v="-250"/>
    <x v="0"/>
    <m/>
    <s v="P ASHC 250"/>
  </r>
  <r>
    <x v="1"/>
    <x v="4"/>
    <x v="112"/>
    <s v="VENTO|2020|GRIS|R66BER"/>
    <s v="ASHC"/>
    <s v="ASHC"/>
    <s v="UBER"/>
    <n v="3501.96"/>
    <x v="0"/>
    <m/>
    <s v="P 05FEB CON 12% INTERES NO ES SALDO A FAVOR"/>
  </r>
  <r>
    <x v="1"/>
    <x v="4"/>
    <x v="87"/>
    <s v="AVEOH|2026|BLANCO|NJG485"/>
    <s v="ASHC"/>
    <s v="ASHC"/>
    <s v="UBER"/>
    <n v="2606.3599999999997"/>
    <x v="0"/>
    <m/>
    <s v="P3FEB 500"/>
  </r>
  <r>
    <x v="1"/>
    <x v="4"/>
    <x v="93"/>
    <s v="AVEOH|2026|BLANCO|NJG464C"/>
    <s v="ASHC"/>
    <s v="ASHC"/>
    <s v="UBER"/>
    <n v="3200"/>
    <x v="0"/>
    <m/>
    <s v="P ASHC 852"/>
  </r>
  <r>
    <x v="1"/>
    <x v="4"/>
    <x v="103"/>
    <s v="MARCH|2020|TURQ|N15BKD"/>
    <s v="ASHC"/>
    <s v="ASHC"/>
    <s v="UBER"/>
    <n v="2999.015753747798"/>
    <x v="0"/>
    <m/>
    <s v="P 04 FEB 973"/>
  </r>
  <r>
    <x v="1"/>
    <x v="4"/>
    <x v="113"/>
    <s v="AVEO|2022|AZUL|MUF515A"/>
    <s v="ASHC"/>
    <s v="ASHC"/>
    <s v="UBER"/>
    <n v="3693"/>
    <x v="0"/>
    <m/>
    <s v="p ASHC 5252"/>
  </r>
  <r>
    <x v="1"/>
    <x v="4"/>
    <x v="114"/>
    <s v="AVEO|2022|VINO|P62BHW"/>
    <s v="ASHC"/>
    <s v="ASHC"/>
    <s v="UBER"/>
    <n v="3000.063887065623"/>
    <x v="0"/>
    <m/>
    <s v="P 4FEB 639, EL TAG NO CORRESPONDE A EL"/>
  </r>
  <r>
    <x v="1"/>
    <x v="4"/>
    <x v="26"/>
    <s v="V DRIVE|2023|GRIS|MXW453C"/>
    <s v="ASHC"/>
    <s v="ASHC"/>
    <s v="DIDI"/>
    <n v="2393"/>
    <x v="0"/>
    <m/>
    <s v="$2400 03/02 ASHC BANO 07FEB 300 231"/>
  </r>
  <r>
    <x v="1"/>
    <x v="4"/>
    <x v="26"/>
    <s v="VENTO|2017|GRIS|MMA672C"/>
    <s v="ASHC"/>
    <s v="ASHC"/>
    <s v="DIDI"/>
    <n v="500"/>
    <x v="1"/>
    <m/>
    <s v=" "/>
  </r>
  <r>
    <x v="1"/>
    <x v="4"/>
    <x v="74"/>
    <s v="AVEOH|2026|ACERO|NEJ971C"/>
    <s v="ASHC"/>
    <s v="ASHC"/>
    <s v="UBER"/>
    <n v="2700"/>
    <x v="0"/>
    <m/>
    <s v="P ASHC 316"/>
  </r>
  <r>
    <x v="1"/>
    <x v="4"/>
    <x v="67"/>
    <s v="VERSA|2022|GRIS|NES596C"/>
    <s v="ASHC"/>
    <s v="ASHC"/>
    <s v="UBER"/>
    <n v="2500"/>
    <x v="0"/>
    <m/>
    <s v="P ASHC 3550"/>
  </r>
  <r>
    <x v="1"/>
    <x v="4"/>
    <x v="67"/>
    <s v="VENTO|2019|BLANCO|LUE965C"/>
    <s v="ASHC"/>
    <s v="ASHC"/>
    <s v="UBER"/>
    <n v="700"/>
    <x v="1"/>
    <m/>
    <s v="SE SALDA Y SE DEVUELVEN 3550/ ULTM HOJ"/>
  </r>
  <r>
    <x v="1"/>
    <x v="4"/>
    <x v="115"/>
    <s v="MARCH|2020|GRIS|NEJ984C"/>
    <s v="BYER"/>
    <s v="BYER"/>
    <s v="UBER"/>
    <n v="358.0738863748752"/>
    <x v="0"/>
    <m/>
    <s v="P ASHC 02 FEB AJUSTE PLAT ASHC"/>
  </r>
  <r>
    <x v="1"/>
    <x v="4"/>
    <x v="115"/>
    <s v="VENTO|2017|GRIS|MMA672C"/>
    <s v="ASHC"/>
    <s v="ASHC"/>
    <s v="UBER"/>
    <n v="2642.8571428571431"/>
    <x v="1"/>
    <m/>
    <s v="P ASHC 02 FEB AJUSTE PLAT ASHC"/>
  </r>
  <r>
    <x v="1"/>
    <x v="4"/>
    <x v="49"/>
    <s v="VERSA|2021|BLANCO|MEE228C"/>
    <s v="ASHC"/>
    <s v="ASHC"/>
    <s v="UBER"/>
    <n v="1738.2599999999998"/>
    <x v="0"/>
    <m/>
    <s v="P03FEB 1100/ ASHC BANO $630 04/02 09FEB 1339"/>
  </r>
  <r>
    <x v="1"/>
    <x v="4"/>
    <x v="62"/>
    <s v="AVEO|2022|AZUL|NZY685B"/>
    <s v="ASHC"/>
    <s v="ASHC"/>
    <s v="UBER"/>
    <n v="642.14285714285711"/>
    <x v="0"/>
    <m/>
    <s v="P05 FEB 580 CON12% INT NO ES SALDO A FAVOR"/>
  </r>
  <r>
    <x v="1"/>
    <x v="4"/>
    <x v="68"/>
    <s v="VERSA|2020|BLANCO|A35BHD"/>
    <s v="ASHC"/>
    <s v="ASHC"/>
    <s v="UBER"/>
    <n v="3200"/>
    <x v="0"/>
    <m/>
    <s v="28 EN SE LE CAMBIO VEHICULO AL NCT814A-P ASHC 214"/>
  </r>
  <r>
    <x v="1"/>
    <x v="4"/>
    <x v="119"/>
    <s v="MARCH|2020|GRIS|NEJ984C"/>
    <s v="BYER"/>
    <s v="BYER"/>
    <s v="UBER"/>
    <n v="517.85714285714289"/>
    <x v="0"/>
    <n v="2000"/>
    <s v="2K DE FIANZA- P ASHC 547"/>
  </r>
  <r>
    <x v="1"/>
    <x v="4"/>
    <x v="70"/>
    <s v="MARCH|2019|TURQ|MAY737C"/>
    <s v="BYER"/>
    <s v="BYER"/>
    <s v="UBER"/>
    <n v="-50.695820459723109"/>
    <x v="0"/>
    <m/>
    <s v="P 03 FEB"/>
  </r>
  <r>
    <x v="1"/>
    <x v="4"/>
    <x v="107"/>
    <s v="AVEO|2019|BLANCO|NBS225A"/>
    <s v="ASHC"/>
    <s v="ASHC"/>
    <s v="UBER"/>
    <n v="365.28571428571422"/>
    <x v="0"/>
    <m/>
    <s v="AJUS AUT 1/2 DIA ASCH 170"/>
  </r>
  <r>
    <x v="1"/>
    <x v="4"/>
    <x v="107"/>
    <s v="AVEOH|2026|BLANCO|NJJ925C"/>
    <s v="ASHC"/>
    <s v="ASHC"/>
    <s v="UBER"/>
    <n v="2598.5714285714284"/>
    <x v="1"/>
    <m/>
    <s v="SOLO PARA CUADRE DE TABLA"/>
  </r>
  <r>
    <x v="1"/>
    <x v="4"/>
    <x v="46"/>
    <s v="KIA RIO|2020|AZUL|LUE960C"/>
    <s v="ASHC"/>
    <s v="ASHC"/>
    <s v="UBER"/>
    <n v="0"/>
    <x v="0"/>
    <m/>
    <s v="PRIMER PAGO HOJALATERIA"/>
  </r>
  <r>
    <x v="1"/>
    <x v="4"/>
    <x v="96"/>
    <s v="AVEO|2025|PERSUASION|MZN057C"/>
    <s v="ASHC"/>
    <s v="ASHC"/>
    <s v="UBER"/>
    <n v="3613.96"/>
    <x v="0"/>
    <m/>
    <s v="P ASHC 662"/>
  </r>
  <r>
    <x v="1"/>
    <x v="4"/>
    <x v="116"/>
    <s v="VENTO|2020|GRIS|NES586C"/>
    <s v="ASHC"/>
    <s v="ASHC"/>
    <s v="UBER"/>
    <n v="2999.8067270647116"/>
    <x v="0"/>
    <m/>
    <s v="03/02 $2360"/>
  </r>
  <r>
    <x v="1"/>
    <x v="4"/>
    <x v="44"/>
    <s v="VENTO|2018|AMARILLO|NJJ912C"/>
    <s v="ASHC"/>
    <s v="ASHC"/>
    <s v="UBER"/>
    <n v="2500"/>
    <x v="0"/>
    <m/>
    <s v="P02FEB 2500 HOJALATERIA-458 A FAVOR SE VA PARA HOJALATERIA"/>
  </r>
  <r>
    <x v="1"/>
    <x v="4"/>
    <x v="44"/>
    <s v="VENTO|2017|GRIS|MMA672C"/>
    <s v="ASHC"/>
    <s v="ASHC"/>
    <s v="UBER"/>
    <n v="0"/>
    <x v="1"/>
    <m/>
    <m/>
  </r>
  <r>
    <x v="1"/>
    <x v="5"/>
    <x v="117"/>
    <s v="VENTO|2019|BLANCO|LUE965C"/>
    <s v="JGD"/>
    <s v="ASHC"/>
    <s v="DIDI"/>
    <n v="3000"/>
    <x v="0"/>
    <m/>
    <s v="10/02 PAGA $3000 AZTECA ASHC"/>
  </r>
  <r>
    <x v="1"/>
    <x v="5"/>
    <x v="59"/>
    <s v="AVEO|2025|PERSUASION|MXM510C"/>
    <s v="ASHC"/>
    <s v="ASHC"/>
    <s v="UBER"/>
    <n v="2700"/>
    <x v="0"/>
    <m/>
    <m/>
  </r>
  <r>
    <x v="1"/>
    <x v="5"/>
    <x v="0"/>
    <s v="VERSA|2020|ROJO|NLP172B"/>
    <s v="ASHC"/>
    <s v="ASHC"/>
    <s v="UBER"/>
    <n v="2500"/>
    <x v="0"/>
    <m/>
    <s v="P 09 FEB 2500"/>
  </r>
  <r>
    <x v="1"/>
    <x v="5"/>
    <x v="52"/>
    <s v="AVEO|2025|PERSUASION|MXM503C"/>
    <s v="ASHC"/>
    <s v="ASHC"/>
    <s v="UBER"/>
    <n v="2700"/>
    <x v="0"/>
    <m/>
    <m/>
  </r>
  <r>
    <x v="1"/>
    <x v="5"/>
    <x v="109"/>
    <s v="BEAT|2019|OCRE|MAY730C"/>
    <s v="ASHC"/>
    <s v="ASHC"/>
    <s v="UBER"/>
    <n v="179.42857142857142"/>
    <x v="0"/>
    <m/>
    <s v="P 10FEB 800 P12 FEB  151"/>
  </r>
  <r>
    <x v="1"/>
    <x v="5"/>
    <x v="109"/>
    <s v="VENTO|2020|GRIS|A19BDY"/>
    <s v="ASHC"/>
    <s v="ASHC"/>
    <s v="UBER"/>
    <n v="2821.6514285714284"/>
    <x v="1"/>
    <m/>
    <m/>
  </r>
  <r>
    <x v="1"/>
    <x v="5"/>
    <x v="31"/>
    <s v="SWIFT|2017|ROJO|X89ALV"/>
    <s v="BYER"/>
    <s v="BYER"/>
    <s v="UBER"/>
    <n v="2500"/>
    <x v="0"/>
    <m/>
    <m/>
  </r>
  <r>
    <x v="1"/>
    <x v="5"/>
    <x v="110"/>
    <s v="VERSA|2021|BLANCO|NEJ957C"/>
    <s v="ASHC"/>
    <s v="ASHC"/>
    <s v="UBER"/>
    <n v="3100"/>
    <x v="0"/>
    <m/>
    <m/>
  </r>
  <r>
    <x v="1"/>
    <x v="5"/>
    <x v="53"/>
    <s v="AVEO|2025|PERSUASION|MZN091C"/>
    <s v="ASHC"/>
    <s v="ASHC"/>
    <s v="UBER"/>
    <n v="3448.48"/>
    <x v="0"/>
    <m/>
    <s v="11 FEB 1427"/>
  </r>
  <r>
    <x v="1"/>
    <x v="5"/>
    <x v="50"/>
    <s v="HYUNDAI|2022|PLATA|D40BKD"/>
    <s v="ASHC"/>
    <s v="ASHC"/>
    <s v="UBER"/>
    <n v="2500"/>
    <x v="0"/>
    <m/>
    <m/>
  </r>
  <r>
    <x v="1"/>
    <x v="5"/>
    <x v="111"/>
    <s v="AVEO|2018|ROJO|R51BKD"/>
    <s v="U64"/>
    <s v="BYER"/>
    <s v="UBER"/>
    <n v="1928.5714285714287"/>
    <x v="0"/>
    <m/>
    <m/>
  </r>
  <r>
    <x v="1"/>
    <x v="5"/>
    <x v="111"/>
    <s v="BEAT|2019|OCRE|MAY730C"/>
    <s v="ASHC"/>
    <s v="ASHC"/>
    <s v="UBER"/>
    <n v="1071.4285714285716"/>
    <x v="1"/>
    <m/>
    <m/>
  </r>
  <r>
    <x v="1"/>
    <x v="5"/>
    <x v="77"/>
    <s v="KIA RIO|2020|GRIS|NCK475B"/>
    <s v="ASHC"/>
    <s v="ASHC"/>
    <s v="UBER"/>
    <n v="3458.2599999999993"/>
    <x v="0"/>
    <m/>
    <s v="11 FEB 1127"/>
  </r>
  <r>
    <x v="1"/>
    <x v="5"/>
    <x v="120"/>
    <s v="VERSA|2020|BLANCO|A35BHD"/>
    <s v="ASHC"/>
    <s v="ASHC"/>
    <s v="UBER"/>
    <n v="5602.7514285714287"/>
    <x v="0"/>
    <m/>
    <s v="SIN ANT FIANZA AUT ASHC. 15 FEB 1000 15 FEB 20"/>
  </r>
  <r>
    <x v="1"/>
    <x v="5"/>
    <x v="80"/>
    <s v="AVEOH|2026|ACERO|NEJ990C"/>
    <s v="ASHC"/>
    <s v="ASHC"/>
    <s v="UBER"/>
    <n v="3200"/>
    <x v="0"/>
    <m/>
    <m/>
  </r>
  <r>
    <x v="1"/>
    <x v="5"/>
    <x v="97"/>
    <s v="AVEO|2020|AZUL|D28BET"/>
    <s v="ASHC"/>
    <s v="ASHC"/>
    <s v="UBER"/>
    <n v="3000.6799999999994"/>
    <x v="0"/>
    <m/>
    <s v="P 13 FEB 810"/>
  </r>
  <r>
    <x v="1"/>
    <x v="5"/>
    <x v="21"/>
    <s v="AVEO|2025|PERSUASION|MXM502C"/>
    <s v="ASHC"/>
    <s v="ASHC"/>
    <s v="UBER"/>
    <n v="2060.9200000000033"/>
    <x v="0"/>
    <m/>
    <s v="P 10FEB 2000 P 11FEB 1300"/>
  </r>
  <r>
    <x v="1"/>
    <x v="5"/>
    <x v="21"/>
    <s v="KIA RIO|2020|GRIS|NCK475B"/>
    <s v="ASHC"/>
    <s v="ASHC"/>
    <s v="UBER"/>
    <n v="500"/>
    <x v="1"/>
    <m/>
    <m/>
  </r>
  <r>
    <x v="1"/>
    <x v="5"/>
    <x v="104"/>
    <s v="BEAT|2020|GRIS|NFN014B"/>
    <s v="U64"/>
    <s v="BYER"/>
    <s v="UBER"/>
    <n v="3700"/>
    <x v="0"/>
    <m/>
    <m/>
  </r>
  <r>
    <x v="1"/>
    <x v="5"/>
    <x v="94"/>
    <s v="AVEO|2023|VINO|R22BMR"/>
    <s v="ASHC"/>
    <s v="ASHC"/>
    <s v="UBER"/>
    <n v="3000.3599999999997"/>
    <x v="0"/>
    <m/>
    <s v="P 09FEB 1155"/>
  </r>
  <r>
    <x v="1"/>
    <x v="5"/>
    <x v="92"/>
    <s v="KIA RIO|2020|ROJO|MFP751C"/>
    <s v="ASHC"/>
    <s v="ASHC"/>
    <s v="UBER"/>
    <n v="30.842857142856843"/>
    <x v="0"/>
    <m/>
    <s v="BAJA"/>
  </r>
  <r>
    <x v="1"/>
    <x v="5"/>
    <x v="121"/>
    <s v="KIA RIO|2017|ROJO|MYE912A"/>
    <s v="U64"/>
    <s v="BYER"/>
    <s v="UBER"/>
    <n v="1714.2857142857147"/>
    <x v="0"/>
    <n v="2000"/>
    <s v="ANTICIPO DE FIANZA 2K TRANSFER MP ASHC"/>
  </r>
  <r>
    <x v="1"/>
    <x v="5"/>
    <x v="30"/>
    <s v="AVEOH|2024|BLANCO|MWV156C"/>
    <s v="ASHC"/>
    <s v="ASHC"/>
    <s v="UBER"/>
    <n v="2882.1399999999994"/>
    <x v="0"/>
    <m/>
    <s v="P 11FEB 500 P13FEB 540,300EFEC P14FEB131"/>
  </r>
  <r>
    <x v="1"/>
    <x v="5"/>
    <x v="30"/>
    <s v="KIA RIO|2020|ROJO|MFP751C"/>
    <s v="ASHC"/>
    <s v="ASHC"/>
    <s v="UBER"/>
    <n v="0"/>
    <x v="1"/>
    <m/>
    <s v="SIG SEM SE CONTINUA CON LA HOJALATERIA 14 FEB 1300"/>
  </r>
  <r>
    <x v="1"/>
    <x v="5"/>
    <x v="85"/>
    <s v="AVEOH|2026|BLANCO|NJG467C"/>
    <s v="ASHC"/>
    <s v="ASHC"/>
    <s v="UBER"/>
    <n v="0"/>
    <x v="0"/>
    <m/>
    <s v="LA SEM 7 SE EMPIEZA A PAGAR"/>
  </r>
  <r>
    <x v="1"/>
    <x v="5"/>
    <x v="55"/>
    <s v="AVEO|2024|GRIS|LRL009C"/>
    <s v="ASHC"/>
    <s v="ASHC"/>
    <s v="DIDI"/>
    <n v="700"/>
    <x v="0"/>
    <m/>
    <s v="14 FEB 700"/>
  </r>
  <r>
    <x v="1"/>
    <x v="5"/>
    <x v="57"/>
    <s v="BYD|2026|VERDE|78F032"/>
    <s v="ASHC"/>
    <s v="ASHC"/>
    <s v="UBER"/>
    <n v="2444.4399999999996"/>
    <x v="0"/>
    <m/>
    <m/>
  </r>
  <r>
    <x v="1"/>
    <x v="5"/>
    <x v="57"/>
    <s v="BYD|2026|VERDE|78F032"/>
    <s v="ASHC"/>
    <s v="BYER"/>
    <s v="UBER"/>
    <n v="0"/>
    <x v="1"/>
    <m/>
    <m/>
  </r>
  <r>
    <x v="1"/>
    <x v="5"/>
    <x v="82"/>
    <s v="AVEOH|2026|ROJO|NEZ108C"/>
    <s v="ASHC"/>
    <s v="ASHC"/>
    <s v="UBER"/>
    <n v="2485.6400000000003"/>
    <x v="0"/>
    <m/>
    <s v="357 AJUSTE EN FIANZA QUE ESTABA INCORRECTA DE NOV"/>
  </r>
  <r>
    <x v="1"/>
    <x v="5"/>
    <x v="118"/>
    <s v="AVEO|2019|BLANCO|NBS225A"/>
    <s v="ASHC"/>
    <s v="ASHC"/>
    <s v="UBER"/>
    <n v="-1194.3000000000002"/>
    <x v="0"/>
    <m/>
    <s v="BAJA"/>
  </r>
  <r>
    <x v="1"/>
    <x v="5"/>
    <x v="106"/>
    <s v="AVEOH|2026|ROJO|NEZ101C"/>
    <s v="ASHC"/>
    <s v="ASHC"/>
    <s v="DIDI"/>
    <n v="4544"/>
    <x v="0"/>
    <m/>
    <s v="P 09FEB 2000 -13 FEB 1000 - 14FEB 1300-15FEB 244"/>
  </r>
  <r>
    <x v="1"/>
    <x v="5"/>
    <x v="4"/>
    <s v="KIA RIO|2023|ROJO|H99BLC"/>
    <s v="U64"/>
    <s v="BYER"/>
    <s v="UBER"/>
    <n v="2500"/>
    <x v="0"/>
    <m/>
    <m/>
  </r>
  <r>
    <x v="1"/>
    <x v="5"/>
    <x v="98"/>
    <s v="AVEO|2021|GRIS|D51BHV"/>
    <s v="ASHC"/>
    <s v="ASHC"/>
    <s v="UBER"/>
    <n v="4260"/>
    <x v="0"/>
    <m/>
    <m/>
  </r>
  <r>
    <x v="1"/>
    <x v="5"/>
    <x v="5"/>
    <s v="MARCH|2021|ROJO|NZU5163"/>
    <s v="ASHC"/>
    <s v="ASHC"/>
    <s v="DIDI"/>
    <n v="2500"/>
    <x v="0"/>
    <m/>
    <s v="P 09 FEB 2500"/>
  </r>
  <r>
    <x v="1"/>
    <x v="5"/>
    <x v="84"/>
    <s v="AVEOH|2026|ACERO|NEJ996C"/>
    <s v="ASHC"/>
    <s v="ASHC"/>
    <s v="UBER"/>
    <n v="2343"/>
    <x v="0"/>
    <m/>
    <s v="357 FIANZA "/>
  </r>
  <r>
    <x v="1"/>
    <x v="5"/>
    <x v="99"/>
    <s v="AVEOH|2026|BLANCO|NJG470C"/>
    <s v="ASHC"/>
    <s v="ASHC"/>
    <s v="UBER"/>
    <n v="3200.12"/>
    <x v="0"/>
    <m/>
    <s v="P 11 FEB 400 EFEC YUL"/>
  </r>
  <r>
    <x v="1"/>
    <x v="5"/>
    <x v="88"/>
    <s v="KIA RIO|2020|ROJO|MFP751C"/>
    <s v="ASHC"/>
    <s v="ASHC"/>
    <s v="UBER"/>
    <n v="-956.02285714285745"/>
    <x v="0"/>
    <m/>
    <s v="P 09FEB 500"/>
  </r>
  <r>
    <x v="1"/>
    <x v="5"/>
    <x v="88"/>
    <s v="AVEO|2018|GRIS|X59AWG"/>
    <s v="ASHC"/>
    <s v="ASHC"/>
    <s v="UBER"/>
    <n v="107.14285714285711"/>
    <x v="1"/>
    <m/>
    <m/>
  </r>
  <r>
    <x v="1"/>
    <x v="5"/>
    <x v="15"/>
    <s v="AVEO|2023|GRIS|MLC126A"/>
    <s v="ASHC"/>
    <s v="ASHC"/>
    <s v="UBER"/>
    <n v="2500"/>
    <x v="0"/>
    <m/>
    <m/>
  </r>
  <r>
    <x v="1"/>
    <x v="5"/>
    <x v="8"/>
    <s v="AVEO|2025|PERSUASION|MXM502C"/>
    <s v="ASHC"/>
    <s v="ASHC"/>
    <s v="UBER"/>
    <n v="1428.5714285714287"/>
    <x v="0"/>
    <m/>
    <s v="NA"/>
  </r>
  <r>
    <x v="1"/>
    <x v="5"/>
    <x v="112"/>
    <s v="VENTO|2020|GRIS|R66BER"/>
    <s v="ASHC"/>
    <s v="ASHC"/>
    <s v="UBER"/>
    <n v="3000"/>
    <x v="0"/>
    <m/>
    <s v="11 FEB $2900 14FEB 100"/>
  </r>
  <r>
    <x v="1"/>
    <x v="5"/>
    <x v="87"/>
    <s v="AVEOH|2026|BLANCO|NJG485"/>
    <s v="ASHC"/>
    <s v="ASHC"/>
    <s v="UBER"/>
    <n v="3604.7000000000003"/>
    <x v="0"/>
    <m/>
    <s v="13 FEB 1000 15FEB  1300 16 FEB 246"/>
  </r>
  <r>
    <x v="1"/>
    <x v="5"/>
    <x v="93"/>
    <s v="AVEOH|2026|BLANCO|NJG464C"/>
    <s v="ASHC"/>
    <s v="ASHC"/>
    <s v="UBER"/>
    <n v="3120.5400000000045"/>
    <x v="0"/>
    <m/>
    <s v="14 FEB 700 15 FEB 700+250"/>
  </r>
  <r>
    <x v="1"/>
    <x v="5"/>
    <x v="103"/>
    <s v="MARCH|2020|TURQ|N15BKD"/>
    <s v="ASHC"/>
    <s v="ASHC"/>
    <s v="UBER"/>
    <n v="2999.7199999999984"/>
    <x v="0"/>
    <m/>
    <s v="P 11FEB 1387"/>
  </r>
  <r>
    <x v="1"/>
    <x v="5"/>
    <x v="113"/>
    <s v="AVEO|2022|AZUL|MUF515A"/>
    <s v="ASHC"/>
    <s v="ASHC"/>
    <s v="UBER"/>
    <n v="3000"/>
    <x v="0"/>
    <m/>
    <m/>
  </r>
  <r>
    <x v="1"/>
    <x v="5"/>
    <x v="122"/>
    <s v="AVEO|2024|GRIS|LRL009C"/>
    <s v="ASHC"/>
    <s v="ASHC"/>
    <s v="UBER"/>
    <n v="1928.2885714285699"/>
    <x v="0"/>
    <n v="2000"/>
    <s v="INICIA 04FEB 4.5 DIAS|2000 EFEC FIANZA 14FEB 6 EFEC"/>
  </r>
  <r>
    <x v="1"/>
    <x v="5"/>
    <x v="114"/>
    <s v="AVEO|2022|VINO|P62BHW"/>
    <s v="ASHC"/>
    <s v="ASHC"/>
    <s v="UBER"/>
    <n v="3000.7599999999984"/>
    <x v="0"/>
    <m/>
    <s v="P 14 FEB 1523"/>
  </r>
  <r>
    <x v="1"/>
    <x v="5"/>
    <x v="26"/>
    <s v="V DRIVE|2023|GRIS|MXW453C"/>
    <s v="ASHC"/>
    <s v="ASHC"/>
    <s v="DIDI"/>
    <n v="3943.44"/>
    <x v="0"/>
    <m/>
    <s v="P 11 FEB 1200 P14FEB 1743-16 FEB 800"/>
  </r>
  <r>
    <x v="1"/>
    <x v="5"/>
    <x v="26"/>
    <s v="VENTO|2017|GRIS|MMA672C"/>
    <s v="ASHC"/>
    <s v="ASHC"/>
    <s v="DIDI"/>
    <n v="500"/>
    <x v="1"/>
    <m/>
    <m/>
  </r>
  <r>
    <x v="1"/>
    <x v="5"/>
    <x v="74"/>
    <s v="AVEOH|2026|ACERO|NEJ971C"/>
    <s v="ASHC"/>
    <s v="ASHC"/>
    <s v="UBER"/>
    <n v="2700"/>
    <x v="0"/>
    <m/>
    <m/>
  </r>
  <r>
    <x v="1"/>
    <x v="5"/>
    <x v="67"/>
    <s v="VERSA|2022|GRIS|NES596C"/>
    <s v="ASHC"/>
    <s v="ASHC"/>
    <s v="UBER"/>
    <n v="2500"/>
    <x v="0"/>
    <m/>
    <m/>
  </r>
  <r>
    <x v="1"/>
    <x v="5"/>
    <x v="67"/>
    <s v="VENTO|2019|BLANCO|LUE965C"/>
    <s v="ASHC"/>
    <s v="ASHC"/>
    <s v="UBER"/>
    <n v="700"/>
    <x v="1"/>
    <m/>
    <s v="por cuadre ya que no debe"/>
  </r>
  <r>
    <x v="1"/>
    <x v="5"/>
    <x v="115"/>
    <s v="VENTO|2017|GRIS|MMA672C"/>
    <s v="ASHC"/>
    <s v="ASHC"/>
    <s v="UBER"/>
    <n v="2999.4000000000005"/>
    <x v="0"/>
    <m/>
    <s v="P 09FEB 445"/>
  </r>
  <r>
    <x v="1"/>
    <x v="5"/>
    <x v="49"/>
    <s v="VERSA|2021|BLANCO|MEE228C"/>
    <s v="ASHC"/>
    <s v="ASHC"/>
    <s v="UBER"/>
    <n v="-4260"/>
    <x v="0"/>
    <m/>
    <m/>
  </r>
  <r>
    <x v="1"/>
    <x v="5"/>
    <x v="62"/>
    <s v="AVEO|2022|AZUL|NZY685B"/>
    <s v="ASHC"/>
    <s v="ASHC"/>
    <s v="UBER"/>
    <n v="3000.8599999999997"/>
    <x v="0"/>
    <m/>
    <s v="P 10 FEB 2159"/>
  </r>
  <r>
    <x v="1"/>
    <x v="5"/>
    <x v="68"/>
    <s v="VERSA|2020|BLANCO|A35BHD"/>
    <s v="ASHC"/>
    <s v="ASHC"/>
    <s v="UBER"/>
    <n v="2500"/>
    <x v="0"/>
    <m/>
    <m/>
  </r>
  <r>
    <x v="1"/>
    <x v="5"/>
    <x v="119"/>
    <s v="MARCH|2020|GRIS|NEJ984C"/>
    <s v="BYER"/>
    <s v="BYER"/>
    <s v="UBER"/>
    <n v="3000"/>
    <x v="0"/>
    <m/>
    <m/>
  </r>
  <r>
    <x v="1"/>
    <x v="5"/>
    <x v="70"/>
    <s v="MARCH|2019|TURQ|MAY737C"/>
    <s v="BYER"/>
    <s v="BYER"/>
    <s v="UBER"/>
    <n v="455.86000000000058"/>
    <x v="0"/>
    <m/>
    <s v="P13FEB 1207"/>
  </r>
  <r>
    <x v="1"/>
    <x v="5"/>
    <x v="107"/>
    <s v="AVEOH|2026|BLANCO|NJJ925C"/>
    <s v="ASHC"/>
    <s v="ASHC"/>
    <s v="UBER"/>
    <n v="3199.7800000000007"/>
    <x v="0"/>
    <m/>
    <s v="P 13 FEB 1959"/>
  </r>
  <r>
    <x v="1"/>
    <x v="5"/>
    <x v="46"/>
    <s v="KIA RIO|2020|AZUL|LUE960C"/>
    <s v="ASHC"/>
    <s v="ASHC"/>
    <s v="UBER"/>
    <n v="-500"/>
    <x v="0"/>
    <m/>
    <m/>
  </r>
  <r>
    <x v="1"/>
    <x v="5"/>
    <x v="96"/>
    <s v="AVEO|2025|PERSUASION|MZN057C"/>
    <s v="ASHC"/>
    <s v="ASHC"/>
    <s v="UBER"/>
    <n v="2800.1799999999994"/>
    <x v="0"/>
    <m/>
    <s v="GAS $700 se paga 1,310 EN EFE 10FEB  11 FEB 400 GASOLINA ROSA AJUSTO EL MONTO"/>
  </r>
  <r>
    <x v="1"/>
    <x v="5"/>
    <x v="116"/>
    <s v="VENTO|2020|GRIS|NES586C"/>
    <s v="ASHC"/>
    <s v="ASHC"/>
    <s v="UBER"/>
    <n v="2999.3399999999983"/>
    <x v="0"/>
    <m/>
    <s v="11  FEB 677"/>
  </r>
  <r>
    <x v="1"/>
    <x v="5"/>
    <x v="44"/>
    <s v="VENTO|2018|AMARILLO|NJJ912C"/>
    <s v="ASHC"/>
    <s v="ASHC"/>
    <s v="UBER"/>
    <n v="-346.07439999999951"/>
    <x v="0"/>
    <m/>
    <s v="458 A FAVOR P HOJA SEM PAS P 09 FEB 1500"/>
  </r>
  <r>
    <x v="1"/>
    <x v="6"/>
    <x v="117"/>
    <s v="VENTO|2019|BLANCO|LUE965C"/>
    <s v="ASHC"/>
    <s v="ASHC"/>
    <s v="DIDI"/>
    <n v="3000"/>
    <x v="0"/>
    <m/>
    <s v="P18FEB 3000"/>
  </r>
  <r>
    <x v="1"/>
    <x v="6"/>
    <x v="59"/>
    <s v="AVEO|2025|PERSUASION|MXM510C"/>
    <s v="ASHC"/>
    <s v="ASHC"/>
    <s v="UBER"/>
    <n v="2507.1428571428573"/>
    <x v="0"/>
    <m/>
    <s v="P17FEB  2258"/>
  </r>
  <r>
    <x v="1"/>
    <x v="6"/>
    <x v="123"/>
    <s v="AVEO|2024|GRIS|LRL009C"/>
    <s v="ASHC"/>
    <s v="ASHC"/>
    <s v="UBER"/>
    <n v="2357.1428571428573"/>
    <x v="0"/>
    <n v="2000"/>
    <s v="P17FEB  857"/>
  </r>
  <r>
    <x v="1"/>
    <x v="6"/>
    <x v="0"/>
    <s v="VERSA|2020|ROJO|NLP172B"/>
    <s v="ASHC"/>
    <s v="ASHC"/>
    <s v="UBER"/>
    <n v="2500"/>
    <x v="0"/>
    <m/>
    <s v="P 17FEB 2500"/>
  </r>
  <r>
    <x v="1"/>
    <x v="6"/>
    <x v="52"/>
    <s v="AVEO|2025|PERSUASION|MXM503C"/>
    <s v="ASHC"/>
    <s v="ASHC"/>
    <s v="UBER"/>
    <n v="2700"/>
    <x v="0"/>
    <m/>
    <s v="P17FEB  4936"/>
  </r>
  <r>
    <x v="1"/>
    <x v="6"/>
    <x v="78"/>
    <s v="AVEOH|2026|BLANCO|NJG467C"/>
    <s v="ASHC"/>
    <s v="ASHC"/>
    <s v="UBER"/>
    <n v="2317.6514285714284"/>
    <x v="0"/>
    <m/>
    <s v="P19FEB $1050 EFEC"/>
  </r>
  <r>
    <x v="1"/>
    <x v="6"/>
    <x v="109"/>
    <s v="VENTO|2020|GRIS|A19BDY"/>
    <s v="ASHC"/>
    <s v="ASHC"/>
    <s v="UBER"/>
    <n v="3000"/>
    <x v="0"/>
    <m/>
    <s v="P17FEB 986"/>
  </r>
  <r>
    <x v="1"/>
    <x v="6"/>
    <x v="31"/>
    <s v="SWIFT|2017|ROJO|X89ALV"/>
    <s v="BYER"/>
    <s v="BYER"/>
    <s v="UBER"/>
    <n v="1551.3400000000001"/>
    <x v="0"/>
    <m/>
    <m/>
  </r>
  <r>
    <x v="1"/>
    <x v="6"/>
    <x v="110"/>
    <s v="VERSA|2021|BLANCO|NEJ957C"/>
    <s v="ASHC"/>
    <s v="ASHC"/>
    <s v="UBER"/>
    <n v="3100"/>
    <x v="0"/>
    <m/>
    <s v="P17FEB 1618"/>
  </r>
  <r>
    <x v="1"/>
    <x v="6"/>
    <x v="53"/>
    <s v="AVEO|2025|PERSUASION|MZN091C"/>
    <s v="ASHC"/>
    <s v="ASHC"/>
    <s v="UBER"/>
    <n v="2700"/>
    <x v="0"/>
    <m/>
    <s v="P17FEB   2842"/>
  </r>
  <r>
    <x v="1"/>
    <x v="6"/>
    <x v="124"/>
    <s v="AVEO|2018|ROJO|R51BKD"/>
    <s v="U64"/>
    <s v="BYER"/>
    <s v="UBER"/>
    <n v="701"/>
    <x v="0"/>
    <m/>
    <m/>
  </r>
  <r>
    <x v="1"/>
    <x v="6"/>
    <x v="50"/>
    <s v="HYUNDAI|2022|PLATA|D40BKD"/>
    <s v="ASHC"/>
    <s v="ASHC"/>
    <s v="UBER"/>
    <n v="2500"/>
    <x v="0"/>
    <m/>
    <s v="P17FEB   2530"/>
  </r>
  <r>
    <x v="1"/>
    <x v="6"/>
    <x v="111"/>
    <s v="BEAT|2019|OCRE|MAY730C"/>
    <s v="ASHC"/>
    <s v="ASHC"/>
    <s v="UBER"/>
    <n v="3500"/>
    <x v="0"/>
    <m/>
    <s v="P17FEB   3696"/>
  </r>
  <r>
    <x v="1"/>
    <x v="6"/>
    <x v="77"/>
    <s v="KIA RIO|2020|GRIS|NCK475B"/>
    <s v="ASHC"/>
    <s v="ASHC"/>
    <s v="UBER"/>
    <n v="3273.88"/>
    <x v="0"/>
    <m/>
    <s v="P20FEB 1500"/>
  </r>
  <r>
    <x v="1"/>
    <x v="6"/>
    <x v="120"/>
    <s v="VERSA|2020|BLANCO|A35BHD"/>
    <s v="ASHC"/>
    <s v="ASHC"/>
    <s v="UBER"/>
    <n v="478.4223999999997"/>
    <x v="0"/>
    <m/>
    <s v="se hace a jus"/>
  </r>
  <r>
    <x v="1"/>
    <x v="6"/>
    <x v="80"/>
    <s v="AVEOH|2026|ACERO|NEJ990C"/>
    <s v="ASHC"/>
    <s v="ASHC"/>
    <s v="UBER"/>
    <n v="2700"/>
    <x v="0"/>
    <m/>
    <s v="P17FEB   "/>
  </r>
  <r>
    <x v="1"/>
    <x v="6"/>
    <x v="97"/>
    <s v="AVEO|2020|AZUL|D28BET"/>
    <s v="ASHC"/>
    <s v="ASHC"/>
    <s v="UBER"/>
    <n v="3000"/>
    <x v="0"/>
    <m/>
    <s v="P17FEB   191"/>
  </r>
  <r>
    <x v="1"/>
    <x v="6"/>
    <x v="21"/>
    <s v="AVEO|2025|PERSUASION|MXM502C"/>
    <s v="ASHC"/>
    <s v="ASHC"/>
    <s v="UBER"/>
    <n v="2425.2864000000004"/>
    <x v="0"/>
    <m/>
    <s v="P17FEB   2000 - P18FEB 1000-P22 FEB 500-400"/>
  </r>
  <r>
    <x v="1"/>
    <x v="6"/>
    <x v="21"/>
    <s v="KIA RIO|2020|GRIS|NCK475B"/>
    <s v="ASHC"/>
    <s v="ASHC"/>
    <s v="UBER"/>
    <n v="700"/>
    <x v="1"/>
    <m/>
    <m/>
  </r>
  <r>
    <x v="1"/>
    <x v="6"/>
    <x v="104"/>
    <s v="BEAT|2020|GRIS|NFN014B"/>
    <s v="U64"/>
    <s v="BYER"/>
    <s v="UBER"/>
    <n v="3700"/>
    <x v="0"/>
    <m/>
    <s v="P17FEB   621"/>
  </r>
  <r>
    <x v="1"/>
    <x v="6"/>
    <x v="94"/>
    <s v="AVEO|2023|VINO|R22BMR"/>
    <s v="ASHC"/>
    <s v="ASHC"/>
    <s v="UBER"/>
    <n v="2999.1400000000012"/>
    <x v="0"/>
    <m/>
    <s v="P18FEB 27"/>
  </r>
  <r>
    <x v="1"/>
    <x v="6"/>
    <x v="121"/>
    <s v="KIA RIO|2017|ROJO|MYE912A"/>
    <s v="U64"/>
    <s v="BYER"/>
    <s v="UBER"/>
    <n v="3000"/>
    <x v="0"/>
    <m/>
    <s v="P17FEB   29"/>
  </r>
  <r>
    <x v="1"/>
    <x v="6"/>
    <x v="30"/>
    <s v="AVEOH|2024|BLANCO|MWV156C"/>
    <s v="ASHC"/>
    <s v="ASHC"/>
    <s v="UBER"/>
    <n v="3132.24"/>
    <x v="0"/>
    <m/>
    <s v="P 17FEB 370 P20FEB 445 P22 354+430"/>
  </r>
  <r>
    <x v="1"/>
    <x v="6"/>
    <x v="85"/>
    <s v="AVEOH|2026|BLANCO|NJG467C"/>
    <s v="ASHC"/>
    <s v="ASHC"/>
    <s v="UBER"/>
    <n v="-500"/>
    <x v="0"/>
    <m/>
    <s v="REGRESO DE FIANZA P19FEB 500"/>
  </r>
  <r>
    <x v="1"/>
    <x v="6"/>
    <x v="55"/>
    <s v="AVEO|2024|GRIS|LRL009C"/>
    <s v="ASHC"/>
    <s v="ASHC"/>
    <s v="DIDI"/>
    <n v="-700"/>
    <x v="0"/>
    <m/>
    <m/>
  </r>
  <r>
    <x v="1"/>
    <x v="6"/>
    <x v="57"/>
    <s v="BYD|2026|VERDE|78F032"/>
    <s v="ASHC"/>
    <s v="ASHC"/>
    <s v="UBER"/>
    <n v="5538"/>
    <x v="0"/>
    <m/>
    <s v="SE PONE DE RENTA LO QUE GENERO EN LA SEMANA"/>
  </r>
  <r>
    <x v="1"/>
    <x v="6"/>
    <x v="82"/>
    <s v="AVEOH|2026|ROJO|NEZ108C"/>
    <s v="ASHC"/>
    <s v="ASHC"/>
    <s v="UBER"/>
    <n v="1098.2807999999995"/>
    <x v="0"/>
    <m/>
    <s v="1000 23 FEB"/>
  </r>
  <r>
    <x v="1"/>
    <x v="6"/>
    <x v="106"/>
    <s v="AVEOH|2026|ROJO|NEZ101C"/>
    <s v="ASHC"/>
    <s v="ASHC"/>
    <s v="DIDI"/>
    <n v="-800"/>
    <x v="0"/>
    <m/>
    <s v="P20FEB 1200"/>
  </r>
  <r>
    <x v="1"/>
    <x v="6"/>
    <x v="4"/>
    <s v="KIA RIO|2023|ROJO|H99BLC"/>
    <s v="U64"/>
    <s v="BYER"/>
    <s v="UBER"/>
    <n v="2500"/>
    <x v="0"/>
    <m/>
    <s v="P17FEB   1225"/>
  </r>
  <r>
    <x v="1"/>
    <x v="6"/>
    <x v="98"/>
    <s v="AVEO|2021|GRIS|D51BHV"/>
    <s v="ASHC"/>
    <s v="ASHC"/>
    <s v="UBER"/>
    <n v="3000"/>
    <x v="0"/>
    <m/>
    <s v="P17FEB   603"/>
  </r>
  <r>
    <x v="1"/>
    <x v="6"/>
    <x v="5"/>
    <s v="MARCH|2021|ROJO|NZU5163"/>
    <s v="ASHC"/>
    <s v="ASHC"/>
    <s v="DIDI"/>
    <n v="2500"/>
    <x v="0"/>
    <m/>
    <s v="P 16FEB 2500"/>
  </r>
  <r>
    <x v="1"/>
    <x v="6"/>
    <x v="84"/>
    <s v="AVEOH|2026|ACERO|NEJ996C"/>
    <s v="ASHC"/>
    <s v="ASHC"/>
    <s v="UBER"/>
    <n v="2700"/>
    <x v="0"/>
    <m/>
    <s v="P17FEB   4,667"/>
  </r>
  <r>
    <x v="1"/>
    <x v="6"/>
    <x v="99"/>
    <s v="AVEOH|2026|BLANCO|NJG470C"/>
    <s v="ASHC"/>
    <s v="ASHC"/>
    <s v="UBER"/>
    <n v="-3042.7200000000003"/>
    <x v="0"/>
    <m/>
    <m/>
  </r>
  <r>
    <x v="1"/>
    <x v="6"/>
    <x v="88"/>
    <s v="KIA RIO|2020|ROJO|MFP751C"/>
    <s v="ASHC"/>
    <s v="ASHC"/>
    <s v="UBER"/>
    <n v="1102.3000000000002"/>
    <x v="0"/>
    <m/>
    <m/>
  </r>
  <r>
    <x v="1"/>
    <x v="6"/>
    <x v="15"/>
    <s v="AVEO|2023|GRIS|MLC126A"/>
    <s v="ASHC"/>
    <s v="ASHC"/>
    <s v="UBER"/>
    <n v="2500"/>
    <x v="0"/>
    <m/>
    <s v="P17FEB   1300 Y 27 A FAVOR PARA LA SEM 8"/>
  </r>
  <r>
    <x v="1"/>
    <x v="6"/>
    <x v="8"/>
    <s v="AVEO|2025|PERSUASION|MXM502C"/>
    <s v="ASHC"/>
    <s v="ASHC"/>
    <s v="UBER"/>
    <n v="3202.9399999999996"/>
    <x v="0"/>
    <m/>
    <s v="SE MOVIO LA MULTA PARA LA SIG SEMANA 17 FEB 170"/>
  </r>
  <r>
    <x v="1"/>
    <x v="6"/>
    <x v="125"/>
    <s v="AVEO|2019|BLANCO|NBS225A"/>
    <s v="ASHC"/>
    <s v="ASHC"/>
    <s v="UBER"/>
    <n v="2357.1428571428573"/>
    <x v="0"/>
    <m/>
    <s v="NO DEJO FIANZA P17 FEB 1042"/>
  </r>
  <r>
    <x v="1"/>
    <x v="6"/>
    <x v="112"/>
    <s v="VENTO|2020|GRIS|R66BER"/>
    <s v="ASHC"/>
    <s v="ASHC"/>
    <s v="UBER"/>
    <n v="3000"/>
    <x v="0"/>
    <m/>
    <s v="P18FEB 2000 -19FEB 1000"/>
  </r>
  <r>
    <x v="1"/>
    <x v="6"/>
    <x v="87"/>
    <s v="AVEOH|2026|BLANCO|NJG485C"/>
    <s v="ASHC"/>
    <s v="ASHC"/>
    <s v="UBER"/>
    <n v="3255.88"/>
    <x v="0"/>
    <m/>
    <s v="17 FEB 1000 20FEB 250"/>
  </r>
  <r>
    <x v="1"/>
    <x v="6"/>
    <x v="93"/>
    <s v="AVEOH|2026|BLANCO|NJG464C"/>
    <s v="ASHC"/>
    <s v="ASHC"/>
    <s v="UBER"/>
    <n v="3245.2000000000035"/>
    <x v="0"/>
    <m/>
    <s v="P20FEB 370"/>
  </r>
  <r>
    <x v="1"/>
    <x v="6"/>
    <x v="103"/>
    <s v="MARCH|2020|TURQ|N15BKD"/>
    <s v="ASHC"/>
    <s v="ASHC"/>
    <s v="UBER"/>
    <n v="3000"/>
    <x v="0"/>
    <m/>
    <s v="P17FEB    666"/>
  </r>
  <r>
    <x v="1"/>
    <x v="6"/>
    <x v="113"/>
    <s v="AVEO|2022|AZUL|MUF515A"/>
    <s v="ASHC"/>
    <s v="ASHC"/>
    <s v="UBER"/>
    <n v="3000"/>
    <x v="0"/>
    <m/>
    <s v="P17FEB   4975"/>
  </r>
  <r>
    <x v="1"/>
    <x v="6"/>
    <x v="114"/>
    <s v="AVEO|2022|VINO|P62BHW"/>
    <s v="ASHC"/>
    <s v="ASHC"/>
    <s v="UBER"/>
    <n v="3000"/>
    <x v="0"/>
    <m/>
    <s v="P17FEB   1677"/>
  </r>
  <r>
    <x v="1"/>
    <x v="6"/>
    <x v="26"/>
    <s v="V DRIVE|2023|GRIS|MXW453C"/>
    <s v="ASHC"/>
    <s v="ASHC"/>
    <s v="DIDI"/>
    <n v="-1100"/>
    <x v="0"/>
    <m/>
    <s v="16 FEB 700"/>
  </r>
  <r>
    <x v="1"/>
    <x v="6"/>
    <x v="26"/>
    <s v="VENTO|2017|GRIS|MMA672C"/>
    <s v="ASHC"/>
    <s v="ASHC"/>
    <s v="DIDI"/>
    <n v="-500"/>
    <x v="1"/>
    <m/>
    <m/>
  </r>
  <r>
    <x v="1"/>
    <x v="6"/>
    <x v="74"/>
    <s v="AVEOH|2026|ACERO|NEJ971C"/>
    <s v="ASHC"/>
    <s v="ASHC"/>
    <s v="UBER"/>
    <n v="2093"/>
    <x v="0"/>
    <m/>
    <s v="P17FEB   2372"/>
  </r>
  <r>
    <x v="1"/>
    <x v="6"/>
    <x v="67"/>
    <s v="VERSA|2022|GRIS|NES596C"/>
    <s v="ASHC"/>
    <s v="ASHC"/>
    <s v="UBER"/>
    <n v="2500"/>
    <x v="0"/>
    <m/>
    <s v="P17FEB   6389"/>
  </r>
  <r>
    <x v="1"/>
    <x v="6"/>
    <x v="67"/>
    <s v="VENTO|2019|BLANCO|LUE965C"/>
    <s v="GOÑI"/>
    <s v="ASHC"/>
    <s v="UBER"/>
    <n v="-700"/>
    <x v="1"/>
    <m/>
    <m/>
  </r>
  <r>
    <x v="1"/>
    <x v="6"/>
    <x v="115"/>
    <s v="VENTO|2017|GRIS|MMA672C"/>
    <s v="ASHC"/>
    <s v="ASHC"/>
    <s v="UBER"/>
    <n v="3000"/>
    <x v="0"/>
    <m/>
    <s v="P17FEB   195"/>
  </r>
  <r>
    <x v="1"/>
    <x v="6"/>
    <x v="49"/>
    <s v="VERSA|2021|BLANCO|MEE228C"/>
    <s v="ASHC"/>
    <s v="ASHC"/>
    <s v="UBER"/>
    <n v="-6727.6085714285718"/>
    <x v="0"/>
    <m/>
    <s v="SELE COBRABN INT POR INCUMPLIR"/>
  </r>
  <r>
    <x v="1"/>
    <x v="6"/>
    <x v="62"/>
    <s v="AVEO|2022|AZUL|NZY685B"/>
    <s v="ASHC"/>
    <s v="ASHC"/>
    <s v="UBER"/>
    <n v="-3321.38"/>
    <x v="0"/>
    <m/>
    <m/>
  </r>
  <r>
    <x v="1"/>
    <x v="6"/>
    <x v="68"/>
    <s v="VERSA|2020|BLANCO|A35BHD"/>
    <s v="ASHC"/>
    <s v="ASHC"/>
    <s v="UBER"/>
    <n v="3200"/>
    <x v="0"/>
    <m/>
    <s v="P17FEB   466"/>
  </r>
  <r>
    <x v="1"/>
    <x v="6"/>
    <x v="119"/>
    <s v="MARCH|2020|GRIS|NEJ984C"/>
    <s v="BYER"/>
    <s v="BYER"/>
    <s v="UBER"/>
    <n v="3000"/>
    <x v="0"/>
    <m/>
    <s v="P17FEB   3262"/>
  </r>
  <r>
    <x v="1"/>
    <x v="6"/>
    <x v="70"/>
    <s v="MARCH|2019|TURQ|MAY737C"/>
    <s v="BYER"/>
    <s v="BYER"/>
    <s v="UBER"/>
    <n v="951.92000000000007"/>
    <x v="0"/>
    <m/>
    <s v="16 FEB 1020"/>
  </r>
  <r>
    <x v="1"/>
    <x v="6"/>
    <x v="107"/>
    <s v="AVEOH|2026|BLANCO|NJJ925C"/>
    <s v="ASHC"/>
    <s v="ASHC"/>
    <s v="UBER"/>
    <n v="3200.4599999999991"/>
    <x v="0"/>
    <m/>
    <s v="FEB 16 1788"/>
  </r>
  <r>
    <x v="1"/>
    <x v="6"/>
    <x v="46"/>
    <s v="AVEO|2019|PLATA|NEL860A"/>
    <s v="ASHC"/>
    <s v="ASHC"/>
    <s v="UBER"/>
    <n v="1205.4914285714276"/>
    <x v="0"/>
    <m/>
    <s v="SE COBRA CUANDO PAGUE A IVETTE"/>
  </r>
  <r>
    <x v="1"/>
    <x v="6"/>
    <x v="96"/>
    <s v="AVEO|2025|PERSUASION|MZN057C"/>
    <s v="ASHC"/>
    <s v="ASHC"/>
    <s v="UBER"/>
    <n v="3199.3399999999992"/>
    <x v="0"/>
    <m/>
    <s v="P 18FEB 100"/>
  </r>
  <r>
    <x v="1"/>
    <x v="6"/>
    <x v="116"/>
    <s v="VENTO|2020|GRIS|NES586C"/>
    <s v="ASHC"/>
    <s v="ASHC"/>
    <s v="UBER"/>
    <n v="2999.4399999999987"/>
    <x v="0"/>
    <m/>
    <s v="P 17 FEB 767"/>
  </r>
  <r>
    <x v="1"/>
    <x v="6"/>
    <x v="44"/>
    <s v="VENTO|2018|AMARILLO|NJJ912C"/>
    <s v="ASHC"/>
    <s v="ASHC"/>
    <s v="UBER"/>
    <n v="6451.9600000000009"/>
    <x v="0"/>
    <m/>
    <s v="610 DE VERIFICACION. LUNES ENVIO PAGO DE 2500 CON FECHA DE 15FEB POR ELLO NO SE DESCONTO. SE QUITO EL 12% P20 2100 EFECT"/>
  </r>
  <r>
    <x v="1"/>
    <x v="7"/>
    <x v="117"/>
    <s v="VENTO|2019|BLANCO|LUE965C"/>
    <s v="ASHC"/>
    <s v="ASHC"/>
    <s v="DIDI"/>
    <n v="3000"/>
    <x v="0"/>
    <m/>
    <s v="P24 FEB 3000"/>
  </r>
  <r>
    <x v="1"/>
    <x v="7"/>
    <x v="59"/>
    <s v="AVEO|2025|PERSUASION|MXM510C"/>
    <s v="ASHC"/>
    <s v="ASHC"/>
    <s v="UBER"/>
    <n v="2700"/>
    <x v="0"/>
    <m/>
    <s v="P245 FEB 1669"/>
  </r>
  <r>
    <x v="1"/>
    <x v="7"/>
    <x v="123"/>
    <s v="AVEO|2024|GRIS|LRL009C"/>
    <s v="ASHC"/>
    <s v="ASHC"/>
    <s v="UBER"/>
    <n v="2132.8571428571431"/>
    <x v="0"/>
    <m/>
    <s v="PAGO CON SU TARJETA UNAS BALATAS- 1 DIA DE CUENTA ESTUVO AQUÍ CON SU AUTO Y ARREGLO LA BOLSA DE AIRE P24FEB 564"/>
  </r>
  <r>
    <x v="1"/>
    <x v="7"/>
    <x v="0"/>
    <s v="VERSA|2020|ROJO|NLP172B"/>
    <s v="ASHC"/>
    <s v="ASHC"/>
    <s v="UBER"/>
    <n v="2500"/>
    <x v="0"/>
    <m/>
    <s v="P 24FEB 2500"/>
  </r>
  <r>
    <x v="1"/>
    <x v="7"/>
    <x v="52"/>
    <s v="AVEO|2025|PERSUASION|MXM503C"/>
    <s v="ASHC"/>
    <s v="ASHC"/>
    <s v="UBER"/>
    <n v="2700"/>
    <x v="0"/>
    <m/>
    <s v="P23FEB4309"/>
  </r>
  <r>
    <x v="1"/>
    <x v="7"/>
    <x v="78"/>
    <s v="AVEOH|2026|BLANCO|NJG467C"/>
    <s v="ASHC"/>
    <s v="ASHC"/>
    <s v="UBER"/>
    <n v="1111.0511999999999"/>
    <x v="0"/>
    <m/>
    <s v="P26 FEB 1600"/>
  </r>
  <r>
    <x v="1"/>
    <x v="7"/>
    <x v="109"/>
    <s v="VENTO|2020|GRIS|A19BDY"/>
    <s v="ASHC"/>
    <s v="ASHC"/>
    <s v="UBER"/>
    <n v="3000"/>
    <x v="0"/>
    <m/>
    <s v="P23FEB 70"/>
  </r>
  <r>
    <x v="1"/>
    <x v="7"/>
    <x v="31"/>
    <s v="SWIFT|2017|ROJO|X89ALV"/>
    <s v="BYER"/>
    <s v="BYER"/>
    <s v="UBER"/>
    <n v="3031"/>
    <x v="0"/>
    <m/>
    <s v="P23FEB 1984 ESTA PEND EL ANTICONGELANTE"/>
  </r>
  <r>
    <x v="1"/>
    <x v="7"/>
    <x v="31"/>
    <s v="AVEO|2020|AZUL|D28BET"/>
    <s v="ASHC"/>
    <s v="ASHC"/>
    <s v="UBER"/>
    <n v="585"/>
    <x v="1"/>
    <m/>
    <s v="P23FEB 1984 ESTA PEND EL ANTICONGELANTE"/>
  </r>
  <r>
    <x v="1"/>
    <x v="7"/>
    <x v="110"/>
    <s v="KIA|2025|AZUL|NMC863C"/>
    <s v="ASHC"/>
    <s v="ASHC"/>
    <s v="UBER"/>
    <n v="3088"/>
    <x v="0"/>
    <m/>
    <s v="COMPRO BIRLOS P24FEB 638"/>
  </r>
  <r>
    <x v="1"/>
    <x v="7"/>
    <x v="53"/>
    <s v="AVEO|2025|PERSUASION|MZN091C"/>
    <s v="ASHC"/>
    <s v="ASHC"/>
    <s v="UBER"/>
    <n v="2699.3999999999987"/>
    <x v="0"/>
    <m/>
    <s v="P24 FEB 579"/>
  </r>
  <r>
    <x v="1"/>
    <x v="7"/>
    <x v="124"/>
    <s v="BYD|2026|VERDE|78F032"/>
    <s v="ASHC"/>
    <s v="ASHC"/>
    <s v="UBER"/>
    <n v="3422.6000000000004"/>
    <x v="0"/>
    <m/>
    <m/>
  </r>
  <r>
    <x v="1"/>
    <x v="7"/>
    <x v="50"/>
    <s v="HYUNDAI|2022|PLATA|D40BKD"/>
    <s v="ASHC"/>
    <s v="ASHC"/>
    <s v="UBER"/>
    <n v="2500"/>
    <x v="0"/>
    <m/>
    <s v="P23FEB 3746"/>
  </r>
  <r>
    <x v="1"/>
    <x v="7"/>
    <x v="111"/>
    <s v="BEAT|2019|OCRE|MAY730C"/>
    <s v="ASHC"/>
    <s v="ASHC"/>
    <s v="UBER"/>
    <n v="3000"/>
    <x v="0"/>
    <m/>
    <s v="P23FEB BRYAN OMAR"/>
  </r>
  <r>
    <x v="1"/>
    <x v="7"/>
    <x v="111"/>
    <s v="VERSA|2021|AZUL|NMC875C"/>
    <s v="ASHC"/>
    <s v="ASHC"/>
    <s v="UBER"/>
    <n v="500"/>
    <x v="1"/>
    <m/>
    <s v="P23FEB BRYAN OMAR"/>
  </r>
  <r>
    <x v="1"/>
    <x v="7"/>
    <x v="77"/>
    <s v="KIA RIO|2020|GRIS|NCK475B"/>
    <s v="ASHC"/>
    <s v="ASHC"/>
    <s v="UBER"/>
    <n v="3162.7799999999997"/>
    <x v="0"/>
    <m/>
    <s v="37 A FAVOR PORQUE PAGO DE MAS. 25FEB 1230"/>
  </r>
  <r>
    <x v="1"/>
    <x v="7"/>
    <x v="120"/>
    <s v="VERSA|2020|BLANCO|A35BHD"/>
    <s v="ASHC"/>
    <s v="ASHC"/>
    <s v="UBER"/>
    <n v="-1396.1457142857143"/>
    <x v="0"/>
    <m/>
    <s v="SE AJUSTO SEM 7 la fianza SE BAJO EL 17 FEB"/>
  </r>
  <r>
    <x v="1"/>
    <x v="7"/>
    <x v="80"/>
    <s v="AVEOH|2026|ACERO|NEJ990C"/>
    <s v="ASHC"/>
    <s v="ASHC"/>
    <s v="UBER"/>
    <n v="2700"/>
    <x v="0"/>
    <m/>
    <s v="P23FEB 3195"/>
  </r>
  <r>
    <x v="1"/>
    <x v="7"/>
    <x v="97"/>
    <s v="AVEO|2020|AZUL|D28BET"/>
    <s v="ASHC"/>
    <s v="ASHC"/>
    <s v="UBER"/>
    <n v="3000"/>
    <x v="0"/>
    <m/>
    <s v="P24FEB 1859"/>
  </r>
  <r>
    <x v="1"/>
    <x v="7"/>
    <x v="21"/>
    <s v="AVEO|2025|PERSUASION|MXM502C"/>
    <s v="ASHC"/>
    <s v="ASHC"/>
    <s v="UBER"/>
    <n v="3347.6887999999994"/>
    <x v="0"/>
    <m/>
    <s v="P24FEB 1300 P01MAR 1000"/>
  </r>
  <r>
    <x v="1"/>
    <x v="7"/>
    <x v="21"/>
    <s v="KIA RIO|2020|GRIS|NCK475B"/>
    <s v="ASHC"/>
    <s v="ASHC"/>
    <s v="UBER"/>
    <n v="500"/>
    <x v="1"/>
    <m/>
    <m/>
  </r>
  <r>
    <x v="1"/>
    <x v="7"/>
    <x v="104"/>
    <s v="BEAT|2020|GRIS|NFN014B"/>
    <s v="U64"/>
    <s v="BYER"/>
    <s v="UBER"/>
    <n v="3700"/>
    <x v="0"/>
    <m/>
    <s v="P24FFEB 1911"/>
  </r>
  <r>
    <x v="1"/>
    <x v="7"/>
    <x v="94"/>
    <s v="AVEO|2023|VINO|R22BMR"/>
    <s v="ASHC"/>
    <s v="ASHC"/>
    <s v="UBER"/>
    <n v="3000"/>
    <x v="0"/>
    <m/>
    <s v="P24FEB 665"/>
  </r>
  <r>
    <x v="1"/>
    <x v="7"/>
    <x v="126"/>
    <s v="AVEO|2019|PLATA|NEL860A"/>
    <s v="ASHC"/>
    <s v="ASHC"/>
    <s v="UBER"/>
    <n v="-135.54548571428575"/>
    <x v="0"/>
    <m/>
    <s v="BAJARON A EDSON EL SABADO 21"/>
  </r>
  <r>
    <x v="1"/>
    <x v="7"/>
    <x v="121"/>
    <s v="KIA RIO|2017|ROJO|MYE912A"/>
    <s v="U64"/>
    <s v="BYER"/>
    <s v="UBER"/>
    <n v="2599.08"/>
    <x v="0"/>
    <m/>
    <s v="P24FEB 452"/>
  </r>
  <r>
    <x v="1"/>
    <x v="7"/>
    <x v="127"/>
    <s v="BMW|2025|NEGRA|40K216"/>
    <s v="ASHC"/>
    <s v="ASHC"/>
    <s v="UBER"/>
    <n v="164"/>
    <x v="0"/>
    <m/>
    <m/>
  </r>
  <r>
    <x v="1"/>
    <x v="7"/>
    <x v="30"/>
    <s v="AVEOH|2024|BLANCO|MWV156C"/>
    <s v="ASHC"/>
    <s v="ASHC"/>
    <s v="UBER"/>
    <n v="1416"/>
    <x v="0"/>
    <m/>
    <s v="316 A FAVOR POR PAGO DE MAS  27FEB 350 28 FEB 200-300-200-250 28 FEB 1000"/>
  </r>
  <r>
    <x v="1"/>
    <x v="7"/>
    <x v="128"/>
    <s v="AVEO|2019|PLATA|NEL860A"/>
    <s v="ASHC"/>
    <s v="ASHC"/>
    <s v="UBER"/>
    <n v="4029.0600000000004"/>
    <x v="0"/>
    <m/>
    <m/>
  </r>
  <r>
    <x v="1"/>
    <x v="7"/>
    <x v="85"/>
    <s v="AVEOH|2026|BLANCO|NJG467C"/>
    <s v="ASHC"/>
    <s v="ASHC"/>
    <s v="UBER"/>
    <n v="-500"/>
    <x v="0"/>
    <m/>
    <s v="P24FEB 500"/>
  </r>
  <r>
    <x v="1"/>
    <x v="7"/>
    <x v="55"/>
    <s v="AVEO|2024|GRIS|LRL009C"/>
    <s v="ASHC"/>
    <s v="ASHC"/>
    <s v="DIDI"/>
    <n v="-1484"/>
    <x v="0"/>
    <m/>
    <m/>
  </r>
  <r>
    <x v="1"/>
    <x v="7"/>
    <x v="57"/>
    <s v="BYD|2026|VERDE|78F032"/>
    <s v="ASHC"/>
    <s v="ASHC"/>
    <s v="UBER"/>
    <n v="309"/>
    <x v="0"/>
    <m/>
    <m/>
  </r>
  <r>
    <x v="1"/>
    <x v="7"/>
    <x v="82"/>
    <s v="AVEOH|2026|ROJO|NEZ108C"/>
    <s v="ASHC"/>
    <s v="ASHC"/>
    <s v="UBER"/>
    <n v="169.44080000000031"/>
    <x v="0"/>
    <m/>
    <m/>
  </r>
  <r>
    <x v="1"/>
    <x v="7"/>
    <x v="106"/>
    <s v="AVEOH|2026|ROJO|NEZ101C"/>
    <s v="ASHC"/>
    <s v="ASHC"/>
    <s v="DIDI"/>
    <n v="-3840"/>
    <x v="0"/>
    <m/>
    <s v="26FEB ENTREGA AUTO POR TEMAS SALUD ESPOSA E IRA PAGANDO EN LA SEMANA . QUEDARIA LIQUIDADO EL 04MAR"/>
  </r>
  <r>
    <x v="1"/>
    <x v="7"/>
    <x v="4"/>
    <s v="KIA RIO|2023|ROJO|H99BLC"/>
    <s v="U64"/>
    <s v="BYER"/>
    <s v="UBER"/>
    <n v="3200"/>
    <x v="0"/>
    <m/>
    <s v="P23FEB 4547"/>
  </r>
  <r>
    <x v="1"/>
    <x v="7"/>
    <x v="98"/>
    <s v="AVEO|2021|GRIS|D51BHV"/>
    <s v="ASHC"/>
    <s v="ASHC"/>
    <s v="UBER"/>
    <n v="3000"/>
    <x v="0"/>
    <m/>
    <s v="P24FEB 2150"/>
  </r>
  <r>
    <x v="1"/>
    <x v="7"/>
    <x v="5"/>
    <s v="MARCH|2021|ROJO|NZU5163"/>
    <s v="ASHC"/>
    <s v="ASHC"/>
    <s v="DIDI"/>
    <n v="2600"/>
    <x v="0"/>
    <m/>
    <s v="P24FEB 2500 P25FEB 100"/>
  </r>
  <r>
    <x v="1"/>
    <x v="7"/>
    <x v="84"/>
    <s v="AVEOH|2026|ACERO|NEJ996C"/>
    <s v="ASHC"/>
    <s v="ASHC"/>
    <s v="UBER"/>
    <n v="2700"/>
    <x v="0"/>
    <m/>
    <s v="P24FEB 3162"/>
  </r>
  <r>
    <x v="1"/>
    <x v="7"/>
    <x v="99"/>
    <s v="AVEOH|2026|BLANCO|NJG470C"/>
    <s v="ASHC"/>
    <s v="ASHC"/>
    <s v="UBER"/>
    <n v="320.65999999999985"/>
    <x v="0"/>
    <m/>
    <s v="HABIA QUEDADO EN PAGAR LA MITAD Y LA OTRA ESTA SEM SE LE CALCU INTERESE SOBRE 1/2"/>
  </r>
  <r>
    <x v="1"/>
    <x v="7"/>
    <x v="88"/>
    <s v="KIA RIO|2020|ROJO|MFP751C"/>
    <s v="ASHC"/>
    <s v="ASHC"/>
    <s v="UBER"/>
    <n v="68.640000000000327"/>
    <x v="0"/>
    <m/>
    <s v="P24FEB 334 COMPLETADO PAGO"/>
  </r>
  <r>
    <x v="1"/>
    <x v="7"/>
    <x v="129"/>
    <s v="VERSA|2020|BLANCO|A35BHD"/>
    <s v="ASHC"/>
    <s v="ASHC"/>
    <s v="UBER"/>
    <n v="1286.3257142857142"/>
    <x v="0"/>
    <m/>
    <s v="P 23FEB 127"/>
  </r>
  <r>
    <x v="1"/>
    <x v="7"/>
    <x v="130"/>
    <s v="AVEO|2018|ROJO|R51BKD"/>
    <s v="ASHC"/>
    <s v="ASHC"/>
    <s v="DIDI"/>
    <n v="857.87028285714268"/>
    <x v="0"/>
    <m/>
    <s v="P 24 FEB 763"/>
  </r>
  <r>
    <x v="1"/>
    <x v="7"/>
    <x v="15"/>
    <s v="AVEO|2023|GRIS|MLC126A"/>
    <s v="ASHC"/>
    <s v="ASHC"/>
    <s v="UBER"/>
    <n v="2294.4285714285716"/>
    <x v="0"/>
    <m/>
    <s v="MEDIO DIA DE CUENTA POR EL LUNES DE CONTINGENCIA. 900 RETIRO SIN TARJETA P23FEB"/>
  </r>
  <r>
    <x v="1"/>
    <x v="7"/>
    <x v="8"/>
    <s v="AVEO|2025|PERSUASION|MXM502C"/>
    <s v="ASHC"/>
    <s v="ASHC"/>
    <s v="UBER"/>
    <n v="-719.2000000000005"/>
    <x v="0"/>
    <m/>
    <m/>
  </r>
  <r>
    <x v="1"/>
    <x v="7"/>
    <x v="131"/>
    <s v="VERSA|2021|BLANCO|MEE228C"/>
    <s v="ASHC"/>
    <s v="ASHC"/>
    <s v="UBER"/>
    <n v="857.14285714285722"/>
    <x v="0"/>
    <m/>
    <s v="P24FEB 869"/>
  </r>
  <r>
    <x v="1"/>
    <x v="7"/>
    <x v="125"/>
    <s v="AVEO|2019|BLANCO|NBS225A"/>
    <s v="ASHC"/>
    <s v="ASHC"/>
    <s v="UBER"/>
    <n v="3000"/>
    <x v="0"/>
    <m/>
    <m/>
  </r>
  <r>
    <x v="1"/>
    <x v="7"/>
    <x v="112"/>
    <s v="VENTO|2020|GRIS|R66BER"/>
    <s v="ASHC"/>
    <s v="ASHC"/>
    <s v="UBER"/>
    <n v="2000"/>
    <x v="0"/>
    <m/>
    <s v="P 25FEB 377 P 27FEB 500"/>
  </r>
  <r>
    <x v="1"/>
    <x v="7"/>
    <x v="87"/>
    <s v="AVEOH|2026|BLANCO|NJG485C"/>
    <s v="ASHC"/>
    <s v="ASHC"/>
    <s v="UBER"/>
    <n v="2168.96"/>
    <x v="0"/>
    <m/>
    <s v="A FAV 28 POR PAGO DE MAS. P24FEB 1000 P25FEB 1270"/>
  </r>
  <r>
    <x v="1"/>
    <x v="7"/>
    <x v="93"/>
    <s v="AVEOH|2026|BLANCO|NJG464C"/>
    <s v="ASHC"/>
    <s v="ASHC"/>
    <s v="UBER"/>
    <n v="3217.4600000000028"/>
    <x v="0"/>
    <m/>
    <s v="3 A FAVOR POR PAGO DE MAS- P27FEB 200"/>
  </r>
  <r>
    <x v="1"/>
    <x v="7"/>
    <x v="103"/>
    <s v="MARCH|2020|TURQ|N15BKD"/>
    <s v="ASHC"/>
    <s v="ASHC"/>
    <s v="UBER"/>
    <n v="3000.7999999999993"/>
    <x v="0"/>
    <m/>
    <s v="P 25FEB 377"/>
  </r>
  <r>
    <x v="1"/>
    <x v="7"/>
    <x v="114"/>
    <s v="AVEO|2022|VINO|P62BHW"/>
    <s v="ASHC"/>
    <s v="ASHC"/>
    <s v="UBER"/>
    <n v="3000.579999999999"/>
    <x v="0"/>
    <m/>
    <s v="P 24FEB 2056"/>
  </r>
  <r>
    <x v="1"/>
    <x v="7"/>
    <x v="26"/>
    <s v="V DRIVE|2023|GRIS|MXW453C"/>
    <s v="ASHC"/>
    <s v="ASHC"/>
    <s v="DIDI"/>
    <n v="-2076"/>
    <x v="0"/>
    <m/>
    <s v="P25FEB 1300 P27FEB 700"/>
  </r>
  <r>
    <x v="1"/>
    <x v="7"/>
    <x v="26"/>
    <s v="VENTO|2017|GRIS|MMA672C"/>
    <s v="ASHC"/>
    <s v="ASHC"/>
    <s v="DIDI"/>
    <n v="500"/>
    <x v="1"/>
    <m/>
    <m/>
  </r>
  <r>
    <x v="1"/>
    <x v="7"/>
    <x v="74"/>
    <s v="AVEOH|2026|ACERO|NEJ971C"/>
    <s v="ASHC"/>
    <s v="ASHC"/>
    <s v="UBER"/>
    <n v="2700"/>
    <x v="0"/>
    <m/>
    <s v="P24FEB"/>
  </r>
  <r>
    <x v="1"/>
    <x v="7"/>
    <x v="67"/>
    <s v="VERSA|2022|GRIS|NES596C"/>
    <s v="ASHC"/>
    <s v="ASHC"/>
    <s v="UBER"/>
    <n v="3200"/>
    <x v="0"/>
    <m/>
    <s v="P23FEB  3300"/>
  </r>
  <r>
    <x v="1"/>
    <x v="7"/>
    <x v="67"/>
    <s v="VENTO|2019|BLANCO|LUE965C"/>
    <s v="GOÑI"/>
    <s v="ASHC"/>
    <s v="UBER"/>
    <n v="700"/>
    <x v="1"/>
    <m/>
    <s v="P23FEB  3300"/>
  </r>
  <r>
    <x v="1"/>
    <x v="7"/>
    <x v="115"/>
    <s v="VENTO|2017|GRIS|MMA672C"/>
    <s v="ASHC"/>
    <s v="ASHC"/>
    <s v="UBER"/>
    <n v="2999.8799999999992"/>
    <x v="0"/>
    <m/>
    <s v="P23 FEB 152"/>
  </r>
  <r>
    <x v="1"/>
    <x v="7"/>
    <x v="62"/>
    <s v="AVEO|2022|AZUL|NZY685B"/>
    <s v="ASHC"/>
    <s v="ASHC"/>
    <s v="UBER"/>
    <n v="-6172.4285714285716"/>
    <x v="0"/>
    <m/>
    <s v="SE BAJO EL 21 FEB 6 DIAS DE CUENTA"/>
  </r>
  <r>
    <x v="1"/>
    <x v="7"/>
    <x v="68"/>
    <s v="VERSA|2020|BLANCO|A35BHD"/>
    <s v="ASHC"/>
    <s v="ASHC"/>
    <s v="UBER"/>
    <n v="3200.74"/>
    <x v="0"/>
    <m/>
    <s v="P23FEB 2097"/>
  </r>
  <r>
    <x v="1"/>
    <x v="7"/>
    <x v="119"/>
    <s v="MARCH|2020|GRIS|NEJ984C"/>
    <s v="BYER"/>
    <s v="BYER"/>
    <s v="UBER"/>
    <n v="3000"/>
    <x v="0"/>
    <m/>
    <s v="P23FEB"/>
  </r>
  <r>
    <x v="1"/>
    <x v="7"/>
    <x v="70"/>
    <s v="MARCH|2019|TURQ|MAY737C"/>
    <s v="BYER"/>
    <s v="BYER"/>
    <s v="UBER"/>
    <n v="-2718.08"/>
    <x v="0"/>
    <m/>
    <m/>
  </r>
  <r>
    <x v="1"/>
    <x v="7"/>
    <x v="107"/>
    <s v="AVEOH|2026|BLANCO|NJJ925C"/>
    <s v="ASHC"/>
    <s v="ASHC"/>
    <s v="UBER"/>
    <n v="3199.7600000000011"/>
    <x v="0"/>
    <m/>
    <s v="P27FEB 2854"/>
  </r>
  <r>
    <x v="1"/>
    <x v="7"/>
    <x v="132"/>
    <m/>
    <s v="ASHC"/>
    <s v="ASHC"/>
    <s v="UBER"/>
    <n v="1170"/>
    <x v="0"/>
    <m/>
    <m/>
  </r>
  <r>
    <x v="1"/>
    <x v="7"/>
    <x v="46"/>
    <s v="AVEO|2019|PLATA|NEL860A"/>
    <s v="ASHC"/>
    <s v="ASHC"/>
    <s v="UBER"/>
    <n v="3124.96"/>
    <x v="0"/>
    <m/>
    <s v="P24FEB 1051"/>
  </r>
  <r>
    <x v="1"/>
    <x v="7"/>
    <x v="96"/>
    <s v="AVEO|2025|PERSUASION|MZN057C"/>
    <s v="ASHC"/>
    <s v="ASHC"/>
    <s v="UBER"/>
    <n v="3199.4799999999996"/>
    <x v="0"/>
    <m/>
    <s v="P24 FEB 1000 25 FEB 498"/>
  </r>
  <r>
    <x v="1"/>
    <x v="7"/>
    <x v="116"/>
    <s v="VENTO|2020|GRIS|NES586C"/>
    <s v="ASHC"/>
    <s v="ASHC"/>
    <s v="UBER"/>
    <n v="2998.159999999998"/>
    <x v="0"/>
    <m/>
    <m/>
  </r>
  <r>
    <x v="1"/>
    <x v="7"/>
    <x v="44"/>
    <s v="VENTO|2018|AMARILLO|NJJ912C"/>
    <s v="ASHC"/>
    <s v="ASHC"/>
    <s v="UBER"/>
    <n v="6415.0399999999991"/>
    <x v="0"/>
    <m/>
    <s v="P24FEB 2500 p27feb 1500 P02mar1000"/>
  </r>
  <r>
    <x v="1"/>
    <x v="8"/>
    <x v="117"/>
    <s v="VENTO|2019|BLANCO|LUE965C"/>
    <s v="JGD"/>
    <s v="JGD"/>
    <s v="DIDI"/>
    <n v="3000"/>
    <x v="0"/>
    <m/>
    <s v="P03MAR 3000"/>
  </r>
  <r>
    <x v="1"/>
    <x v="8"/>
    <x v="59"/>
    <s v="AVEO|2025|PERSUASION|MXM510C"/>
    <s v="ASHC"/>
    <s v="ASHC"/>
    <s v="UBER"/>
    <n v="-100"/>
    <x v="0"/>
    <m/>
    <s v="SE HACE AJUSTE DE GOLPES Y TAPETE CON FIANZA.P03MAR"/>
  </r>
  <r>
    <x v="1"/>
    <x v="8"/>
    <x v="123"/>
    <s v="AVEO|2024|GRIS|LRL009C"/>
    <s v="ASHC"/>
    <s v="ASHC"/>
    <s v="UBER"/>
    <n v="3000.0399999999981"/>
    <x v="0"/>
    <m/>
    <s v="P04MAR 852"/>
  </r>
  <r>
    <x v="1"/>
    <x v="8"/>
    <x v="0"/>
    <s v="VERSA|2020|ROJO|NLP172B"/>
    <s v="ASHC"/>
    <s v="ASHC"/>
    <s v="UBER"/>
    <n v="2500"/>
    <x v="0"/>
    <m/>
    <s v="P03MAR 2500"/>
  </r>
  <r>
    <x v="1"/>
    <x v="8"/>
    <x v="52"/>
    <s v="AVEO|2025|PERSUASION|MXM503C"/>
    <s v="ASHC"/>
    <s v="ASHC"/>
    <s v="UBER"/>
    <n v="2700"/>
    <x v="0"/>
    <m/>
    <s v="P03MAR"/>
  </r>
  <r>
    <x v="1"/>
    <x v="8"/>
    <x v="133"/>
    <s v="BEAT|2020|GRIS|NFN014B"/>
    <s v="U64"/>
    <s v="BYER"/>
    <s v="UBER"/>
    <n v="2571.5714285714271"/>
    <x v="0"/>
    <n v="2000"/>
    <s v="ANTICIPO FIANZA 2000 P05MAR 348"/>
  </r>
  <r>
    <x v="1"/>
    <x v="8"/>
    <x v="78"/>
    <s v="AVEOH|2026|BLANCO|NJG467C"/>
    <s v="ASHC"/>
    <s v="ASHC"/>
    <s v="UBER"/>
    <n v="715.72080000000005"/>
    <x v="0"/>
    <m/>
    <s v="ADEUDO 1228*12%"/>
  </r>
  <r>
    <x v="1"/>
    <x v="8"/>
    <x v="109"/>
    <s v="VENTO|2020|GRIS|A19BDY"/>
    <s v="ASHC"/>
    <s v="ASHC"/>
    <s v="UBER"/>
    <n v="2999.58"/>
    <x v="0"/>
    <m/>
    <s v="P06MAR 832"/>
  </r>
  <r>
    <x v="1"/>
    <x v="8"/>
    <x v="134"/>
    <s v="AVEO|2022|AZUL|NZY685B"/>
    <s v="ASHC"/>
    <s v="ASHC"/>
    <s v="UBER"/>
    <n v="2358.0571428571425"/>
    <x v="0"/>
    <n v="1920"/>
    <s v="ANTICIPO FIANZA 1920.P850 P267 09/03"/>
  </r>
  <r>
    <x v="1"/>
    <x v="8"/>
    <x v="31"/>
    <s v="SWIFT|2017|ROJO|X89ALV"/>
    <s v="BYER"/>
    <s v="BYER"/>
    <s v="UBER"/>
    <n v="2500"/>
    <x v="0"/>
    <m/>
    <s v="P03MAR"/>
  </r>
  <r>
    <x v="1"/>
    <x v="8"/>
    <x v="31"/>
    <s v="AVEO|2020|AZUL|D28BET"/>
    <s v="ASHC"/>
    <s v="ASHC"/>
    <s v="UBER"/>
    <n v="585"/>
    <x v="1"/>
    <m/>
    <s v="AJUSTE YA QUE SE LE PAGO"/>
  </r>
  <r>
    <x v="1"/>
    <x v="8"/>
    <x v="110"/>
    <s v="KIA|2025|AZUL|NMC863C"/>
    <s v="ASHC"/>
    <s v="ASHC"/>
    <s v="UBER"/>
    <n v="3200"/>
    <x v="0"/>
    <m/>
    <s v="P03MAR"/>
  </r>
  <r>
    <x v="1"/>
    <x v="8"/>
    <x v="53"/>
    <s v="AVEO|2025|PERSUASION|MZN091C"/>
    <s v="ASHC"/>
    <s v="ASHC"/>
    <s v="UBER"/>
    <n v="249.38000000000011"/>
    <x v="0"/>
    <m/>
    <s v="P07MAR500"/>
  </r>
  <r>
    <x v="1"/>
    <x v="8"/>
    <x v="135"/>
    <m/>
    <s v="ASHC"/>
    <s v="ASHC"/>
    <s v="UBER"/>
    <n v="56"/>
    <x v="0"/>
    <m/>
    <m/>
  </r>
  <r>
    <x v="1"/>
    <x v="8"/>
    <x v="50"/>
    <s v="HYUNDAI|2022|PLATA|D40BKD"/>
    <s v="ASHC"/>
    <s v="ASHC"/>
    <s v="UBER"/>
    <n v="2500"/>
    <x v="0"/>
    <m/>
    <s v="P03MAR"/>
  </r>
  <r>
    <x v="1"/>
    <x v="8"/>
    <x v="111"/>
    <s v="BEAT|2019|OCRE|MAY730C"/>
    <s v="ASHC"/>
    <s v="ASHC"/>
    <s v="UBER"/>
    <n v="3000"/>
    <x v="0"/>
    <m/>
    <s v="P03MAR"/>
  </r>
  <r>
    <x v="1"/>
    <x v="8"/>
    <x v="111"/>
    <s v="VERSA|2021|AZUL|NMC875C"/>
    <s v="ASHC"/>
    <s v="ASHC"/>
    <s v="UBER"/>
    <n v="0"/>
    <x v="1"/>
    <m/>
    <m/>
  </r>
  <r>
    <x v="1"/>
    <x v="8"/>
    <x v="77"/>
    <s v="KIA RIO|2020|GRIS|NCK475B"/>
    <s v="ASHC"/>
    <s v="ASHC"/>
    <s v="UBER"/>
    <n v="1503.04"/>
    <x v="0"/>
    <m/>
    <s v="P07MAR1500"/>
  </r>
  <r>
    <x v="1"/>
    <x v="8"/>
    <x v="120"/>
    <s v="VERSA|2020|BLANCO|A35BHD"/>
    <s v="ASHC"/>
    <s v="ASHC"/>
    <s v="UBER"/>
    <n v="0"/>
    <x v="0"/>
    <m/>
    <s v="P03MAR"/>
  </r>
  <r>
    <x v="1"/>
    <x v="8"/>
    <x v="80"/>
    <s v="AVEOH|2026|ACERO|NEJ990C"/>
    <s v="ASHC"/>
    <s v="ASHC"/>
    <s v="UBER"/>
    <n v="2507.1428571428573"/>
    <x v="0"/>
    <m/>
    <s v="1/2 DIA DEL 18 DE FEB NO CIRC.P03MAR"/>
  </r>
  <r>
    <x v="1"/>
    <x v="8"/>
    <x v="97"/>
    <s v="AVEO|2020|AZUL|D28BET"/>
    <s v="ASHC"/>
    <s v="ASHC"/>
    <s v="UBER"/>
    <n v="2821.4285714285716"/>
    <x v="0"/>
    <m/>
    <s v="1/2 DIA DEL 17 DE FEB NO CIRC. P03MAR"/>
  </r>
  <r>
    <x v="1"/>
    <x v="8"/>
    <x v="21"/>
    <s v="AVEO|2025|PERSUASION|MXM502C"/>
    <s v="ASHC"/>
    <s v="ASHC"/>
    <s v="UBER"/>
    <n v="827.01920000000064"/>
    <x v="0"/>
    <m/>
    <s v="P0503  900, SE APLICA 700 A HOJ Y 200 A ESTA LINEA"/>
  </r>
  <r>
    <x v="1"/>
    <x v="8"/>
    <x v="21"/>
    <s v="KIA RIO|2020|GRIS|NCK475B"/>
    <s v="ASHC"/>
    <s v="ASHC"/>
    <s v="UBER"/>
    <n v="700"/>
    <x v="1"/>
    <m/>
    <m/>
  </r>
  <r>
    <x v="1"/>
    <x v="8"/>
    <x v="104"/>
    <s v="BEAT|2020|GRIS|NFN014B"/>
    <s v="U64"/>
    <s v="BYER"/>
    <s v="UBER"/>
    <n v="3343"/>
    <x v="0"/>
    <m/>
    <s v="P03MAR"/>
  </r>
  <r>
    <x v="1"/>
    <x v="8"/>
    <x v="94"/>
    <s v="AVEO|2023|VINO|R22BMR"/>
    <s v="ASHC"/>
    <s v="ASHC"/>
    <s v="UBER"/>
    <n v="-428.4399999999996"/>
    <x v="0"/>
    <m/>
    <m/>
  </r>
  <r>
    <x v="1"/>
    <x v="8"/>
    <x v="121"/>
    <s v="KIA RIO|2017|ROJO|MYE912A"/>
    <s v="U64"/>
    <s v="BYER"/>
    <s v="UBER"/>
    <n v="3093.66"/>
    <x v="0"/>
    <m/>
    <s v="ADEUDO 200*12%. P05MAR 137"/>
  </r>
  <r>
    <x v="1"/>
    <x v="8"/>
    <x v="136"/>
    <s v="AVEO|2019|BLANCO|NBS225A"/>
    <s v="ASHC"/>
    <s v="ASHC"/>
    <s v="UBER"/>
    <n v="1071.4285714285716"/>
    <x v="0"/>
    <m/>
    <s v="ANTICIPO FIANZA 2000 TRANSF. P03MAR"/>
  </r>
  <r>
    <x v="1"/>
    <x v="8"/>
    <x v="136"/>
    <s v="AVEOH|2026|ROJO|NEZ101C"/>
    <s v="ASHC"/>
    <s v="ASHC"/>
    <s v="UBER"/>
    <n v="1129.4285714285686"/>
    <x v="1"/>
    <n v="2000"/>
    <s v="ANTICIPO FIANZA 2000 TRANSF. AJUSTE YA QUE S ELE PAGO"/>
  </r>
  <r>
    <x v="1"/>
    <x v="8"/>
    <x v="127"/>
    <s v="BMW|2025|NEGRA|40K216"/>
    <s v="ASHC"/>
    <s v="ASHC"/>
    <s v="UBER"/>
    <n v="50.22"/>
    <x v="0"/>
    <m/>
    <m/>
  </r>
  <r>
    <x v="1"/>
    <x v="8"/>
    <x v="30"/>
    <s v="AVEOH|2024|BLANCO|MWV156C"/>
    <s v="ASHC"/>
    <s v="ASHC"/>
    <s v="UBER"/>
    <n v="-2927.08"/>
    <x v="0"/>
    <m/>
    <s v="08mar 448"/>
  </r>
  <r>
    <x v="1"/>
    <x v="8"/>
    <x v="85"/>
    <s v="AVEOH|2026|BLANCO|NJG467C"/>
    <s v="ASHC"/>
    <s v="ASHC"/>
    <s v="UBER"/>
    <n v="-500"/>
    <x v="0"/>
    <m/>
    <s v="P03MAR"/>
  </r>
  <r>
    <x v="1"/>
    <x v="8"/>
    <x v="55"/>
    <s v="AVEO|2024|GRIS|LRL009C"/>
    <s v="ASHC"/>
    <s v="ASHC"/>
    <s v="DIDI"/>
    <n v="-2184"/>
    <x v="0"/>
    <m/>
    <s v="HOJALATERIA SIN 12%"/>
  </r>
  <r>
    <x v="1"/>
    <x v="8"/>
    <x v="137"/>
    <s v="AVEO|2019|BLANCO|NBS225A"/>
    <s v="ASHC"/>
    <s v="ASHC"/>
    <s v="UBER"/>
    <n v="642.85714285714289"/>
    <x v="0"/>
    <m/>
    <s v="SALDO A FAVOR PARA LA SEM 10"/>
  </r>
  <r>
    <x v="1"/>
    <x v="8"/>
    <x v="57"/>
    <s v="BYD|2026|VERDE|78F032"/>
    <s v="ASHC"/>
    <s v="ASHC"/>
    <s v="UBER"/>
    <n v="4915"/>
    <x v="0"/>
    <m/>
    <m/>
  </r>
  <r>
    <x v="1"/>
    <x v="8"/>
    <x v="82"/>
    <s v="AVEOH|2026|ROJO|NEZ108C"/>
    <s v="ASHC"/>
    <s v="ASHC"/>
    <s v="UBER"/>
    <n v="2325.3807999999999"/>
    <x v="0"/>
    <m/>
    <s v="ADEUDO 1,666*12% P."/>
  </r>
  <r>
    <x v="1"/>
    <x v="8"/>
    <x v="106"/>
    <s v="AVEOH|2026|ROJO|NEZ101C"/>
    <s v="ASHC"/>
    <s v="ASHC"/>
    <s v="DIDI"/>
    <n v="1602.8571428571431"/>
    <x v="0"/>
    <m/>
    <s v="BAJA 26FEB. 26 FUE A SERVICIO TODO EL DIA. P03MAR 1500 P13MAR 700"/>
  </r>
  <r>
    <x v="1"/>
    <x v="8"/>
    <x v="4"/>
    <s v="KIA RIO|2023|ROJO|H99BLC"/>
    <s v="U64"/>
    <s v="BYER"/>
    <s v="UBER"/>
    <n v="3200"/>
    <x v="0"/>
    <m/>
    <s v="P03MAR 4006"/>
  </r>
  <r>
    <x v="1"/>
    <x v="8"/>
    <x v="98"/>
    <s v="AVEO|2021|GRIS|D51BHV"/>
    <s v="ASHC"/>
    <s v="ASHC"/>
    <s v="UBER"/>
    <n v="3000"/>
    <x v="0"/>
    <m/>
    <s v="P03MAR"/>
  </r>
  <r>
    <x v="1"/>
    <x v="8"/>
    <x v="5"/>
    <s v="MARCH|2021|ROJO|NZU5163"/>
    <s v="ASHC"/>
    <s v="ASHC"/>
    <s v="DIDI"/>
    <n v="2400"/>
    <x v="0"/>
    <m/>
    <s v="P03MAR2500"/>
  </r>
  <r>
    <x v="1"/>
    <x v="8"/>
    <x v="84"/>
    <s v="AVEOH|2026|ACERO|NEJ996C"/>
    <s v="ASHC"/>
    <s v="ASHC"/>
    <s v="UBER"/>
    <n v="2507.1428571428573"/>
    <x v="0"/>
    <m/>
    <s v="1/2 CONT SEM ANTEPASADA.P03MAR"/>
  </r>
  <r>
    <x v="1"/>
    <x v="8"/>
    <x v="99"/>
    <s v="AVEOH|2026|BLANCO|NJG470C"/>
    <s v="ASHC"/>
    <s v="ASHC"/>
    <s v="UBER"/>
    <n v="1671.7999999999997"/>
    <x v="0"/>
    <m/>
    <s v="ADEUDO 3094*12% P07MAR 1000"/>
  </r>
  <r>
    <x v="1"/>
    <x v="8"/>
    <x v="88"/>
    <s v="KIA RIO|2020|ROJO|MFP751C"/>
    <s v="ASHC"/>
    <s v="ASHC"/>
    <s v="UBER"/>
    <n v="-1695.46"/>
    <x v="0"/>
    <m/>
    <m/>
  </r>
  <r>
    <x v="1"/>
    <x v="8"/>
    <x v="129"/>
    <s v="VERSA|2020|BLANCO|A35BHD"/>
    <s v="ASHC"/>
    <s v="ASHC"/>
    <s v="UBER"/>
    <n v="2999.8"/>
    <x v="0"/>
    <m/>
    <s v="P03MAR 938"/>
  </r>
  <r>
    <x v="1"/>
    <x v="8"/>
    <x v="130"/>
    <s v="AVEO|2018|ROJO|R51BKD"/>
    <s v="ASHC"/>
    <s v="ASHC"/>
    <s v="DIDI"/>
    <n v="-1559.9347400000006"/>
    <x v="0"/>
    <m/>
    <s v="P05MAR1000"/>
  </r>
  <r>
    <x v="1"/>
    <x v="8"/>
    <x v="15"/>
    <s v="AVEO|2023|GRIS|MLC126A"/>
    <s v="ASHC"/>
    <s v="ASHC"/>
    <s v="UBER"/>
    <n v="2500"/>
    <x v="0"/>
    <m/>
    <s v="P03MAR"/>
  </r>
  <r>
    <x v="1"/>
    <x v="8"/>
    <x v="8"/>
    <s v="AVEO|2025|PERSUASION|MXM502C"/>
    <s v="ASHC"/>
    <s v="ASHC"/>
    <s v="UBER"/>
    <n v="-6419.4285714285716"/>
    <x v="0"/>
    <m/>
    <s v="BAJA  25FEB 10AM"/>
  </r>
  <r>
    <x v="1"/>
    <x v="8"/>
    <x v="138"/>
    <s v="AVEO|2019|PLATA|NEL860A"/>
    <s v="ASHC"/>
    <s v="ASHC"/>
    <s v="UBER"/>
    <n v="1758.6571428571422"/>
    <x v="0"/>
    <m/>
    <s v="DEJO IPHONE 7 EN GARANTIA. P05MAR 400"/>
  </r>
  <r>
    <x v="1"/>
    <x v="8"/>
    <x v="139"/>
    <s v="AVEO|2025|PERSUASION|MXM502C"/>
    <s v="ASHC"/>
    <s v="ASHC"/>
    <s v="UBER"/>
    <n v="1714.2857142857188"/>
    <x v="0"/>
    <n v="1000"/>
    <s v="P03MAR"/>
  </r>
  <r>
    <x v="1"/>
    <x v="8"/>
    <x v="131"/>
    <s v="VERSA|2021|BLANCO|MEE228C"/>
    <s v="ASHC"/>
    <s v="ASHC"/>
    <s v="UBER"/>
    <n v="3000"/>
    <x v="0"/>
    <m/>
    <s v="P03MAR"/>
  </r>
  <r>
    <x v="1"/>
    <x v="8"/>
    <x v="125"/>
    <s v="AVEO|2019|BLANCO|NBS225A"/>
    <s v="ASHC"/>
    <s v="ASHC"/>
    <s v="UBER"/>
    <n v="-393"/>
    <x v="0"/>
    <m/>
    <s v="P03MAR"/>
  </r>
  <r>
    <x v="1"/>
    <x v="8"/>
    <x v="112"/>
    <s v="VENTO|2020|GRIS|R66BER"/>
    <s v="ASHC"/>
    <s v="ASHC"/>
    <s v="UBER"/>
    <n v="3454.3999999999996"/>
    <x v="0"/>
    <m/>
    <s v="ADEUDO 500*12% P07MAR 3000"/>
  </r>
  <r>
    <x v="1"/>
    <x v="8"/>
    <x v="87"/>
    <s v="AVEOH|2026|BLANCO|NJG485C"/>
    <s v="ASHC"/>
    <s v="ASHC"/>
    <s v="UBER"/>
    <n v="2453.3799999999992"/>
    <x v="0"/>
    <m/>
    <s v="P06MAR"/>
  </r>
  <r>
    <x v="1"/>
    <x v="8"/>
    <x v="93"/>
    <s v="AVEOH|2026|BLANCO|NJG464C"/>
    <s v="ASHC"/>
    <s v="ASHC"/>
    <s v="UBER"/>
    <n v="2245.3542857142907"/>
    <x v="0"/>
    <m/>
    <s v="ESTUVO EN SER TODO ELD IA"/>
  </r>
  <r>
    <x v="1"/>
    <x v="8"/>
    <x v="103"/>
    <s v="MARCH|2020|TURQ|N15BKD"/>
    <s v="ASHC"/>
    <s v="ASHC"/>
    <s v="UBER"/>
    <n v="3000"/>
    <x v="0"/>
    <m/>
    <s v="P03MAR"/>
  </r>
  <r>
    <x v="1"/>
    <x v="8"/>
    <x v="113"/>
    <s v="AVEO|2022|AZUL|MUF515A"/>
    <s v="ASHC"/>
    <s v="ASHC"/>
    <s v="UBER"/>
    <n v="-920"/>
    <x v="0"/>
    <m/>
    <s v="P03MAR"/>
  </r>
  <r>
    <x v="1"/>
    <x v="8"/>
    <x v="114"/>
    <s v="AVEO|2022|VINO|P62BHW"/>
    <s v="ASHC"/>
    <s v="ASHC"/>
    <s v="UBER"/>
    <n v="2999.0599999999995"/>
    <x v="0"/>
    <m/>
    <s v="P04 MAR 203"/>
  </r>
  <r>
    <x v="1"/>
    <x v="8"/>
    <x v="26"/>
    <s v="V DRIVE|2023|GRIS|MXW453C"/>
    <s v="ASHC"/>
    <s v="ASHC"/>
    <s v="DIDI"/>
    <n v="1273.4514285714286"/>
    <x v="0"/>
    <m/>
    <s v="ADEUDO 3576+12%, 1/2 DSCTO POR CONT.P03MAR 800 SE VA 700 A AVEO 2019 Y LA DIF A 2023 P0903 3700"/>
  </r>
  <r>
    <x v="1"/>
    <x v="8"/>
    <x v="26"/>
    <s v="AVEO|2019|BLANCO|NBS225A"/>
    <s v="ASHC"/>
    <s v="ASHC"/>
    <s v="DIDI"/>
    <n v="700"/>
    <x v="1"/>
    <m/>
    <s v="P03MAR 800 SE VA 700 A AVEO 2019 Y LA DIF A 2023"/>
  </r>
  <r>
    <x v="1"/>
    <x v="8"/>
    <x v="140"/>
    <s v="AVEO|2018|GRIS|X59AWG"/>
    <s v="ASHC"/>
    <s v="ASHC"/>
    <s v="UBER"/>
    <n v="1715.1942857142812"/>
    <x v="0"/>
    <n v="2000"/>
    <s v="ANTICIPO FIANZA 2000.  P06MAR976"/>
  </r>
  <r>
    <x v="1"/>
    <x v="8"/>
    <x v="74"/>
    <s v="AVEOH|2026|ACERO|NEJ971C"/>
    <s v="ASHC"/>
    <s v="ASHC"/>
    <s v="UBER"/>
    <n v="2699.8600000000006"/>
    <x v="0"/>
    <m/>
    <s v="P03MAR 648"/>
  </r>
  <r>
    <x v="1"/>
    <x v="8"/>
    <x v="67"/>
    <s v="VERSA|2022|GRIS|NES596C"/>
    <s v="ASHC"/>
    <s v="ASHC"/>
    <s v="UBER"/>
    <n v="356.85714285714283"/>
    <x v="0"/>
    <m/>
    <s v="AJUSTE YA QUE SE LE PAGO"/>
  </r>
  <r>
    <x v="1"/>
    <x v="8"/>
    <x v="67"/>
    <s v="AVEO|2025|PERSUASION|MXM510C"/>
    <s v="ASHC"/>
    <s v="ASHC"/>
    <s v="UBER"/>
    <n v="2314.2857142857147"/>
    <x v="1"/>
    <m/>
    <s v="P03MAR"/>
  </r>
  <r>
    <x v="1"/>
    <x v="8"/>
    <x v="67"/>
    <s v="VENTO|2019|BLANCO|LUE965C"/>
    <s v="GOÑI"/>
    <s v="ASHC"/>
    <s v="UBER"/>
    <n v="700"/>
    <x v="1"/>
    <m/>
    <s v="AJUSTE YA QUE SE LE PAGO"/>
  </r>
  <r>
    <x v="1"/>
    <x v="8"/>
    <x v="141"/>
    <s v="VENTO|2017|GRIS|MMA672C"/>
    <s v="ASHC"/>
    <s v="ASHC"/>
    <s v="UBER"/>
    <n v="3000.26"/>
    <x v="0"/>
    <m/>
    <s v="P02MAR561"/>
  </r>
  <r>
    <x v="1"/>
    <x v="8"/>
    <x v="68"/>
    <s v="VERSA|2020|BLANCO|A35BHD"/>
    <s v="ASHC"/>
    <s v="ASHC"/>
    <s v="UBER"/>
    <n v="3200"/>
    <x v="0"/>
    <m/>
    <s v="P03MAR"/>
  </r>
  <r>
    <x v="1"/>
    <x v="8"/>
    <x v="119"/>
    <s v="MARCH|2020|GRIS|NEJ984C"/>
    <s v="BYER"/>
    <s v="BYER"/>
    <s v="UBER"/>
    <n v="3000"/>
    <x v="0"/>
    <m/>
    <s v="P03MAR"/>
  </r>
  <r>
    <x v="1"/>
    <x v="8"/>
    <x v="70"/>
    <s v="MARCH|2019|TURQ|MAY737C"/>
    <s v="BYER"/>
    <s v="BYER"/>
    <s v="UBER"/>
    <n v="-38.182857142856903"/>
    <x v="0"/>
    <m/>
    <s v="BAJA  26 FEB 13.00. P03MAR"/>
  </r>
  <r>
    <x v="1"/>
    <x v="8"/>
    <x v="107"/>
    <s v="AVEOH|2026|BLANCO|NJJ925C"/>
    <s v="ASHC"/>
    <s v="ASHC"/>
    <s v="UBER"/>
    <n v="2864.1428571428573"/>
    <x v="0"/>
    <m/>
    <s v="SOL AJUS DEL 17 FEB.P03MAR"/>
  </r>
  <r>
    <x v="1"/>
    <x v="8"/>
    <x v="132"/>
    <m/>
    <s v="ASHC"/>
    <s v="ASHC"/>
    <s v="UBER"/>
    <n v="353"/>
    <x v="0"/>
    <m/>
    <m/>
  </r>
  <r>
    <x v="1"/>
    <x v="8"/>
    <x v="46"/>
    <s v="AVEO|2019|PLATA|NEL860A"/>
    <s v="ASHC"/>
    <s v="ASHC"/>
    <s v="UBER"/>
    <n v="1750.92"/>
    <x v="0"/>
    <m/>
    <s v="PAGO DEL 17FEB NO ENVIO EN TIEMPO"/>
  </r>
  <r>
    <x v="1"/>
    <x v="8"/>
    <x v="96"/>
    <s v="AVEO|2025|PERSUASION|MZN057C"/>
    <s v="ASHC"/>
    <s v="ASHC"/>
    <s v="UBER"/>
    <n v="3200.9000000000005"/>
    <x v="0"/>
    <m/>
    <s v="P05MAR243"/>
  </r>
  <r>
    <x v="1"/>
    <x v="8"/>
    <x v="116"/>
    <s v="VENTO|2020|GRIS|NES586C"/>
    <s v="ASHC"/>
    <s v="ASHC"/>
    <s v="UBER"/>
    <n v="3000.8599999999988"/>
    <x v="0"/>
    <m/>
    <s v="P03MAR 1570"/>
  </r>
  <r>
    <x v="1"/>
    <x v="8"/>
    <x v="44"/>
    <s v="VENTO|2018|AMARILLO|NJJ912C"/>
    <s v="ASHC"/>
    <s v="ASHC"/>
    <s v="UBER"/>
    <n v="4140.0200000000004"/>
    <x v="0"/>
    <m/>
    <s v="601 saldo a favor 09MAR2800"/>
  </r>
  <r>
    <x v="1"/>
    <x v="9"/>
    <x v="117"/>
    <s v="VERSA|2022|GRIS|NES596C"/>
    <s v="ASHC"/>
    <s v="ASHC"/>
    <s v="DIDI"/>
    <n v="1929.4285714285711"/>
    <x v="0"/>
    <m/>
    <s v="P11MAR 3000 LA DIF ES GOÑI $1071"/>
  </r>
  <r>
    <x v="1"/>
    <x v="9"/>
    <x v="123"/>
    <s v="AVEO|2024|GRIS|LRL009C"/>
    <s v="ASHC"/>
    <s v="ASHC"/>
    <s v="UBER"/>
    <n v="3000.3399999999992"/>
    <x v="0"/>
    <m/>
    <s v="p12mar1063 p14mar 700"/>
  </r>
  <r>
    <x v="1"/>
    <x v="9"/>
    <x v="0"/>
    <s v="VERSA|2020|ROJO|NLP172B"/>
    <s v="ASHC"/>
    <s v="ASHC"/>
    <s v="UBER"/>
    <n v="2500"/>
    <x v="0"/>
    <m/>
    <s v="P10MAR 2500"/>
  </r>
  <r>
    <x v="1"/>
    <x v="9"/>
    <x v="52"/>
    <s v="AVEO|2025|PERSUASION|MXM503C"/>
    <s v="ASHC"/>
    <s v="ASHC"/>
    <s v="UBER"/>
    <n v="2700"/>
    <x v="0"/>
    <m/>
    <m/>
  </r>
  <r>
    <x v="1"/>
    <x v="9"/>
    <x v="133"/>
    <s v="BEAT|2020|GRIS|NFN014B"/>
    <s v="U64"/>
    <s v="BYER"/>
    <s v="UBER"/>
    <n v="3000"/>
    <x v="0"/>
    <m/>
    <s v="P10MAR"/>
  </r>
  <r>
    <x v="1"/>
    <x v="9"/>
    <x v="78"/>
    <s v="AVEOH|2026|BLANCO|NJG467C"/>
    <s v="ASHC"/>
    <s v="ASHC"/>
    <s v="UBER"/>
    <n v="-579.04640000000018"/>
    <x v="0"/>
    <m/>
    <s v="p13mar1000"/>
  </r>
  <r>
    <x v="1"/>
    <x v="9"/>
    <x v="109"/>
    <s v="VENTO|2020|GRIS|A19BDY"/>
    <s v="ASHC"/>
    <s v="ASHC"/>
    <s v="UBER"/>
    <n v="2785.2000000000007"/>
    <x v="0"/>
    <m/>
    <s v="P13MAR 51"/>
  </r>
  <r>
    <x v="1"/>
    <x v="9"/>
    <x v="134"/>
    <s v="AVEO|2022|AZUL|NZY685B"/>
    <s v="ASHC"/>
    <s v="ASHC"/>
    <s v="UBER"/>
    <n v="3092.340000000002"/>
    <x v="0"/>
    <m/>
    <s v="P14MAR 2500"/>
  </r>
  <r>
    <x v="1"/>
    <x v="9"/>
    <x v="31"/>
    <s v="SWIFT|2017|ROJO|X89ALV"/>
    <s v="BYER"/>
    <s v="BYER"/>
    <s v="UBER"/>
    <n v="2500"/>
    <x v="0"/>
    <m/>
    <m/>
  </r>
  <r>
    <x v="1"/>
    <x v="9"/>
    <x v="110"/>
    <s v="KIA|2025|AZUL|NMC863C"/>
    <s v="ASHC"/>
    <s v="ASHC"/>
    <s v="UBER"/>
    <n v="2879"/>
    <x v="0"/>
    <m/>
    <m/>
  </r>
  <r>
    <x v="1"/>
    <x v="9"/>
    <x v="53"/>
    <s v="AVEO|2025|PERSUASION|MZN091C"/>
    <s v="ASHC"/>
    <s v="ASHC"/>
    <s v="UBER"/>
    <n v="3924.8600000000006"/>
    <x v="0"/>
    <m/>
    <s v="P13MAR 358"/>
  </r>
  <r>
    <x v="1"/>
    <x v="9"/>
    <x v="135"/>
    <s v="MARCH|2019|TURQ|MAY737C"/>
    <s v="BYER"/>
    <s v="BYER"/>
    <s v="UBER"/>
    <n v="183.18"/>
    <x v="0"/>
    <m/>
    <m/>
  </r>
  <r>
    <x v="1"/>
    <x v="9"/>
    <x v="50"/>
    <s v="HYUNDAI|2022|PLATA|D40BKD"/>
    <s v="ASHC"/>
    <s v="ASHC"/>
    <s v="UBER"/>
    <n v="2500"/>
    <x v="0"/>
    <m/>
    <m/>
  </r>
  <r>
    <x v="1"/>
    <x v="9"/>
    <x v="111"/>
    <s v="VERSA|2021|AZUL|NMC875C"/>
    <s v="ASHC"/>
    <s v="ASHC"/>
    <s v="UBER"/>
    <n v="2893"/>
    <x v="0"/>
    <m/>
    <m/>
  </r>
  <r>
    <x v="1"/>
    <x v="9"/>
    <x v="77"/>
    <s v="KIA RIO|2020|GRIS|NCK475B"/>
    <s v="ASHC"/>
    <s v="ASHC"/>
    <s v="UBER"/>
    <n v="-4048"/>
    <x v="0"/>
    <m/>
    <s v="SE APOYO POR LO QUE NO GENERA INT"/>
  </r>
  <r>
    <x v="1"/>
    <x v="9"/>
    <x v="80"/>
    <s v="AVEOH|2026|ACERO|NEJ990C"/>
    <s v="ASHC"/>
    <s v="ASHC"/>
    <s v="UBER"/>
    <n v="2700"/>
    <x v="0"/>
    <m/>
    <m/>
  </r>
  <r>
    <x v="1"/>
    <x v="9"/>
    <x v="97"/>
    <s v="AVEO|2020|AZUL|D28BET"/>
    <s v="ASHC"/>
    <s v="ASHC"/>
    <s v="UBER"/>
    <n v="3000"/>
    <x v="0"/>
    <m/>
    <m/>
  </r>
  <r>
    <x v="1"/>
    <x v="9"/>
    <x v="21"/>
    <s v="AVEO|2025|PERSUASION|MXM502C"/>
    <s v="ASHC"/>
    <s v="ASHC"/>
    <s v="UBER"/>
    <n v="977.38319999999931"/>
    <x v="0"/>
    <m/>
    <s v="pDE 2000 SE ABONO 1500P1303700"/>
  </r>
  <r>
    <x v="1"/>
    <x v="9"/>
    <x v="21"/>
    <s v="KIA RIO|2020|GRIS|NCK475B"/>
    <s v="ASHC"/>
    <s v="ASHC"/>
    <s v="UBER"/>
    <n v="500"/>
    <x v="1"/>
    <m/>
    <s v="PDE 2000 SE ABONO 500"/>
  </r>
  <r>
    <x v="1"/>
    <x v="9"/>
    <x v="104"/>
    <s v="BEAT|2020|GRIS|NFN014B"/>
    <s v="U64"/>
    <s v="BYER"/>
    <s v="UBER"/>
    <n v="3200"/>
    <x v="0"/>
    <m/>
    <m/>
  </r>
  <r>
    <x v="1"/>
    <x v="9"/>
    <x v="94"/>
    <s v="AVEO|2023|VINO|R22BMR"/>
    <s v="ASHC"/>
    <s v="ASHC"/>
    <s v="UBER"/>
    <n v="3462.8"/>
    <x v="0"/>
    <m/>
    <s v="MURIO SU PAPA SE AJUSTA DIAS SE COBRA 3.5 DE CTA  P09MAR993"/>
  </r>
  <r>
    <x v="1"/>
    <x v="9"/>
    <x v="121"/>
    <s v="KIA RIO|2017|ROJO|MYE912A"/>
    <s v="U64"/>
    <s v="BYER"/>
    <s v="UBER"/>
    <n v="2661.16"/>
    <x v="0"/>
    <m/>
    <m/>
  </r>
  <r>
    <x v="1"/>
    <x v="9"/>
    <x v="136"/>
    <s v="AVEOH|2026|ROJO|NEZ101C"/>
    <s v="ASHC"/>
    <s v="ASHC"/>
    <s v="UBER"/>
    <n v="3200"/>
    <x v="0"/>
    <m/>
    <m/>
  </r>
  <r>
    <x v="1"/>
    <x v="9"/>
    <x v="127"/>
    <s v="BMW|2025|NEGRA|40K216"/>
    <s v="ASHC"/>
    <s v="ASHC"/>
    <s v="UBER"/>
    <n v="712.40000000000009"/>
    <x v="0"/>
    <m/>
    <m/>
  </r>
  <r>
    <x v="1"/>
    <x v="9"/>
    <x v="30"/>
    <s v="AVEOH|2024|BLANCO|MWV156C"/>
    <s v="ASHC"/>
    <s v="ASHC"/>
    <s v="UBER"/>
    <n v="-3735.04"/>
    <x v="0"/>
    <m/>
    <s v="P11MAR 400"/>
  </r>
  <r>
    <x v="1"/>
    <x v="9"/>
    <x v="128"/>
    <s v="AVANZA|2024|GRIS|NMC849C"/>
    <s v="ASHC"/>
    <s v="ASHC"/>
    <s v="UBER"/>
    <n v="2969.88"/>
    <x v="0"/>
    <m/>
    <m/>
  </r>
  <r>
    <x v="1"/>
    <x v="9"/>
    <x v="85"/>
    <s v="AVEOH|2026|BLANCO|NJG467C"/>
    <s v="ASHC"/>
    <s v="ASHC"/>
    <s v="UBER"/>
    <n v="-500"/>
    <x v="0"/>
    <m/>
    <s v="P10MAR"/>
  </r>
  <r>
    <x v="1"/>
    <x v="9"/>
    <x v="55"/>
    <s v="AVEO|2024|GRIS|LRL009C"/>
    <s v="ASHC"/>
    <s v="ASHC"/>
    <s v="DIDI"/>
    <n v="-700"/>
    <x v="0"/>
    <m/>
    <s v="PAGA 1HOJAL HASTA PONERSE AL CORRIENTE CON IVETTE"/>
  </r>
  <r>
    <x v="1"/>
    <x v="9"/>
    <x v="137"/>
    <s v="AVEO|2019|BLANCO|NBS225A"/>
    <s v="ASHC"/>
    <s v="ASHC"/>
    <s v="UBER"/>
    <n v="2982"/>
    <x v="0"/>
    <m/>
    <s v="SALDO A FAVOR 18 PARA LA SEM 10"/>
  </r>
  <r>
    <x v="1"/>
    <x v="9"/>
    <x v="57"/>
    <s v="BYD|2026|VERDE|78F032"/>
    <s v="ASHC"/>
    <s v="ASHC"/>
    <s v="UBER"/>
    <n v="2438.3999999999996"/>
    <x v="0"/>
    <m/>
    <m/>
  </r>
  <r>
    <x v="1"/>
    <x v="9"/>
    <x v="82"/>
    <s v="AVEOH|2026|ROJO|NEZ108C"/>
    <s v="ASHC"/>
    <s v="ASHC"/>
    <s v="UBER"/>
    <n v="3954.0807999999993"/>
    <x v="0"/>
    <m/>
    <s v="P13MAR1206"/>
  </r>
  <r>
    <x v="1"/>
    <x v="9"/>
    <x v="4"/>
    <s v="KIA RIO|2023|ROJO|H99BLC"/>
    <s v="U64"/>
    <s v="BYER"/>
    <s v="UBER"/>
    <n v="3200"/>
    <x v="0"/>
    <m/>
    <m/>
  </r>
  <r>
    <x v="1"/>
    <x v="9"/>
    <x v="98"/>
    <s v="AVEO|2021|GRIS|D51BHV"/>
    <s v="ASHC"/>
    <s v="ASHC"/>
    <s v="UBER"/>
    <n v="3000"/>
    <x v="0"/>
    <m/>
    <s v="P10MAR"/>
  </r>
  <r>
    <x v="1"/>
    <x v="9"/>
    <x v="5"/>
    <s v="MARCH|2021|ROJO|NZU5163"/>
    <s v="ASHC"/>
    <s v="ASHC"/>
    <s v="DIDI"/>
    <n v="2300"/>
    <x v="0"/>
    <m/>
    <s v="P10MAR 2500"/>
  </r>
  <r>
    <x v="1"/>
    <x v="9"/>
    <x v="84"/>
    <s v="AVEOH|2026|ACERO|NEJ996C"/>
    <s v="ASHC"/>
    <s v="ASHC"/>
    <s v="UBER"/>
    <n v="2700"/>
    <x v="0"/>
    <m/>
    <m/>
  </r>
  <r>
    <x v="1"/>
    <x v="9"/>
    <x v="99"/>
    <s v="AVEOH|2026|BLANCO|NJG470C"/>
    <s v="ASHC"/>
    <s v="ASHC"/>
    <s v="UBER"/>
    <n v="2102.7200000000007"/>
    <x v="0"/>
    <m/>
    <s v="SE COBRA .06% YA QUE CUMPLIO PARCIALMENTE ACUERDO. P1403  750"/>
  </r>
  <r>
    <x v="1"/>
    <x v="9"/>
    <x v="88"/>
    <s v="KIA RIO|2020|ROJO|MFP751C"/>
    <s v="ASHC"/>
    <s v="ASHC"/>
    <s v="UBER"/>
    <n v="-3362.3200000000006"/>
    <x v="0"/>
    <m/>
    <m/>
  </r>
  <r>
    <x v="1"/>
    <x v="9"/>
    <x v="129"/>
    <s v="VERSA|2020|BLANCO|A35BHD"/>
    <s v="ASHC"/>
    <s v="ASHC"/>
    <s v="UBER"/>
    <n v="2999.66"/>
    <x v="0"/>
    <m/>
    <s v="P10MAR2557"/>
  </r>
  <r>
    <x v="1"/>
    <x v="9"/>
    <x v="130"/>
    <s v="AVEO|2018|ROJO|R51BKD"/>
    <s v="ASHC"/>
    <s v="ASHC"/>
    <s v="DIDI"/>
    <n v="1148.2430856000001"/>
    <x v="0"/>
    <m/>
    <s v="P15MAR2000"/>
  </r>
  <r>
    <x v="1"/>
    <x v="9"/>
    <x v="15"/>
    <s v="AVEO|2023|GRIS|MLC126A"/>
    <s v="ASHC"/>
    <s v="ASHC"/>
    <s v="UBER"/>
    <n v="2500"/>
    <x v="0"/>
    <m/>
    <m/>
  </r>
  <r>
    <x v="1"/>
    <x v="9"/>
    <x v="138"/>
    <s v="AVEO|2019|PLATA|NEL860A"/>
    <s v="ASHC"/>
    <s v="ASHC"/>
    <s v="UBER"/>
    <n v="2803.58"/>
    <x v="0"/>
    <m/>
    <s v="P10MAR400 P11MAR 300+400 P13MAR500"/>
  </r>
  <r>
    <x v="1"/>
    <x v="9"/>
    <x v="139"/>
    <s v="AVEO|2025|PERSUASION|MXM502C"/>
    <s v="ASHC"/>
    <s v="ASHC"/>
    <s v="UBER"/>
    <n v="2645.7799999999997"/>
    <x v="0"/>
    <m/>
    <m/>
  </r>
  <r>
    <x v="1"/>
    <x v="9"/>
    <x v="131"/>
    <s v="VERSA|2021|BLANCO|MEE228C"/>
    <s v="ASHC"/>
    <s v="ASHC"/>
    <s v="UBER"/>
    <n v="3000"/>
    <x v="0"/>
    <m/>
    <m/>
  </r>
  <r>
    <x v="1"/>
    <x v="9"/>
    <x v="112"/>
    <s v="VENTO|2020|GRIS|R66BER"/>
    <s v="ASHC"/>
    <s v="ASHC"/>
    <s v="UBER"/>
    <n v="2604.2000000000007"/>
    <x v="0"/>
    <m/>
    <s v="P11MAR 1800"/>
  </r>
  <r>
    <x v="1"/>
    <x v="9"/>
    <x v="87"/>
    <s v="AVEOH|2026|BLANCO|NJG485C"/>
    <s v="ASHC"/>
    <s v="ASHC"/>
    <s v="UBER"/>
    <n v="691.53428571428572"/>
    <x v="0"/>
    <m/>
    <s v="SE AJUS 1 DIA POR SERVICIO TODO EL DIA.P10MAR1500"/>
  </r>
  <r>
    <x v="1"/>
    <x v="9"/>
    <x v="93"/>
    <s v="AVEOH|2026|BLANCO|NJG464C"/>
    <s v="ASHC"/>
    <s v="ASHC"/>
    <s v="UBER"/>
    <n v="2439.6999999999998"/>
    <x v="0"/>
    <m/>
    <s v="EN DIC NO SE CONS SU ANT DE FIANZA SEM 9 TOCABA PAGAR 145"/>
  </r>
  <r>
    <x v="1"/>
    <x v="9"/>
    <x v="103"/>
    <s v="MARCH|2020|TURQ|N15BKD"/>
    <s v="ASHC"/>
    <s v="ASHC"/>
    <s v="UBER"/>
    <n v="3000.9399999999987"/>
    <x v="0"/>
    <m/>
    <s v="P11MAR 650 P1303 539"/>
  </r>
  <r>
    <x v="1"/>
    <x v="9"/>
    <x v="113"/>
    <s v="AVEO|2022|AZUL|MUF515A"/>
    <s v="ASHC"/>
    <s v="ASHC"/>
    <s v="UBER"/>
    <n v="-500"/>
    <x v="0"/>
    <m/>
    <s v="P10MAR"/>
  </r>
  <r>
    <x v="1"/>
    <x v="9"/>
    <x v="114"/>
    <s v="AVEO|2022|VINO|P62BHW"/>
    <s v="ASHC"/>
    <s v="ASHC"/>
    <s v="UBER"/>
    <n v="1607"/>
    <x v="0"/>
    <m/>
    <m/>
  </r>
  <r>
    <x v="1"/>
    <x v="9"/>
    <x v="114"/>
    <s v="BYD|2026|VERDE|78F032"/>
    <s v="ASHC"/>
    <s v="ASHC"/>
    <s v="UBER"/>
    <n v="1350"/>
    <x v="1"/>
    <m/>
    <s v="P11MAR   957 SE AJUSTARON 3963 PARA QUE NO APARECIERA ADEUDO POR EL RENGLON 598"/>
  </r>
  <r>
    <x v="1"/>
    <x v="9"/>
    <x v="26"/>
    <s v="V DRIVE|2023|GRIS|MXW453C"/>
    <s v="ASHC"/>
    <s v="ASHC"/>
    <s v="DIDI"/>
    <n v="3209.76"/>
    <x v="0"/>
    <m/>
    <s v="P09MAR3700 P15670 P16 600"/>
  </r>
  <r>
    <x v="1"/>
    <x v="9"/>
    <x v="26"/>
    <s v="AVEO|2019|BLANCO|NBS225A"/>
    <s v="ASHC"/>
    <s v="ASHC"/>
    <s v="DIDI"/>
    <n v="700"/>
    <x v="1"/>
    <m/>
    <s v="P09MAR3700 SE LE ABONARON LOS 700"/>
  </r>
  <r>
    <x v="1"/>
    <x v="9"/>
    <x v="140"/>
    <s v="AVEO|2018|GRIS|X59AWG"/>
    <s v="ASHC"/>
    <s v="ASHC"/>
    <s v="UBER"/>
    <n v="2999.9400000000014"/>
    <x v="0"/>
    <m/>
    <s v="P14MAR 970"/>
  </r>
  <r>
    <x v="1"/>
    <x v="9"/>
    <x v="74"/>
    <s v="AVEOH|2026|ACERO|NEJ971C"/>
    <s v="ASHC"/>
    <s v="ASHC"/>
    <s v="UBER"/>
    <n v="2700"/>
    <x v="0"/>
    <m/>
    <s v="P10MAR"/>
  </r>
  <r>
    <x v="1"/>
    <x v="9"/>
    <x v="67"/>
    <s v="AVEO|2025|PERSUASION|MXM510C"/>
    <s v="ASHC"/>
    <s v="ASHC"/>
    <s v="UBER"/>
    <n v="2700"/>
    <x v="0"/>
    <m/>
    <s v="P10MAR"/>
  </r>
  <r>
    <x v="1"/>
    <x v="9"/>
    <x v="67"/>
    <s v="VENTO|2019|BLANCO|LUE965C"/>
    <s v="GOÑI"/>
    <s v="ASHC"/>
    <s v="UBER"/>
    <n v="700"/>
    <x v="1"/>
    <m/>
    <s v="AJUSTE SE LE PAGO AL CONDUCTOR"/>
  </r>
  <r>
    <x v="1"/>
    <x v="9"/>
    <x v="142"/>
    <s v="MARCH|2019|TURQ|MAY737C"/>
    <s v="BYER"/>
    <s v="BYER"/>
    <s v="UBER"/>
    <n v="1500.94"/>
    <x v="0"/>
    <n v="1800"/>
    <s v="1.800K ANT TRANSF, P11 DE MARZO A BYER"/>
  </r>
  <r>
    <x v="1"/>
    <x v="9"/>
    <x v="141"/>
    <s v="VENTO|2017|GRIS|MMA672C"/>
    <s v="ASHC"/>
    <s v="ASHC"/>
    <s v="UBER"/>
    <n v="3000.5599999999995"/>
    <x v="0"/>
    <m/>
    <s v="P11MAR899"/>
  </r>
  <r>
    <x v="1"/>
    <x v="9"/>
    <x v="68"/>
    <s v="VERSA|2020|BLANCO|A35BHD"/>
    <s v="ASHC"/>
    <s v="ASHC"/>
    <s v="UBER"/>
    <n v="3200.38"/>
    <x v="0"/>
    <m/>
    <s v="P11MAR952"/>
  </r>
  <r>
    <x v="1"/>
    <x v="9"/>
    <x v="119"/>
    <s v="MARCH|2020|GRIS|NEJ984C"/>
    <s v="BYER"/>
    <s v="BYER"/>
    <s v="UBER"/>
    <n v="3000"/>
    <x v="0"/>
    <m/>
    <s v="P10MAR"/>
  </r>
  <r>
    <x v="1"/>
    <x v="9"/>
    <x v="107"/>
    <s v="AVEOH|2026|BLANCO|NJJ925C"/>
    <s v="ASHC"/>
    <s v="ASHC"/>
    <s v="UBER"/>
    <n v="3424.4000000000015"/>
    <x v="0"/>
    <m/>
    <s v="P13MAR 1000. Saldo a favor"/>
  </r>
  <r>
    <x v="1"/>
    <x v="9"/>
    <x v="143"/>
    <s v="MARCH|2019|TURQ|MAY737C"/>
    <s v="BYER"/>
    <s v="BYER"/>
    <s v="UBER"/>
    <n v="521.5771428571428"/>
    <x v="0"/>
    <m/>
    <m/>
  </r>
  <r>
    <x v="1"/>
    <x v="9"/>
    <x v="46"/>
    <s v="AVEO|2019|PLATA|NEL860A"/>
    <s v="ASHC"/>
    <s v="ASHC"/>
    <s v="UBER"/>
    <n v="3068.8239999999996"/>
    <x v="0"/>
    <m/>
    <s v="P11MAR 1567 P14mar230"/>
  </r>
  <r>
    <x v="1"/>
    <x v="9"/>
    <x v="96"/>
    <s v="AVEO|2025|PERSUASION|MZN057C"/>
    <s v="ASHC"/>
    <s v="ASHC"/>
    <s v="UBER"/>
    <n v="-176.05999999999949"/>
    <x v="0"/>
    <m/>
    <s v="P09MAR 1000"/>
  </r>
  <r>
    <x v="1"/>
    <x v="9"/>
    <x v="116"/>
    <s v="VENTO|2020|GRIS|NES586C"/>
    <s v="ASHC"/>
    <s v="ASHC"/>
    <s v="UBER"/>
    <n v="2813.9400000000032"/>
    <x v="0"/>
    <m/>
    <s v="P10MAR 942"/>
  </r>
  <r>
    <x v="1"/>
    <x v="9"/>
    <x v="44"/>
    <s v="VENTO|2018|AMARILLO|NJJ912C"/>
    <s v="ASHC"/>
    <s v="ASHC"/>
    <s v="UBER"/>
    <n v="2812.1"/>
    <x v="0"/>
    <m/>
    <m/>
  </r>
  <r>
    <x v="1"/>
    <x v="10"/>
    <x v="117"/>
    <s v="VERSA|2022|GRIS|NES596C"/>
    <s v="ASHC"/>
    <s v="ASHC"/>
    <s v="DIDI"/>
    <n v="3000"/>
    <x v="0"/>
    <m/>
    <s v="P1803"/>
  </r>
  <r>
    <x v="1"/>
    <x v="10"/>
    <x v="123"/>
    <s v="AVEO|2024|GRIS|LRL009C"/>
    <s v="ASHC"/>
    <s v="ASHC"/>
    <s v="UBER"/>
    <n v="2999.6200000000008"/>
    <x v="0"/>
    <m/>
    <s v="p1803 881"/>
  </r>
  <r>
    <x v="1"/>
    <x v="10"/>
    <x v="0"/>
    <s v="VERSA|2020|ROJO|NLP172B"/>
    <s v="ASHC"/>
    <s v="ASHC"/>
    <s v="UBER"/>
    <n v="2500"/>
    <x v="0"/>
    <m/>
    <s v="P17/03"/>
  </r>
  <r>
    <x v="1"/>
    <x v="10"/>
    <x v="52"/>
    <s v="AVEO|2025|PERSUASION|MXM503C"/>
    <s v="ASHC"/>
    <s v="ASHC"/>
    <s v="UBER"/>
    <n v="2507.1428571428569"/>
    <x v="0"/>
    <m/>
    <s v="AJUT 1/2 NO CIRCULA MIERCOLES"/>
  </r>
  <r>
    <x v="1"/>
    <x v="10"/>
    <x v="133"/>
    <s v="BEAT|2020|GRIS|NFN014B"/>
    <s v="U64"/>
    <s v="BYER"/>
    <s v="UBER"/>
    <n v="1929.4285714285713"/>
    <x v="0"/>
    <m/>
    <s v="CAMBIO AL MARCH DE GOÑI ADEUDO REAL -253 PAGO 18/03 SE AJUSTA PARA QUE NO APAREZCA COMO DEUDOR"/>
  </r>
  <r>
    <x v="1"/>
    <x v="10"/>
    <x v="133"/>
    <s v="MARCH|2022|BLANCO|MGC417C"/>
    <s v="JGD"/>
    <s v="BYER"/>
    <s v="UBER"/>
    <n v="1071"/>
    <x v="1"/>
    <m/>
    <m/>
  </r>
  <r>
    <x v="1"/>
    <x v="10"/>
    <x v="78"/>
    <s v="AVEOH|2026|BLANCO|NJG467C"/>
    <s v="ASHC"/>
    <s v="ASHC"/>
    <s v="UBER"/>
    <n v="2856.7000000000003"/>
    <x v="0"/>
    <m/>
    <s v="900 EN EFEC"/>
  </r>
  <r>
    <x v="1"/>
    <x v="10"/>
    <x v="109"/>
    <s v="VENTO|2020|GRIS|A19BDY"/>
    <s v="ASHC"/>
    <s v="ASHC"/>
    <s v="UBER"/>
    <n v="2502.0599999999995"/>
    <x v="0"/>
    <m/>
    <s v="P20MAR420"/>
  </r>
  <r>
    <x v="1"/>
    <x v="10"/>
    <x v="134"/>
    <s v="AVEO|2022|AZUL|NZY685B"/>
    <s v="ASHC"/>
    <s v="ASHC"/>
    <s v="UBER"/>
    <n v="849.53999999999905"/>
    <x v="0"/>
    <m/>
    <s v="P20 MAR 1500"/>
  </r>
  <r>
    <x v="1"/>
    <x v="10"/>
    <x v="31"/>
    <s v="SWIFT|2017|ROJO|X89ALV"/>
    <s v="BYER"/>
    <s v="BYER"/>
    <s v="UBER"/>
    <n v="2500"/>
    <x v="0"/>
    <m/>
    <s v=" "/>
  </r>
  <r>
    <x v="1"/>
    <x v="10"/>
    <x v="110"/>
    <s v="KIA|2025|AZUL|NMC863C"/>
    <s v="ASHC"/>
    <s v="ASHC"/>
    <s v="UBER"/>
    <n v="2507.1428571428573"/>
    <x v="0"/>
    <m/>
    <s v="AJUT 1/2 NO CIRCULA MIERCOLES"/>
  </r>
  <r>
    <x v="1"/>
    <x v="10"/>
    <x v="53"/>
    <s v="AVEO|2025|PERSUASION|MZN091C"/>
    <s v="ASHC"/>
    <s v="ASHC"/>
    <s v="UBER"/>
    <n v="2700.7800000000007"/>
    <x v="0"/>
    <m/>
    <n v="46095"/>
  </r>
  <r>
    <x v="1"/>
    <x v="10"/>
    <x v="50"/>
    <s v="HYUNDAI|2022|PLATA|D40BKD"/>
    <s v="ASHC"/>
    <s v="ASHC"/>
    <s v="UBER"/>
    <n v="2321.4285714285716"/>
    <x v="0"/>
    <m/>
    <m/>
  </r>
  <r>
    <x v="1"/>
    <x v="10"/>
    <x v="111"/>
    <s v="VERSA|2021|AZUL|NMC875C"/>
    <s v="ASHC"/>
    <s v="ASHC"/>
    <s v="UBER"/>
    <n v="2500"/>
    <x v="0"/>
    <m/>
    <m/>
  </r>
  <r>
    <x v="1"/>
    <x v="10"/>
    <x v="77"/>
    <s v="KIA RIO|2020|GRIS|NCK475B"/>
    <s v="ASHC"/>
    <s v="ASHC"/>
    <s v="UBER"/>
    <n v="-4237.58"/>
    <x v="0"/>
    <m/>
    <m/>
  </r>
  <r>
    <x v="1"/>
    <x v="10"/>
    <x v="80"/>
    <s v="AVEOH|2026|ACERO|NEJ990C"/>
    <s v="ASHC"/>
    <s v="ASHC"/>
    <s v="UBER"/>
    <n v="2700"/>
    <x v="0"/>
    <m/>
    <m/>
  </r>
  <r>
    <x v="1"/>
    <x v="10"/>
    <x v="97"/>
    <s v="AVEO|2020|AZUL|D28BET"/>
    <s v="ASHC"/>
    <s v="ASHC"/>
    <s v="UBER"/>
    <n v="3000"/>
    <x v="0"/>
    <m/>
    <m/>
  </r>
  <r>
    <x v="1"/>
    <x v="10"/>
    <x v="21"/>
    <s v="AVEO|2025|PERSUASION|MXM502C"/>
    <s v="ASHC"/>
    <s v="ASHC"/>
    <s v="UBER"/>
    <n v="4174.5776000000005"/>
    <x v="0"/>
    <m/>
    <s v="P18/03 1300 P20/03  1000 P22MAR 900+1120"/>
  </r>
  <r>
    <x v="1"/>
    <x v="10"/>
    <x v="21"/>
    <s v="KIA RIO|2020|GRIS|NCK475B"/>
    <s v="ASHC"/>
    <s v="ASHC"/>
    <s v="UBER"/>
    <n v="700"/>
    <x v="1"/>
    <m/>
    <s v="P18/03 1300"/>
  </r>
  <r>
    <x v="1"/>
    <x v="10"/>
    <x v="104"/>
    <s v="BEAT|2020|GRIS|NFN014B"/>
    <s v="U64"/>
    <s v="BYER"/>
    <s v="UBER"/>
    <n v="3021.4285714285716"/>
    <x v="0"/>
    <m/>
    <s v="AJUT 1/2 NO CIRCULA MIERCOLES"/>
  </r>
  <r>
    <x v="1"/>
    <x v="10"/>
    <x v="94"/>
    <s v="AVEO|2023|VINO|R22BMR"/>
    <s v="ASHC"/>
    <s v="ASHC"/>
    <s v="UBER"/>
    <n v="-2072.4057142857146"/>
    <x v="0"/>
    <m/>
    <m/>
  </r>
  <r>
    <x v="1"/>
    <x v="10"/>
    <x v="121"/>
    <s v="KIA RIO|2017|ROJO|MYE912A"/>
    <s v="U64"/>
    <s v="BYER"/>
    <s v="UBER"/>
    <n v="3188.7999999999993"/>
    <x v="0"/>
    <m/>
    <s v="17/03/2026/18/03 280  19/03/2025   20"/>
  </r>
  <r>
    <x v="1"/>
    <x v="10"/>
    <x v="136"/>
    <s v="AVEOH|2026|ROJO|NEZ101C"/>
    <s v="ASHC"/>
    <s v="ASHC"/>
    <s v="UBER"/>
    <n v="3200"/>
    <x v="0"/>
    <m/>
    <m/>
  </r>
  <r>
    <x v="1"/>
    <x v="10"/>
    <x v="127"/>
    <s v="BMW|2025|NEGRA|40K216"/>
    <s v="ASHC"/>
    <s v="ASHC"/>
    <s v="UBER"/>
    <n v="8.0000000000000071E-2"/>
    <x v="0"/>
    <m/>
    <m/>
  </r>
  <r>
    <x v="1"/>
    <x v="10"/>
    <x v="30"/>
    <s v="AVEOH|2024|BLANCO|MWV156C"/>
    <s v="ASHC"/>
    <s v="ASHC"/>
    <s v="UBER"/>
    <n v="-1800.7399999999998"/>
    <x v="0"/>
    <m/>
    <s v="PEND COT IZACION HOJALATERIA"/>
  </r>
  <r>
    <x v="1"/>
    <x v="10"/>
    <x v="128"/>
    <s v="AVANZA|2024|GRIS|NMC849C"/>
    <s v="ASHC"/>
    <s v="ASHC"/>
    <s v="UBER"/>
    <n v="933"/>
    <x v="0"/>
    <m/>
    <m/>
  </r>
  <r>
    <x v="1"/>
    <x v="10"/>
    <x v="85"/>
    <s v="AVEOH|2026|BLANCO|NJG467C"/>
    <s v="ASHC"/>
    <s v="ASHC"/>
    <s v="UBER"/>
    <n v="-500"/>
    <x v="0"/>
    <m/>
    <m/>
  </r>
  <r>
    <x v="1"/>
    <x v="10"/>
    <x v="55"/>
    <s v="AVEO|2024|GRIS|LRL009C"/>
    <s v="ASHC"/>
    <s v="ASHC"/>
    <s v="DIDI"/>
    <n v="-7225"/>
    <x v="0"/>
    <m/>
    <s v="BAJA"/>
  </r>
  <r>
    <x v="1"/>
    <x v="10"/>
    <x v="137"/>
    <s v="AVEO|2019|BLANCO|NBS225A"/>
    <s v="ASHC"/>
    <s v="ASHC"/>
    <s v="UBER"/>
    <n v="3000"/>
    <x v="0"/>
    <m/>
    <m/>
  </r>
  <r>
    <x v="1"/>
    <x v="10"/>
    <x v="57"/>
    <s v="AVEOH|2024|BLANCO|MWV156C"/>
    <s v="ASHC"/>
    <s v="ASHC"/>
    <s v="UBER"/>
    <n v="857.14285714285722"/>
    <x v="0"/>
    <m/>
    <m/>
  </r>
  <r>
    <x v="1"/>
    <x v="10"/>
    <x v="144"/>
    <s v="VERSA|2023|PLATA|NCT814A"/>
    <s v="ASHC"/>
    <s v="ASHC"/>
    <s v="UBER"/>
    <n v="1804.2857142857144"/>
    <x v="0"/>
    <m/>
    <s v="P FOCOS H9"/>
  </r>
  <r>
    <x v="1"/>
    <x v="10"/>
    <x v="82"/>
    <s v="AVEOH|2026|ROJO|NEZ108C"/>
    <s v="ASHC"/>
    <s v="ASHC"/>
    <s v="UBER"/>
    <n v="2225.0288"/>
    <x v="0"/>
    <m/>
    <s v="P 1803"/>
  </r>
  <r>
    <x v="1"/>
    <x v="10"/>
    <x v="4"/>
    <s v="KIA RIO|2023|ROJO|H99BLC"/>
    <s v="U64"/>
    <s v="BYER"/>
    <s v="UBER"/>
    <n v="2160"/>
    <x v="0"/>
    <m/>
    <s v="DEV MULTA SE HABIA COBRADO DE MAS"/>
  </r>
  <r>
    <x v="1"/>
    <x v="10"/>
    <x v="98"/>
    <s v="AVEO|2021|GRIS|D51BHV"/>
    <s v="ASHC"/>
    <s v="ASHC"/>
    <s v="UBER"/>
    <n v="3000"/>
    <x v="0"/>
    <m/>
    <m/>
  </r>
  <r>
    <x v="1"/>
    <x v="10"/>
    <x v="5"/>
    <s v="MARCH|2021|ROJO|NZU5163"/>
    <s v="ASHC"/>
    <s v="ASHC"/>
    <s v="DIDI"/>
    <n v="2400"/>
    <x v="0"/>
    <m/>
    <s v="200 NO PAG SEM PASADA P16/03 P17/03 100"/>
  </r>
  <r>
    <x v="1"/>
    <x v="10"/>
    <x v="84"/>
    <s v="AVEOH|2026|ACERO|NEJ996C"/>
    <s v="ASHC"/>
    <s v="ASHC"/>
    <s v="UBER"/>
    <n v="2700"/>
    <x v="0"/>
    <m/>
    <m/>
  </r>
  <r>
    <x v="1"/>
    <x v="10"/>
    <x v="99"/>
    <s v="AVEOH|2026|BLANCO|NJG470C"/>
    <s v="ASHC"/>
    <s v="ASHC"/>
    <s v="UBER"/>
    <n v="-422.98000000000047"/>
    <x v="0"/>
    <m/>
    <m/>
  </r>
  <r>
    <x v="1"/>
    <x v="10"/>
    <x v="88"/>
    <s v="KIA RIO|2020|ROJO|MFP751C"/>
    <s v="ASHC"/>
    <s v="ASHC"/>
    <s v="UBER"/>
    <n v="2989.4542857142851"/>
    <x v="0"/>
    <m/>
    <s v="INT 12% A $2,006. ENVIO RECETA 1.5 MENOS P1703"/>
  </r>
  <r>
    <x v="1"/>
    <x v="10"/>
    <x v="129"/>
    <s v="VERSA|2020|BLANCO|A35BHD"/>
    <s v="ASHC"/>
    <s v="ASHC"/>
    <s v="UBER"/>
    <n v="2999.08"/>
    <x v="0"/>
    <m/>
    <s v="17/03-18/03"/>
  </r>
  <r>
    <x v="1"/>
    <x v="10"/>
    <x v="130"/>
    <s v="AVEO|2018|ROJO|R51BKD"/>
    <s v="ASHC"/>
    <s v="ASHC"/>
    <s v="DIDI"/>
    <n v="5110.6042371428575"/>
    <x v="0"/>
    <m/>
    <s v="SE DESC 1 DIA PORQUE EST EN SERV. LEOBARDO"/>
  </r>
  <r>
    <x v="1"/>
    <x v="10"/>
    <x v="15"/>
    <s v="AVEO|2023|GRIS|MLC126A"/>
    <s v="ASHC"/>
    <s v="ASHC"/>
    <s v="UBER"/>
    <n v="2500"/>
    <x v="0"/>
    <m/>
    <m/>
  </r>
  <r>
    <x v="1"/>
    <x v="10"/>
    <x v="138"/>
    <s v="AVEO|2019|PLATA|NEL860A"/>
    <s v="ASHC"/>
    <s v="ASHC"/>
    <s v="UBER"/>
    <n v="1418.5199999999986"/>
    <x v="0"/>
    <m/>
    <s v="P19MAR 500+400 P22ABR 300+350"/>
  </r>
  <r>
    <x v="1"/>
    <x v="10"/>
    <x v="139"/>
    <s v="AVEO|2025|PERSUASION|MXM502C"/>
    <s v="ASHC"/>
    <s v="ASHC"/>
    <s v="UBER"/>
    <n v="3510.6800000000003"/>
    <x v="0"/>
    <m/>
    <s v="17/03 y 18/03"/>
  </r>
  <r>
    <x v="1"/>
    <x v="10"/>
    <x v="131"/>
    <s v="VERSA|2021|BLANCO|MEE228C"/>
    <s v="ASHC"/>
    <s v="ASHC"/>
    <s v="UBER"/>
    <n v="3000"/>
    <x v="0"/>
    <m/>
    <m/>
  </r>
  <r>
    <x v="1"/>
    <x v="10"/>
    <x v="125"/>
    <s v="AVEO|2019|BLANCO|NBS225A"/>
    <s v="ASHC"/>
    <s v="ASHC"/>
    <s v="UBER"/>
    <n v="-500"/>
    <x v="0"/>
    <m/>
    <m/>
  </r>
  <r>
    <x v="1"/>
    <x v="10"/>
    <x v="112"/>
    <s v="VENTO|2020|GRIS|R66BER"/>
    <s v="ASHC"/>
    <s v="ASHC"/>
    <s v="UBER"/>
    <n v="-3255.36"/>
    <x v="0"/>
    <m/>
    <s v="P20/03 500 SE BAJA EL DIA DE HOY "/>
  </r>
  <r>
    <x v="1"/>
    <x v="10"/>
    <x v="87"/>
    <s v="AVEOH|2026|BLANCO|NJG485C"/>
    <s v="ASHC"/>
    <s v="ASHC"/>
    <s v="UBER"/>
    <n v="2928.92"/>
    <x v="0"/>
    <m/>
    <s v="2PAGOS 16/17 MARZO 19/03 400"/>
  </r>
  <r>
    <x v="1"/>
    <x v="10"/>
    <x v="93"/>
    <s v="AVEOH|2026|BLANCO|NJG464C"/>
    <s v="ASHC"/>
    <s v="ASHC"/>
    <s v="UBER"/>
    <n v="2572.1028571428574"/>
    <x v="0"/>
    <m/>
    <m/>
  </r>
  <r>
    <x v="1"/>
    <x v="10"/>
    <x v="103"/>
    <s v="MARCH|2020|TURQ|N15BKD"/>
    <s v="ASHC"/>
    <s v="ASHC"/>
    <s v="UBER"/>
    <n v="3000"/>
    <x v="0"/>
    <m/>
    <m/>
  </r>
  <r>
    <x v="1"/>
    <x v="10"/>
    <x v="113"/>
    <s v="AVEO|2022|AZUL|MUF515A"/>
    <s v="ASHC"/>
    <s v="ASHC"/>
    <s v="UBER"/>
    <n v="-500"/>
    <x v="0"/>
    <m/>
    <m/>
  </r>
  <r>
    <x v="1"/>
    <x v="10"/>
    <x v="114"/>
    <s v="AVEO|2022|VINO|P62BHW"/>
    <s v="ASHC"/>
    <s v="ASHC"/>
    <s v="UBER"/>
    <n v="1428.5285714285708"/>
    <x v="0"/>
    <m/>
    <s v="P18/03"/>
  </r>
  <r>
    <x v="1"/>
    <x v="10"/>
    <x v="114"/>
    <s v="BYD|2026|VERDE|78F032"/>
    <s v="ASHC"/>
    <s v="ASHC"/>
    <s v="UBER"/>
    <n v="1156.8571428571429"/>
    <x v="1"/>
    <m/>
    <s v="P18/03"/>
  </r>
  <r>
    <x v="1"/>
    <x v="10"/>
    <x v="26"/>
    <s v="V DRIVE|2023|GRIS|MXW453C"/>
    <s v="ASHC"/>
    <s v="ASHC"/>
    <s v="DIDI"/>
    <n v="1491.3714285714286"/>
    <x v="0"/>
    <m/>
    <s v="P18/03"/>
  </r>
  <r>
    <x v="1"/>
    <x v="10"/>
    <x v="26"/>
    <s v="AVEO|2019|BLANCO|NBS225A"/>
    <s v="ASHC"/>
    <s v="ASHC"/>
    <s v="DIDI"/>
    <n v="700"/>
    <x v="1"/>
    <m/>
    <s v="P18/03"/>
  </r>
  <r>
    <x v="1"/>
    <x v="10"/>
    <x v="140"/>
    <s v="AVEO|2018|GRIS|X59AWG"/>
    <s v="ASHC"/>
    <s v="ASHC"/>
    <s v="UBER"/>
    <n v="2999.5599999999986"/>
    <x v="0"/>
    <m/>
    <s v="P19MAR"/>
  </r>
  <r>
    <x v="1"/>
    <x v="10"/>
    <x v="74"/>
    <s v="AVEOH|2026|ACERO|NEJ971C"/>
    <s v="ASHC"/>
    <s v="ASHC"/>
    <s v="UBER"/>
    <n v="3700"/>
    <x v="0"/>
    <m/>
    <s v="PAGO A CUENTA DE PRESTAMO 1/"/>
  </r>
  <r>
    <x v="1"/>
    <x v="10"/>
    <x v="67"/>
    <s v="AVEO|2025|PERSUASION|MXM510C"/>
    <s v="ASHC"/>
    <s v="ASHC"/>
    <s v="UBER"/>
    <n v="2700"/>
    <x v="0"/>
    <m/>
    <m/>
  </r>
  <r>
    <x v="1"/>
    <x v="10"/>
    <x v="67"/>
    <s v="VENTO|2019|BLANCO|LUE965C"/>
    <s v="JDG"/>
    <s v="ASHC"/>
    <s v="UBER"/>
    <n v="700"/>
    <x v="1"/>
    <m/>
    <s v="AJUSTE PARA REPORTE"/>
  </r>
  <r>
    <x v="1"/>
    <x v="10"/>
    <x v="142"/>
    <s v="MARCH|2019|TURQ|MAY737C"/>
    <s v="BYER"/>
    <s v="BYER"/>
    <s v="UBER"/>
    <n v="-1887.2800000000004"/>
    <x v="0"/>
    <m/>
    <m/>
  </r>
  <r>
    <x v="1"/>
    <x v="10"/>
    <x v="141"/>
    <s v="VENTO|2017|GRIS|MMA672C"/>
    <s v="ASHC"/>
    <s v="ASHC"/>
    <s v="UBER"/>
    <n v="2286.7600000000002"/>
    <x v="0"/>
    <m/>
    <s v="SE COBRO 214 DE MAS P16/03"/>
  </r>
  <r>
    <x v="1"/>
    <x v="10"/>
    <x v="68"/>
    <s v="VERSA|2020|BLANCO|A35BHD"/>
    <s v="ASHC"/>
    <s v="ASHC"/>
    <s v="UBER"/>
    <n v="714.28571428571422"/>
    <x v="0"/>
    <m/>
    <m/>
  </r>
  <r>
    <x v="1"/>
    <x v="10"/>
    <x v="68"/>
    <s v="AVANZA|2024|GRIS|NMC849C"/>
    <s v="ASHC"/>
    <s v="ASHC"/>
    <s v="UBER"/>
    <n v="2143.1428571428601"/>
    <x v="1"/>
    <m/>
    <s v="AJUSTE"/>
  </r>
  <r>
    <x v="1"/>
    <x v="10"/>
    <x v="119"/>
    <s v="MARCH|2020|GRIS|NEJ984C"/>
    <s v="BYER"/>
    <s v="BYER"/>
    <s v="UBER"/>
    <n v="2714.4285714285716"/>
    <x v="0"/>
    <m/>
    <s v="AJUT 1/2 NO CIRCULA MIERCOLES"/>
  </r>
  <r>
    <x v="1"/>
    <x v="10"/>
    <x v="107"/>
    <s v="AVEOH|2026|BLANCO|NJJ925C"/>
    <s v="ASHC"/>
    <s v="ASHC"/>
    <s v="UBER"/>
    <n v="3014.1438857142862"/>
    <x v="0"/>
    <m/>
    <s v="16/03/2026 - 19/03"/>
  </r>
  <r>
    <x v="1"/>
    <x v="10"/>
    <x v="143"/>
    <s v="MARCH|2019|TURQ|MAY737C"/>
    <s v="BYER"/>
    <s v="BYER"/>
    <s v="UBER"/>
    <n v="-188.16000000000003"/>
    <x v="0"/>
    <m/>
    <s v="ESTA CON GOÑI NO PAGO"/>
  </r>
  <r>
    <x v="1"/>
    <x v="10"/>
    <x v="46"/>
    <s v="AVEO|2019|PLATA|NEL860A"/>
    <s v="ASHC"/>
    <s v="ASHC"/>
    <s v="UBER"/>
    <n v="3995.9199999999996"/>
    <x v="0"/>
    <m/>
    <s v="ACUERDO PAGO 3500,P1703 1000 P 1803 665"/>
  </r>
  <r>
    <x v="1"/>
    <x v="10"/>
    <x v="96"/>
    <s v="AVEO|2025|PERSUASION|MZN057C"/>
    <s v="ASHC"/>
    <s v="ASHC"/>
    <s v="UBER"/>
    <n v="1308.7599999999998"/>
    <x v="0"/>
    <m/>
    <s v="P1703"/>
  </r>
  <r>
    <x v="1"/>
    <x v="10"/>
    <x v="116"/>
    <s v="VENTO|2020|GRIS|NES586C"/>
    <s v="ASHC"/>
    <s v="ASHC"/>
    <s v="UBER"/>
    <n v="3204.4600000000105"/>
    <x v="0"/>
    <m/>
    <n v="46098"/>
  </r>
  <r>
    <x v="1"/>
    <x v="10"/>
    <x v="44"/>
    <s v="VENTO|2018|AMARILLO|NJJ912C"/>
    <s v="ASHC"/>
    <s v="ASHC"/>
    <s v="UBER"/>
    <n v="4912.32"/>
    <x v="0"/>
    <m/>
    <s v="P1703  P1903"/>
  </r>
  <r>
    <x v="1"/>
    <x v="11"/>
    <x v="117"/>
    <s v="VERSA|2022|GRIS|NES596C"/>
    <s v="ASHC"/>
    <s v="ASHC"/>
    <s v="DIDI"/>
    <n v="3000"/>
    <x v="0"/>
    <m/>
    <s v="P25/03 1800,200,1000"/>
  </r>
  <r>
    <x v="1"/>
    <x v="11"/>
    <x v="123"/>
    <s v="AVEO|2024|GRIS|LRL009C"/>
    <s v="ASHC"/>
    <s v="ASHC"/>
    <s v="UBER"/>
    <n v="3000.8799999999992"/>
    <x v="0"/>
    <m/>
    <s v="26/03 1000 27/03 989"/>
  </r>
  <r>
    <x v="1"/>
    <x v="11"/>
    <x v="0"/>
    <s v="VERSA|2020|ROJO|NLP172B"/>
    <s v="ASHC"/>
    <s v="ASHC"/>
    <s v="UBER"/>
    <n v="2500"/>
    <x v="0"/>
    <m/>
    <s v="P2403 2500"/>
  </r>
  <r>
    <x v="1"/>
    <x v="11"/>
    <x v="52"/>
    <s v="AVEO|2025|PERSUASION|MXM503C"/>
    <s v="ASHC"/>
    <s v="ASHC"/>
    <s v="UBER"/>
    <n v="2700"/>
    <x v="0"/>
    <m/>
    <m/>
  </r>
  <r>
    <x v="1"/>
    <x v="11"/>
    <x v="145"/>
    <s v="VENTO|2020|ROJO|NPU174C"/>
    <s v="ASHC"/>
    <s v="ASHC"/>
    <s v="UBER"/>
    <n v="1800"/>
    <x v="0"/>
    <m/>
    <s v="300 GASOLINA. ANT GUITARRA"/>
  </r>
  <r>
    <x v="1"/>
    <x v="11"/>
    <x v="133"/>
    <s v="MARCH|2022|BLANCO|MGC417C"/>
    <s v="JGD"/>
    <s v="BYER"/>
    <s v="UBER"/>
    <n v="3000.08"/>
    <x v="0"/>
    <m/>
    <s v="P24/03 1434"/>
  </r>
  <r>
    <x v="1"/>
    <x v="11"/>
    <x v="146"/>
    <s v="KIA RIO|2020|GRIS|NCK475B"/>
    <s v="ASHC"/>
    <s v="ASHC"/>
    <s v="UBER"/>
    <n v="1500"/>
    <x v="0"/>
    <n v="2000"/>
    <m/>
  </r>
  <r>
    <x v="1"/>
    <x v="11"/>
    <x v="78"/>
    <s v="AVEOH|2026|BLANCO|NJG470C"/>
    <s v="ASHC"/>
    <s v="ASHC"/>
    <s v="UBER"/>
    <n v="3163.7142857142858"/>
    <x v="0"/>
    <m/>
    <s v="CAMBIO DE AUTO. 27/03 1400 28/03 29/03 500 y600"/>
  </r>
  <r>
    <x v="1"/>
    <x v="11"/>
    <x v="78"/>
    <s v="AVEOH|2026|BLANCO|NJG467C"/>
    <s v="ASHC"/>
    <s v="ASHC"/>
    <s v="UBER"/>
    <n v="-34.314285714285916"/>
    <x v="1"/>
    <m/>
    <s v="27/03 1400 APL PARCIAL"/>
  </r>
  <r>
    <x v="1"/>
    <x v="11"/>
    <x v="109"/>
    <s v="VENTO|2020|GRIS|A19BDY"/>
    <s v="ASHC"/>
    <s v="ASHC"/>
    <s v="UBER"/>
    <n v="2500.9999999999991"/>
    <x v="0"/>
    <m/>
    <s v="26/03 215"/>
  </r>
  <r>
    <x v="1"/>
    <x v="11"/>
    <x v="134"/>
    <s v="AVEO|2022|AZUL|NZY685B"/>
    <s v="ASHC"/>
    <s v="ASHC"/>
    <s v="UBER"/>
    <n v="1797.9799999999996"/>
    <x v="0"/>
    <m/>
    <s v="P2503 1000"/>
  </r>
  <r>
    <x v="1"/>
    <x v="11"/>
    <x v="31"/>
    <s v="SWIFT|2017|ROJO|X89ALV"/>
    <s v="BYER"/>
    <s v="BYER"/>
    <s v="UBER"/>
    <n v="2500"/>
    <x v="0"/>
    <m/>
    <m/>
  </r>
  <r>
    <x v="1"/>
    <x v="11"/>
    <x v="110"/>
    <s v="KIA|2025|AZUL|NMC863C"/>
    <s v="ASHC"/>
    <s v="ASHC"/>
    <s v="UBER"/>
    <n v="2700"/>
    <x v="0"/>
    <m/>
    <m/>
  </r>
  <r>
    <x v="1"/>
    <x v="11"/>
    <x v="53"/>
    <s v="AVEO|2025|PERSUASION|MZN091C"/>
    <s v="ASHC"/>
    <s v="ASHC"/>
    <s v="UBER"/>
    <n v="2699.2199999999993"/>
    <x v="0"/>
    <m/>
    <s v="26/03 $1943"/>
  </r>
  <r>
    <x v="1"/>
    <x v="11"/>
    <x v="50"/>
    <s v="HYUNDAI|2022|PLATA|D40BKD"/>
    <s v="ASHC"/>
    <s v="ASHC"/>
    <s v="UBER"/>
    <n v="3821"/>
    <x v="0"/>
    <m/>
    <m/>
  </r>
  <r>
    <x v="1"/>
    <x v="11"/>
    <x v="111"/>
    <s v="VERSA|2021|AZUL|NMC875C"/>
    <s v="ASHC"/>
    <s v="ASHC"/>
    <s v="UBER"/>
    <n v="2500"/>
    <x v="0"/>
    <m/>
    <m/>
  </r>
  <r>
    <x v="1"/>
    <x v="11"/>
    <x v="77"/>
    <s v="KIA RIO|2020|GRIS|NCK475B"/>
    <s v="ASHC"/>
    <s v="ASHC"/>
    <s v="UBER"/>
    <n v="102"/>
    <x v="0"/>
    <m/>
    <m/>
  </r>
  <r>
    <x v="1"/>
    <x v="11"/>
    <x v="80"/>
    <s v="AVEOH|2026|ACERO|NEJ990C"/>
    <s v="ASHC"/>
    <s v="ASHC"/>
    <s v="UBER"/>
    <n v="2700"/>
    <x v="0"/>
    <m/>
    <m/>
  </r>
  <r>
    <x v="1"/>
    <x v="11"/>
    <x v="97"/>
    <s v="AVEO|2020|AZUL|D28BET"/>
    <s v="ASHC"/>
    <s v="ASHC"/>
    <s v="UBER"/>
    <n v="2607"/>
    <x v="0"/>
    <m/>
    <m/>
  </r>
  <r>
    <x v="1"/>
    <x v="11"/>
    <x v="21"/>
    <s v="AVEO|2025|PERSUASION|MXM502C"/>
    <s v="ASHC"/>
    <s v="ASHC"/>
    <s v="UBER"/>
    <n v="2708.4400000000014"/>
    <x v="0"/>
    <m/>
    <s v="P24/03 X 2 1300 APL PARCIAL 28/03 600+212"/>
  </r>
  <r>
    <x v="1"/>
    <x v="11"/>
    <x v="21"/>
    <s v="KIA RIO|2020|GRIS|NCK475B"/>
    <s v="ASHC"/>
    <s v="ASHC"/>
    <s v="UBER"/>
    <n v="500"/>
    <x v="1"/>
    <m/>
    <s v="P24/03 1300 APL PARCIAL"/>
  </r>
  <r>
    <x v="1"/>
    <x v="11"/>
    <x v="104"/>
    <s v="BEAT|2020|GRIS|NFN014B"/>
    <s v="U64"/>
    <s v="BYER"/>
    <s v="UBER"/>
    <n v="2486"/>
    <x v="0"/>
    <m/>
    <m/>
  </r>
  <r>
    <x v="1"/>
    <x v="11"/>
    <x v="94"/>
    <s v="AVEO|2023|VINO|R22BMR"/>
    <s v="ASHC"/>
    <s v="ASHC"/>
    <s v="UBER"/>
    <n v="-2320.6400000000003"/>
    <x v="0"/>
    <m/>
    <m/>
  </r>
  <r>
    <x v="1"/>
    <x v="11"/>
    <x v="121"/>
    <s v="KIA RIO|2017|ROJO|MYE912A"/>
    <s v="U64"/>
    <s v="BYER"/>
    <s v="UBER"/>
    <n v="2713.4999999999991"/>
    <x v="0"/>
    <m/>
    <m/>
  </r>
  <r>
    <x v="1"/>
    <x v="11"/>
    <x v="147"/>
    <s v="BYD|2026|VERDE|78F032"/>
    <s v="BYER"/>
    <s v="BYER"/>
    <s v="UBER"/>
    <n v="2402.77"/>
    <x v="0"/>
    <m/>
    <m/>
  </r>
  <r>
    <x v="1"/>
    <x v="11"/>
    <x v="136"/>
    <s v="AVEOH|2026|ROJO|NEZ101C"/>
    <s v="ASHC"/>
    <s v="ASHC"/>
    <s v="UBER"/>
    <n v="3200"/>
    <x v="0"/>
    <m/>
    <m/>
  </r>
  <r>
    <x v="1"/>
    <x v="11"/>
    <x v="148"/>
    <s v="VENTO|2020|GRIS|R66BER"/>
    <s v="ASHC"/>
    <s v="ASHC"/>
    <s v="UBER"/>
    <n v="856.91714285714227"/>
    <x v="0"/>
    <m/>
    <s v="PRESTAMO ESTA CON IVETTE PERO SE DESCOMPUSO SU AUTO 25/03 EFEC 595"/>
  </r>
  <r>
    <x v="1"/>
    <x v="11"/>
    <x v="128"/>
    <s v="AVANZA|2024|GRIS|NMC849C"/>
    <s v="ASHC"/>
    <s v="ASHC"/>
    <s v="UBER"/>
    <n v="1.88"/>
    <x v="0"/>
    <m/>
    <m/>
  </r>
  <r>
    <x v="1"/>
    <x v="11"/>
    <x v="85"/>
    <s v="AVEOH|2026|BLANCO|NJG467C"/>
    <s v="ASHC"/>
    <s v="ASHC"/>
    <s v="UBER"/>
    <n v="-500"/>
    <x v="0"/>
    <m/>
    <m/>
  </r>
  <r>
    <x v="1"/>
    <x v="11"/>
    <x v="137"/>
    <s v="AVEO|2019|BLANCO|NBS225A"/>
    <s v="ASHC"/>
    <s v="ASHC"/>
    <s v="UBER"/>
    <n v="3000"/>
    <x v="0"/>
    <m/>
    <m/>
  </r>
  <r>
    <x v="1"/>
    <x v="11"/>
    <x v="57"/>
    <s v="AVEOH|2024|BLANCO|MWV156C"/>
    <s v="ASHC"/>
    <s v="ASHC"/>
    <s v="UBER"/>
    <n v="3040.7000000000007"/>
    <x v="0"/>
    <m/>
    <s v="$40 ELECTRICO LIMPIA PARABRISAS 24/03 200 +80 se poncho la llanta"/>
  </r>
  <r>
    <x v="1"/>
    <x v="11"/>
    <x v="144"/>
    <s v="VERSA|2023|PLATA|NCT814A"/>
    <s v="ASHC"/>
    <s v="ASHC"/>
    <s v="UBER"/>
    <n v="3011.8200000000015"/>
    <x v="0"/>
    <m/>
    <s v="$560 4 llantas y faros H11$450 EFEC 6 A FAVOR"/>
  </r>
  <r>
    <x v="1"/>
    <x v="11"/>
    <x v="82"/>
    <s v="AVEOH|2026|ROJO|NEZ108C"/>
    <s v="ASHC"/>
    <s v="ASHC"/>
    <s v="UBER"/>
    <n v="2579.4550857142858"/>
    <x v="0"/>
    <m/>
    <s v="P2403 800 P2603  1097"/>
  </r>
  <r>
    <x v="1"/>
    <x v="11"/>
    <x v="4"/>
    <s v="KIA RIO|2023|ROJO|H99BLC"/>
    <s v="U64"/>
    <s v="BYER"/>
    <s v="UBER"/>
    <n v="2500"/>
    <x v="0"/>
    <m/>
    <m/>
  </r>
  <r>
    <x v="1"/>
    <x v="11"/>
    <x v="98"/>
    <s v="AVEO|2021|GRIS|D51BHV"/>
    <s v="ASHC"/>
    <s v="ASHC"/>
    <s v="UBER"/>
    <n v="2536"/>
    <x v="0"/>
    <m/>
    <m/>
  </r>
  <r>
    <x v="1"/>
    <x v="11"/>
    <x v="5"/>
    <s v="MARCH|2021|ROJO|NZU5163"/>
    <s v="ASHC"/>
    <s v="ASHC"/>
    <s v="DIDI"/>
    <n v="2176"/>
    <x v="0"/>
    <m/>
    <s v="P23/03 2500"/>
  </r>
  <r>
    <x v="1"/>
    <x v="11"/>
    <x v="84"/>
    <s v="AVEOH|2026|ACERO|NEJ996C"/>
    <s v="ASHC"/>
    <s v="ASHC"/>
    <s v="UBER"/>
    <n v="2700"/>
    <x v="0"/>
    <m/>
    <m/>
  </r>
  <r>
    <x v="1"/>
    <x v="11"/>
    <x v="88"/>
    <s v="KIA RIO|2020|ROJO|MFP751C"/>
    <s v="ASHC"/>
    <s v="ASHC"/>
    <s v="UBER"/>
    <n v="-1140.4199999999998"/>
    <x v="0"/>
    <m/>
    <m/>
  </r>
  <r>
    <x v="1"/>
    <x v="11"/>
    <x v="129"/>
    <s v="VERSA|2020|BLANCO|A35BHD"/>
    <s v="ASHC"/>
    <s v="ASHC"/>
    <s v="UBER"/>
    <n v="3000"/>
    <x v="0"/>
    <m/>
    <s v="P24/03 1880 Y 1120"/>
  </r>
  <r>
    <x v="1"/>
    <x v="11"/>
    <x v="130"/>
    <s v="AVEO|2018|ROJO|R51BKD"/>
    <s v="ASHC"/>
    <s v="ASHC"/>
    <s v="DIDI"/>
    <n v="3000.8142399999997"/>
    <x v="0"/>
    <m/>
    <s v="24/03 2,520"/>
  </r>
  <r>
    <x v="1"/>
    <x v="11"/>
    <x v="15"/>
    <s v="AVEO|2023|GRIS|MLC126A"/>
    <s v="ASHC"/>
    <s v="ASHC"/>
    <s v="UBER"/>
    <n v="2500"/>
    <x v="0"/>
    <m/>
    <m/>
  </r>
  <r>
    <x v="1"/>
    <x v="11"/>
    <x v="138"/>
    <s v="AVEO|2019|PLATA|NEL860A"/>
    <s v="ASHC"/>
    <s v="ASHC"/>
    <s v="UBER"/>
    <n v="1267.46"/>
    <x v="0"/>
    <m/>
    <s v="P26/03 350 27/03 300 28/03 500"/>
  </r>
  <r>
    <x v="1"/>
    <x v="11"/>
    <x v="139"/>
    <s v="AVEO|2025|PERSUASION|MXM502C"/>
    <s v="ASHC"/>
    <s v="ASHC"/>
    <s v="UBER"/>
    <n v="3200.4752000000008"/>
    <x v="0"/>
    <m/>
    <s v="24/03  $619"/>
  </r>
  <r>
    <x v="1"/>
    <x v="11"/>
    <x v="131"/>
    <s v="VERSA|2021|BLANCO|MEE228C"/>
    <s v="ASHC"/>
    <s v="ASHC"/>
    <s v="UBER"/>
    <n v="3000"/>
    <x v="0"/>
    <m/>
    <m/>
  </r>
  <r>
    <x v="1"/>
    <x v="11"/>
    <x v="112"/>
    <s v="VENTO|2020|GRIS|R66BER"/>
    <s v="ASHC"/>
    <s v="ASHC"/>
    <s v="UBER"/>
    <n v="-4183.5714285714284"/>
    <x v="0"/>
    <m/>
    <s v="BAJA 20/03  A LAS 14.00 HRS TIENE FIANZA ACUM P20SE APLICA PARA CONC CTA NO SE APLICO EL PAGO EN LA SEM 11 DEL 20/03 POR 500 SINO HASTA EL CIERRE PORQUE ERA PARTE DE DICHO CIERRE"/>
  </r>
  <r>
    <x v="1"/>
    <x v="11"/>
    <x v="87"/>
    <s v="AVEOH|2026|BLANCO|NJG485C"/>
    <s v="ASHC"/>
    <s v="ASHC"/>
    <s v="UBER"/>
    <n v="2717.7200000000003"/>
    <x v="0"/>
    <m/>
    <s v="24/03 1000"/>
  </r>
  <r>
    <x v="1"/>
    <x v="11"/>
    <x v="93"/>
    <s v="AVEOH|2026|BLANCO|NJG464C"/>
    <s v="ASHC"/>
    <s v="ASHC"/>
    <s v="UBER"/>
    <n v="2095.46"/>
    <x v="0"/>
    <m/>
    <s v="26/03 1000 28/03 500"/>
  </r>
  <r>
    <x v="1"/>
    <x v="11"/>
    <x v="103"/>
    <s v="MARCH|2020|TURQ|N15BKD"/>
    <s v="ASHC"/>
    <s v="ASHC"/>
    <s v="UBER"/>
    <n v="2643"/>
    <x v="0"/>
    <m/>
    <m/>
  </r>
  <r>
    <x v="1"/>
    <x v="11"/>
    <x v="113"/>
    <s v="AVEO|2022|AZUL|MUF515A"/>
    <s v="ASHC"/>
    <s v="ASHC"/>
    <s v="UBER"/>
    <n v="-500"/>
    <x v="0"/>
    <m/>
    <m/>
  </r>
  <r>
    <x v="1"/>
    <x v="11"/>
    <x v="114"/>
    <s v="AVEO|2022|VINO|P62BHW"/>
    <s v="ASHC"/>
    <s v="ASHC"/>
    <s v="UBER"/>
    <n v="2999.6399999999994"/>
    <x v="0"/>
    <m/>
    <s v="P2503 1099"/>
  </r>
  <r>
    <x v="1"/>
    <x v="11"/>
    <x v="26"/>
    <s v="V DRIVE|2023|GRIS|MXW453C"/>
    <s v="ASHC"/>
    <s v="ASHC"/>
    <s v="DIDI"/>
    <n v="5729.92"/>
    <x v="0"/>
    <m/>
    <s v="P24/03 1,100 30MZ4000"/>
  </r>
  <r>
    <x v="1"/>
    <x v="11"/>
    <x v="26"/>
    <s v="AVEO|2019|BLANCO|NBS225A"/>
    <s v="ASHC"/>
    <s v="ASHC"/>
    <s v="DIDI"/>
    <n v="420"/>
    <x v="1"/>
    <m/>
    <m/>
  </r>
  <r>
    <x v="1"/>
    <x v="11"/>
    <x v="140"/>
    <s v="AVEO|2018|GRIS|X59AWG"/>
    <s v="ASHC"/>
    <s v="ASHC"/>
    <s v="UBER"/>
    <n v="3000"/>
    <x v="0"/>
    <m/>
    <m/>
  </r>
  <r>
    <x v="1"/>
    <x v="11"/>
    <x v="74"/>
    <s v="AVEOH|2026|ACERO|NEJ971C"/>
    <s v="ASHC"/>
    <s v="ASHC"/>
    <s v="UBER"/>
    <n v="3699.8999999999996"/>
    <x v="0"/>
    <m/>
    <s v="24/03 580"/>
  </r>
  <r>
    <x v="1"/>
    <x v="11"/>
    <x v="67"/>
    <s v="AVEO|2025|PERSUASION|MXM510C"/>
    <s v="ASHC"/>
    <s v="ASHC"/>
    <s v="UBER"/>
    <n v="2700"/>
    <x v="0"/>
    <m/>
    <m/>
  </r>
  <r>
    <x v="1"/>
    <x v="11"/>
    <x v="67"/>
    <s v="VENTO|2019|BLANCO|LUE965C"/>
    <s v="JDG"/>
    <s v="ASHC"/>
    <s v="UBER"/>
    <n v="700"/>
    <x v="1"/>
    <m/>
    <s v="AJUSTE"/>
  </r>
  <r>
    <x v="1"/>
    <x v="11"/>
    <x v="142"/>
    <s v="MARCH|2019|TURQ|MAY737C"/>
    <s v="BYER"/>
    <s v="BYER"/>
    <s v="UBER"/>
    <n v="-1585.5085714285715"/>
    <x v="0"/>
    <m/>
    <s v="BAJA 18/03 EL 18 PAGO DE 500"/>
  </r>
  <r>
    <x v="1"/>
    <x v="11"/>
    <x v="141"/>
    <s v="VENTO|2017|GRIS|MMA672C"/>
    <s v="ASHC"/>
    <s v="ASHC"/>
    <s v="UBER"/>
    <n v="58.220000000000255"/>
    <x v="0"/>
    <m/>
    <m/>
  </r>
  <r>
    <x v="1"/>
    <x v="11"/>
    <x v="68"/>
    <s v="AVANZA|2024|GRIS|NMC849C"/>
    <s v="ASHC"/>
    <s v="ASHC"/>
    <s v="UBER"/>
    <n v="2571.4285714285716"/>
    <x v="0"/>
    <m/>
    <m/>
  </r>
  <r>
    <x v="1"/>
    <x v="11"/>
    <x v="119"/>
    <s v="MARCH|2020|GRIS|NEJ984C"/>
    <s v="BYER"/>
    <s v="BYER"/>
    <s v="UBER"/>
    <n v="2500"/>
    <x v="0"/>
    <m/>
    <m/>
  </r>
  <r>
    <x v="1"/>
    <x v="11"/>
    <x v="107"/>
    <s v="AVEOH|2026|BLANCO|NJJ925C"/>
    <s v="ASHC"/>
    <s v="ASHC"/>
    <s v="UBER"/>
    <n v="3399.66"/>
    <x v="0"/>
    <m/>
    <s v="27/03   1789"/>
  </r>
  <r>
    <x v="1"/>
    <x v="11"/>
    <x v="46"/>
    <s v="AVEO|2019|PLATA|NEL860A"/>
    <s v="ASHC"/>
    <s v="ASHC"/>
    <s v="UBER"/>
    <n v="3445.0023999999994"/>
    <x v="0"/>
    <m/>
    <s v="P2503 1300 "/>
  </r>
  <r>
    <x v="1"/>
    <x v="11"/>
    <x v="96"/>
    <s v="AVEO|2025|PERSUASION|MZN057C"/>
    <s v="ASHC"/>
    <s v="ASHC"/>
    <s v="UBER"/>
    <n v="4817.6399999999994"/>
    <x v="0"/>
    <m/>
    <s v="P24/03 1637 28/03 1121"/>
  </r>
  <r>
    <x v="1"/>
    <x v="11"/>
    <x v="116"/>
    <s v="VENTO|2020|GRIS|NES586C"/>
    <s v="ASHC"/>
    <s v="ASHC"/>
    <s v="UBER"/>
    <n v="3200"/>
    <x v="0"/>
    <m/>
    <m/>
  </r>
  <r>
    <x v="1"/>
    <x v="11"/>
    <x v="44"/>
    <s v="VENTO|2018|AMARILLO|NJJ912C"/>
    <s v="ASHC"/>
    <s v="ASHC"/>
    <s v="UBER"/>
    <n v="4065.3599999999997"/>
    <x v="0"/>
    <m/>
    <s v="24/03 3000 26/03 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6093A-84F1-4EE4-A257-0801702831C4}" name="TablaDiná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2">
  <location ref="B3:F18" firstHeaderRow="0" firstDataRow="1" firstDataCol="2" rowPageCount="1" colPageCount="1"/>
  <pivotFields count="11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axis="axisPage" compact="0" outline="0" multipleItemSelectionAllowed="1" showAll="0" sortType="ascending">
      <items count="150">
        <item x="11"/>
        <item h="1" x="117"/>
        <item h="1" x="59"/>
        <item h="1" x="123"/>
        <item h="1" x="0"/>
        <item h="1" x="52"/>
        <item h="1" x="145"/>
        <item h="1" x="37"/>
        <item h="1" x="133"/>
        <item h="1" x="108"/>
        <item h="1" x="81"/>
        <item h="1" x="146"/>
        <item h="1" x="78"/>
        <item h="1" x="109"/>
        <item h="1" x="33"/>
        <item h="1" x="73"/>
        <item h="1" x="75"/>
        <item h="1" x="134"/>
        <item h="1" x="31"/>
        <item h="1" x="110"/>
        <item h="1" x="53"/>
        <item h="1" x="135"/>
        <item h="1" x="1"/>
        <item h="1" x="124"/>
        <item h="1" x="50"/>
        <item h="1" x="111"/>
        <item h="1" x="77"/>
        <item h="1" x="120"/>
        <item h="1" x="2"/>
        <item h="1" x="3"/>
        <item h="1" x="80"/>
        <item h="1" x="97"/>
        <item h="1" x="51"/>
        <item h="1" x="66"/>
        <item h="1" x="21"/>
        <item h="1" x="63"/>
        <item h="1" x="104"/>
        <item h="1" x="105"/>
        <item h="1" x="94"/>
        <item h="1" x="12"/>
        <item h="1" x="29"/>
        <item h="1" x="13"/>
        <item h="1" x="126"/>
        <item h="1" x="92"/>
        <item h="1" x="121"/>
        <item h="1" x="147"/>
        <item h="1" x="136"/>
        <item h="1" x="127"/>
        <item h="1" x="148"/>
        <item h="1" x="16"/>
        <item h="1" x="30"/>
        <item h="1" x="83"/>
        <item h="1" x="128"/>
        <item h="1" x="72"/>
        <item h="1" x="85"/>
        <item h="1" x="55"/>
        <item h="1" x="64"/>
        <item h="1" x="137"/>
        <item h="1" x="39"/>
        <item h="1" x="57"/>
        <item h="1" x="58"/>
        <item h="1" x="144"/>
        <item h="1" x="82"/>
        <item h="1" x="65"/>
        <item h="1" x="118"/>
        <item h="1" x="14"/>
        <item h="1" x="106"/>
        <item h="1" x="4"/>
        <item h="1" x="25"/>
        <item h="1" x="98"/>
        <item h="1" x="45"/>
        <item h="1" x="5"/>
        <item h="1" x="69"/>
        <item h="1" x="84"/>
        <item h="1" x="99"/>
        <item h="1" x="88"/>
        <item h="1" x="129"/>
        <item h="1" x="100"/>
        <item h="1" x="130"/>
        <item h="1" x="6"/>
        <item h="1" x="47"/>
        <item h="1" x="23"/>
        <item h="1" x="34"/>
        <item h="1" x="7"/>
        <item h="1" x="15"/>
        <item h="1" x="8"/>
        <item h="1" x="60"/>
        <item h="1" x="138"/>
        <item h="1" x="139"/>
        <item h="1" x="131"/>
        <item h="1" x="40"/>
        <item h="1" x="17"/>
        <item h="1" x="91"/>
        <item h="1" x="48"/>
        <item h="1" x="35"/>
        <item h="1" x="101"/>
        <item h="1" x="89"/>
        <item h="1" x="22"/>
        <item h="1" x="61"/>
        <item h="1" x="102"/>
        <item h="1" x="90"/>
        <item h="1" x="43"/>
        <item h="1" x="125"/>
        <item h="1" x="112"/>
        <item h="1" x="76"/>
        <item h="1" x="27"/>
        <item h="1" x="87"/>
        <item h="1" x="32"/>
        <item h="1" x="19"/>
        <item h="1" x="71"/>
        <item h="1" x="56"/>
        <item h="1" x="24"/>
        <item h="1" x="86"/>
        <item h="1" x="9"/>
        <item h="1" x="93"/>
        <item h="1" x="103"/>
        <item h="1" x="38"/>
        <item h="1" x="113"/>
        <item h="1" x="122"/>
        <item h="1" x="114"/>
        <item h="1" x="26"/>
        <item h="1" x="140"/>
        <item h="1" x="74"/>
        <item h="1" x="67"/>
        <item h="1" x="41"/>
        <item h="1" x="42"/>
        <item h="1" x="142"/>
        <item h="1" x="20"/>
        <item h="1" x="115"/>
        <item h="1" x="141"/>
        <item h="1" x="36"/>
        <item h="1" x="95"/>
        <item h="1" x="54"/>
        <item h="1" x="49"/>
        <item h="1" x="62"/>
        <item h="1" x="68"/>
        <item h="1" x="119"/>
        <item h="1" x="79"/>
        <item h="1" x="18"/>
        <item h="1" x="70"/>
        <item x="107"/>
        <item h="1" x="10"/>
        <item h="1" x="132"/>
        <item h="1" x="143"/>
        <item h="1" x="46"/>
        <item h="1" x="96"/>
        <item h="1" x="116"/>
        <item h="1" x="28"/>
        <item h="1" x="4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38" outline="0" showAll="0"/>
    <pivotField dataField="1" compact="0" outline="0" showAll="0">
      <items count="4">
        <item x="0"/>
        <item x="2"/>
        <item x="1"/>
        <item t="default"/>
      </items>
    </pivotField>
    <pivotField dataField="1" compact="0" outline="0" showAll="0"/>
    <pivotField compact="0" outline="0" showAll="0"/>
  </pivotFields>
  <rowFields count="2">
    <field x="0"/>
    <field x="1"/>
  </rowFields>
  <rowItems count="15">
    <i>
      <x/>
      <x v="1"/>
    </i>
    <i r="1">
      <x v="2"/>
    </i>
    <i t="default">
      <x/>
    </i>
    <i>
      <x v="1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a de GANANCIAS TOTALES" fld="7" baseField="0" baseItem="0" numFmtId="38"/>
    <dataField name="Suma de FIANZA" fld="9" baseField="0" baseItem="0"/>
    <dataField name="Cuenta de META" fld="8" subtotal="count" baseField="0" baseItem="0"/>
  </dataFields>
  <chartFormats count="3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7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8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9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0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2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3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4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5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6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7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8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9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0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1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223" dT="2026-01-29T15:08:45.54" personId="{D3915D6E-F0D6-47F0-BF36-52D89C35D47B}" id="{154EFB45-BFAB-45A4-BAC1-6391D3FF2222}">
    <text>REVISAR CON ELI, PAG DE 1500</text>
  </threadedComment>
  <threadedComment ref="Q248" dT="2026-02-02T17:44:54.31" personId="{AAADB257-223C-4218-A3A4-715218F2B268}" id="{05D949BA-F664-4BB8-B6A8-D1965A0E25D5}">
    <text>SALDO A FAV SEM PASADA</text>
  </threadedComment>
  <threadedComment ref="Q262" dT="2026-02-02T17:34:05.95" personId="{AAADB257-223C-4218-A3A4-715218F2B268}" id="{2F2B4BFB-33D1-4CD7-9503-14EDCC410CA1}">
    <text xml:space="preserve">PAGO DE MAS
</text>
  </threadedComment>
  <threadedComment ref="P263" dT="2026-01-30T20:47:02.07" personId="{D3915D6E-F0D6-47F0-BF36-52D89C35D47B}" id="{38BBD3DE-9CFB-4BB7-B824-BE8CF352FBBA}">
    <text>se cobran 4 días</text>
  </threadedComment>
  <threadedComment ref="Q346" dT="2026-02-09T15:05:33.59" personId="{AAADB257-223C-4218-A3A4-715218F2B268}" id="{066A0DAA-F1D4-4CE0-8FD5-9BC9566BEFC1}">
    <text>Hojalateria sem pasada</text>
  </threadedComment>
  <threadedComment ref="N586" dT="2026-03-09T14:56:45.90" personId="{D3915D6E-F0D6-47F0-BF36-52D89C35D47B}" id="{E3C2312C-4AFA-4AB4-BED8-1DD7D07EC5D5}">
    <text>CRUZA DOS TAG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6CAE-C7A4-461E-859D-899F9F37B301}">
  <sheetPr filterMode="1">
    <tabColor rgb="FF002060"/>
    <pageSetUpPr fitToPage="1"/>
  </sheetPr>
  <dimension ref="A1:AE1355"/>
  <sheetViews>
    <sheetView workbookViewId="0">
      <selection activeCell="C1333" sqref="C1333"/>
    </sheetView>
  </sheetViews>
  <sheetFormatPr baseColWidth="10" defaultColWidth="14.44140625" defaultRowHeight="15" customHeight="1" outlineLevelCol="1" x14ac:dyDescent="0.3"/>
  <cols>
    <col min="1" max="1" width="9.109375" style="11" customWidth="1"/>
    <col min="2" max="2" width="25.109375" style="11" customWidth="1"/>
    <col min="3" max="3" width="27.88671875" style="11" customWidth="1"/>
    <col min="4" max="4" width="16" style="11" customWidth="1"/>
    <col min="5" max="5" width="10.5546875" style="11" bestFit="1" customWidth="1"/>
    <col min="6" max="6" width="11.109375" style="11" customWidth="1"/>
    <col min="7" max="7" width="9.5546875" style="11" customWidth="1"/>
    <col min="8" max="8" width="13.44140625" style="11" customWidth="1" outlineLevel="1"/>
    <col min="9" max="9" width="14.44140625" style="11" customWidth="1" outlineLevel="1"/>
    <col min="10" max="10" width="14" style="11" customWidth="1" outlineLevel="1"/>
    <col min="11" max="11" width="11.88671875" style="11" customWidth="1" outlineLevel="1"/>
    <col min="12" max="12" width="12.88671875" style="11" customWidth="1" outlineLevel="1"/>
    <col min="13" max="13" width="15.44140625" style="11" customWidth="1" outlineLevel="1"/>
    <col min="14" max="14" width="8.5546875" style="11" customWidth="1"/>
    <col min="15" max="15" width="11" style="11" customWidth="1"/>
    <col min="16" max="16" width="11.5546875" style="11" customWidth="1"/>
    <col min="17" max="17" width="15.109375" style="11" customWidth="1" outlineLevel="1"/>
    <col min="18" max="19" width="10.88671875" style="11" customWidth="1" outlineLevel="1"/>
    <col min="20" max="20" width="15.109375" style="11" customWidth="1" outlineLevel="1"/>
    <col min="21" max="21" width="15.5546875" style="11" customWidth="1" outlineLevel="1"/>
    <col min="22" max="22" width="8.109375" style="11" customWidth="1" outlineLevel="1"/>
    <col min="23" max="24" width="10.109375" style="11" customWidth="1"/>
    <col min="25" max="25" width="17.44140625" style="11" customWidth="1"/>
    <col min="26" max="26" width="12.109375" style="11" bestFit="1" customWidth="1"/>
    <col min="27" max="27" width="7.88671875" style="11" customWidth="1"/>
    <col min="28" max="28" width="22" style="11" bestFit="1" customWidth="1"/>
    <col min="29" max="29" width="30.88671875" style="11" customWidth="1"/>
    <col min="30" max="30" width="9.109375" style="11" customWidth="1"/>
    <col min="31" max="16384" width="14.44140625" style="11"/>
  </cols>
  <sheetData>
    <row r="1" spans="1:31" ht="12.75" customHeight="1" x14ac:dyDescent="0.3">
      <c r="A1" s="8"/>
      <c r="B1" s="9"/>
      <c r="C1" s="8"/>
      <c r="D1" s="8"/>
      <c r="E1" s="8"/>
      <c r="F1" s="8"/>
      <c r="G1" s="8"/>
      <c r="H1" s="8"/>
      <c r="I1" s="8"/>
      <c r="J1" s="8"/>
      <c r="K1" s="8"/>
      <c r="L1" s="8"/>
      <c r="M1" s="10">
        <v>-10</v>
      </c>
      <c r="N1" s="8"/>
      <c r="O1" s="10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1" ht="12.75" customHeight="1" x14ac:dyDescent="0.3">
      <c r="A2" s="12" t="s">
        <v>0</v>
      </c>
      <c r="B2" s="13" t="s">
        <v>1</v>
      </c>
      <c r="C2" s="13" t="s">
        <v>2</v>
      </c>
      <c r="D2" s="13" t="s">
        <v>205</v>
      </c>
      <c r="E2" s="14" t="s">
        <v>206</v>
      </c>
      <c r="F2" s="14" t="s">
        <v>207</v>
      </c>
      <c r="G2" s="13" t="s">
        <v>208</v>
      </c>
      <c r="H2" s="15" t="s">
        <v>209</v>
      </c>
      <c r="I2" s="15" t="s">
        <v>210</v>
      </c>
      <c r="J2" s="15" t="s">
        <v>211</v>
      </c>
      <c r="K2" s="15" t="s">
        <v>212</v>
      </c>
      <c r="L2" s="15" t="s">
        <v>213</v>
      </c>
      <c r="M2" s="16" t="s">
        <v>214</v>
      </c>
      <c r="N2" s="15" t="s">
        <v>205</v>
      </c>
      <c r="O2" s="17" t="s">
        <v>215</v>
      </c>
      <c r="P2" s="15" t="s">
        <v>216</v>
      </c>
      <c r="Q2" s="15" t="s">
        <v>217</v>
      </c>
      <c r="R2" s="15" t="s">
        <v>218</v>
      </c>
      <c r="S2" s="15" t="s">
        <v>219</v>
      </c>
      <c r="T2" s="15" t="s">
        <v>220</v>
      </c>
      <c r="U2" s="15" t="s">
        <v>221</v>
      </c>
      <c r="V2" s="15" t="s">
        <v>222</v>
      </c>
      <c r="W2" s="15" t="s">
        <v>223</v>
      </c>
      <c r="X2" s="15" t="s">
        <v>224</v>
      </c>
      <c r="Y2" s="18" t="s">
        <v>225</v>
      </c>
      <c r="Z2" s="18" t="s">
        <v>226</v>
      </c>
      <c r="AA2" s="18" t="s">
        <v>227</v>
      </c>
      <c r="AB2" s="18" t="s">
        <v>228</v>
      </c>
      <c r="AC2" s="19" t="s">
        <v>229</v>
      </c>
      <c r="AD2" s="20"/>
    </row>
    <row r="3" spans="1:31" ht="12.75" hidden="1" customHeight="1" x14ac:dyDescent="0.3">
      <c r="A3" s="8">
        <v>1</v>
      </c>
      <c r="B3" s="20" t="s">
        <v>80</v>
      </c>
      <c r="C3" s="20" t="s">
        <v>230</v>
      </c>
      <c r="D3" s="21" t="s">
        <v>231</v>
      </c>
      <c r="E3" s="22" t="s">
        <v>232</v>
      </c>
      <c r="F3" s="22" t="s">
        <v>233</v>
      </c>
      <c r="G3" s="22" t="s">
        <v>234</v>
      </c>
      <c r="H3" s="23">
        <v>1943.26</v>
      </c>
      <c r="I3" s="23">
        <v>-16</v>
      </c>
      <c r="J3" s="23">
        <v>0</v>
      </c>
      <c r="K3" s="23">
        <v>0</v>
      </c>
      <c r="L3" s="23">
        <v>-758.4</v>
      </c>
      <c r="M3" s="24">
        <f>-38.8652+32</f>
        <v>-6.8652000000000015</v>
      </c>
      <c r="N3" s="23">
        <v>0</v>
      </c>
      <c r="O3" s="24">
        <f t="shared" ref="O3:O66" si="0">SUM(H3:N3)</f>
        <v>1161.9948000000002</v>
      </c>
      <c r="P3" s="23">
        <v>-2142.85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  <c r="W3" s="23">
        <f t="shared" ref="W3:W66" si="1">+O3+SUM(P3:V3)</f>
        <v>-980.85519999999974</v>
      </c>
      <c r="X3" s="23">
        <f t="shared" ref="X3:X66" si="2">IF(W3&gt;=0,W3,0)</f>
        <v>0</v>
      </c>
      <c r="Y3" s="23">
        <f t="shared" ref="Y3:Y66" si="3">IF(W3&lt;=0,W3,0)</f>
        <v>-980.85519999999974</v>
      </c>
      <c r="Z3" s="23">
        <v>981</v>
      </c>
      <c r="AA3" s="23">
        <f t="shared" ref="AA3:AA66" si="4">+Y3+Z3</f>
        <v>0.14480000000025939</v>
      </c>
      <c r="AB3" s="23">
        <f t="shared" ref="AB3:AB66" si="5">+O3-X3+Z3+AA3</f>
        <v>2143.1396000000004</v>
      </c>
      <c r="AC3" s="20"/>
      <c r="AD3" s="20" t="s">
        <v>235</v>
      </c>
      <c r="AE3" s="11" t="str">
        <f>AD3&amp;A3</f>
        <v>NEB156A1</v>
      </c>
    </row>
    <row r="4" spans="1:31" ht="12.75" hidden="1" customHeight="1" x14ac:dyDescent="0.3">
      <c r="A4" s="8">
        <v>1</v>
      </c>
      <c r="B4" s="20" t="s">
        <v>236</v>
      </c>
      <c r="C4" s="22" t="s">
        <v>34</v>
      </c>
      <c r="D4" s="20" t="s">
        <v>237</v>
      </c>
      <c r="E4" s="22" t="s">
        <v>232</v>
      </c>
      <c r="F4" s="22" t="s">
        <v>232</v>
      </c>
      <c r="G4" s="22" t="s">
        <v>234</v>
      </c>
      <c r="H4" s="23">
        <v>6825.48</v>
      </c>
      <c r="I4" s="23">
        <v>-448</v>
      </c>
      <c r="J4" s="23">
        <v>0</v>
      </c>
      <c r="K4" s="23">
        <v>0</v>
      </c>
      <c r="L4" s="23">
        <v>-1537.44</v>
      </c>
      <c r="M4" s="24">
        <v>-136.50960000000001</v>
      </c>
      <c r="N4" s="23">
        <v>0</v>
      </c>
      <c r="O4" s="24">
        <f t="shared" si="0"/>
        <v>4703.5303999999987</v>
      </c>
      <c r="P4" s="23">
        <v>-2142.85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f t="shared" si="1"/>
        <v>2560.6803999999988</v>
      </c>
      <c r="X4" s="23">
        <f t="shared" si="2"/>
        <v>2560.6803999999988</v>
      </c>
      <c r="Y4" s="23">
        <f t="shared" si="3"/>
        <v>0</v>
      </c>
      <c r="Z4" s="23">
        <v>0</v>
      </c>
      <c r="AA4" s="23">
        <f t="shared" si="4"/>
        <v>0</v>
      </c>
      <c r="AB4" s="23">
        <f t="shared" si="5"/>
        <v>2142.85</v>
      </c>
      <c r="AC4" s="20"/>
      <c r="AD4" s="20" t="str">
        <f>VLOOKUP($C4,'[1]CTRL AUTOS'!$E:$AH,2,0)</f>
        <v>X59AWG</v>
      </c>
      <c r="AE4" s="11" t="str">
        <f t="shared" ref="AE4:AE67" si="6">AD4&amp;A4</f>
        <v>X59AWG1</v>
      </c>
    </row>
    <row r="5" spans="1:31" ht="12.75" hidden="1" customHeight="1" x14ac:dyDescent="0.3">
      <c r="A5" s="8">
        <v>1</v>
      </c>
      <c r="B5" s="20" t="s">
        <v>238</v>
      </c>
      <c r="C5" s="22" t="s">
        <v>20</v>
      </c>
      <c r="D5" s="25" t="s">
        <v>239</v>
      </c>
      <c r="E5" s="22" t="s">
        <v>232</v>
      </c>
      <c r="F5" s="22" t="s">
        <v>233</v>
      </c>
      <c r="G5" s="22" t="s">
        <v>234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4">
        <v>0</v>
      </c>
      <c r="N5" s="23">
        <v>0</v>
      </c>
      <c r="O5" s="24">
        <f t="shared" si="0"/>
        <v>0</v>
      </c>
      <c r="P5" s="23">
        <v>-2142.85</v>
      </c>
      <c r="Q5" s="23">
        <v>-67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f t="shared" si="1"/>
        <v>-2209.85</v>
      </c>
      <c r="X5" s="23">
        <f t="shared" si="2"/>
        <v>0</v>
      </c>
      <c r="Y5" s="23">
        <f t="shared" si="3"/>
        <v>-2209.85</v>
      </c>
      <c r="Z5" s="23">
        <v>2210</v>
      </c>
      <c r="AA5" s="23">
        <f t="shared" si="4"/>
        <v>0.15000000000009095</v>
      </c>
      <c r="AB5" s="23">
        <f t="shared" si="5"/>
        <v>2210.15</v>
      </c>
      <c r="AC5" s="20"/>
      <c r="AD5" s="20" t="str">
        <f>VLOOKUP($C5,'[1]CTRL AUTOS'!$E:$AH,2,0)</f>
        <v>D40BKD</v>
      </c>
      <c r="AE5" s="11" t="str">
        <f t="shared" si="6"/>
        <v>D40BKD1</v>
      </c>
    </row>
    <row r="6" spans="1:31" ht="12.75" hidden="1" customHeight="1" x14ac:dyDescent="0.3">
      <c r="A6" s="8">
        <v>1</v>
      </c>
      <c r="B6" s="20" t="s">
        <v>240</v>
      </c>
      <c r="C6" s="20" t="s">
        <v>56</v>
      </c>
      <c r="D6" s="20" t="s">
        <v>237</v>
      </c>
      <c r="E6" s="22" t="s">
        <v>241</v>
      </c>
      <c r="F6" s="22" t="s">
        <v>232</v>
      </c>
      <c r="G6" s="22" t="s">
        <v>234</v>
      </c>
      <c r="H6" s="23">
        <v>3855.54</v>
      </c>
      <c r="I6" s="23">
        <v>-30.4</v>
      </c>
      <c r="J6" s="23">
        <v>0</v>
      </c>
      <c r="K6" s="23">
        <v>0</v>
      </c>
      <c r="L6" s="23">
        <v>-2145.89</v>
      </c>
      <c r="M6" s="24">
        <v>-77.110799999999998</v>
      </c>
      <c r="N6" s="23">
        <v>0</v>
      </c>
      <c r="O6" s="24">
        <f t="shared" si="0"/>
        <v>1602.1392000000001</v>
      </c>
      <c r="P6" s="23">
        <v>-2142.85</v>
      </c>
      <c r="Q6" s="23">
        <v>-510.28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f t="shared" si="1"/>
        <v>-1050.9908</v>
      </c>
      <c r="X6" s="23">
        <f t="shared" si="2"/>
        <v>0</v>
      </c>
      <c r="Y6" s="23">
        <f t="shared" si="3"/>
        <v>-1050.9908</v>
      </c>
      <c r="Z6" s="23">
        <v>1051</v>
      </c>
      <c r="AA6" s="23">
        <f t="shared" si="4"/>
        <v>9.1999999999643478E-3</v>
      </c>
      <c r="AB6" s="23">
        <f t="shared" si="5"/>
        <v>2653.1484</v>
      </c>
      <c r="AC6" s="20"/>
      <c r="AD6" s="20" t="str">
        <f>VLOOKUP($C6,'[1]CTRL AUTOS'!$E:$AH,2,0)</f>
        <v>MYE912A</v>
      </c>
      <c r="AE6" s="11" t="str">
        <f t="shared" si="6"/>
        <v>MYE912A1</v>
      </c>
    </row>
    <row r="7" spans="1:31" ht="12.75" hidden="1" customHeight="1" x14ac:dyDescent="0.3">
      <c r="A7" s="8">
        <v>1</v>
      </c>
      <c r="B7" s="20" t="s">
        <v>72</v>
      </c>
      <c r="C7" s="22" t="s">
        <v>28</v>
      </c>
      <c r="D7" s="22" t="s">
        <v>242</v>
      </c>
      <c r="E7" s="22" t="s">
        <v>232</v>
      </c>
      <c r="F7" s="22" t="s">
        <v>232</v>
      </c>
      <c r="G7" s="22" t="s">
        <v>234</v>
      </c>
      <c r="H7" s="23">
        <v>3884.89</v>
      </c>
      <c r="I7" s="23">
        <v>0</v>
      </c>
      <c r="J7" s="23">
        <v>0</v>
      </c>
      <c r="K7" s="23">
        <v>0</v>
      </c>
      <c r="L7" s="23">
        <v>-2355.1</v>
      </c>
      <c r="M7" s="24">
        <v>-90.247799999999998</v>
      </c>
      <c r="N7" s="23">
        <v>-70.97</v>
      </c>
      <c r="O7" s="24">
        <f t="shared" si="0"/>
        <v>1368.5721999999998</v>
      </c>
      <c r="P7" s="23">
        <v>-714.28</v>
      </c>
      <c r="Q7" s="23">
        <v>0</v>
      </c>
      <c r="R7" s="23">
        <v>0</v>
      </c>
      <c r="S7" s="23">
        <v>0</v>
      </c>
      <c r="T7" s="23">
        <v>-500</v>
      </c>
      <c r="U7" s="23">
        <v>0</v>
      </c>
      <c r="V7" s="23">
        <v>0</v>
      </c>
      <c r="W7" s="23">
        <f t="shared" si="1"/>
        <v>154.29219999999987</v>
      </c>
      <c r="X7" s="23">
        <f t="shared" si="2"/>
        <v>154.29219999999987</v>
      </c>
      <c r="Y7" s="23">
        <f t="shared" si="3"/>
        <v>0</v>
      </c>
      <c r="Z7" s="23">
        <v>0</v>
      </c>
      <c r="AA7" s="23">
        <f t="shared" si="4"/>
        <v>0</v>
      </c>
      <c r="AB7" s="23">
        <f t="shared" si="5"/>
        <v>1214.28</v>
      </c>
      <c r="AC7" s="20"/>
      <c r="AD7" s="20" t="str">
        <f>VLOOKUP($C7,'[1]CTRL AUTOS'!$E:$AH,2,0)</f>
        <v>NCT814A</v>
      </c>
      <c r="AE7" s="11" t="str">
        <f t="shared" si="6"/>
        <v>NCT814A1</v>
      </c>
    </row>
    <row r="8" spans="1:31" ht="12.75" hidden="1" customHeight="1" x14ac:dyDescent="0.3">
      <c r="A8" s="8">
        <v>1</v>
      </c>
      <c r="B8" s="20" t="s">
        <v>105</v>
      </c>
      <c r="C8" s="20" t="s">
        <v>46</v>
      </c>
      <c r="D8" s="20" t="s">
        <v>237</v>
      </c>
      <c r="E8" s="22" t="s">
        <v>232</v>
      </c>
      <c r="F8" s="22" t="s">
        <v>232</v>
      </c>
      <c r="G8" s="22" t="s">
        <v>234</v>
      </c>
      <c r="H8" s="23">
        <v>4885.68</v>
      </c>
      <c r="I8" s="23">
        <v>0</v>
      </c>
      <c r="J8" s="23">
        <v>0</v>
      </c>
      <c r="K8" s="23">
        <v>0</v>
      </c>
      <c r="L8" s="23">
        <v>-2620.14</v>
      </c>
      <c r="M8" s="24">
        <v>-97.713600000000014</v>
      </c>
      <c r="N8" s="23">
        <v>0</v>
      </c>
      <c r="O8" s="24">
        <f t="shared" si="0"/>
        <v>2167.8264000000004</v>
      </c>
      <c r="P8" s="23">
        <v>-2142.85</v>
      </c>
      <c r="Q8" s="23">
        <v>-683.71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f t="shared" si="1"/>
        <v>-658.73359999999957</v>
      </c>
      <c r="X8" s="23">
        <f t="shared" si="2"/>
        <v>0</v>
      </c>
      <c r="Y8" s="23">
        <f t="shared" si="3"/>
        <v>-658.73359999999957</v>
      </c>
      <c r="Z8" s="23">
        <v>659</v>
      </c>
      <c r="AA8" s="23">
        <f t="shared" si="4"/>
        <v>0.26640000000043074</v>
      </c>
      <c r="AB8" s="23">
        <f t="shared" si="5"/>
        <v>2827.0928000000008</v>
      </c>
      <c r="AC8" s="20"/>
      <c r="AD8" s="20" t="str">
        <f>VLOOKUP($C8,'[1]CTRL AUTOS'!$E:$AH,2,0)</f>
        <v>R66BER</v>
      </c>
      <c r="AE8" s="11" t="str">
        <f t="shared" si="6"/>
        <v>R66BER1</v>
      </c>
    </row>
    <row r="9" spans="1:31" ht="12.75" hidden="1" customHeight="1" x14ac:dyDescent="0.3">
      <c r="A9" s="8">
        <v>1</v>
      </c>
      <c r="B9" s="20" t="s">
        <v>243</v>
      </c>
      <c r="C9" s="20" t="s">
        <v>34</v>
      </c>
      <c r="D9" s="20" t="s">
        <v>237</v>
      </c>
      <c r="E9" s="22" t="s">
        <v>232</v>
      </c>
      <c r="F9" s="22" t="s">
        <v>232</v>
      </c>
      <c r="G9" s="22" t="s">
        <v>234</v>
      </c>
      <c r="H9" s="23">
        <v>9781.33</v>
      </c>
      <c r="I9" s="23">
        <v>0</v>
      </c>
      <c r="J9" s="23">
        <v>0</v>
      </c>
      <c r="K9" s="23">
        <v>0</v>
      </c>
      <c r="L9" s="23">
        <v>-4655.05</v>
      </c>
      <c r="M9" s="24">
        <v>-195.6266</v>
      </c>
      <c r="N9" s="23">
        <v>0</v>
      </c>
      <c r="O9" s="24">
        <f t="shared" si="0"/>
        <v>4930.6534000000001</v>
      </c>
      <c r="P9" s="23">
        <v>-2142.85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f t="shared" si="1"/>
        <v>2787.8034000000002</v>
      </c>
      <c r="X9" s="23">
        <f t="shared" si="2"/>
        <v>2787.8034000000002</v>
      </c>
      <c r="Y9" s="23">
        <f t="shared" si="3"/>
        <v>0</v>
      </c>
      <c r="Z9" s="23">
        <v>0</v>
      </c>
      <c r="AA9" s="23">
        <f t="shared" si="4"/>
        <v>0</v>
      </c>
      <c r="AB9" s="23">
        <f t="shared" si="5"/>
        <v>2142.85</v>
      </c>
      <c r="AC9" s="20"/>
      <c r="AD9" s="20" t="str">
        <f>VLOOKUP($C9,'[1]CTRL AUTOS'!$E:$AH,2,0)</f>
        <v>X59AWG</v>
      </c>
      <c r="AE9" s="11" t="str">
        <f t="shared" si="6"/>
        <v>X59AWG1</v>
      </c>
    </row>
    <row r="10" spans="1:31" ht="12.75" hidden="1" customHeight="1" x14ac:dyDescent="0.3">
      <c r="A10" s="8">
        <v>1</v>
      </c>
      <c r="B10" s="20" t="s">
        <v>244</v>
      </c>
      <c r="C10" s="20" t="s">
        <v>4</v>
      </c>
      <c r="D10" s="21" t="s">
        <v>245</v>
      </c>
      <c r="E10" s="22" t="s">
        <v>232</v>
      </c>
      <c r="F10" s="22" t="s">
        <v>232</v>
      </c>
      <c r="G10" s="22" t="s">
        <v>234</v>
      </c>
      <c r="H10" s="23">
        <v>5089.8500000000004</v>
      </c>
      <c r="I10" s="23">
        <v>-24</v>
      </c>
      <c r="J10" s="23">
        <v>0</v>
      </c>
      <c r="K10" s="23">
        <v>0</v>
      </c>
      <c r="L10" s="23">
        <v>-3520.73</v>
      </c>
      <c r="M10" s="24">
        <f>-101.797+48</f>
        <v>-53.796999999999997</v>
      </c>
      <c r="N10" s="23">
        <v>0</v>
      </c>
      <c r="O10" s="24">
        <f t="shared" si="0"/>
        <v>1491.3230000000003</v>
      </c>
      <c r="P10" s="23">
        <v>-2142.85</v>
      </c>
      <c r="Q10" s="23">
        <v>0</v>
      </c>
      <c r="R10" s="23">
        <v>-500</v>
      </c>
      <c r="S10" s="23">
        <v>0</v>
      </c>
      <c r="T10" s="23">
        <v>0</v>
      </c>
      <c r="U10" s="23">
        <v>0</v>
      </c>
      <c r="V10" s="23">
        <v>0</v>
      </c>
      <c r="W10" s="23">
        <f t="shared" si="1"/>
        <v>-1151.5269999999996</v>
      </c>
      <c r="X10" s="23">
        <f t="shared" si="2"/>
        <v>0</v>
      </c>
      <c r="Y10" s="23">
        <f t="shared" si="3"/>
        <v>-1151.5269999999996</v>
      </c>
      <c r="Z10" s="23">
        <v>1152</v>
      </c>
      <c r="AA10" s="23">
        <f t="shared" si="4"/>
        <v>0.47300000000041109</v>
      </c>
      <c r="AB10" s="23">
        <f t="shared" si="5"/>
        <v>2643.7960000000007</v>
      </c>
      <c r="AC10" s="20"/>
      <c r="AD10" s="20" t="str">
        <f>VLOOKUP($C10,'[1]CTRL AUTOS'!$E:$AH,2,0)</f>
        <v>N15BKD</v>
      </c>
      <c r="AE10" s="11" t="str">
        <f t="shared" si="6"/>
        <v>N15BKD1</v>
      </c>
    </row>
    <row r="11" spans="1:31" ht="12.75" hidden="1" customHeight="1" x14ac:dyDescent="0.3">
      <c r="A11" s="8">
        <v>1</v>
      </c>
      <c r="B11" s="20" t="s">
        <v>37</v>
      </c>
      <c r="C11" s="22" t="s">
        <v>246</v>
      </c>
      <c r="D11" s="22" t="s">
        <v>247</v>
      </c>
      <c r="E11" s="22" t="s">
        <v>232</v>
      </c>
      <c r="F11" s="22" t="s">
        <v>232</v>
      </c>
      <c r="G11" s="22" t="s">
        <v>234</v>
      </c>
      <c r="H11" s="23">
        <v>4940.33</v>
      </c>
      <c r="I11" s="23">
        <v>-38.4</v>
      </c>
      <c r="J11" s="23">
        <v>0</v>
      </c>
      <c r="K11" s="23">
        <v>0</v>
      </c>
      <c r="L11" s="23">
        <v>-2048.73</v>
      </c>
      <c r="M11" s="24">
        <f>-98.8066+77</f>
        <v>-21.806600000000003</v>
      </c>
      <c r="N11" s="23">
        <v>0</v>
      </c>
      <c r="O11" s="24">
        <f t="shared" si="0"/>
        <v>2831.3934000000004</v>
      </c>
      <c r="P11" s="23">
        <v>-2142.85</v>
      </c>
      <c r="Q11" s="23">
        <v>-375.31</v>
      </c>
      <c r="R11" s="23">
        <v>-500</v>
      </c>
      <c r="S11" s="23">
        <v>0</v>
      </c>
      <c r="T11" s="23">
        <v>0</v>
      </c>
      <c r="U11" s="23">
        <v>0</v>
      </c>
      <c r="V11" s="23">
        <v>0</v>
      </c>
      <c r="W11" s="23">
        <f t="shared" si="1"/>
        <v>-186.76659999999947</v>
      </c>
      <c r="X11" s="23">
        <f t="shared" si="2"/>
        <v>0</v>
      </c>
      <c r="Y11" s="23">
        <f t="shared" si="3"/>
        <v>-186.76659999999947</v>
      </c>
      <c r="Z11" s="23">
        <v>187</v>
      </c>
      <c r="AA11" s="23">
        <f t="shared" si="4"/>
        <v>0.23340000000052896</v>
      </c>
      <c r="AB11" s="23">
        <f t="shared" si="5"/>
        <v>3018.6268000000009</v>
      </c>
      <c r="AC11" s="20"/>
      <c r="AD11" s="20" t="s">
        <v>248</v>
      </c>
      <c r="AE11" s="11" t="str">
        <f t="shared" si="6"/>
        <v>X24APU1</v>
      </c>
    </row>
    <row r="12" spans="1:31" ht="12.75" hidden="1" customHeight="1" x14ac:dyDescent="0.3">
      <c r="A12" s="8">
        <v>1</v>
      </c>
      <c r="B12" s="20" t="s">
        <v>45</v>
      </c>
      <c r="C12" s="22" t="s">
        <v>249</v>
      </c>
      <c r="D12" s="21" t="s">
        <v>250</v>
      </c>
      <c r="E12" s="22" t="s">
        <v>232</v>
      </c>
      <c r="F12" s="22" t="s">
        <v>232</v>
      </c>
      <c r="G12" s="22" t="s">
        <v>234</v>
      </c>
      <c r="H12" s="23">
        <v>4068.3</v>
      </c>
      <c r="I12" s="23">
        <v>-38.4</v>
      </c>
      <c r="J12" s="23">
        <v>0</v>
      </c>
      <c r="K12" s="23">
        <v>0</v>
      </c>
      <c r="L12" s="23">
        <v>-935.09</v>
      </c>
      <c r="M12" s="24">
        <f>-81.366+77</f>
        <v>-4.3659999999999997</v>
      </c>
      <c r="N12" s="23">
        <v>0</v>
      </c>
      <c r="O12" s="24">
        <f t="shared" si="0"/>
        <v>3090.444</v>
      </c>
      <c r="P12" s="23">
        <v>-1971.42</v>
      </c>
      <c r="Q12" s="23">
        <v>-1063</v>
      </c>
      <c r="R12" s="23">
        <v>-500</v>
      </c>
      <c r="S12" s="23">
        <v>0</v>
      </c>
      <c r="T12" s="23">
        <v>0</v>
      </c>
      <c r="U12" s="23">
        <v>0</v>
      </c>
      <c r="V12" s="23">
        <v>0</v>
      </c>
      <c r="W12" s="23">
        <f t="shared" si="1"/>
        <v>-443.97600000000011</v>
      </c>
      <c r="X12" s="23">
        <f t="shared" si="2"/>
        <v>0</v>
      </c>
      <c r="Y12" s="23">
        <f t="shared" si="3"/>
        <v>-443.97600000000011</v>
      </c>
      <c r="Z12" s="23">
        <v>444</v>
      </c>
      <c r="AA12" s="23">
        <f t="shared" si="4"/>
        <v>2.3999999999887223E-2</v>
      </c>
      <c r="AB12" s="23">
        <f t="shared" si="5"/>
        <v>3534.4679999999998</v>
      </c>
      <c r="AC12" s="20"/>
      <c r="AD12" s="20" t="s">
        <v>251</v>
      </c>
      <c r="AE12" s="11" t="str">
        <f t="shared" si="6"/>
        <v>BAJA DE PLACAS1</v>
      </c>
    </row>
    <row r="13" spans="1:31" ht="12.75" hidden="1" customHeight="1" x14ac:dyDescent="0.3">
      <c r="A13" s="8">
        <v>1</v>
      </c>
      <c r="B13" s="20" t="s">
        <v>252</v>
      </c>
      <c r="C13" s="22" t="s">
        <v>22</v>
      </c>
      <c r="D13" s="22" t="s">
        <v>253</v>
      </c>
      <c r="E13" s="22" t="s">
        <v>232</v>
      </c>
      <c r="F13" s="22" t="s">
        <v>233</v>
      </c>
      <c r="G13" s="22" t="s">
        <v>234</v>
      </c>
      <c r="H13" s="23">
        <v>5393.23</v>
      </c>
      <c r="I13" s="23">
        <v>-68.8</v>
      </c>
      <c r="J13" s="23">
        <v>0</v>
      </c>
      <c r="K13" s="23">
        <v>0</v>
      </c>
      <c r="L13" s="23">
        <v>-2447.29</v>
      </c>
      <c r="M13" s="24">
        <v>-107.8646</v>
      </c>
      <c r="N13" s="23">
        <v>0</v>
      </c>
      <c r="O13" s="24">
        <f t="shared" si="0"/>
        <v>2769.2753999999995</v>
      </c>
      <c r="P13" s="23">
        <v>-2142.85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f t="shared" si="1"/>
        <v>626.42539999999963</v>
      </c>
      <c r="X13" s="23">
        <f t="shared" si="2"/>
        <v>626.42539999999963</v>
      </c>
      <c r="Y13" s="23">
        <f t="shared" si="3"/>
        <v>0</v>
      </c>
      <c r="Z13" s="23">
        <v>0</v>
      </c>
      <c r="AA13" s="23">
        <f t="shared" si="4"/>
        <v>0</v>
      </c>
      <c r="AB13" s="23">
        <f t="shared" si="5"/>
        <v>2142.85</v>
      </c>
      <c r="AC13" s="20"/>
      <c r="AD13" s="20" t="str">
        <f>VLOOKUP($C13,'[1]CTRL AUTOS'!$E:$AH,2,0)</f>
        <v>NCK475B</v>
      </c>
      <c r="AE13" s="11" t="str">
        <f t="shared" si="6"/>
        <v>NCK475B1</v>
      </c>
    </row>
    <row r="14" spans="1:31" ht="12.75" hidden="1" customHeight="1" x14ac:dyDescent="0.3">
      <c r="A14" s="8">
        <v>2</v>
      </c>
      <c r="B14" s="20" t="s">
        <v>254</v>
      </c>
      <c r="C14" s="22" t="s">
        <v>75</v>
      </c>
      <c r="D14" s="20" t="s">
        <v>237</v>
      </c>
      <c r="E14" s="22" t="s">
        <v>241</v>
      </c>
      <c r="F14" s="22" t="s">
        <v>232</v>
      </c>
      <c r="G14" s="22" t="s">
        <v>234</v>
      </c>
      <c r="H14" s="23">
        <v>1382.8</v>
      </c>
      <c r="I14" s="23">
        <v>-22.4</v>
      </c>
      <c r="J14" s="23">
        <v>0</v>
      </c>
      <c r="K14" s="23">
        <v>0</v>
      </c>
      <c r="L14" s="23">
        <v>-723.89</v>
      </c>
      <c r="M14" s="24">
        <v>-27.655999999999999</v>
      </c>
      <c r="N14" s="23">
        <v>0</v>
      </c>
      <c r="O14" s="24">
        <f t="shared" si="0"/>
        <v>608.85399999999993</v>
      </c>
      <c r="P14" s="23">
        <v>-1428.56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f t="shared" si="1"/>
        <v>-819.70600000000002</v>
      </c>
      <c r="X14" s="23">
        <f t="shared" si="2"/>
        <v>0</v>
      </c>
      <c r="Y14" s="23">
        <f t="shared" si="3"/>
        <v>-819.70600000000002</v>
      </c>
      <c r="Z14" s="23">
        <v>0</v>
      </c>
      <c r="AA14" s="23">
        <f t="shared" si="4"/>
        <v>-819.70600000000002</v>
      </c>
      <c r="AB14" s="23">
        <f t="shared" si="5"/>
        <v>-210.85200000000009</v>
      </c>
      <c r="AC14" s="20" t="s">
        <v>255</v>
      </c>
      <c r="AD14" s="20" t="str">
        <f>VLOOKUP($C14,'[1]CTRL AUTOS'!$E:$AH,2,0)</f>
        <v>NFN014B</v>
      </c>
      <c r="AE14" s="11" t="str">
        <f t="shared" si="6"/>
        <v>NFN014B2</v>
      </c>
    </row>
    <row r="15" spans="1:31" ht="12.75" hidden="1" customHeight="1" x14ac:dyDescent="0.3">
      <c r="A15" s="8">
        <v>2</v>
      </c>
      <c r="B15" s="20" t="s">
        <v>80</v>
      </c>
      <c r="C15" s="20" t="s">
        <v>230</v>
      </c>
      <c r="D15" s="21" t="s">
        <v>231</v>
      </c>
      <c r="E15" s="22" t="s">
        <v>232</v>
      </c>
      <c r="F15" s="22" t="s">
        <v>233</v>
      </c>
      <c r="G15" s="22" t="s">
        <v>234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4">
        <v>0</v>
      </c>
      <c r="N15" s="23">
        <v>0</v>
      </c>
      <c r="O15" s="24">
        <f t="shared" si="0"/>
        <v>0</v>
      </c>
      <c r="P15" s="23">
        <v>-2500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f t="shared" si="1"/>
        <v>-2500</v>
      </c>
      <c r="X15" s="23">
        <f t="shared" si="2"/>
        <v>0</v>
      </c>
      <c r="Y15" s="23">
        <f t="shared" si="3"/>
        <v>-2500</v>
      </c>
      <c r="Z15" s="23">
        <v>2500</v>
      </c>
      <c r="AA15" s="23">
        <f t="shared" si="4"/>
        <v>0</v>
      </c>
      <c r="AB15" s="23">
        <f t="shared" si="5"/>
        <v>2500</v>
      </c>
      <c r="AC15" s="20"/>
      <c r="AD15" s="20" t="s">
        <v>235</v>
      </c>
      <c r="AE15" s="11" t="str">
        <f t="shared" si="6"/>
        <v>NEB156A2</v>
      </c>
    </row>
    <row r="16" spans="1:31" ht="12.75" hidden="1" customHeight="1" x14ac:dyDescent="0.3">
      <c r="A16" s="8">
        <v>2</v>
      </c>
      <c r="B16" s="20" t="s">
        <v>236</v>
      </c>
      <c r="C16" s="22" t="s">
        <v>34</v>
      </c>
      <c r="D16" s="20" t="s">
        <v>237</v>
      </c>
      <c r="E16" s="22" t="s">
        <v>232</v>
      </c>
      <c r="F16" s="22" t="s">
        <v>232</v>
      </c>
      <c r="G16" s="22" t="s">
        <v>234</v>
      </c>
      <c r="H16" s="23">
        <v>3130.3</v>
      </c>
      <c r="I16" s="23">
        <v>0</v>
      </c>
      <c r="J16" s="23">
        <v>0</v>
      </c>
      <c r="K16" s="23">
        <v>0</v>
      </c>
      <c r="L16" s="23">
        <v>-1220.45</v>
      </c>
      <c r="M16" s="24">
        <v>-62.606000000000002</v>
      </c>
      <c r="N16" s="23">
        <v>0</v>
      </c>
      <c r="O16" s="24">
        <f t="shared" si="0"/>
        <v>1847.2440000000001</v>
      </c>
      <c r="P16" s="23">
        <v>-2500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f t="shared" si="1"/>
        <v>-652.75599999999986</v>
      </c>
      <c r="X16" s="23">
        <f t="shared" si="2"/>
        <v>0</v>
      </c>
      <c r="Y16" s="23">
        <f t="shared" si="3"/>
        <v>-652.75599999999986</v>
      </c>
      <c r="Z16" s="23">
        <v>653</v>
      </c>
      <c r="AA16" s="23">
        <f t="shared" si="4"/>
        <v>0.24400000000014188</v>
      </c>
      <c r="AB16" s="23">
        <f t="shared" si="5"/>
        <v>2500.4880000000003</v>
      </c>
      <c r="AC16" s="20"/>
      <c r="AD16" s="20" t="str">
        <f>VLOOKUP($C16,'[1]CTRL AUTOS'!$E:$AH,2,0)</f>
        <v>X59AWG</v>
      </c>
      <c r="AE16" s="11" t="str">
        <f t="shared" si="6"/>
        <v>X59AWG2</v>
      </c>
    </row>
    <row r="17" spans="1:31" ht="12.75" hidden="1" customHeight="1" x14ac:dyDescent="0.3">
      <c r="A17" s="8">
        <v>2</v>
      </c>
      <c r="B17" s="20" t="s">
        <v>238</v>
      </c>
      <c r="C17" s="22" t="s">
        <v>20</v>
      </c>
      <c r="D17" s="25" t="s">
        <v>239</v>
      </c>
      <c r="E17" s="22" t="s">
        <v>232</v>
      </c>
      <c r="F17" s="22" t="s">
        <v>233</v>
      </c>
      <c r="G17" s="22" t="s">
        <v>234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4">
        <v>0</v>
      </c>
      <c r="N17" s="23">
        <v>0</v>
      </c>
      <c r="O17" s="24">
        <f t="shared" si="0"/>
        <v>0</v>
      </c>
      <c r="P17" s="23">
        <v>-2500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f t="shared" si="1"/>
        <v>-2500</v>
      </c>
      <c r="X17" s="23">
        <f t="shared" si="2"/>
        <v>0</v>
      </c>
      <c r="Y17" s="23">
        <f t="shared" si="3"/>
        <v>-2500</v>
      </c>
      <c r="Z17" s="23">
        <v>2500</v>
      </c>
      <c r="AA17" s="23">
        <f t="shared" si="4"/>
        <v>0</v>
      </c>
      <c r="AB17" s="23">
        <f t="shared" si="5"/>
        <v>2500</v>
      </c>
      <c r="AC17" s="20"/>
      <c r="AD17" s="20" t="str">
        <f>VLOOKUP($C17,'[1]CTRL AUTOS'!$E:$AH,2,0)</f>
        <v>D40BKD</v>
      </c>
      <c r="AE17" s="11" t="str">
        <f t="shared" si="6"/>
        <v>D40BKD2</v>
      </c>
    </row>
    <row r="18" spans="1:31" ht="12.75" hidden="1" customHeight="1" x14ac:dyDescent="0.3">
      <c r="A18" s="8">
        <v>2</v>
      </c>
      <c r="B18" s="20" t="s">
        <v>240</v>
      </c>
      <c r="C18" s="20" t="s">
        <v>56</v>
      </c>
      <c r="D18" s="20" t="s">
        <v>237</v>
      </c>
      <c r="E18" s="22" t="s">
        <v>241</v>
      </c>
      <c r="F18" s="22" t="s">
        <v>232</v>
      </c>
      <c r="G18" s="22" t="s">
        <v>234</v>
      </c>
      <c r="H18" s="23">
        <v>3759.89</v>
      </c>
      <c r="I18" s="23">
        <v>-60.8</v>
      </c>
      <c r="J18" s="23">
        <v>0</v>
      </c>
      <c r="K18" s="23">
        <v>0</v>
      </c>
      <c r="L18" s="23">
        <v>-1578.07</v>
      </c>
      <c r="M18" s="24">
        <v>-75.197800000000001</v>
      </c>
      <c r="N18" s="23">
        <v>0</v>
      </c>
      <c r="O18" s="24">
        <f t="shared" si="0"/>
        <v>2045.8221999999996</v>
      </c>
      <c r="P18" s="23">
        <v>-2500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f t="shared" si="1"/>
        <v>-454.17780000000039</v>
      </c>
      <c r="X18" s="23">
        <f t="shared" si="2"/>
        <v>0</v>
      </c>
      <c r="Y18" s="23">
        <f t="shared" si="3"/>
        <v>-454.17780000000039</v>
      </c>
      <c r="Z18" s="23">
        <v>0</v>
      </c>
      <c r="AA18" s="23">
        <f t="shared" si="4"/>
        <v>-454.17780000000039</v>
      </c>
      <c r="AB18" s="23">
        <f t="shared" si="5"/>
        <v>1591.6443999999992</v>
      </c>
      <c r="AC18" s="20" t="s">
        <v>255</v>
      </c>
      <c r="AD18" s="20" t="str">
        <f>VLOOKUP($C18,'[1]CTRL AUTOS'!$E:$AH,2,0)</f>
        <v>MYE912A</v>
      </c>
      <c r="AE18" s="11" t="str">
        <f t="shared" si="6"/>
        <v>MYE912A2</v>
      </c>
    </row>
    <row r="19" spans="1:31" ht="12.75" hidden="1" customHeight="1" x14ac:dyDescent="0.3">
      <c r="A19" s="8">
        <v>2</v>
      </c>
      <c r="B19" s="20" t="s">
        <v>256</v>
      </c>
      <c r="C19" s="22" t="s">
        <v>46</v>
      </c>
      <c r="D19" s="22" t="s">
        <v>257</v>
      </c>
      <c r="E19" s="22" t="s">
        <v>232</v>
      </c>
      <c r="F19" s="22" t="s">
        <v>232</v>
      </c>
      <c r="G19" s="22" t="s">
        <v>234</v>
      </c>
      <c r="H19" s="23">
        <v>2574.35</v>
      </c>
      <c r="I19" s="23">
        <v>0</v>
      </c>
      <c r="J19" s="23">
        <v>0</v>
      </c>
      <c r="K19" s="23">
        <v>0</v>
      </c>
      <c r="L19" s="23">
        <v>-1659.48</v>
      </c>
      <c r="M19" s="24">
        <v>-51.487000000000002</v>
      </c>
      <c r="N19" s="23">
        <v>0</v>
      </c>
      <c r="O19" s="24">
        <f t="shared" si="0"/>
        <v>863.38299999999992</v>
      </c>
      <c r="P19" s="23">
        <v>-1428.56</v>
      </c>
      <c r="Q19" s="23">
        <v>0</v>
      </c>
      <c r="R19" s="23">
        <v>-500</v>
      </c>
      <c r="S19" s="23">
        <v>0</v>
      </c>
      <c r="T19" s="23">
        <v>0</v>
      </c>
      <c r="U19" s="23">
        <v>0</v>
      </c>
      <c r="V19" s="23">
        <v>0</v>
      </c>
      <c r="W19" s="23">
        <f t="shared" si="1"/>
        <v>-1065.1770000000001</v>
      </c>
      <c r="X19" s="23">
        <f t="shared" si="2"/>
        <v>0</v>
      </c>
      <c r="Y19" s="23">
        <f t="shared" si="3"/>
        <v>-1065.1770000000001</v>
      </c>
      <c r="Z19" s="23">
        <v>1065</v>
      </c>
      <c r="AA19" s="23">
        <f t="shared" si="4"/>
        <v>-0.17700000000013461</v>
      </c>
      <c r="AB19" s="23">
        <f t="shared" si="5"/>
        <v>1928.2059999999997</v>
      </c>
      <c r="AC19" s="20"/>
      <c r="AD19" s="20" t="str">
        <f>VLOOKUP($C19,'[1]CTRL AUTOS'!$E:$AH,2,0)</f>
        <v>R66BER</v>
      </c>
      <c r="AE19" s="11" t="str">
        <f t="shared" si="6"/>
        <v>R66BER2</v>
      </c>
    </row>
    <row r="20" spans="1:31" ht="12.75" hidden="1" customHeight="1" x14ac:dyDescent="0.3">
      <c r="A20" s="8">
        <v>2</v>
      </c>
      <c r="B20" s="20" t="s">
        <v>258</v>
      </c>
      <c r="C20" s="22" t="s">
        <v>40</v>
      </c>
      <c r="D20" s="21" t="s">
        <v>259</v>
      </c>
      <c r="E20" s="22" t="s">
        <v>232</v>
      </c>
      <c r="F20" s="22" t="s">
        <v>232</v>
      </c>
      <c r="G20" s="22" t="s">
        <v>234</v>
      </c>
      <c r="H20" s="23">
        <v>4536.9799999999996</v>
      </c>
      <c r="I20" s="23">
        <v>-119.2</v>
      </c>
      <c r="J20" s="23">
        <v>0</v>
      </c>
      <c r="K20" s="23">
        <v>0</v>
      </c>
      <c r="L20" s="23">
        <v>-898.58</v>
      </c>
      <c r="M20" s="24">
        <v>-113.3596</v>
      </c>
      <c r="N20" s="23">
        <v>0</v>
      </c>
      <c r="O20" s="24">
        <f t="shared" si="0"/>
        <v>3405.8404</v>
      </c>
      <c r="P20" s="23">
        <v>-2500</v>
      </c>
      <c r="Q20" s="23">
        <v>0</v>
      </c>
      <c r="R20" s="23">
        <v>0</v>
      </c>
      <c r="S20" s="23">
        <v>-500</v>
      </c>
      <c r="T20" s="23">
        <v>0</v>
      </c>
      <c r="U20" s="23">
        <v>0</v>
      </c>
      <c r="V20" s="23">
        <v>0</v>
      </c>
      <c r="W20" s="23">
        <f t="shared" si="1"/>
        <v>405.84040000000005</v>
      </c>
      <c r="X20" s="23">
        <f t="shared" si="2"/>
        <v>405.84040000000005</v>
      </c>
      <c r="Y20" s="23">
        <f t="shared" si="3"/>
        <v>0</v>
      </c>
      <c r="Z20" s="23">
        <v>0</v>
      </c>
      <c r="AA20" s="23">
        <f t="shared" si="4"/>
        <v>0</v>
      </c>
      <c r="AB20" s="23">
        <f t="shared" si="5"/>
        <v>3000</v>
      </c>
      <c r="AC20" s="20"/>
      <c r="AD20" s="20" t="str">
        <f>VLOOKUP($C20,'[1]CTRL AUTOS'!$E:$AH,2,0)</f>
        <v>NEL860A</v>
      </c>
      <c r="AE20" s="11" t="str">
        <f t="shared" si="6"/>
        <v>NEL860A2</v>
      </c>
    </row>
    <row r="21" spans="1:31" ht="12.75" hidden="1" customHeight="1" x14ac:dyDescent="0.3">
      <c r="A21" s="8">
        <v>2</v>
      </c>
      <c r="B21" s="20" t="s">
        <v>260</v>
      </c>
      <c r="C21" s="22" t="s">
        <v>97</v>
      </c>
      <c r="D21" s="22" t="s">
        <v>261</v>
      </c>
      <c r="E21" s="22" t="s">
        <v>232</v>
      </c>
      <c r="F21" s="22" t="s">
        <v>232</v>
      </c>
      <c r="G21" s="22" t="s">
        <v>234</v>
      </c>
      <c r="H21" s="23">
        <v>6165.24</v>
      </c>
      <c r="I21" s="23">
        <v>0</v>
      </c>
      <c r="J21" s="23">
        <v>0</v>
      </c>
      <c r="K21" s="23">
        <v>0</v>
      </c>
      <c r="L21" s="23">
        <v>-2465.5100000000002</v>
      </c>
      <c r="M21" s="24">
        <v>-123.3048</v>
      </c>
      <c r="N21" s="23">
        <v>0</v>
      </c>
      <c r="O21" s="24">
        <f t="shared" si="0"/>
        <v>3576.4251999999997</v>
      </c>
      <c r="P21" s="23">
        <v>-2500</v>
      </c>
      <c r="Q21" s="23">
        <v>0</v>
      </c>
      <c r="R21" s="23">
        <v>0</v>
      </c>
      <c r="S21" s="23">
        <v>-500</v>
      </c>
      <c r="T21" s="23">
        <v>0</v>
      </c>
      <c r="U21" s="23">
        <v>0</v>
      </c>
      <c r="V21" s="23">
        <v>0</v>
      </c>
      <c r="W21" s="23">
        <f t="shared" si="1"/>
        <v>576.42519999999968</v>
      </c>
      <c r="X21" s="23">
        <f t="shared" si="2"/>
        <v>576.42519999999968</v>
      </c>
      <c r="Y21" s="23">
        <f t="shared" si="3"/>
        <v>0</v>
      </c>
      <c r="Z21" s="23">
        <v>0</v>
      </c>
      <c r="AA21" s="23">
        <f t="shared" si="4"/>
        <v>0</v>
      </c>
      <c r="AB21" s="23">
        <f t="shared" si="5"/>
        <v>3000</v>
      </c>
      <c r="AC21" s="20"/>
      <c r="AD21" s="20" t="str">
        <f>VLOOKUP($C21,'[1]CTRL AUTOS'!$E:$AH,2,0)</f>
        <v>MUF515A</v>
      </c>
      <c r="AE21" s="11" t="str">
        <f t="shared" si="6"/>
        <v>MUF515A2</v>
      </c>
    </row>
    <row r="22" spans="1:31" ht="12.75" hidden="1" customHeight="1" x14ac:dyDescent="0.3">
      <c r="A22" s="8">
        <v>2</v>
      </c>
      <c r="B22" s="20" t="s">
        <v>72</v>
      </c>
      <c r="C22" s="22" t="s">
        <v>28</v>
      </c>
      <c r="D22" s="22" t="s">
        <v>242</v>
      </c>
      <c r="E22" s="22" t="s">
        <v>232</v>
      </c>
      <c r="F22" s="22" t="s">
        <v>232</v>
      </c>
      <c r="G22" s="22" t="s">
        <v>234</v>
      </c>
      <c r="H22" s="23">
        <v>11072.8</v>
      </c>
      <c r="I22" s="23">
        <v>-262.39999999999998</v>
      </c>
      <c r="J22" s="23">
        <v>0</v>
      </c>
      <c r="K22" s="23">
        <v>0</v>
      </c>
      <c r="L22" s="23">
        <v>-4296.05</v>
      </c>
      <c r="M22" s="24">
        <v>-221.45599999999999</v>
      </c>
      <c r="N22" s="23">
        <v>-46</v>
      </c>
      <c r="O22" s="24">
        <f t="shared" si="0"/>
        <v>6246.8939999999993</v>
      </c>
      <c r="P22" s="23">
        <v>-2500</v>
      </c>
      <c r="Q22" s="23">
        <v>0</v>
      </c>
      <c r="R22" s="23">
        <v>0</v>
      </c>
      <c r="S22" s="23">
        <v>0</v>
      </c>
      <c r="T22" s="23">
        <v>-500</v>
      </c>
      <c r="U22" s="23">
        <v>0</v>
      </c>
      <c r="V22" s="23">
        <v>0</v>
      </c>
      <c r="W22" s="23">
        <f t="shared" si="1"/>
        <v>3246.8939999999993</v>
      </c>
      <c r="X22" s="23">
        <f t="shared" si="2"/>
        <v>3246.8939999999993</v>
      </c>
      <c r="Y22" s="23">
        <f t="shared" si="3"/>
        <v>0</v>
      </c>
      <c r="Z22" s="23">
        <v>0</v>
      </c>
      <c r="AA22" s="23">
        <f t="shared" si="4"/>
        <v>0</v>
      </c>
      <c r="AB22" s="23">
        <f t="shared" si="5"/>
        <v>3000</v>
      </c>
      <c r="AC22" s="20"/>
      <c r="AD22" s="20" t="str">
        <f>VLOOKUP($C22,'[1]CTRL AUTOS'!$E:$AH,2,0)</f>
        <v>NCT814A</v>
      </c>
      <c r="AE22" s="11" t="str">
        <f t="shared" si="6"/>
        <v>NCT814A2</v>
      </c>
    </row>
    <row r="23" spans="1:31" ht="12.75" hidden="1" customHeight="1" x14ac:dyDescent="0.3">
      <c r="A23" s="8">
        <v>2</v>
      </c>
      <c r="B23" s="20" t="s">
        <v>105</v>
      </c>
      <c r="C23" s="20" t="s">
        <v>46</v>
      </c>
      <c r="D23" s="20" t="s">
        <v>237</v>
      </c>
      <c r="E23" s="22" t="s">
        <v>232</v>
      </c>
      <c r="F23" s="22" t="s">
        <v>232</v>
      </c>
      <c r="G23" s="22" t="s">
        <v>234</v>
      </c>
      <c r="H23" s="23">
        <v>2251.02</v>
      </c>
      <c r="I23" s="23">
        <v>0</v>
      </c>
      <c r="J23" s="23">
        <v>0</v>
      </c>
      <c r="K23" s="23">
        <v>0</v>
      </c>
      <c r="L23" s="23">
        <v>-1814.27</v>
      </c>
      <c r="M23" s="24">
        <v>-45.020400000000002</v>
      </c>
      <c r="N23" s="23">
        <v>-127.82</v>
      </c>
      <c r="O23" s="24">
        <f t="shared" si="0"/>
        <v>263.90960000000001</v>
      </c>
      <c r="P23" s="23">
        <v>-714.28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f t="shared" si="1"/>
        <v>-450.37039999999996</v>
      </c>
      <c r="X23" s="23">
        <f t="shared" si="2"/>
        <v>0</v>
      </c>
      <c r="Y23" s="23">
        <f t="shared" si="3"/>
        <v>-450.37039999999996</v>
      </c>
      <c r="Z23" s="23">
        <v>450</v>
      </c>
      <c r="AA23" s="23">
        <f t="shared" si="4"/>
        <v>-0.37039999999996098</v>
      </c>
      <c r="AB23" s="23">
        <f t="shared" si="5"/>
        <v>713.53919999999994</v>
      </c>
      <c r="AC23" s="20"/>
      <c r="AD23" s="20" t="str">
        <f>VLOOKUP($C23,'[1]CTRL AUTOS'!$E:$AH,2,0)</f>
        <v>R66BER</v>
      </c>
      <c r="AE23" s="11" t="str">
        <f t="shared" si="6"/>
        <v>R66BER2</v>
      </c>
    </row>
    <row r="24" spans="1:31" ht="12.75" hidden="1" customHeight="1" x14ac:dyDescent="0.3">
      <c r="A24" s="8">
        <v>2</v>
      </c>
      <c r="B24" s="20" t="s">
        <v>243</v>
      </c>
      <c r="C24" s="20" t="s">
        <v>34</v>
      </c>
      <c r="D24" s="20" t="s">
        <v>237</v>
      </c>
      <c r="E24" s="22" t="s">
        <v>232</v>
      </c>
      <c r="F24" s="22" t="s">
        <v>232</v>
      </c>
      <c r="G24" s="22" t="s">
        <v>234</v>
      </c>
      <c r="H24" s="23">
        <v>3233.43</v>
      </c>
      <c r="I24" s="23">
        <v>0</v>
      </c>
      <c r="J24" s="23">
        <v>0</v>
      </c>
      <c r="K24" s="23">
        <v>0</v>
      </c>
      <c r="L24" s="23">
        <v>-628.14</v>
      </c>
      <c r="M24" s="24">
        <v>-64.668599999999998</v>
      </c>
      <c r="N24" s="23">
        <v>0</v>
      </c>
      <c r="O24" s="24">
        <f t="shared" si="0"/>
        <v>2540.6214</v>
      </c>
      <c r="P24" s="23">
        <v>-2500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f t="shared" si="1"/>
        <v>40.621399999999994</v>
      </c>
      <c r="X24" s="23">
        <f t="shared" si="2"/>
        <v>40.621399999999994</v>
      </c>
      <c r="Y24" s="23">
        <f t="shared" si="3"/>
        <v>0</v>
      </c>
      <c r="Z24" s="23">
        <v>0</v>
      </c>
      <c r="AA24" s="23">
        <f t="shared" si="4"/>
        <v>0</v>
      </c>
      <c r="AB24" s="23">
        <f t="shared" si="5"/>
        <v>2500</v>
      </c>
      <c r="AC24" s="20"/>
      <c r="AD24" s="20" t="str">
        <f>VLOOKUP($C24,'[1]CTRL AUTOS'!$E:$AH,2,0)</f>
        <v>X59AWG</v>
      </c>
      <c r="AE24" s="11" t="str">
        <f t="shared" si="6"/>
        <v>X59AWG2</v>
      </c>
    </row>
    <row r="25" spans="1:31" ht="12.75" hidden="1" customHeight="1" x14ac:dyDescent="0.3">
      <c r="A25" s="8">
        <v>2</v>
      </c>
      <c r="B25" s="20" t="s">
        <v>244</v>
      </c>
      <c r="C25" s="20" t="s">
        <v>4</v>
      </c>
      <c r="D25" s="21" t="s">
        <v>245</v>
      </c>
      <c r="E25" s="22" t="s">
        <v>232</v>
      </c>
      <c r="F25" s="22" t="s">
        <v>232</v>
      </c>
      <c r="G25" s="22" t="s">
        <v>234</v>
      </c>
      <c r="H25" s="23">
        <v>5208.21</v>
      </c>
      <c r="I25" s="23">
        <v>0</v>
      </c>
      <c r="J25" s="23">
        <v>0</v>
      </c>
      <c r="K25" s="23">
        <v>0</v>
      </c>
      <c r="L25" s="23">
        <v>-3087.32</v>
      </c>
      <c r="M25" s="24">
        <v>-104.16420000000001</v>
      </c>
      <c r="N25" s="23">
        <v>0</v>
      </c>
      <c r="O25" s="24">
        <f t="shared" si="0"/>
        <v>2016.7257999999999</v>
      </c>
      <c r="P25" s="23">
        <v>-2500</v>
      </c>
      <c r="Q25" s="23">
        <v>-1151.53</v>
      </c>
      <c r="R25" s="23">
        <v>-500</v>
      </c>
      <c r="S25" s="23">
        <v>0</v>
      </c>
      <c r="T25" s="23">
        <v>0</v>
      </c>
      <c r="U25" s="23">
        <v>0</v>
      </c>
      <c r="V25" s="23">
        <v>0</v>
      </c>
      <c r="W25" s="23">
        <f t="shared" si="1"/>
        <v>-2134.8041999999996</v>
      </c>
      <c r="X25" s="23">
        <f t="shared" si="2"/>
        <v>0</v>
      </c>
      <c r="Y25" s="23">
        <f t="shared" si="3"/>
        <v>-2134.8041999999996</v>
      </c>
      <c r="Z25" s="23">
        <v>2135</v>
      </c>
      <c r="AA25" s="23">
        <f t="shared" si="4"/>
        <v>0.19580000000041764</v>
      </c>
      <c r="AB25" s="23">
        <f t="shared" si="5"/>
        <v>4151.9216000000006</v>
      </c>
      <c r="AC25" s="20"/>
      <c r="AD25" s="20" t="str">
        <f>VLOOKUP($C25,'[1]CTRL AUTOS'!$E:$AH,2,0)</f>
        <v>N15BKD</v>
      </c>
      <c r="AE25" s="11" t="str">
        <f t="shared" si="6"/>
        <v>N15BKD2</v>
      </c>
    </row>
    <row r="26" spans="1:31" ht="12.75" hidden="1" customHeight="1" x14ac:dyDescent="0.3">
      <c r="A26" s="8">
        <v>2</v>
      </c>
      <c r="B26" s="20" t="s">
        <v>35</v>
      </c>
      <c r="C26" s="22" t="s">
        <v>69</v>
      </c>
      <c r="D26" s="22" t="s">
        <v>262</v>
      </c>
      <c r="E26" s="22" t="s">
        <v>241</v>
      </c>
      <c r="F26" s="22" t="s">
        <v>232</v>
      </c>
      <c r="G26" s="22" t="s">
        <v>234</v>
      </c>
      <c r="H26" s="23">
        <v>6685.99</v>
      </c>
      <c r="I26" s="23">
        <v>-164.8</v>
      </c>
      <c r="J26" s="23">
        <v>0</v>
      </c>
      <c r="K26" s="23">
        <v>0</v>
      </c>
      <c r="L26" s="23">
        <v>-3647.5</v>
      </c>
      <c r="M26" s="24">
        <v>-133.71979999999999</v>
      </c>
      <c r="N26" s="23">
        <v>0</v>
      </c>
      <c r="O26" s="24">
        <f t="shared" si="0"/>
        <v>2739.9701999999997</v>
      </c>
      <c r="P26" s="23">
        <v>-2500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f t="shared" si="1"/>
        <v>239.97019999999975</v>
      </c>
      <c r="X26" s="23">
        <f t="shared" si="2"/>
        <v>239.97019999999975</v>
      </c>
      <c r="Y26" s="23">
        <f t="shared" si="3"/>
        <v>0</v>
      </c>
      <c r="Z26" s="23">
        <v>0</v>
      </c>
      <c r="AA26" s="23">
        <f t="shared" si="4"/>
        <v>0</v>
      </c>
      <c r="AB26" s="23">
        <f t="shared" si="5"/>
        <v>2500</v>
      </c>
      <c r="AC26" s="20"/>
      <c r="AD26" s="20" t="str">
        <f>VLOOKUP($C26,'[1]CTRL AUTOS'!$E:$AH,2,0)</f>
        <v>R51BKD</v>
      </c>
      <c r="AE26" s="11" t="str">
        <f t="shared" si="6"/>
        <v>R51BKD2</v>
      </c>
    </row>
    <row r="27" spans="1:31" ht="12.75" hidden="1" customHeight="1" x14ac:dyDescent="0.3">
      <c r="A27" s="8">
        <v>2</v>
      </c>
      <c r="B27" s="20" t="s">
        <v>37</v>
      </c>
      <c r="C27" s="22" t="s">
        <v>246</v>
      </c>
      <c r="D27" s="22" t="s">
        <v>247</v>
      </c>
      <c r="E27" s="22" t="s">
        <v>232</v>
      </c>
      <c r="F27" s="22" t="s">
        <v>232</v>
      </c>
      <c r="G27" s="22" t="s">
        <v>234</v>
      </c>
      <c r="H27" s="23">
        <v>3188.12</v>
      </c>
      <c r="I27" s="23">
        <v>-48</v>
      </c>
      <c r="J27" s="23">
        <v>0</v>
      </c>
      <c r="K27" s="23">
        <v>0</v>
      </c>
      <c r="L27" s="23">
        <v>-1867.2</v>
      </c>
      <c r="M27" s="24">
        <v>-63.7624</v>
      </c>
      <c r="N27" s="23">
        <v>0</v>
      </c>
      <c r="O27" s="24">
        <f t="shared" si="0"/>
        <v>1209.1575999999998</v>
      </c>
      <c r="P27" s="23">
        <v>-2500</v>
      </c>
      <c r="Q27" s="23">
        <v>-186.97</v>
      </c>
      <c r="R27" s="23">
        <v>-500</v>
      </c>
      <c r="S27" s="23">
        <v>0</v>
      </c>
      <c r="T27" s="23">
        <v>0</v>
      </c>
      <c r="U27" s="23">
        <v>0</v>
      </c>
      <c r="V27" s="23">
        <v>0</v>
      </c>
      <c r="W27" s="23">
        <f t="shared" si="1"/>
        <v>-1977.8124</v>
      </c>
      <c r="X27" s="23">
        <f t="shared" si="2"/>
        <v>0</v>
      </c>
      <c r="Y27" s="23">
        <f t="shared" si="3"/>
        <v>-1977.8124</v>
      </c>
      <c r="Z27" s="23">
        <v>1882</v>
      </c>
      <c r="AA27" s="23">
        <f t="shared" si="4"/>
        <v>-95.812400000000025</v>
      </c>
      <c r="AB27" s="23">
        <f t="shared" si="5"/>
        <v>2995.3451999999997</v>
      </c>
      <c r="AC27" s="20"/>
      <c r="AD27" s="20" t="s">
        <v>248</v>
      </c>
      <c r="AE27" s="11" t="str">
        <f t="shared" si="6"/>
        <v>X24APU2</v>
      </c>
    </row>
    <row r="28" spans="1:31" ht="12.75" hidden="1" customHeight="1" x14ac:dyDescent="0.3">
      <c r="A28" s="8">
        <v>2</v>
      </c>
      <c r="B28" s="20" t="s">
        <v>45</v>
      </c>
      <c r="C28" s="22" t="s">
        <v>249</v>
      </c>
      <c r="D28" s="21" t="s">
        <v>250</v>
      </c>
      <c r="E28" s="22" t="s">
        <v>232</v>
      </c>
      <c r="F28" s="22" t="s">
        <v>232</v>
      </c>
      <c r="G28" s="22" t="s">
        <v>234</v>
      </c>
      <c r="H28" s="23">
        <v>4151.87</v>
      </c>
      <c r="I28" s="23">
        <v>-81.599999999999994</v>
      </c>
      <c r="J28" s="23">
        <v>0</v>
      </c>
      <c r="K28" s="23">
        <v>0</v>
      </c>
      <c r="L28" s="23">
        <v>-1247.8699999999999</v>
      </c>
      <c r="M28" s="24">
        <v>-83.037400000000005</v>
      </c>
      <c r="N28" s="23">
        <v>0</v>
      </c>
      <c r="O28" s="24">
        <f t="shared" si="0"/>
        <v>2739.3625999999999</v>
      </c>
      <c r="P28" s="23">
        <v>-2300</v>
      </c>
      <c r="Q28" s="23">
        <v>0</v>
      </c>
      <c r="R28" s="23">
        <v>-339</v>
      </c>
      <c r="S28" s="23">
        <v>-257</v>
      </c>
      <c r="T28" s="23">
        <v>0</v>
      </c>
      <c r="U28" s="23">
        <v>0</v>
      </c>
      <c r="V28" s="23">
        <v>0</v>
      </c>
      <c r="W28" s="23">
        <f t="shared" si="1"/>
        <v>-156.63740000000007</v>
      </c>
      <c r="X28" s="23">
        <f t="shared" si="2"/>
        <v>0</v>
      </c>
      <c r="Y28" s="23">
        <f t="shared" si="3"/>
        <v>-156.63740000000007</v>
      </c>
      <c r="Z28" s="23">
        <v>157</v>
      </c>
      <c r="AA28" s="23">
        <f t="shared" si="4"/>
        <v>0.36259999999992942</v>
      </c>
      <c r="AB28" s="23">
        <f t="shared" si="5"/>
        <v>2896.7251999999999</v>
      </c>
      <c r="AC28" s="20"/>
      <c r="AD28" s="20" t="s">
        <v>251</v>
      </c>
      <c r="AE28" s="11" t="str">
        <f t="shared" si="6"/>
        <v>BAJA DE PLACAS2</v>
      </c>
    </row>
    <row r="29" spans="1:31" ht="12.75" hidden="1" customHeight="1" x14ac:dyDescent="0.3">
      <c r="A29" s="8">
        <v>2</v>
      </c>
      <c r="B29" s="20" t="s">
        <v>252</v>
      </c>
      <c r="C29" s="22" t="s">
        <v>22</v>
      </c>
      <c r="D29" s="22" t="s">
        <v>253</v>
      </c>
      <c r="E29" s="22" t="s">
        <v>232</v>
      </c>
      <c r="F29" s="22" t="s">
        <v>233</v>
      </c>
      <c r="G29" s="22" t="s">
        <v>234</v>
      </c>
      <c r="H29" s="23">
        <v>7618.92</v>
      </c>
      <c r="I29" s="23">
        <v>-139.19999999999999</v>
      </c>
      <c r="J29" s="23">
        <v>0</v>
      </c>
      <c r="K29" s="23">
        <v>0</v>
      </c>
      <c r="L29" s="23">
        <v>-4430.72</v>
      </c>
      <c r="M29" s="24">
        <v>-152.3784</v>
      </c>
      <c r="N29" s="23">
        <v>0</v>
      </c>
      <c r="O29" s="24">
        <f t="shared" si="0"/>
        <v>2896.6215999999999</v>
      </c>
      <c r="P29" s="23">
        <v>-2500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f t="shared" si="1"/>
        <v>396.62159999999994</v>
      </c>
      <c r="X29" s="23">
        <f t="shared" si="2"/>
        <v>396.62159999999994</v>
      </c>
      <c r="Y29" s="23">
        <f t="shared" si="3"/>
        <v>0</v>
      </c>
      <c r="Z29" s="23">
        <v>0</v>
      </c>
      <c r="AA29" s="23">
        <f t="shared" si="4"/>
        <v>0</v>
      </c>
      <c r="AB29" s="23">
        <f t="shared" si="5"/>
        <v>2500</v>
      </c>
      <c r="AC29" s="20"/>
      <c r="AD29" s="20" t="str">
        <f>VLOOKUP($C29,'[1]CTRL AUTOS'!$E:$AH,2,0)</f>
        <v>NCK475B</v>
      </c>
      <c r="AE29" s="11" t="str">
        <f t="shared" si="6"/>
        <v>NCK475B2</v>
      </c>
    </row>
    <row r="30" spans="1:31" ht="12.75" hidden="1" customHeight="1" x14ac:dyDescent="0.3">
      <c r="A30" s="8">
        <v>3</v>
      </c>
      <c r="B30" s="20" t="s">
        <v>254</v>
      </c>
      <c r="C30" s="22" t="s">
        <v>75</v>
      </c>
      <c r="D30" s="20" t="s">
        <v>237</v>
      </c>
      <c r="E30" s="22" t="s">
        <v>241</v>
      </c>
      <c r="F30" s="22" t="s">
        <v>232</v>
      </c>
      <c r="G30" s="22" t="s">
        <v>234</v>
      </c>
      <c r="H30" s="23">
        <v>2639.76</v>
      </c>
      <c r="I30" s="23">
        <v>0</v>
      </c>
      <c r="J30" s="23">
        <v>0</v>
      </c>
      <c r="K30" s="23">
        <v>0</v>
      </c>
      <c r="L30" s="23">
        <v>-2186.2399999999998</v>
      </c>
      <c r="M30" s="24">
        <v>-52.795200000000008</v>
      </c>
      <c r="N30" s="23">
        <v>0</v>
      </c>
      <c r="O30" s="24">
        <f t="shared" si="0"/>
        <v>400.72480000000041</v>
      </c>
      <c r="P30" s="23">
        <v>-2500</v>
      </c>
      <c r="Q30" s="23">
        <v>-35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f t="shared" si="1"/>
        <v>-2134.2751999999996</v>
      </c>
      <c r="X30" s="23">
        <f t="shared" si="2"/>
        <v>0</v>
      </c>
      <c r="Y30" s="23">
        <f t="shared" si="3"/>
        <v>-2134.2751999999996</v>
      </c>
      <c r="Z30" s="23">
        <v>0</v>
      </c>
      <c r="AA30" s="23">
        <f t="shared" si="4"/>
        <v>-2134.2751999999996</v>
      </c>
      <c r="AB30" s="23">
        <f t="shared" si="5"/>
        <v>-1733.5503999999992</v>
      </c>
      <c r="AC30" s="20" t="s">
        <v>255</v>
      </c>
      <c r="AD30" s="20" t="str">
        <f>VLOOKUP($C30,'[1]CTRL AUTOS'!$E:$AH,2,0)</f>
        <v>NFN014B</v>
      </c>
      <c r="AE30" s="11" t="str">
        <f t="shared" si="6"/>
        <v>NFN014B3</v>
      </c>
    </row>
    <row r="31" spans="1:31" ht="12.75" hidden="1" customHeight="1" x14ac:dyDescent="0.3">
      <c r="A31" s="8">
        <v>3</v>
      </c>
      <c r="B31" s="20" t="s">
        <v>80</v>
      </c>
      <c r="C31" s="20" t="s">
        <v>230</v>
      </c>
      <c r="D31" s="21" t="s">
        <v>231</v>
      </c>
      <c r="E31" s="22" t="s">
        <v>232</v>
      </c>
      <c r="F31" s="22" t="s">
        <v>232</v>
      </c>
      <c r="G31" s="22" t="s">
        <v>234</v>
      </c>
      <c r="H31" s="23">
        <v>50.31</v>
      </c>
      <c r="I31" s="23">
        <v>0</v>
      </c>
      <c r="J31" s="23">
        <v>0</v>
      </c>
      <c r="K31" s="23">
        <v>0</v>
      </c>
      <c r="L31" s="23">
        <v>0</v>
      </c>
      <c r="M31" s="24">
        <v>0</v>
      </c>
      <c r="N31" s="23">
        <v>0</v>
      </c>
      <c r="O31" s="24">
        <f t="shared" si="0"/>
        <v>50.31</v>
      </c>
      <c r="P31" s="23">
        <v>-1071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f t="shared" si="1"/>
        <v>-1020.69</v>
      </c>
      <c r="X31" s="23">
        <f t="shared" si="2"/>
        <v>0</v>
      </c>
      <c r="Y31" s="23">
        <f t="shared" si="3"/>
        <v>-1020.69</v>
      </c>
      <c r="Z31" s="23">
        <v>1021</v>
      </c>
      <c r="AA31" s="23">
        <f t="shared" si="4"/>
        <v>0.30999999999994543</v>
      </c>
      <c r="AB31" s="23">
        <f t="shared" si="5"/>
        <v>1071.6199999999999</v>
      </c>
      <c r="AC31" s="20"/>
      <c r="AD31" s="20" t="s">
        <v>235</v>
      </c>
      <c r="AE31" s="11" t="str">
        <f t="shared" si="6"/>
        <v>NEB156A3</v>
      </c>
    </row>
    <row r="32" spans="1:31" ht="12.75" hidden="1" customHeight="1" x14ac:dyDescent="0.3">
      <c r="A32" s="8">
        <v>3</v>
      </c>
      <c r="B32" s="20" t="s">
        <v>80</v>
      </c>
      <c r="C32" s="20" t="s">
        <v>230</v>
      </c>
      <c r="D32" s="21" t="s">
        <v>231</v>
      </c>
      <c r="E32" s="22" t="s">
        <v>232</v>
      </c>
      <c r="F32" s="22" t="s">
        <v>233</v>
      </c>
      <c r="G32" s="22" t="s">
        <v>234</v>
      </c>
      <c r="H32" s="23">
        <v>1787.03</v>
      </c>
      <c r="I32" s="23">
        <v>0</v>
      </c>
      <c r="J32" s="23">
        <v>0</v>
      </c>
      <c r="K32" s="23">
        <v>0</v>
      </c>
      <c r="L32" s="23">
        <v>-586.14</v>
      </c>
      <c r="M32" s="24">
        <v>-35.740600000000001</v>
      </c>
      <c r="N32" s="23">
        <v>0</v>
      </c>
      <c r="O32" s="24">
        <f t="shared" si="0"/>
        <v>1165.1493999999998</v>
      </c>
      <c r="P32" s="23">
        <v>-1429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f t="shared" si="1"/>
        <v>-263.85060000000021</v>
      </c>
      <c r="X32" s="23">
        <f t="shared" si="2"/>
        <v>0</v>
      </c>
      <c r="Y32" s="23">
        <f t="shared" si="3"/>
        <v>-263.85060000000021</v>
      </c>
      <c r="Z32" s="23">
        <v>264</v>
      </c>
      <c r="AA32" s="23">
        <f t="shared" si="4"/>
        <v>0.14939999999978681</v>
      </c>
      <c r="AB32" s="23">
        <f t="shared" si="5"/>
        <v>1429.2987999999996</v>
      </c>
      <c r="AC32" s="20"/>
      <c r="AD32" s="20" t="s">
        <v>235</v>
      </c>
      <c r="AE32" s="11" t="str">
        <f t="shared" si="6"/>
        <v>NEB156A3</v>
      </c>
    </row>
    <row r="33" spans="1:31" ht="12.75" hidden="1" customHeight="1" x14ac:dyDescent="0.3">
      <c r="A33" s="8">
        <v>3</v>
      </c>
      <c r="B33" s="20" t="s">
        <v>236</v>
      </c>
      <c r="C33" s="22" t="s">
        <v>34</v>
      </c>
      <c r="D33" s="20" t="s">
        <v>237</v>
      </c>
      <c r="E33" s="22" t="s">
        <v>232</v>
      </c>
      <c r="F33" s="22" t="s">
        <v>232</v>
      </c>
      <c r="G33" s="22" t="s">
        <v>234</v>
      </c>
      <c r="H33" s="23">
        <v>3737.75</v>
      </c>
      <c r="I33" s="23">
        <v>0</v>
      </c>
      <c r="J33" s="23">
        <v>0</v>
      </c>
      <c r="K33" s="23">
        <v>0</v>
      </c>
      <c r="L33" s="23">
        <v>-1707.4</v>
      </c>
      <c r="M33" s="24">
        <v>-74.754999999999995</v>
      </c>
      <c r="N33" s="23">
        <v>0</v>
      </c>
      <c r="O33" s="24">
        <f t="shared" si="0"/>
        <v>1955.5949999999998</v>
      </c>
      <c r="P33" s="23">
        <v>-2500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f t="shared" si="1"/>
        <v>-544.4050000000002</v>
      </c>
      <c r="X33" s="23">
        <f t="shared" si="2"/>
        <v>0</v>
      </c>
      <c r="Y33" s="23">
        <f t="shared" si="3"/>
        <v>-544.4050000000002</v>
      </c>
      <c r="Z33" s="23">
        <v>544</v>
      </c>
      <c r="AA33" s="23">
        <f t="shared" si="4"/>
        <v>-0.40500000000020009</v>
      </c>
      <c r="AB33" s="23">
        <f t="shared" si="5"/>
        <v>2499.1899999999996</v>
      </c>
      <c r="AC33" s="20"/>
      <c r="AD33" s="20" t="str">
        <f>VLOOKUP($C33,'[1]CTRL AUTOS'!$E:$AH,2,0)</f>
        <v>X59AWG</v>
      </c>
      <c r="AE33" s="11" t="str">
        <f t="shared" si="6"/>
        <v>X59AWG3</v>
      </c>
    </row>
    <row r="34" spans="1:31" ht="12.75" hidden="1" customHeight="1" x14ac:dyDescent="0.3">
      <c r="A34" s="8">
        <v>3</v>
      </c>
      <c r="B34" s="20" t="s">
        <v>238</v>
      </c>
      <c r="C34" s="22" t="s">
        <v>20</v>
      </c>
      <c r="D34" s="25" t="s">
        <v>239</v>
      </c>
      <c r="E34" s="22" t="s">
        <v>232</v>
      </c>
      <c r="F34" s="22" t="s">
        <v>232</v>
      </c>
      <c r="G34" s="22" t="s">
        <v>234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4">
        <v>0</v>
      </c>
      <c r="N34" s="23">
        <v>0</v>
      </c>
      <c r="O34" s="24">
        <f t="shared" si="0"/>
        <v>0</v>
      </c>
      <c r="P34" s="23">
        <v>-1071</v>
      </c>
      <c r="Q34" s="23">
        <v>-1300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f t="shared" si="1"/>
        <v>-2371</v>
      </c>
      <c r="X34" s="23">
        <f t="shared" si="2"/>
        <v>0</v>
      </c>
      <c r="Y34" s="23">
        <f t="shared" si="3"/>
        <v>-2371</v>
      </c>
      <c r="Z34" s="23">
        <v>2371</v>
      </c>
      <c r="AA34" s="23">
        <f t="shared" si="4"/>
        <v>0</v>
      </c>
      <c r="AB34" s="23">
        <f t="shared" si="5"/>
        <v>2371</v>
      </c>
      <c r="AC34" s="20" t="s">
        <v>226</v>
      </c>
      <c r="AD34" s="20" t="str">
        <f>VLOOKUP($C34,'[1]CTRL AUTOS'!$E:$AH,2,0)</f>
        <v>D40BKD</v>
      </c>
      <c r="AE34" s="11" t="str">
        <f t="shared" si="6"/>
        <v>D40BKD3</v>
      </c>
    </row>
    <row r="35" spans="1:31" ht="12.75" hidden="1" customHeight="1" x14ac:dyDescent="0.3">
      <c r="A35" s="8">
        <v>3</v>
      </c>
      <c r="B35" s="20" t="s">
        <v>238</v>
      </c>
      <c r="C35" s="22" t="s">
        <v>20</v>
      </c>
      <c r="D35" s="25" t="s">
        <v>239</v>
      </c>
      <c r="E35" s="22" t="s">
        <v>232</v>
      </c>
      <c r="F35" s="22" t="s">
        <v>233</v>
      </c>
      <c r="G35" s="22" t="s">
        <v>234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4">
        <v>0</v>
      </c>
      <c r="N35" s="23">
        <v>0</v>
      </c>
      <c r="O35" s="24">
        <f t="shared" si="0"/>
        <v>0</v>
      </c>
      <c r="P35" s="23">
        <v>-1429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f t="shared" si="1"/>
        <v>-1429</v>
      </c>
      <c r="X35" s="23">
        <f t="shared" si="2"/>
        <v>0</v>
      </c>
      <c r="Y35" s="23">
        <f t="shared" si="3"/>
        <v>-1429</v>
      </c>
      <c r="Z35" s="23">
        <v>1429</v>
      </c>
      <c r="AA35" s="23">
        <f t="shared" si="4"/>
        <v>0</v>
      </c>
      <c r="AB35" s="23">
        <f t="shared" si="5"/>
        <v>1429</v>
      </c>
      <c r="AC35" s="20" t="s">
        <v>226</v>
      </c>
      <c r="AD35" s="20" t="str">
        <f>VLOOKUP($C35,'[1]CTRL AUTOS'!$E:$AH,2,0)</f>
        <v>D40BKD</v>
      </c>
      <c r="AE35" s="11" t="str">
        <f t="shared" si="6"/>
        <v>D40BKD3</v>
      </c>
    </row>
    <row r="36" spans="1:31" ht="12.75" hidden="1" customHeight="1" x14ac:dyDescent="0.3">
      <c r="A36" s="8">
        <v>3</v>
      </c>
      <c r="B36" s="22" t="s">
        <v>240</v>
      </c>
      <c r="C36" s="20" t="s">
        <v>56</v>
      </c>
      <c r="D36" s="20" t="s">
        <v>237</v>
      </c>
      <c r="E36" s="22" t="s">
        <v>241</v>
      </c>
      <c r="F36" s="22" t="s">
        <v>232</v>
      </c>
      <c r="G36" s="22" t="s">
        <v>234</v>
      </c>
      <c r="H36" s="23">
        <v>449.82</v>
      </c>
      <c r="I36" s="23">
        <v>0</v>
      </c>
      <c r="J36" s="23">
        <v>0</v>
      </c>
      <c r="K36" s="23">
        <v>0</v>
      </c>
      <c r="L36" s="23">
        <v>-93.56</v>
      </c>
      <c r="M36" s="24">
        <v>0</v>
      </c>
      <c r="N36" s="23">
        <v>0</v>
      </c>
      <c r="O36" s="24">
        <f t="shared" si="0"/>
        <v>356.26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f t="shared" si="1"/>
        <v>356.26</v>
      </c>
      <c r="X36" s="23">
        <f t="shared" si="2"/>
        <v>356.26</v>
      </c>
      <c r="Y36" s="23">
        <f t="shared" si="3"/>
        <v>0</v>
      </c>
      <c r="Z36" s="23">
        <v>0</v>
      </c>
      <c r="AA36" s="23">
        <f t="shared" si="4"/>
        <v>0</v>
      </c>
      <c r="AB36" s="23">
        <f t="shared" si="5"/>
        <v>0</v>
      </c>
      <c r="AC36" s="20"/>
      <c r="AD36" s="20" t="str">
        <f>VLOOKUP($C36,'[1]CTRL AUTOS'!$E:$AH,2,0)</f>
        <v>MYE912A</v>
      </c>
      <c r="AE36" s="11" t="str">
        <f t="shared" si="6"/>
        <v>MYE912A3</v>
      </c>
    </row>
    <row r="37" spans="1:31" ht="12.75" hidden="1" customHeight="1" x14ac:dyDescent="0.3">
      <c r="A37" s="8">
        <v>3</v>
      </c>
      <c r="B37" s="20" t="s">
        <v>256</v>
      </c>
      <c r="C37" s="22" t="s">
        <v>46</v>
      </c>
      <c r="D37" s="22" t="s">
        <v>257</v>
      </c>
      <c r="E37" s="22" t="s">
        <v>232</v>
      </c>
      <c r="F37" s="22" t="s">
        <v>232</v>
      </c>
      <c r="G37" s="22" t="s">
        <v>234</v>
      </c>
      <c r="H37" s="23">
        <v>4532.4399999999996</v>
      </c>
      <c r="I37" s="23">
        <v>0</v>
      </c>
      <c r="J37" s="23">
        <v>0</v>
      </c>
      <c r="K37" s="23">
        <v>0</v>
      </c>
      <c r="L37" s="23">
        <v>-2041.45</v>
      </c>
      <c r="M37" s="24">
        <v>-101.0688</v>
      </c>
      <c r="N37" s="23">
        <v>0</v>
      </c>
      <c r="O37" s="24">
        <f t="shared" si="0"/>
        <v>2389.9211999999998</v>
      </c>
      <c r="P37" s="23">
        <v>-2500</v>
      </c>
      <c r="Q37" s="23">
        <v>0</v>
      </c>
      <c r="R37" s="23">
        <v>-500</v>
      </c>
      <c r="S37" s="23">
        <v>0</v>
      </c>
      <c r="T37" s="23">
        <v>0</v>
      </c>
      <c r="U37" s="23">
        <v>0</v>
      </c>
      <c r="V37" s="23">
        <v>0</v>
      </c>
      <c r="W37" s="23">
        <f t="shared" si="1"/>
        <v>-610.07880000000023</v>
      </c>
      <c r="X37" s="23">
        <f t="shared" si="2"/>
        <v>0</v>
      </c>
      <c r="Y37" s="23">
        <f t="shared" si="3"/>
        <v>-610.07880000000023</v>
      </c>
      <c r="Z37" s="23">
        <v>620</v>
      </c>
      <c r="AA37" s="23">
        <f t="shared" si="4"/>
        <v>9.9211999999997715</v>
      </c>
      <c r="AB37" s="23">
        <f t="shared" si="5"/>
        <v>3019.8423999999995</v>
      </c>
      <c r="AC37" s="20" t="s">
        <v>263</v>
      </c>
      <c r="AD37" s="20" t="str">
        <f>VLOOKUP($C37,'[1]CTRL AUTOS'!$E:$AH,2,0)</f>
        <v>R66BER</v>
      </c>
      <c r="AE37" s="11" t="str">
        <f t="shared" si="6"/>
        <v>R66BER3</v>
      </c>
    </row>
    <row r="38" spans="1:31" ht="12.75" hidden="1" customHeight="1" x14ac:dyDescent="0.3">
      <c r="A38" s="8">
        <v>3</v>
      </c>
      <c r="B38" s="22" t="s">
        <v>258</v>
      </c>
      <c r="C38" s="22" t="s">
        <v>40</v>
      </c>
      <c r="D38" s="21" t="s">
        <v>259</v>
      </c>
      <c r="E38" s="22" t="s">
        <v>232</v>
      </c>
      <c r="F38" s="22" t="s">
        <v>232</v>
      </c>
      <c r="G38" s="22" t="s">
        <v>234</v>
      </c>
      <c r="H38" s="23">
        <v>5544.83</v>
      </c>
      <c r="I38" s="23">
        <v>-101.6</v>
      </c>
      <c r="J38" s="23">
        <v>0</v>
      </c>
      <c r="K38" s="23">
        <v>0</v>
      </c>
      <c r="L38" s="23">
        <v>-1756.2</v>
      </c>
      <c r="M38" s="24">
        <v>-137.71244999999999</v>
      </c>
      <c r="N38" s="23">
        <v>0</v>
      </c>
      <c r="O38" s="24">
        <f t="shared" si="0"/>
        <v>3549.3175499999998</v>
      </c>
      <c r="P38" s="23">
        <v>-2500</v>
      </c>
      <c r="Q38" s="23">
        <v>0</v>
      </c>
      <c r="R38" s="23">
        <v>0</v>
      </c>
      <c r="S38" s="23">
        <v>-500</v>
      </c>
      <c r="T38" s="23">
        <v>0</v>
      </c>
      <c r="U38" s="23">
        <v>0</v>
      </c>
      <c r="V38" s="23">
        <v>0</v>
      </c>
      <c r="W38" s="23">
        <f t="shared" si="1"/>
        <v>549.31754999999976</v>
      </c>
      <c r="X38" s="23">
        <f t="shared" si="2"/>
        <v>549.31754999999976</v>
      </c>
      <c r="Y38" s="23">
        <f t="shared" si="3"/>
        <v>0</v>
      </c>
      <c r="Z38" s="23">
        <v>0</v>
      </c>
      <c r="AA38" s="23">
        <f t="shared" si="4"/>
        <v>0</v>
      </c>
      <c r="AB38" s="23">
        <f t="shared" si="5"/>
        <v>3000</v>
      </c>
      <c r="AC38" s="20"/>
      <c r="AD38" s="20" t="str">
        <f>VLOOKUP($C38,'[1]CTRL AUTOS'!$E:$AH,2,0)</f>
        <v>NEL860A</v>
      </c>
      <c r="AE38" s="11" t="str">
        <f t="shared" si="6"/>
        <v>NEL860A3</v>
      </c>
    </row>
    <row r="39" spans="1:31" ht="12.75" hidden="1" customHeight="1" x14ac:dyDescent="0.3">
      <c r="A39" s="8">
        <v>3</v>
      </c>
      <c r="B39" s="20" t="s">
        <v>264</v>
      </c>
      <c r="C39" s="22" t="s">
        <v>168</v>
      </c>
      <c r="D39" s="22" t="s">
        <v>265</v>
      </c>
      <c r="E39" s="22" t="s">
        <v>232</v>
      </c>
      <c r="F39" s="22" t="s">
        <v>232</v>
      </c>
      <c r="G39" s="22" t="s">
        <v>234</v>
      </c>
      <c r="H39" s="23">
        <v>7403.76</v>
      </c>
      <c r="I39" s="23">
        <v>-138.4</v>
      </c>
      <c r="J39" s="23">
        <v>0</v>
      </c>
      <c r="K39" s="23">
        <v>0</v>
      </c>
      <c r="L39" s="23">
        <v>-1056.42</v>
      </c>
      <c r="M39" s="24">
        <v>-148.0752</v>
      </c>
      <c r="N39" s="23">
        <v>0</v>
      </c>
      <c r="O39" s="24">
        <f t="shared" si="0"/>
        <v>6060.8648000000003</v>
      </c>
      <c r="P39" s="23">
        <v>-1968</v>
      </c>
      <c r="Q39" s="23">
        <v>0</v>
      </c>
      <c r="R39" s="23">
        <v>-500</v>
      </c>
      <c r="S39" s="23">
        <v>0</v>
      </c>
      <c r="T39" s="23">
        <v>0</v>
      </c>
      <c r="U39" s="23">
        <v>0</v>
      </c>
      <c r="V39" s="23">
        <v>0</v>
      </c>
      <c r="W39" s="23">
        <f t="shared" si="1"/>
        <v>3592.8648000000003</v>
      </c>
      <c r="X39" s="23">
        <f t="shared" si="2"/>
        <v>3592.8648000000003</v>
      </c>
      <c r="Y39" s="23">
        <f t="shared" si="3"/>
        <v>0</v>
      </c>
      <c r="Z39" s="23">
        <v>0</v>
      </c>
      <c r="AA39" s="23">
        <f t="shared" si="4"/>
        <v>0</v>
      </c>
      <c r="AB39" s="23">
        <f t="shared" si="5"/>
        <v>2468</v>
      </c>
      <c r="AC39" s="20"/>
      <c r="AD39" s="20" t="e">
        <f>VLOOKUP($C39,'[1]CTRL AUTOS'!$E:$AH,2,0)</f>
        <v>#N/A</v>
      </c>
      <c r="AE39" s="11" t="e">
        <f t="shared" si="6"/>
        <v>#N/A</v>
      </c>
    </row>
    <row r="40" spans="1:31" ht="12.75" hidden="1" customHeight="1" x14ac:dyDescent="0.3">
      <c r="A40" s="8">
        <v>3</v>
      </c>
      <c r="B40" s="20" t="s">
        <v>260</v>
      </c>
      <c r="C40" s="22" t="s">
        <v>97</v>
      </c>
      <c r="D40" s="22" t="s">
        <v>261</v>
      </c>
      <c r="E40" s="22" t="s">
        <v>232</v>
      </c>
      <c r="F40" s="22" t="s">
        <v>232</v>
      </c>
      <c r="G40" s="22" t="s">
        <v>234</v>
      </c>
      <c r="H40" s="23">
        <v>5136.53</v>
      </c>
      <c r="I40" s="23">
        <v>-54.31</v>
      </c>
      <c r="J40" s="23">
        <v>0</v>
      </c>
      <c r="K40" s="23">
        <v>0</v>
      </c>
      <c r="L40" s="23">
        <v>-1437.61</v>
      </c>
      <c r="M40" s="24">
        <v>-77.04795</v>
      </c>
      <c r="N40" s="23">
        <v>-55</v>
      </c>
      <c r="O40" s="24">
        <f t="shared" si="0"/>
        <v>3512.5620499999995</v>
      </c>
      <c r="P40" s="23">
        <v>-2500</v>
      </c>
      <c r="Q40" s="23">
        <v>0</v>
      </c>
      <c r="R40" s="23">
        <v>0</v>
      </c>
      <c r="S40" s="23">
        <v>-300</v>
      </c>
      <c r="T40" s="23">
        <v>0</v>
      </c>
      <c r="U40" s="23">
        <v>0</v>
      </c>
      <c r="V40" s="23">
        <v>0</v>
      </c>
      <c r="W40" s="23">
        <f t="shared" si="1"/>
        <v>712.56204999999954</v>
      </c>
      <c r="X40" s="23">
        <f t="shared" si="2"/>
        <v>712.56204999999954</v>
      </c>
      <c r="Y40" s="23">
        <f t="shared" si="3"/>
        <v>0</v>
      </c>
      <c r="Z40" s="23">
        <v>0</v>
      </c>
      <c r="AA40" s="23">
        <f t="shared" si="4"/>
        <v>0</v>
      </c>
      <c r="AB40" s="23">
        <f t="shared" si="5"/>
        <v>2800</v>
      </c>
      <c r="AC40" s="20"/>
      <c r="AD40" s="20" t="str">
        <f>VLOOKUP($C40,'[1]CTRL AUTOS'!$E:$AH,2,0)</f>
        <v>MUF515A</v>
      </c>
      <c r="AE40" s="11" t="str">
        <f t="shared" si="6"/>
        <v>MUF515A3</v>
      </c>
    </row>
    <row r="41" spans="1:31" ht="12.75" hidden="1" customHeight="1" x14ac:dyDescent="0.3">
      <c r="A41" s="8">
        <v>3</v>
      </c>
      <c r="B41" s="20" t="s">
        <v>72</v>
      </c>
      <c r="C41" s="22" t="s">
        <v>28</v>
      </c>
      <c r="D41" s="22" t="s">
        <v>242</v>
      </c>
      <c r="E41" s="22" t="s">
        <v>232</v>
      </c>
      <c r="F41" s="22" t="s">
        <v>232</v>
      </c>
      <c r="G41" s="22" t="s">
        <v>234</v>
      </c>
      <c r="H41" s="23">
        <v>9859.83</v>
      </c>
      <c r="I41" s="23">
        <v>-121.6</v>
      </c>
      <c r="J41" s="23">
        <v>0</v>
      </c>
      <c r="K41" s="23">
        <v>0</v>
      </c>
      <c r="L41" s="23">
        <v>-4486.28</v>
      </c>
      <c r="M41" s="24">
        <v>-197.19659999999999</v>
      </c>
      <c r="N41" s="23">
        <v>-217.97</v>
      </c>
      <c r="O41" s="24">
        <f t="shared" si="0"/>
        <v>4836.7833999999993</v>
      </c>
      <c r="P41" s="23">
        <v>-2500</v>
      </c>
      <c r="Q41" s="23">
        <v>-1500</v>
      </c>
      <c r="R41" s="23">
        <v>0</v>
      </c>
      <c r="S41" s="23">
        <v>0</v>
      </c>
      <c r="T41" s="23">
        <v>-500</v>
      </c>
      <c r="U41" s="23">
        <v>0</v>
      </c>
      <c r="V41" s="23">
        <v>0</v>
      </c>
      <c r="W41" s="23">
        <f t="shared" si="1"/>
        <v>336.78339999999935</v>
      </c>
      <c r="X41" s="23">
        <f t="shared" si="2"/>
        <v>336.78339999999935</v>
      </c>
      <c r="Y41" s="23">
        <f t="shared" si="3"/>
        <v>0</v>
      </c>
      <c r="Z41" s="23">
        <v>0</v>
      </c>
      <c r="AA41" s="23">
        <f t="shared" si="4"/>
        <v>0</v>
      </c>
      <c r="AB41" s="23">
        <f t="shared" si="5"/>
        <v>4500</v>
      </c>
      <c r="AC41" s="20"/>
      <c r="AD41" s="20" t="str">
        <f>VLOOKUP($C41,'[1]CTRL AUTOS'!$E:$AH,2,0)</f>
        <v>NCT814A</v>
      </c>
      <c r="AE41" s="11" t="str">
        <f t="shared" si="6"/>
        <v>NCT814A3</v>
      </c>
    </row>
    <row r="42" spans="1:31" ht="12.75" hidden="1" customHeight="1" x14ac:dyDescent="0.3">
      <c r="A42" s="8">
        <v>3</v>
      </c>
      <c r="B42" s="20" t="s">
        <v>243</v>
      </c>
      <c r="C42" s="20" t="s">
        <v>34</v>
      </c>
      <c r="D42" s="20" t="s">
        <v>237</v>
      </c>
      <c r="E42" s="22" t="s">
        <v>232</v>
      </c>
      <c r="F42" s="22" t="s">
        <v>232</v>
      </c>
      <c r="G42" s="22" t="s">
        <v>234</v>
      </c>
      <c r="H42" s="23">
        <v>861.11</v>
      </c>
      <c r="I42" s="23">
        <v>0</v>
      </c>
      <c r="J42" s="23">
        <v>0</v>
      </c>
      <c r="K42" s="23">
        <v>0</v>
      </c>
      <c r="L42" s="23">
        <v>-251.63</v>
      </c>
      <c r="M42" s="24">
        <v>-17.222200000000001</v>
      </c>
      <c r="N42" s="23">
        <v>0</v>
      </c>
      <c r="O42" s="24">
        <f t="shared" si="0"/>
        <v>592.25779999999997</v>
      </c>
      <c r="P42" s="23">
        <v>-357.15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f t="shared" si="1"/>
        <v>235.1078</v>
      </c>
      <c r="X42" s="23">
        <f t="shared" si="2"/>
        <v>235.1078</v>
      </c>
      <c r="Y42" s="23">
        <f t="shared" si="3"/>
        <v>0</v>
      </c>
      <c r="Z42" s="23">
        <v>0</v>
      </c>
      <c r="AA42" s="23">
        <f t="shared" si="4"/>
        <v>0</v>
      </c>
      <c r="AB42" s="23">
        <f t="shared" si="5"/>
        <v>357.15</v>
      </c>
      <c r="AC42" s="20"/>
      <c r="AD42" s="20" t="str">
        <f>VLOOKUP($C42,'[1]CTRL AUTOS'!$E:$AH,2,0)</f>
        <v>X59AWG</v>
      </c>
      <c r="AE42" s="11" t="str">
        <f t="shared" si="6"/>
        <v>X59AWG3</v>
      </c>
    </row>
    <row r="43" spans="1:31" ht="12.75" hidden="1" customHeight="1" x14ac:dyDescent="0.3">
      <c r="A43" s="8">
        <v>3</v>
      </c>
      <c r="B43" s="20" t="s">
        <v>244</v>
      </c>
      <c r="C43" s="20" t="s">
        <v>4</v>
      </c>
      <c r="D43" s="21" t="s">
        <v>245</v>
      </c>
      <c r="E43" s="22" t="s">
        <v>232</v>
      </c>
      <c r="F43" s="22" t="s">
        <v>232</v>
      </c>
      <c r="G43" s="22" t="s">
        <v>234</v>
      </c>
      <c r="H43" s="23">
        <v>5945.25</v>
      </c>
      <c r="I43" s="23">
        <v>0</v>
      </c>
      <c r="J43" s="23">
        <v>0</v>
      </c>
      <c r="K43" s="23">
        <v>0</v>
      </c>
      <c r="L43" s="23">
        <v>-2654.06</v>
      </c>
      <c r="M43" s="24">
        <v>-90.418749999999989</v>
      </c>
      <c r="N43" s="23">
        <v>0</v>
      </c>
      <c r="O43" s="24">
        <f t="shared" si="0"/>
        <v>3200.7712500000002</v>
      </c>
      <c r="P43" s="23">
        <v>-2500</v>
      </c>
      <c r="Q43" s="23">
        <v>-1153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f t="shared" si="1"/>
        <v>-452.22874999999976</v>
      </c>
      <c r="X43" s="23">
        <f t="shared" si="2"/>
        <v>0</v>
      </c>
      <c r="Y43" s="23">
        <f t="shared" si="3"/>
        <v>-452.22874999999976</v>
      </c>
      <c r="Z43" s="23">
        <v>453</v>
      </c>
      <c r="AA43" s="23">
        <f t="shared" si="4"/>
        <v>0.77125000000023647</v>
      </c>
      <c r="AB43" s="23">
        <f t="shared" si="5"/>
        <v>3654.5425000000005</v>
      </c>
      <c r="AC43" s="20"/>
      <c r="AD43" s="20" t="str">
        <f>VLOOKUP($C43,'[1]CTRL AUTOS'!$E:$AH,2,0)</f>
        <v>N15BKD</v>
      </c>
      <c r="AE43" s="11" t="str">
        <f t="shared" si="6"/>
        <v>N15BKD3</v>
      </c>
    </row>
    <row r="44" spans="1:31" ht="12.75" hidden="1" customHeight="1" x14ac:dyDescent="0.3">
      <c r="A44" s="8">
        <v>3</v>
      </c>
      <c r="B44" s="20" t="s">
        <v>35</v>
      </c>
      <c r="C44" s="22" t="s">
        <v>69</v>
      </c>
      <c r="D44" s="22" t="s">
        <v>262</v>
      </c>
      <c r="E44" s="22" t="s">
        <v>241</v>
      </c>
      <c r="F44" s="22" t="s">
        <v>232</v>
      </c>
      <c r="G44" s="22" t="s">
        <v>234</v>
      </c>
      <c r="H44" s="23">
        <v>7475.53</v>
      </c>
      <c r="I44" s="23">
        <v>-199.2</v>
      </c>
      <c r="J44" s="23">
        <v>0</v>
      </c>
      <c r="K44" s="23">
        <v>0</v>
      </c>
      <c r="L44" s="23">
        <v>-3393.99</v>
      </c>
      <c r="M44" s="24">
        <v>-149.51060000000001</v>
      </c>
      <c r="N44" s="23">
        <v>0</v>
      </c>
      <c r="O44" s="24">
        <f t="shared" si="0"/>
        <v>3732.8294000000001</v>
      </c>
      <c r="P44" s="23">
        <v>-2500</v>
      </c>
      <c r="Q44" s="23">
        <v>0</v>
      </c>
      <c r="R44" s="23">
        <v>0</v>
      </c>
      <c r="S44" s="23">
        <v>0</v>
      </c>
      <c r="T44" s="23">
        <v>-500</v>
      </c>
      <c r="U44" s="23">
        <v>0</v>
      </c>
      <c r="V44" s="23">
        <v>0</v>
      </c>
      <c r="W44" s="23">
        <f t="shared" si="1"/>
        <v>732.82940000000008</v>
      </c>
      <c r="X44" s="23">
        <f t="shared" si="2"/>
        <v>732.82940000000008</v>
      </c>
      <c r="Y44" s="23">
        <f t="shared" si="3"/>
        <v>0</v>
      </c>
      <c r="Z44" s="23">
        <v>0</v>
      </c>
      <c r="AA44" s="23">
        <f t="shared" si="4"/>
        <v>0</v>
      </c>
      <c r="AB44" s="23">
        <f t="shared" si="5"/>
        <v>3000</v>
      </c>
      <c r="AC44" s="20"/>
      <c r="AD44" s="20" t="str">
        <f>VLOOKUP($C44,'[1]CTRL AUTOS'!$E:$AH,2,0)</f>
        <v>R51BKD</v>
      </c>
      <c r="AE44" s="11" t="str">
        <f t="shared" si="6"/>
        <v>R51BKD3</v>
      </c>
    </row>
    <row r="45" spans="1:31" ht="12.75" hidden="1" customHeight="1" x14ac:dyDescent="0.3">
      <c r="A45" s="8">
        <v>3</v>
      </c>
      <c r="B45" s="20" t="s">
        <v>37</v>
      </c>
      <c r="C45" s="22" t="s">
        <v>246</v>
      </c>
      <c r="D45" s="22" t="s">
        <v>247</v>
      </c>
      <c r="E45" s="22" t="s">
        <v>232</v>
      </c>
      <c r="F45" s="22" t="s">
        <v>232</v>
      </c>
      <c r="G45" s="22" t="s">
        <v>234</v>
      </c>
      <c r="H45" s="23">
        <v>4692.05</v>
      </c>
      <c r="I45" s="23">
        <v>0</v>
      </c>
      <c r="J45" s="23">
        <v>0</v>
      </c>
      <c r="K45" s="23">
        <v>0</v>
      </c>
      <c r="L45" s="23">
        <v>-2385.04</v>
      </c>
      <c r="M45" s="24">
        <v>-70.380750000000006</v>
      </c>
      <c r="N45" s="23">
        <v>0</v>
      </c>
      <c r="O45" s="24">
        <f t="shared" si="0"/>
        <v>2236.6292500000004</v>
      </c>
      <c r="P45" s="23">
        <v>-2500</v>
      </c>
      <c r="Q45" s="23">
        <v>-559</v>
      </c>
      <c r="R45" s="23">
        <v>-500</v>
      </c>
      <c r="S45" s="23">
        <v>0</v>
      </c>
      <c r="T45" s="23">
        <v>0</v>
      </c>
      <c r="U45" s="23">
        <v>0</v>
      </c>
      <c r="V45" s="23">
        <v>0</v>
      </c>
      <c r="W45" s="23">
        <f t="shared" si="1"/>
        <v>-1322.3707499999996</v>
      </c>
      <c r="X45" s="23">
        <f t="shared" si="2"/>
        <v>0</v>
      </c>
      <c r="Y45" s="23">
        <f t="shared" si="3"/>
        <v>-1322.3707499999996</v>
      </c>
      <c r="Z45" s="23">
        <v>1322</v>
      </c>
      <c r="AA45" s="23">
        <f t="shared" si="4"/>
        <v>-0.37074999999958891</v>
      </c>
      <c r="AB45" s="23">
        <f t="shared" si="5"/>
        <v>3558.2585000000008</v>
      </c>
      <c r="AC45" s="20"/>
      <c r="AD45" s="20" t="s">
        <v>248</v>
      </c>
      <c r="AE45" s="11" t="str">
        <f t="shared" si="6"/>
        <v>X24APU3</v>
      </c>
    </row>
    <row r="46" spans="1:31" ht="12.75" hidden="1" customHeight="1" x14ac:dyDescent="0.3">
      <c r="A46" s="8">
        <v>3</v>
      </c>
      <c r="B46" s="22" t="s">
        <v>266</v>
      </c>
      <c r="C46" s="20" t="s">
        <v>50</v>
      </c>
      <c r="D46" s="22" t="s">
        <v>267</v>
      </c>
      <c r="E46" s="22" t="s">
        <v>232</v>
      </c>
      <c r="F46" s="22" t="s">
        <v>233</v>
      </c>
      <c r="G46" s="22" t="s">
        <v>234</v>
      </c>
      <c r="H46" s="23">
        <v>3798.92</v>
      </c>
      <c r="I46" s="23">
        <v>0</v>
      </c>
      <c r="J46" s="23">
        <v>0</v>
      </c>
      <c r="K46" s="23">
        <v>0</v>
      </c>
      <c r="L46" s="23">
        <v>-2545.8000000000002</v>
      </c>
      <c r="M46" s="24">
        <v>-71.879199999999997</v>
      </c>
      <c r="N46" s="23">
        <v>0</v>
      </c>
      <c r="O46" s="24">
        <f t="shared" si="0"/>
        <v>1181.2407999999998</v>
      </c>
      <c r="P46" s="23">
        <v>-1252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f t="shared" si="1"/>
        <v>-70.759200000000192</v>
      </c>
      <c r="X46" s="23">
        <f t="shared" si="2"/>
        <v>0</v>
      </c>
      <c r="Y46" s="23">
        <f t="shared" si="3"/>
        <v>-70.759200000000192</v>
      </c>
      <c r="Z46" s="23">
        <v>105</v>
      </c>
      <c r="AA46" s="23">
        <f t="shared" si="4"/>
        <v>34.240799999999808</v>
      </c>
      <c r="AB46" s="23">
        <f t="shared" si="5"/>
        <v>1320.4815999999996</v>
      </c>
      <c r="AC46" s="20"/>
      <c r="AD46" s="20" t="str">
        <f>VLOOKUP($C46,'[1]CTRL AUTOS'!$E:$AH,2,0)</f>
        <v>NBS225A</v>
      </c>
      <c r="AE46" s="11" t="str">
        <f t="shared" si="6"/>
        <v>NBS225A3</v>
      </c>
    </row>
    <row r="47" spans="1:31" ht="12.75" hidden="1" customHeight="1" x14ac:dyDescent="0.3">
      <c r="A47" s="8">
        <v>3</v>
      </c>
      <c r="B47" s="20" t="s">
        <v>45</v>
      </c>
      <c r="C47" s="22" t="s">
        <v>249</v>
      </c>
      <c r="D47" s="21" t="s">
        <v>250</v>
      </c>
      <c r="E47" s="22" t="s">
        <v>232</v>
      </c>
      <c r="F47" s="22" t="s">
        <v>232</v>
      </c>
      <c r="G47" s="22" t="s">
        <v>234</v>
      </c>
      <c r="H47" s="23">
        <v>4987.6899999999996</v>
      </c>
      <c r="I47" s="23">
        <v>-61.6</v>
      </c>
      <c r="J47" s="23">
        <v>0</v>
      </c>
      <c r="K47" s="23">
        <v>0</v>
      </c>
      <c r="L47" s="23">
        <v>-2062.35</v>
      </c>
      <c r="M47" s="24">
        <v>-74.815349999999995</v>
      </c>
      <c r="N47" s="23">
        <v>-97</v>
      </c>
      <c r="O47" s="24">
        <f t="shared" si="0"/>
        <v>2691.9246499999995</v>
      </c>
      <c r="P47" s="23">
        <v>-2300</v>
      </c>
      <c r="Q47" s="23">
        <v>0</v>
      </c>
      <c r="R47" s="23">
        <v>0</v>
      </c>
      <c r="S47" s="23">
        <v>-500</v>
      </c>
      <c r="T47" s="23">
        <v>0</v>
      </c>
      <c r="U47" s="23">
        <v>0</v>
      </c>
      <c r="V47" s="23">
        <v>0</v>
      </c>
      <c r="W47" s="23">
        <f t="shared" si="1"/>
        <v>-108.07535000000053</v>
      </c>
      <c r="X47" s="23">
        <f t="shared" si="2"/>
        <v>0</v>
      </c>
      <c r="Y47" s="23">
        <f t="shared" si="3"/>
        <v>-108.07535000000053</v>
      </c>
      <c r="Z47" s="23">
        <v>108</v>
      </c>
      <c r="AA47" s="23">
        <f t="shared" si="4"/>
        <v>-7.5350000000526052E-2</v>
      </c>
      <c r="AB47" s="23">
        <f t="shared" si="5"/>
        <v>2799.8492999999989</v>
      </c>
      <c r="AC47" s="20"/>
      <c r="AD47" s="20" t="s">
        <v>251</v>
      </c>
      <c r="AE47" s="11" t="str">
        <f t="shared" si="6"/>
        <v>BAJA DE PLACAS3</v>
      </c>
    </row>
    <row r="48" spans="1:31" ht="12.75" hidden="1" customHeight="1" x14ac:dyDescent="0.3">
      <c r="A48" s="8">
        <v>3</v>
      </c>
      <c r="B48" s="20" t="s">
        <v>252</v>
      </c>
      <c r="C48" s="22" t="s">
        <v>22</v>
      </c>
      <c r="D48" s="22" t="s">
        <v>253</v>
      </c>
      <c r="E48" s="22" t="s">
        <v>232</v>
      </c>
      <c r="F48" s="22" t="s">
        <v>232</v>
      </c>
      <c r="G48" s="22" t="s">
        <v>234</v>
      </c>
      <c r="H48" s="23">
        <v>4374.6400000000003</v>
      </c>
      <c r="I48" s="23">
        <v>-53.6</v>
      </c>
      <c r="J48" s="23">
        <v>0</v>
      </c>
      <c r="K48" s="23">
        <v>0</v>
      </c>
      <c r="L48" s="23">
        <v>-2304.06</v>
      </c>
      <c r="M48" s="24">
        <v>-87.492800000000003</v>
      </c>
      <c r="N48" s="23">
        <v>0</v>
      </c>
      <c r="O48" s="24">
        <f t="shared" si="0"/>
        <v>1929.4872</v>
      </c>
      <c r="P48" s="23">
        <v>-1071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f t="shared" si="1"/>
        <v>858.48720000000003</v>
      </c>
      <c r="X48" s="23">
        <f t="shared" si="2"/>
        <v>858.48720000000003</v>
      </c>
      <c r="Y48" s="23">
        <f t="shared" si="3"/>
        <v>0</v>
      </c>
      <c r="Z48" s="23">
        <v>0</v>
      </c>
      <c r="AA48" s="23">
        <f t="shared" si="4"/>
        <v>0</v>
      </c>
      <c r="AB48" s="23">
        <f t="shared" si="5"/>
        <v>1071</v>
      </c>
      <c r="AC48" s="20"/>
      <c r="AD48" s="20" t="str">
        <f>VLOOKUP($C48,'[1]CTRL AUTOS'!$E:$AH,2,0)</f>
        <v>NCK475B</v>
      </c>
      <c r="AE48" s="11" t="str">
        <f t="shared" si="6"/>
        <v>NCK475B3</v>
      </c>
    </row>
    <row r="49" spans="1:31" ht="12.75" hidden="1" customHeight="1" x14ac:dyDescent="0.3">
      <c r="A49" s="8">
        <v>3</v>
      </c>
      <c r="B49" s="20" t="s">
        <v>252</v>
      </c>
      <c r="C49" s="22" t="s">
        <v>22</v>
      </c>
      <c r="D49" s="22" t="s">
        <v>253</v>
      </c>
      <c r="E49" s="22" t="s">
        <v>232</v>
      </c>
      <c r="F49" s="22" t="s">
        <v>233</v>
      </c>
      <c r="G49" s="22" t="s">
        <v>234</v>
      </c>
      <c r="H49" s="23">
        <v>3116.48</v>
      </c>
      <c r="I49" s="23">
        <v>-72.8</v>
      </c>
      <c r="J49" s="23">
        <v>0</v>
      </c>
      <c r="K49" s="23">
        <v>0</v>
      </c>
      <c r="L49" s="23">
        <v>-1226.18</v>
      </c>
      <c r="M49" s="24">
        <v>-62.329599999999999</v>
      </c>
      <c r="N49" s="23">
        <v>-10.78</v>
      </c>
      <c r="O49" s="24">
        <f t="shared" si="0"/>
        <v>1744.3903999999998</v>
      </c>
      <c r="P49" s="23">
        <v>-1429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f t="shared" si="1"/>
        <v>315.39039999999977</v>
      </c>
      <c r="X49" s="23">
        <f t="shared" si="2"/>
        <v>315.39039999999977</v>
      </c>
      <c r="Y49" s="23">
        <f t="shared" si="3"/>
        <v>0</v>
      </c>
      <c r="Z49" s="23">
        <v>0</v>
      </c>
      <c r="AA49" s="23">
        <f t="shared" si="4"/>
        <v>0</v>
      </c>
      <c r="AB49" s="23">
        <f t="shared" si="5"/>
        <v>1429</v>
      </c>
      <c r="AC49" s="20"/>
      <c r="AD49" s="20" t="str">
        <f>VLOOKUP($C49,'[1]CTRL AUTOS'!$E:$AH,2,0)</f>
        <v>NCK475B</v>
      </c>
      <c r="AE49" s="11" t="str">
        <f t="shared" si="6"/>
        <v>NCK475B3</v>
      </c>
    </row>
    <row r="50" spans="1:31" ht="12.75" hidden="1" customHeight="1" x14ac:dyDescent="0.3">
      <c r="A50" s="8">
        <v>4</v>
      </c>
      <c r="B50" s="20" t="s">
        <v>80</v>
      </c>
      <c r="C50" s="20" t="s">
        <v>230</v>
      </c>
      <c r="D50" s="25" t="s">
        <v>231</v>
      </c>
      <c r="E50" s="22" t="s">
        <v>232</v>
      </c>
      <c r="F50" s="22" t="s">
        <v>233</v>
      </c>
      <c r="G50" s="22" t="s">
        <v>234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4">
        <v>-30</v>
      </c>
      <c r="N50" s="23">
        <v>0</v>
      </c>
      <c r="O50" s="24">
        <f t="shared" si="0"/>
        <v>-30</v>
      </c>
      <c r="P50" s="23">
        <v>-2500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f t="shared" si="1"/>
        <v>-2530</v>
      </c>
      <c r="X50" s="23">
        <f t="shared" si="2"/>
        <v>0</v>
      </c>
      <c r="Y50" s="23">
        <f t="shared" si="3"/>
        <v>-2530</v>
      </c>
      <c r="Z50" s="23">
        <v>2530</v>
      </c>
      <c r="AA50" s="23">
        <f t="shared" si="4"/>
        <v>0</v>
      </c>
      <c r="AB50" s="23">
        <f t="shared" si="5"/>
        <v>2500</v>
      </c>
      <c r="AC50" s="20"/>
      <c r="AD50" s="20" t="s">
        <v>235</v>
      </c>
      <c r="AE50" s="11" t="str">
        <f t="shared" si="6"/>
        <v>NEB156A4</v>
      </c>
    </row>
    <row r="51" spans="1:31" ht="12.75" hidden="1" customHeight="1" x14ac:dyDescent="0.3">
      <c r="A51" s="8">
        <v>4</v>
      </c>
      <c r="B51" s="20" t="s">
        <v>236</v>
      </c>
      <c r="C51" s="20" t="s">
        <v>34</v>
      </c>
      <c r="D51" s="20" t="s">
        <v>237</v>
      </c>
      <c r="E51" s="22" t="s">
        <v>232</v>
      </c>
      <c r="F51" s="20" t="s">
        <v>232</v>
      </c>
      <c r="G51" s="22" t="s">
        <v>234</v>
      </c>
      <c r="H51" s="23">
        <v>0</v>
      </c>
      <c r="I51" s="23">
        <v>-200</v>
      </c>
      <c r="J51" s="23">
        <v>0</v>
      </c>
      <c r="K51" s="23">
        <v>0</v>
      </c>
      <c r="L51" s="23">
        <v>0</v>
      </c>
      <c r="M51" s="24">
        <v>0</v>
      </c>
      <c r="N51" s="23">
        <v>0</v>
      </c>
      <c r="O51" s="24">
        <f t="shared" si="0"/>
        <v>-200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f t="shared" si="1"/>
        <v>-200</v>
      </c>
      <c r="X51" s="23">
        <f t="shared" si="2"/>
        <v>0</v>
      </c>
      <c r="Y51" s="23">
        <f t="shared" si="3"/>
        <v>-200</v>
      </c>
      <c r="Z51" s="23">
        <v>0</v>
      </c>
      <c r="AA51" s="23">
        <f t="shared" si="4"/>
        <v>-200</v>
      </c>
      <c r="AB51" s="23">
        <f t="shared" si="5"/>
        <v>-400</v>
      </c>
      <c r="AC51" s="20"/>
      <c r="AD51" s="20" t="str">
        <f>VLOOKUP($C51,'[1]CTRL AUTOS'!$E:$AH,2,0)</f>
        <v>X59AWG</v>
      </c>
      <c r="AE51" s="11" t="str">
        <f t="shared" si="6"/>
        <v>X59AWG4</v>
      </c>
    </row>
    <row r="52" spans="1:31" ht="12.75" hidden="1" customHeight="1" x14ac:dyDescent="0.3">
      <c r="A52" s="8">
        <v>4</v>
      </c>
      <c r="B52" s="20" t="s">
        <v>238</v>
      </c>
      <c r="C52" s="20" t="s">
        <v>20</v>
      </c>
      <c r="D52" s="25" t="s">
        <v>239</v>
      </c>
      <c r="E52" s="22" t="s">
        <v>232</v>
      </c>
      <c r="F52" s="22" t="s">
        <v>233</v>
      </c>
      <c r="G52" s="22" t="s">
        <v>234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4">
        <v>0</v>
      </c>
      <c r="N52" s="23">
        <v>0</v>
      </c>
      <c r="O52" s="24">
        <f t="shared" si="0"/>
        <v>0</v>
      </c>
      <c r="P52" s="23">
        <v>-2500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f t="shared" si="1"/>
        <v>-2500</v>
      </c>
      <c r="X52" s="23">
        <f t="shared" si="2"/>
        <v>0</v>
      </c>
      <c r="Y52" s="23">
        <f t="shared" si="3"/>
        <v>-2500</v>
      </c>
      <c r="Z52" s="23">
        <v>0</v>
      </c>
      <c r="AA52" s="23">
        <f t="shared" si="4"/>
        <v>-2500</v>
      </c>
      <c r="AB52" s="23">
        <f t="shared" si="5"/>
        <v>-2500</v>
      </c>
      <c r="AC52" s="20"/>
      <c r="AD52" s="20" t="str">
        <f>VLOOKUP($C52,'[1]CTRL AUTOS'!$E:$AH,2,0)</f>
        <v>D40BKD</v>
      </c>
      <c r="AE52" s="11" t="str">
        <f t="shared" si="6"/>
        <v>D40BKD4</v>
      </c>
    </row>
    <row r="53" spans="1:31" ht="12.75" hidden="1" customHeight="1" x14ac:dyDescent="0.3">
      <c r="A53" s="8">
        <v>4</v>
      </c>
      <c r="B53" s="20" t="s">
        <v>256</v>
      </c>
      <c r="C53" s="20" t="s">
        <v>46</v>
      </c>
      <c r="D53" s="20" t="s">
        <v>257</v>
      </c>
      <c r="E53" s="22" t="s">
        <v>232</v>
      </c>
      <c r="F53" s="20" t="s">
        <v>232</v>
      </c>
      <c r="G53" s="22" t="s">
        <v>234</v>
      </c>
      <c r="H53" s="23">
        <v>3186.86</v>
      </c>
      <c r="I53" s="23">
        <v>0</v>
      </c>
      <c r="J53" s="23">
        <v>0</v>
      </c>
      <c r="K53" s="23">
        <v>0</v>
      </c>
      <c r="L53" s="23">
        <v>-1760.81</v>
      </c>
      <c r="M53" s="24">
        <v>-25</v>
      </c>
      <c r="N53" s="23">
        <v>0</v>
      </c>
      <c r="O53" s="24">
        <f t="shared" si="0"/>
        <v>1401.0500000000002</v>
      </c>
      <c r="P53" s="23">
        <v>-2500</v>
      </c>
      <c r="Q53" s="23">
        <v>0</v>
      </c>
      <c r="R53" s="23">
        <v>-500</v>
      </c>
      <c r="S53" s="23">
        <v>0</v>
      </c>
      <c r="T53" s="23">
        <v>0</v>
      </c>
      <c r="U53" s="23">
        <v>0</v>
      </c>
      <c r="V53" s="23">
        <v>0</v>
      </c>
      <c r="W53" s="23">
        <f t="shared" si="1"/>
        <v>-1598.9499999999998</v>
      </c>
      <c r="X53" s="23">
        <f t="shared" si="2"/>
        <v>0</v>
      </c>
      <c r="Y53" s="23">
        <f t="shared" si="3"/>
        <v>-1598.9499999999998</v>
      </c>
      <c r="Z53" s="23">
        <v>1599</v>
      </c>
      <c r="AA53" s="23">
        <f t="shared" si="4"/>
        <v>5.0000000000181899E-2</v>
      </c>
      <c r="AB53" s="23">
        <f t="shared" si="5"/>
        <v>3000.1000000000004</v>
      </c>
      <c r="AC53" s="20" t="s">
        <v>268</v>
      </c>
      <c r="AD53" s="20" t="str">
        <f>VLOOKUP($C53,'[1]CTRL AUTOS'!$E:$AH,2,0)</f>
        <v>R66BER</v>
      </c>
      <c r="AE53" s="11" t="str">
        <f t="shared" si="6"/>
        <v>R66BER4</v>
      </c>
    </row>
    <row r="54" spans="1:31" ht="12.75" hidden="1" customHeight="1" x14ac:dyDescent="0.3">
      <c r="A54" s="8">
        <v>4</v>
      </c>
      <c r="B54" s="22" t="s">
        <v>258</v>
      </c>
      <c r="C54" s="20" t="s">
        <v>40</v>
      </c>
      <c r="D54" s="25" t="s">
        <v>259</v>
      </c>
      <c r="E54" s="22" t="s">
        <v>232</v>
      </c>
      <c r="F54" s="20" t="s">
        <v>232</v>
      </c>
      <c r="G54" s="22" t="s">
        <v>234</v>
      </c>
      <c r="H54" s="23">
        <v>7979.51</v>
      </c>
      <c r="I54" s="23">
        <v>-94.4</v>
      </c>
      <c r="J54" s="23">
        <v>0</v>
      </c>
      <c r="K54" s="23">
        <v>0</v>
      </c>
      <c r="L54" s="23">
        <v>-1948.64</v>
      </c>
      <c r="M54" s="24">
        <v>-60.83</v>
      </c>
      <c r="N54" s="23">
        <v>0</v>
      </c>
      <c r="O54" s="24">
        <f t="shared" si="0"/>
        <v>5875.64</v>
      </c>
      <c r="P54" s="23">
        <v>-2500</v>
      </c>
      <c r="Q54" s="23">
        <v>0</v>
      </c>
      <c r="R54" s="23">
        <v>0</v>
      </c>
      <c r="S54" s="23">
        <v>-500</v>
      </c>
      <c r="T54" s="23">
        <v>0</v>
      </c>
      <c r="U54" s="23">
        <v>0</v>
      </c>
      <c r="V54" s="23">
        <v>0</v>
      </c>
      <c r="W54" s="23">
        <f t="shared" si="1"/>
        <v>2875.6400000000003</v>
      </c>
      <c r="X54" s="23">
        <f t="shared" si="2"/>
        <v>2875.6400000000003</v>
      </c>
      <c r="Y54" s="23">
        <f t="shared" si="3"/>
        <v>0</v>
      </c>
      <c r="Z54" s="23">
        <v>0</v>
      </c>
      <c r="AA54" s="23">
        <f t="shared" si="4"/>
        <v>0</v>
      </c>
      <c r="AB54" s="23">
        <f t="shared" si="5"/>
        <v>3000</v>
      </c>
      <c r="AC54" s="20"/>
      <c r="AD54" s="20" t="str">
        <f>VLOOKUP($C54,'[1]CTRL AUTOS'!$E:$AH,2,0)</f>
        <v>NEL860A</v>
      </c>
      <c r="AE54" s="11" t="str">
        <f t="shared" si="6"/>
        <v>NEL860A4</v>
      </c>
    </row>
    <row r="55" spans="1:31" ht="12.75" hidden="1" customHeight="1" x14ac:dyDescent="0.3">
      <c r="A55" s="8">
        <v>4</v>
      </c>
      <c r="B55" s="20" t="s">
        <v>264</v>
      </c>
      <c r="C55" s="20" t="s">
        <v>168</v>
      </c>
      <c r="D55" s="20" t="s">
        <v>265</v>
      </c>
      <c r="E55" s="22" t="s">
        <v>232</v>
      </c>
      <c r="F55" s="20" t="s">
        <v>232</v>
      </c>
      <c r="G55" s="22" t="s">
        <v>234</v>
      </c>
      <c r="H55" s="23">
        <v>6015.72</v>
      </c>
      <c r="I55" s="23">
        <v>-96</v>
      </c>
      <c r="J55" s="23">
        <v>0</v>
      </c>
      <c r="K55" s="23">
        <v>0</v>
      </c>
      <c r="L55" s="23">
        <v>-2519.4699999999998</v>
      </c>
      <c r="M55" s="24">
        <v>-40</v>
      </c>
      <c r="N55" s="23">
        <v>-68</v>
      </c>
      <c r="O55" s="24">
        <f t="shared" si="0"/>
        <v>3292.2500000000005</v>
      </c>
      <c r="P55" s="23">
        <v>-2500</v>
      </c>
      <c r="Q55" s="23">
        <v>0</v>
      </c>
      <c r="R55" s="23">
        <v>-500</v>
      </c>
      <c r="S55" s="23">
        <v>0</v>
      </c>
      <c r="T55" s="23">
        <v>0</v>
      </c>
      <c r="U55" s="23">
        <v>0</v>
      </c>
      <c r="V55" s="23">
        <v>0</v>
      </c>
      <c r="W55" s="23">
        <f t="shared" si="1"/>
        <v>292.25000000000045</v>
      </c>
      <c r="X55" s="23">
        <f t="shared" si="2"/>
        <v>292.25000000000045</v>
      </c>
      <c r="Y55" s="23">
        <f t="shared" si="3"/>
        <v>0</v>
      </c>
      <c r="Z55" s="23">
        <v>0</v>
      </c>
      <c r="AA55" s="23">
        <f t="shared" si="4"/>
        <v>0</v>
      </c>
      <c r="AB55" s="23">
        <f t="shared" si="5"/>
        <v>3000</v>
      </c>
      <c r="AC55" s="20"/>
      <c r="AD55" s="20" t="e">
        <f>VLOOKUP($C55,'[1]CTRL AUTOS'!$E:$AH,2,0)</f>
        <v>#N/A</v>
      </c>
      <c r="AE55" s="11" t="e">
        <f t="shared" si="6"/>
        <v>#N/A</v>
      </c>
    </row>
    <row r="56" spans="1:31" ht="12.75" hidden="1" customHeight="1" x14ac:dyDescent="0.3">
      <c r="A56" s="8">
        <v>4</v>
      </c>
      <c r="B56" s="20" t="s">
        <v>260</v>
      </c>
      <c r="C56" s="22" t="s">
        <v>97</v>
      </c>
      <c r="D56" s="20" t="s">
        <v>261</v>
      </c>
      <c r="E56" s="22" t="s">
        <v>232</v>
      </c>
      <c r="F56" s="20" t="s">
        <v>232</v>
      </c>
      <c r="G56" s="22" t="s">
        <v>234</v>
      </c>
      <c r="H56" s="23">
        <v>5446.08</v>
      </c>
      <c r="I56" s="23">
        <v>0</v>
      </c>
      <c r="J56" s="23">
        <v>0</v>
      </c>
      <c r="K56" s="23">
        <v>0</v>
      </c>
      <c r="L56" s="23">
        <v>-1740.95</v>
      </c>
      <c r="M56" s="24">
        <v>-45</v>
      </c>
      <c r="N56" s="23">
        <v>-111</v>
      </c>
      <c r="O56" s="24">
        <f t="shared" si="0"/>
        <v>3549.13</v>
      </c>
      <c r="P56" s="23">
        <v>-2500</v>
      </c>
      <c r="Q56" s="23">
        <v>0</v>
      </c>
      <c r="R56" s="23">
        <v>0</v>
      </c>
      <c r="S56" s="23">
        <v>-500</v>
      </c>
      <c r="T56" s="23">
        <v>0</v>
      </c>
      <c r="U56" s="23">
        <v>0</v>
      </c>
      <c r="V56" s="23">
        <v>0</v>
      </c>
      <c r="W56" s="23">
        <f t="shared" si="1"/>
        <v>549.13000000000011</v>
      </c>
      <c r="X56" s="23">
        <f t="shared" si="2"/>
        <v>549.13000000000011</v>
      </c>
      <c r="Y56" s="23">
        <f t="shared" si="3"/>
        <v>0</v>
      </c>
      <c r="Z56" s="23">
        <v>0</v>
      </c>
      <c r="AA56" s="23">
        <f t="shared" si="4"/>
        <v>0</v>
      </c>
      <c r="AB56" s="23">
        <f t="shared" si="5"/>
        <v>3000</v>
      </c>
      <c r="AC56" s="20"/>
      <c r="AD56" s="20" t="str">
        <f>VLOOKUP($C56,'[1]CTRL AUTOS'!$E:$AH,2,0)</f>
        <v>MUF515A</v>
      </c>
      <c r="AE56" s="11" t="str">
        <f t="shared" si="6"/>
        <v>MUF515A4</v>
      </c>
    </row>
    <row r="57" spans="1:31" ht="12.75" hidden="1" customHeight="1" x14ac:dyDescent="0.3">
      <c r="A57" s="8">
        <v>4</v>
      </c>
      <c r="B57" s="20" t="s">
        <v>72</v>
      </c>
      <c r="C57" s="20" t="s">
        <v>28</v>
      </c>
      <c r="D57" s="20" t="s">
        <v>242</v>
      </c>
      <c r="E57" s="22" t="s">
        <v>232</v>
      </c>
      <c r="F57" s="20" t="s">
        <v>232</v>
      </c>
      <c r="G57" s="22" t="s">
        <v>234</v>
      </c>
      <c r="H57" s="23">
        <v>10172.049999999999</v>
      </c>
      <c r="I57" s="23">
        <v>-184</v>
      </c>
      <c r="J57" s="23">
        <v>0</v>
      </c>
      <c r="K57" s="23">
        <v>0</v>
      </c>
      <c r="L57" s="23">
        <v>-4557.47</v>
      </c>
      <c r="M57" s="24">
        <v>-97.57</v>
      </c>
      <c r="N57" s="23">
        <v>-503.08</v>
      </c>
      <c r="O57" s="24">
        <f t="shared" si="0"/>
        <v>4829.9299999999994</v>
      </c>
      <c r="P57" s="23">
        <v>-2500</v>
      </c>
      <c r="Q57" s="23">
        <v>0</v>
      </c>
      <c r="R57" s="23">
        <v>0</v>
      </c>
      <c r="S57" s="23">
        <v>0</v>
      </c>
      <c r="T57" s="23">
        <v>-500</v>
      </c>
      <c r="U57" s="23">
        <v>0</v>
      </c>
      <c r="V57" s="23">
        <v>0</v>
      </c>
      <c r="W57" s="23">
        <f t="shared" si="1"/>
        <v>1829.9299999999994</v>
      </c>
      <c r="X57" s="23">
        <f t="shared" si="2"/>
        <v>1829.9299999999994</v>
      </c>
      <c r="Y57" s="23">
        <f t="shared" si="3"/>
        <v>0</v>
      </c>
      <c r="Z57" s="23">
        <v>0</v>
      </c>
      <c r="AA57" s="23">
        <f t="shared" si="4"/>
        <v>0</v>
      </c>
      <c r="AB57" s="23">
        <f t="shared" si="5"/>
        <v>3000</v>
      </c>
      <c r="AC57" s="20"/>
      <c r="AD57" s="20" t="str">
        <f>VLOOKUP($C57,'[1]CTRL AUTOS'!$E:$AH,2,0)</f>
        <v>NCT814A</v>
      </c>
      <c r="AE57" s="11" t="str">
        <f t="shared" si="6"/>
        <v>NCT814A4</v>
      </c>
    </row>
    <row r="58" spans="1:31" ht="12.75" hidden="1" customHeight="1" x14ac:dyDescent="0.3">
      <c r="A58" s="8">
        <v>4</v>
      </c>
      <c r="B58" s="20" t="s">
        <v>244</v>
      </c>
      <c r="C58" s="20" t="s">
        <v>4</v>
      </c>
      <c r="D58" s="25" t="s">
        <v>245</v>
      </c>
      <c r="E58" s="22" t="s">
        <v>232</v>
      </c>
      <c r="F58" s="20" t="s">
        <v>232</v>
      </c>
      <c r="G58" s="22" t="s">
        <v>234</v>
      </c>
      <c r="H58" s="23">
        <v>4194.92</v>
      </c>
      <c r="I58" s="23">
        <v>0</v>
      </c>
      <c r="J58" s="23">
        <v>0</v>
      </c>
      <c r="K58" s="23">
        <v>0</v>
      </c>
      <c r="L58" s="23">
        <v>-2079.62</v>
      </c>
      <c r="M58" s="24">
        <v>-35</v>
      </c>
      <c r="N58" s="23">
        <v>0</v>
      </c>
      <c r="O58" s="24">
        <f t="shared" si="0"/>
        <v>2080.3000000000002</v>
      </c>
      <c r="P58" s="23">
        <v>-2500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f t="shared" si="1"/>
        <v>-419.69999999999982</v>
      </c>
      <c r="X58" s="23">
        <f t="shared" si="2"/>
        <v>0</v>
      </c>
      <c r="Y58" s="23">
        <f t="shared" si="3"/>
        <v>-419.69999999999982</v>
      </c>
      <c r="Z58" s="23">
        <v>0</v>
      </c>
      <c r="AA58" s="23">
        <f t="shared" si="4"/>
        <v>-419.69999999999982</v>
      </c>
      <c r="AB58" s="23">
        <f t="shared" si="5"/>
        <v>1660.6000000000004</v>
      </c>
      <c r="AC58" s="20" t="s">
        <v>269</v>
      </c>
      <c r="AD58" s="20" t="str">
        <f>VLOOKUP($C58,'[1]CTRL AUTOS'!$E:$AH,2,0)</f>
        <v>N15BKD</v>
      </c>
      <c r="AE58" s="11" t="str">
        <f t="shared" si="6"/>
        <v>N15BKD4</v>
      </c>
    </row>
    <row r="59" spans="1:31" ht="12.75" hidden="1" customHeight="1" x14ac:dyDescent="0.3">
      <c r="A59" s="8">
        <v>4</v>
      </c>
      <c r="B59" s="20" t="s">
        <v>35</v>
      </c>
      <c r="C59" s="20" t="s">
        <v>69</v>
      </c>
      <c r="D59" s="20" t="s">
        <v>262</v>
      </c>
      <c r="E59" s="22" t="s">
        <v>241</v>
      </c>
      <c r="F59" s="20" t="s">
        <v>232</v>
      </c>
      <c r="G59" s="22" t="s">
        <v>234</v>
      </c>
      <c r="H59" s="23">
        <v>7059.17</v>
      </c>
      <c r="I59" s="23">
        <v>-155.19999999999999</v>
      </c>
      <c r="J59" s="23">
        <v>0</v>
      </c>
      <c r="K59" s="23">
        <v>0</v>
      </c>
      <c r="L59" s="23">
        <v>-3771.6</v>
      </c>
      <c r="M59" s="24">
        <v>-50</v>
      </c>
      <c r="N59" s="23">
        <v>0</v>
      </c>
      <c r="O59" s="24">
        <f t="shared" si="0"/>
        <v>3082.3700000000003</v>
      </c>
      <c r="P59" s="23">
        <v>-2500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f t="shared" si="1"/>
        <v>582.37000000000035</v>
      </c>
      <c r="X59" s="23">
        <f t="shared" si="2"/>
        <v>582.37000000000035</v>
      </c>
      <c r="Y59" s="23">
        <f t="shared" si="3"/>
        <v>0</v>
      </c>
      <c r="Z59" s="23">
        <v>0</v>
      </c>
      <c r="AA59" s="23">
        <f t="shared" si="4"/>
        <v>0</v>
      </c>
      <c r="AB59" s="23">
        <f t="shared" si="5"/>
        <v>2500</v>
      </c>
      <c r="AC59" s="20"/>
      <c r="AD59" s="20" t="str">
        <f>VLOOKUP($C59,'[1]CTRL AUTOS'!$E:$AH,2,0)</f>
        <v>R51BKD</v>
      </c>
      <c r="AE59" s="11" t="str">
        <f t="shared" si="6"/>
        <v>R51BKD4</v>
      </c>
    </row>
    <row r="60" spans="1:31" ht="12.75" hidden="1" customHeight="1" x14ac:dyDescent="0.3">
      <c r="A60" s="8">
        <v>4</v>
      </c>
      <c r="B60" s="20" t="s">
        <v>37</v>
      </c>
      <c r="C60" s="20" t="s">
        <v>246</v>
      </c>
      <c r="D60" s="20" t="s">
        <v>247</v>
      </c>
      <c r="E60" s="22" t="s">
        <v>232</v>
      </c>
      <c r="F60" s="20" t="s">
        <v>232</v>
      </c>
      <c r="G60" s="22" t="s">
        <v>234</v>
      </c>
      <c r="H60" s="23">
        <v>4787.08</v>
      </c>
      <c r="I60" s="23">
        <v>-29.31</v>
      </c>
      <c r="J60" s="23">
        <v>0</v>
      </c>
      <c r="K60" s="23">
        <v>0</v>
      </c>
      <c r="L60" s="23">
        <v>-1967.22</v>
      </c>
      <c r="M60" s="24">
        <v>-30</v>
      </c>
      <c r="N60" s="23">
        <v>0</v>
      </c>
      <c r="O60" s="24">
        <f t="shared" si="0"/>
        <v>2760.5499999999993</v>
      </c>
      <c r="P60" s="23">
        <v>-2500</v>
      </c>
      <c r="Q60" s="23">
        <v>0</v>
      </c>
      <c r="R60" s="23">
        <v>-500</v>
      </c>
      <c r="S60" s="23">
        <v>0</v>
      </c>
      <c r="T60" s="23">
        <v>0</v>
      </c>
      <c r="U60" s="23">
        <v>0</v>
      </c>
      <c r="V60" s="23">
        <v>0</v>
      </c>
      <c r="W60" s="23">
        <f t="shared" si="1"/>
        <v>-239.45000000000073</v>
      </c>
      <c r="X60" s="23">
        <f t="shared" si="2"/>
        <v>0</v>
      </c>
      <c r="Y60" s="23">
        <f t="shared" si="3"/>
        <v>-239.45000000000073</v>
      </c>
      <c r="Z60" s="23">
        <v>181</v>
      </c>
      <c r="AA60" s="23">
        <f t="shared" si="4"/>
        <v>-58.450000000000728</v>
      </c>
      <c r="AB60" s="23">
        <f t="shared" si="5"/>
        <v>2883.0999999999985</v>
      </c>
      <c r="AC60" s="20" t="s">
        <v>269</v>
      </c>
      <c r="AD60" s="20" t="s">
        <v>248</v>
      </c>
      <c r="AE60" s="11" t="str">
        <f t="shared" si="6"/>
        <v>X24APU4</v>
      </c>
    </row>
    <row r="61" spans="1:31" ht="12.75" hidden="1" customHeight="1" x14ac:dyDescent="0.3">
      <c r="A61" s="8">
        <v>4</v>
      </c>
      <c r="B61" s="22" t="s">
        <v>266</v>
      </c>
      <c r="C61" s="20" t="s">
        <v>50</v>
      </c>
      <c r="D61" s="20" t="s">
        <v>267</v>
      </c>
      <c r="E61" s="22" t="s">
        <v>232</v>
      </c>
      <c r="F61" s="22" t="s">
        <v>233</v>
      </c>
      <c r="G61" s="22" t="s">
        <v>234</v>
      </c>
      <c r="H61" s="23">
        <v>5743.67</v>
      </c>
      <c r="I61" s="23">
        <v>0</v>
      </c>
      <c r="J61" s="23">
        <v>0</v>
      </c>
      <c r="K61" s="23">
        <v>0</v>
      </c>
      <c r="L61" s="23">
        <v>-2576.79</v>
      </c>
      <c r="M61" s="24">
        <v>-45</v>
      </c>
      <c r="N61" s="23">
        <v>-58</v>
      </c>
      <c r="O61" s="24">
        <f t="shared" si="0"/>
        <v>3063.88</v>
      </c>
      <c r="P61" s="23">
        <v>-2500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f t="shared" si="1"/>
        <v>563.88000000000011</v>
      </c>
      <c r="X61" s="23">
        <f t="shared" si="2"/>
        <v>563.88000000000011</v>
      </c>
      <c r="Y61" s="23">
        <f t="shared" si="3"/>
        <v>0</v>
      </c>
      <c r="Z61" s="23">
        <v>0</v>
      </c>
      <c r="AA61" s="23">
        <f t="shared" si="4"/>
        <v>0</v>
      </c>
      <c r="AB61" s="23">
        <f t="shared" si="5"/>
        <v>2500</v>
      </c>
      <c r="AC61" s="20"/>
      <c r="AD61" s="20" t="str">
        <f>VLOOKUP($C61,'[1]CTRL AUTOS'!$E:$AH,2,0)</f>
        <v>NBS225A</v>
      </c>
      <c r="AE61" s="11" t="str">
        <f t="shared" si="6"/>
        <v>NBS225A4</v>
      </c>
    </row>
    <row r="62" spans="1:31" ht="12.75" hidden="1" customHeight="1" x14ac:dyDescent="0.3">
      <c r="A62" s="8">
        <v>4</v>
      </c>
      <c r="B62" s="20" t="s">
        <v>45</v>
      </c>
      <c r="C62" s="20" t="s">
        <v>249</v>
      </c>
      <c r="D62" s="25" t="s">
        <v>250</v>
      </c>
      <c r="E62" s="22" t="s">
        <v>232</v>
      </c>
      <c r="F62" s="20" t="s">
        <v>232</v>
      </c>
      <c r="G62" s="22" t="s">
        <v>234</v>
      </c>
      <c r="H62" s="23">
        <v>3430.61</v>
      </c>
      <c r="I62" s="23">
        <v>-16</v>
      </c>
      <c r="J62" s="23">
        <v>0</v>
      </c>
      <c r="K62" s="23">
        <v>0</v>
      </c>
      <c r="L62" s="23">
        <v>-2162.8200000000002</v>
      </c>
      <c r="M62" s="24">
        <v>-25</v>
      </c>
      <c r="N62" s="23">
        <v>0</v>
      </c>
      <c r="O62" s="24">
        <f t="shared" si="0"/>
        <v>1226.79</v>
      </c>
      <c r="P62" s="23">
        <v>-2300</v>
      </c>
      <c r="Q62" s="23">
        <v>120</v>
      </c>
      <c r="R62" s="23">
        <v>0</v>
      </c>
      <c r="S62" s="23">
        <v>-500</v>
      </c>
      <c r="T62" s="23">
        <v>0</v>
      </c>
      <c r="U62" s="23">
        <v>0</v>
      </c>
      <c r="V62" s="23">
        <v>0</v>
      </c>
      <c r="W62" s="23">
        <f t="shared" si="1"/>
        <v>-1453.21</v>
      </c>
      <c r="X62" s="23">
        <f t="shared" si="2"/>
        <v>0</v>
      </c>
      <c r="Y62" s="23">
        <f t="shared" si="3"/>
        <v>-1453.21</v>
      </c>
      <c r="Z62" s="23">
        <v>1421</v>
      </c>
      <c r="AA62" s="23">
        <f t="shared" si="4"/>
        <v>-32.210000000000036</v>
      </c>
      <c r="AB62" s="23">
        <f t="shared" si="5"/>
        <v>2615.58</v>
      </c>
      <c r="AC62" s="20" t="s">
        <v>270</v>
      </c>
      <c r="AD62" s="20" t="s">
        <v>251</v>
      </c>
      <c r="AE62" s="11" t="str">
        <f t="shared" si="6"/>
        <v>BAJA DE PLACAS4</v>
      </c>
    </row>
    <row r="63" spans="1:31" ht="12.75" hidden="1" customHeight="1" x14ac:dyDescent="0.3">
      <c r="A63" s="8">
        <v>4</v>
      </c>
      <c r="B63" s="22" t="s">
        <v>271</v>
      </c>
      <c r="C63" s="20" t="s">
        <v>75</v>
      </c>
      <c r="D63" s="20" t="s">
        <v>237</v>
      </c>
      <c r="E63" s="22" t="s">
        <v>241</v>
      </c>
      <c r="F63" s="20" t="s">
        <v>232</v>
      </c>
      <c r="G63" s="22" t="s">
        <v>234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4">
        <v>0</v>
      </c>
      <c r="N63" s="23">
        <v>0</v>
      </c>
      <c r="O63" s="24">
        <f t="shared" si="0"/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f t="shared" si="1"/>
        <v>0</v>
      </c>
      <c r="X63" s="23">
        <f t="shared" si="2"/>
        <v>0</v>
      </c>
      <c r="Y63" s="23">
        <f t="shared" si="3"/>
        <v>0</v>
      </c>
      <c r="Z63" s="23">
        <v>0</v>
      </c>
      <c r="AA63" s="23">
        <f t="shared" si="4"/>
        <v>0</v>
      </c>
      <c r="AB63" s="23">
        <f t="shared" si="5"/>
        <v>0</v>
      </c>
      <c r="AC63" s="20"/>
      <c r="AD63" s="20" t="str">
        <f>VLOOKUP($C63,'[1]CTRL AUTOS'!$E:$AH,2,0)</f>
        <v>NFN014B</v>
      </c>
      <c r="AE63" s="11" t="str">
        <f t="shared" si="6"/>
        <v>NFN014B4</v>
      </c>
    </row>
    <row r="64" spans="1:31" ht="12.75" hidden="1" customHeight="1" x14ac:dyDescent="0.3">
      <c r="A64" s="8">
        <v>4</v>
      </c>
      <c r="B64" s="20" t="s">
        <v>252</v>
      </c>
      <c r="C64" s="20" t="s">
        <v>22</v>
      </c>
      <c r="D64" s="20" t="s">
        <v>253</v>
      </c>
      <c r="E64" s="22" t="s">
        <v>232</v>
      </c>
      <c r="F64" s="22" t="s">
        <v>233</v>
      </c>
      <c r="G64" s="22" t="s">
        <v>234</v>
      </c>
      <c r="H64" s="23">
        <v>5452.14</v>
      </c>
      <c r="I64" s="23">
        <v>-67.2</v>
      </c>
      <c r="J64" s="23">
        <v>0</v>
      </c>
      <c r="K64" s="23">
        <v>0</v>
      </c>
      <c r="L64" s="23">
        <v>-1513.04</v>
      </c>
      <c r="M64" s="24">
        <v>-78</v>
      </c>
      <c r="N64" s="23">
        <v>-75.209999999999994</v>
      </c>
      <c r="O64" s="24">
        <f t="shared" si="0"/>
        <v>3718.6900000000005</v>
      </c>
      <c r="P64" s="23">
        <v>-2500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f t="shared" si="1"/>
        <v>1218.6900000000005</v>
      </c>
      <c r="X64" s="23">
        <f t="shared" si="2"/>
        <v>1218.6900000000005</v>
      </c>
      <c r="Y64" s="23">
        <f t="shared" si="3"/>
        <v>0</v>
      </c>
      <c r="Z64" s="23">
        <v>0</v>
      </c>
      <c r="AA64" s="23">
        <f t="shared" si="4"/>
        <v>0</v>
      </c>
      <c r="AB64" s="23">
        <f t="shared" si="5"/>
        <v>2500</v>
      </c>
      <c r="AC64" s="20"/>
      <c r="AD64" s="20" t="str">
        <f>VLOOKUP($C64,'[1]CTRL AUTOS'!$E:$AH,2,0)</f>
        <v>NCK475B</v>
      </c>
      <c r="AE64" s="11" t="str">
        <f t="shared" si="6"/>
        <v>NCK475B4</v>
      </c>
    </row>
    <row r="65" spans="1:31" ht="12.75" hidden="1" customHeight="1" x14ac:dyDescent="0.3">
      <c r="A65" s="8">
        <v>5</v>
      </c>
      <c r="B65" s="20" t="s">
        <v>80</v>
      </c>
      <c r="C65" s="20" t="s">
        <v>230</v>
      </c>
      <c r="D65" s="25" t="s">
        <v>231</v>
      </c>
      <c r="E65" s="22" t="s">
        <v>232</v>
      </c>
      <c r="F65" s="22" t="s">
        <v>233</v>
      </c>
      <c r="G65" s="22" t="s">
        <v>234</v>
      </c>
      <c r="H65" s="26">
        <v>675.51</v>
      </c>
      <c r="I65" s="23">
        <v>9.15</v>
      </c>
      <c r="J65" s="23">
        <v>0</v>
      </c>
      <c r="K65" s="23">
        <v>0</v>
      </c>
      <c r="L65" s="23">
        <v>0</v>
      </c>
      <c r="M65" s="24">
        <v>-19</v>
      </c>
      <c r="N65" s="23">
        <v>0</v>
      </c>
      <c r="O65" s="24">
        <f t="shared" si="0"/>
        <v>665.66</v>
      </c>
      <c r="P65" s="23">
        <v>-2500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f t="shared" si="1"/>
        <v>-1834.3400000000001</v>
      </c>
      <c r="X65" s="23">
        <f t="shared" si="2"/>
        <v>0</v>
      </c>
      <c r="Y65" s="23">
        <f t="shared" si="3"/>
        <v>-1834.3400000000001</v>
      </c>
      <c r="Z65" s="23">
        <v>1834</v>
      </c>
      <c r="AA65" s="23">
        <f t="shared" si="4"/>
        <v>-0.34000000000014552</v>
      </c>
      <c r="AB65" s="23">
        <f t="shared" si="5"/>
        <v>2499.3199999999997</v>
      </c>
      <c r="AC65" s="20"/>
      <c r="AD65" s="20" t="s">
        <v>235</v>
      </c>
      <c r="AE65" s="11" t="str">
        <f t="shared" si="6"/>
        <v>NEB156A5</v>
      </c>
    </row>
    <row r="66" spans="1:31" ht="12.75" hidden="1" customHeight="1" x14ac:dyDescent="0.3">
      <c r="A66" s="8">
        <v>5</v>
      </c>
      <c r="B66" s="20" t="s">
        <v>236</v>
      </c>
      <c r="C66" s="20" t="s">
        <v>34</v>
      </c>
      <c r="D66" s="20" t="s">
        <v>237</v>
      </c>
      <c r="E66" s="22" t="s">
        <v>232</v>
      </c>
      <c r="F66" s="22" t="s">
        <v>232</v>
      </c>
      <c r="G66" s="22" t="s">
        <v>234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4">
        <v>0</v>
      </c>
      <c r="N66" s="23">
        <v>0</v>
      </c>
      <c r="O66" s="24">
        <f t="shared" si="0"/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f t="shared" si="1"/>
        <v>0</v>
      </c>
      <c r="X66" s="23">
        <f t="shared" si="2"/>
        <v>0</v>
      </c>
      <c r="Y66" s="23">
        <f t="shared" si="3"/>
        <v>0</v>
      </c>
      <c r="Z66" s="23">
        <v>0</v>
      </c>
      <c r="AA66" s="23">
        <f t="shared" si="4"/>
        <v>0</v>
      </c>
      <c r="AB66" s="23">
        <f t="shared" si="5"/>
        <v>0</v>
      </c>
      <c r="AC66" s="20"/>
      <c r="AD66" s="20" t="str">
        <f>VLOOKUP($C66,'[1]CTRL AUTOS'!$E:$AH,2,0)</f>
        <v>X59AWG</v>
      </c>
      <c r="AE66" s="11" t="str">
        <f t="shared" si="6"/>
        <v>X59AWG5</v>
      </c>
    </row>
    <row r="67" spans="1:31" ht="12.75" hidden="1" customHeight="1" x14ac:dyDescent="0.3">
      <c r="A67" s="8">
        <v>5</v>
      </c>
      <c r="B67" s="20" t="s">
        <v>238</v>
      </c>
      <c r="C67" s="20" t="s">
        <v>20</v>
      </c>
      <c r="D67" s="25" t="s">
        <v>239</v>
      </c>
      <c r="E67" s="22" t="s">
        <v>232</v>
      </c>
      <c r="F67" s="22" t="s">
        <v>233</v>
      </c>
      <c r="G67" s="22" t="s">
        <v>234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4">
        <v>0</v>
      </c>
      <c r="N67" s="23">
        <v>0</v>
      </c>
      <c r="O67" s="24">
        <f t="shared" ref="O67:O130" si="7">SUM(H67:N67)</f>
        <v>0</v>
      </c>
      <c r="P67" s="23">
        <v>-2500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f t="shared" ref="W67:W130" si="8">+O67+SUM(P67:V67)</f>
        <v>-2500</v>
      </c>
      <c r="X67" s="23">
        <f t="shared" ref="X67:X130" si="9">IF(W67&gt;=0,W67,0)</f>
        <v>0</v>
      </c>
      <c r="Y67" s="23">
        <f t="shared" ref="Y67:Y130" si="10">IF(W67&lt;=0,W67,0)</f>
        <v>-2500</v>
      </c>
      <c r="Z67" s="23">
        <v>5000</v>
      </c>
      <c r="AA67" s="23">
        <f t="shared" ref="AA67:AA130" si="11">+Y67+Z67</f>
        <v>2500</v>
      </c>
      <c r="AB67" s="23">
        <f t="shared" ref="AB67:AB130" si="12">+O67-X67+Z67+AA67</f>
        <v>7500</v>
      </c>
      <c r="AC67" s="20"/>
      <c r="AD67" s="20" t="str">
        <f>VLOOKUP($C67,'[1]CTRL AUTOS'!$E:$AH,2,0)</f>
        <v>D40BKD</v>
      </c>
      <c r="AE67" s="11" t="str">
        <f t="shared" si="6"/>
        <v>D40BKD5</v>
      </c>
    </row>
    <row r="68" spans="1:31" ht="12.75" hidden="1" customHeight="1" x14ac:dyDescent="0.3">
      <c r="A68" s="8">
        <v>5</v>
      </c>
      <c r="B68" s="20" t="s">
        <v>256</v>
      </c>
      <c r="C68" s="20" t="s">
        <v>46</v>
      </c>
      <c r="D68" s="20" t="s">
        <v>257</v>
      </c>
      <c r="E68" s="22" t="s">
        <v>232</v>
      </c>
      <c r="F68" s="22" t="s">
        <v>232</v>
      </c>
      <c r="G68" s="22" t="s">
        <v>234</v>
      </c>
      <c r="H68" s="23">
        <v>4292.37</v>
      </c>
      <c r="I68" s="23">
        <v>0</v>
      </c>
      <c r="J68" s="23">
        <v>0</v>
      </c>
      <c r="K68" s="23">
        <v>0</v>
      </c>
      <c r="L68" s="23">
        <v>-1767.76</v>
      </c>
      <c r="M68" s="24">
        <v>-35</v>
      </c>
      <c r="N68" s="23">
        <v>-55.000000000000455</v>
      </c>
      <c r="O68" s="24">
        <f t="shared" si="7"/>
        <v>2434.6099999999992</v>
      </c>
      <c r="P68" s="23">
        <v>-2500</v>
      </c>
      <c r="Q68" s="23">
        <v>0</v>
      </c>
      <c r="R68" s="23">
        <v>-25</v>
      </c>
      <c r="S68" s="23">
        <v>0</v>
      </c>
      <c r="T68" s="23">
        <v>0</v>
      </c>
      <c r="U68" s="23">
        <v>0</v>
      </c>
      <c r="V68" s="23">
        <v>0</v>
      </c>
      <c r="W68" s="23">
        <f t="shared" si="8"/>
        <v>-90.390000000000782</v>
      </c>
      <c r="X68" s="23">
        <f t="shared" si="9"/>
        <v>0</v>
      </c>
      <c r="Y68" s="23">
        <f t="shared" si="10"/>
        <v>-90.390000000000782</v>
      </c>
      <c r="Z68" s="23">
        <v>0</v>
      </c>
      <c r="AA68" s="23">
        <f t="shared" si="11"/>
        <v>-90.390000000000782</v>
      </c>
      <c r="AB68" s="23">
        <f t="shared" si="12"/>
        <v>2344.2199999999984</v>
      </c>
      <c r="AC68" s="20" t="s">
        <v>272</v>
      </c>
      <c r="AD68" s="20" t="str">
        <f>VLOOKUP($C68,'[1]CTRL AUTOS'!$E:$AH,2,0)</f>
        <v>R66BER</v>
      </c>
      <c r="AE68" s="11" t="str">
        <f t="shared" ref="AE68:AE131" si="13">AD68&amp;A68</f>
        <v>R66BER5</v>
      </c>
    </row>
    <row r="69" spans="1:31" ht="12.75" hidden="1" customHeight="1" x14ac:dyDescent="0.3">
      <c r="A69" s="8">
        <v>5</v>
      </c>
      <c r="B69" s="22" t="s">
        <v>258</v>
      </c>
      <c r="C69" s="20" t="s">
        <v>40</v>
      </c>
      <c r="D69" s="25" t="s">
        <v>259</v>
      </c>
      <c r="E69" s="22" t="s">
        <v>232</v>
      </c>
      <c r="F69" s="22" t="s">
        <v>232</v>
      </c>
      <c r="G69" s="22" t="s">
        <v>234</v>
      </c>
      <c r="H69" s="23">
        <v>8172.09</v>
      </c>
      <c r="I69" s="23">
        <v>206.4</v>
      </c>
      <c r="J69" s="23">
        <v>0</v>
      </c>
      <c r="K69" s="23">
        <v>0</v>
      </c>
      <c r="L69" s="23">
        <v>-1598.72</v>
      </c>
      <c r="M69" s="24">
        <v>-95</v>
      </c>
      <c r="N69" s="23">
        <v>-15.100000000004911</v>
      </c>
      <c r="O69" s="24">
        <f t="shared" si="7"/>
        <v>6669.6699999999946</v>
      </c>
      <c r="P69" s="23">
        <v>-2500</v>
      </c>
      <c r="Q69" s="23">
        <v>0</v>
      </c>
      <c r="R69" s="23">
        <v>0</v>
      </c>
      <c r="S69" s="23">
        <v>-500</v>
      </c>
      <c r="T69" s="23">
        <v>0</v>
      </c>
      <c r="U69" s="23">
        <v>0</v>
      </c>
      <c r="V69" s="23">
        <v>0</v>
      </c>
      <c r="W69" s="23">
        <f t="shared" si="8"/>
        <v>3669.6699999999946</v>
      </c>
      <c r="X69" s="23">
        <f t="shared" si="9"/>
        <v>3669.6699999999946</v>
      </c>
      <c r="Y69" s="23">
        <f t="shared" si="10"/>
        <v>0</v>
      </c>
      <c r="Z69" s="23">
        <v>0</v>
      </c>
      <c r="AA69" s="23">
        <f t="shared" si="11"/>
        <v>0</v>
      </c>
      <c r="AB69" s="23">
        <f t="shared" si="12"/>
        <v>3000</v>
      </c>
      <c r="AC69" s="20"/>
      <c r="AD69" s="20" t="str">
        <f>VLOOKUP($C69,'[1]CTRL AUTOS'!$E:$AH,2,0)</f>
        <v>NEL860A</v>
      </c>
      <c r="AE69" s="11" t="str">
        <f t="shared" si="13"/>
        <v>NEL860A5</v>
      </c>
    </row>
    <row r="70" spans="1:31" ht="12.75" hidden="1" customHeight="1" x14ac:dyDescent="0.3">
      <c r="A70" s="8">
        <v>5</v>
      </c>
      <c r="B70" s="20" t="s">
        <v>264</v>
      </c>
      <c r="C70" s="20" t="s">
        <v>168</v>
      </c>
      <c r="D70" s="25" t="s">
        <v>265</v>
      </c>
      <c r="E70" s="22" t="s">
        <v>232</v>
      </c>
      <c r="F70" s="22" t="s">
        <v>232</v>
      </c>
      <c r="G70" s="22" t="s">
        <v>234</v>
      </c>
      <c r="H70" s="23">
        <v>5850.36</v>
      </c>
      <c r="I70" s="23">
        <v>120</v>
      </c>
      <c r="J70" s="23">
        <v>0</v>
      </c>
      <c r="K70" s="23">
        <v>0</v>
      </c>
      <c r="L70" s="23">
        <v>-2290.38</v>
      </c>
      <c r="M70" s="24">
        <v>-49</v>
      </c>
      <c r="N70" s="23">
        <v>-68</v>
      </c>
      <c r="O70" s="24">
        <f t="shared" si="7"/>
        <v>3562.9799999999996</v>
      </c>
      <c r="P70" s="23">
        <v>-2500</v>
      </c>
      <c r="Q70" s="23">
        <v>465</v>
      </c>
      <c r="R70" s="23">
        <v>-500</v>
      </c>
      <c r="S70" s="23">
        <v>0</v>
      </c>
      <c r="T70" s="23">
        <v>0</v>
      </c>
      <c r="U70" s="23">
        <v>0</v>
      </c>
      <c r="V70" s="23">
        <v>0</v>
      </c>
      <c r="W70" s="23">
        <f t="shared" si="8"/>
        <v>1027.9799999999996</v>
      </c>
      <c r="X70" s="23">
        <f t="shared" si="9"/>
        <v>1027.9799999999996</v>
      </c>
      <c r="Y70" s="23">
        <f t="shared" si="10"/>
        <v>0</v>
      </c>
      <c r="Z70" s="23">
        <v>0</v>
      </c>
      <c r="AA70" s="23">
        <f t="shared" si="11"/>
        <v>0</v>
      </c>
      <c r="AB70" s="23">
        <f t="shared" si="12"/>
        <v>2535</v>
      </c>
      <c r="AC70" s="20" t="s">
        <v>226</v>
      </c>
      <c r="AD70" s="20" t="e">
        <f>VLOOKUP($C70,'[1]CTRL AUTOS'!$E:$AH,2,0)</f>
        <v>#N/A</v>
      </c>
      <c r="AE70" s="11" t="e">
        <f t="shared" si="13"/>
        <v>#N/A</v>
      </c>
    </row>
    <row r="71" spans="1:31" ht="12.75" hidden="1" customHeight="1" x14ac:dyDescent="0.3">
      <c r="A71" s="8">
        <v>5</v>
      </c>
      <c r="B71" s="20" t="s">
        <v>260</v>
      </c>
      <c r="C71" s="22" t="s">
        <v>97</v>
      </c>
      <c r="D71" s="25" t="s">
        <v>273</v>
      </c>
      <c r="E71" s="22" t="s">
        <v>232</v>
      </c>
      <c r="F71" s="22" t="s">
        <v>232</v>
      </c>
      <c r="G71" s="22" t="s">
        <v>234</v>
      </c>
      <c r="H71" s="23">
        <v>4096.6400000000003</v>
      </c>
      <c r="I71" s="23">
        <v>0</v>
      </c>
      <c r="J71" s="23">
        <v>0</v>
      </c>
      <c r="K71" s="23">
        <v>0</v>
      </c>
      <c r="L71" s="23">
        <v>-1452.54</v>
      </c>
      <c r="M71" s="24">
        <v>-45</v>
      </c>
      <c r="N71" s="23">
        <v>-91.000000000000455</v>
      </c>
      <c r="O71" s="24">
        <f t="shared" si="7"/>
        <v>2508.1</v>
      </c>
      <c r="P71" s="23">
        <v>-1964.2857142857135</v>
      </c>
      <c r="Q71" s="23">
        <v>0</v>
      </c>
      <c r="R71" s="23">
        <v>0</v>
      </c>
      <c r="S71" s="23">
        <v>-300</v>
      </c>
      <c r="T71" s="23">
        <v>0</v>
      </c>
      <c r="U71" s="23">
        <v>0</v>
      </c>
      <c r="V71" s="23">
        <v>0</v>
      </c>
      <c r="W71" s="23">
        <f t="shared" si="8"/>
        <v>243.81428571428614</v>
      </c>
      <c r="X71" s="23">
        <f t="shared" si="9"/>
        <v>243.81428571428614</v>
      </c>
      <c r="Y71" s="23">
        <f t="shared" si="10"/>
        <v>0</v>
      </c>
      <c r="Z71" s="23">
        <v>0</v>
      </c>
      <c r="AA71" s="23">
        <f t="shared" si="11"/>
        <v>0</v>
      </c>
      <c r="AB71" s="23">
        <f t="shared" si="12"/>
        <v>2264.2857142857138</v>
      </c>
      <c r="AC71" s="20"/>
      <c r="AD71" s="20" t="str">
        <f>VLOOKUP($C71,'[1]CTRL AUTOS'!$E:$AH,2,0)</f>
        <v>MUF515A</v>
      </c>
      <c r="AE71" s="11" t="str">
        <f t="shared" si="13"/>
        <v>MUF515A5</v>
      </c>
    </row>
    <row r="72" spans="1:31" ht="12.75" hidden="1" customHeight="1" x14ac:dyDescent="0.3">
      <c r="A72" s="8">
        <v>5</v>
      </c>
      <c r="B72" s="20" t="s">
        <v>72</v>
      </c>
      <c r="C72" s="20" t="s">
        <v>28</v>
      </c>
      <c r="D72" s="25" t="s">
        <v>274</v>
      </c>
      <c r="E72" s="22" t="s">
        <v>232</v>
      </c>
      <c r="F72" s="22" t="s">
        <v>232</v>
      </c>
      <c r="G72" s="22" t="s">
        <v>234</v>
      </c>
      <c r="H72" s="23">
        <v>10628.31</v>
      </c>
      <c r="I72" s="23">
        <v>223.2</v>
      </c>
      <c r="J72" s="23">
        <v>0</v>
      </c>
      <c r="K72" s="23">
        <v>0</v>
      </c>
      <c r="L72" s="23">
        <v>-4537.2700000000004</v>
      </c>
      <c r="M72" s="24">
        <v>-90</v>
      </c>
      <c r="N72" s="23">
        <v>-328.97000000000025</v>
      </c>
      <c r="O72" s="24">
        <f t="shared" si="7"/>
        <v>5895.2699999999995</v>
      </c>
      <c r="P72" s="23">
        <v>-2500</v>
      </c>
      <c r="Q72" s="23">
        <v>0</v>
      </c>
      <c r="R72" s="23">
        <v>0</v>
      </c>
      <c r="S72" s="23">
        <v>0</v>
      </c>
      <c r="T72" s="23">
        <v>-500</v>
      </c>
      <c r="U72" s="23">
        <v>0</v>
      </c>
      <c r="V72" s="23">
        <v>0</v>
      </c>
      <c r="W72" s="23">
        <f t="shared" si="8"/>
        <v>2895.2699999999995</v>
      </c>
      <c r="X72" s="23">
        <f t="shared" si="9"/>
        <v>2895.2699999999995</v>
      </c>
      <c r="Y72" s="23">
        <f t="shared" si="10"/>
        <v>0</v>
      </c>
      <c r="Z72" s="23">
        <v>0</v>
      </c>
      <c r="AA72" s="23">
        <f t="shared" si="11"/>
        <v>0</v>
      </c>
      <c r="AB72" s="23">
        <f t="shared" si="12"/>
        <v>3000</v>
      </c>
      <c r="AC72" s="20"/>
      <c r="AD72" s="20" t="str">
        <f>VLOOKUP($C72,'[1]CTRL AUTOS'!$E:$AH,2,0)</f>
        <v>NCT814A</v>
      </c>
      <c r="AE72" s="11" t="str">
        <f t="shared" si="13"/>
        <v>NCT814A5</v>
      </c>
    </row>
    <row r="73" spans="1:31" ht="12.75" hidden="1" customHeight="1" x14ac:dyDescent="0.3">
      <c r="A73" s="8">
        <v>5</v>
      </c>
      <c r="B73" s="20" t="s">
        <v>244</v>
      </c>
      <c r="C73" s="20" t="s">
        <v>4</v>
      </c>
      <c r="D73" s="25" t="s">
        <v>245</v>
      </c>
      <c r="E73" s="22" t="s">
        <v>232</v>
      </c>
      <c r="F73" s="22" t="s">
        <v>232</v>
      </c>
      <c r="G73" s="22" t="s">
        <v>234</v>
      </c>
      <c r="H73" s="23">
        <v>5033.08</v>
      </c>
      <c r="I73" s="23">
        <v>0</v>
      </c>
      <c r="J73" s="23">
        <v>0</v>
      </c>
      <c r="K73" s="23">
        <v>0</v>
      </c>
      <c r="L73" s="23">
        <v>-1722.51</v>
      </c>
      <c r="M73" s="24">
        <v>-58.83</v>
      </c>
      <c r="N73" s="23">
        <v>0</v>
      </c>
      <c r="O73" s="24">
        <f t="shared" si="7"/>
        <v>3251.74</v>
      </c>
      <c r="P73" s="23">
        <v>-2500</v>
      </c>
      <c r="Q73" s="23">
        <v>-420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f t="shared" si="8"/>
        <v>331.73999999999978</v>
      </c>
      <c r="X73" s="23">
        <f t="shared" si="9"/>
        <v>331.73999999999978</v>
      </c>
      <c r="Y73" s="23">
        <f t="shared" si="10"/>
        <v>0</v>
      </c>
      <c r="Z73" s="23">
        <v>0</v>
      </c>
      <c r="AA73" s="23">
        <f t="shared" si="11"/>
        <v>0</v>
      </c>
      <c r="AB73" s="23">
        <f t="shared" si="12"/>
        <v>2920</v>
      </c>
      <c r="AC73" s="20" t="s">
        <v>226</v>
      </c>
      <c r="AD73" s="20" t="str">
        <f>VLOOKUP($C73,'[1]CTRL AUTOS'!$E:$AH,2,0)</f>
        <v>N15BKD</v>
      </c>
      <c r="AE73" s="11" t="str">
        <f t="shared" si="13"/>
        <v>N15BKD5</v>
      </c>
    </row>
    <row r="74" spans="1:31" ht="12.75" hidden="1" customHeight="1" x14ac:dyDescent="0.3">
      <c r="A74" s="8">
        <v>5</v>
      </c>
      <c r="B74" s="20" t="s">
        <v>35</v>
      </c>
      <c r="C74" s="20" t="s">
        <v>69</v>
      </c>
      <c r="D74" s="25" t="s">
        <v>262</v>
      </c>
      <c r="E74" s="22" t="s">
        <v>241</v>
      </c>
      <c r="F74" s="22" t="s">
        <v>232</v>
      </c>
      <c r="G74" s="22" t="s">
        <v>234</v>
      </c>
      <c r="H74" s="23">
        <v>6762.66</v>
      </c>
      <c r="I74" s="23">
        <v>100</v>
      </c>
      <c r="J74" s="23">
        <v>0</v>
      </c>
      <c r="K74" s="23">
        <v>0</v>
      </c>
      <c r="L74" s="23">
        <v>-4033.67</v>
      </c>
      <c r="M74" s="24">
        <v>-48</v>
      </c>
      <c r="N74" s="23">
        <v>0</v>
      </c>
      <c r="O74" s="24">
        <f t="shared" si="7"/>
        <v>2780.99</v>
      </c>
      <c r="P74" s="23">
        <v>-2500</v>
      </c>
      <c r="Q74" s="23">
        <v>28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f t="shared" si="8"/>
        <v>308.98999999999978</v>
      </c>
      <c r="X74" s="23">
        <f t="shared" si="9"/>
        <v>308.98999999999978</v>
      </c>
      <c r="Y74" s="23">
        <f t="shared" si="10"/>
        <v>0</v>
      </c>
      <c r="Z74" s="23">
        <v>0</v>
      </c>
      <c r="AA74" s="23">
        <f t="shared" si="11"/>
        <v>0</v>
      </c>
      <c r="AB74" s="23">
        <f t="shared" si="12"/>
        <v>2472</v>
      </c>
      <c r="AC74" s="20" t="s">
        <v>275</v>
      </c>
      <c r="AD74" s="20" t="str">
        <f>VLOOKUP($C74,'[1]CTRL AUTOS'!$E:$AH,2,0)</f>
        <v>R51BKD</v>
      </c>
      <c r="AE74" s="11" t="str">
        <f t="shared" si="13"/>
        <v>R51BKD5</v>
      </c>
    </row>
    <row r="75" spans="1:31" ht="12.75" hidden="1" customHeight="1" x14ac:dyDescent="0.3">
      <c r="A75" s="8">
        <v>5</v>
      </c>
      <c r="B75" s="20" t="s">
        <v>37</v>
      </c>
      <c r="C75" s="20" t="s">
        <v>246</v>
      </c>
      <c r="D75" s="20" t="s">
        <v>247</v>
      </c>
      <c r="E75" s="22" t="s">
        <v>232</v>
      </c>
      <c r="F75" s="22" t="s">
        <v>232</v>
      </c>
      <c r="G75" s="22" t="s">
        <v>234</v>
      </c>
      <c r="H75" s="23">
        <v>4727.71</v>
      </c>
      <c r="I75" s="23">
        <v>0</v>
      </c>
      <c r="J75" s="23">
        <v>0</v>
      </c>
      <c r="K75" s="23">
        <v>0</v>
      </c>
      <c r="L75" s="23">
        <v>-1513.29</v>
      </c>
      <c r="M75" s="24">
        <v>-55</v>
      </c>
      <c r="N75" s="23">
        <v>0</v>
      </c>
      <c r="O75" s="24">
        <f t="shared" si="7"/>
        <v>3159.42</v>
      </c>
      <c r="P75" s="23">
        <v>-2500</v>
      </c>
      <c r="Q75" s="23">
        <v>0</v>
      </c>
      <c r="R75" s="23">
        <v>-500</v>
      </c>
      <c r="S75" s="23">
        <v>0</v>
      </c>
      <c r="T75" s="23">
        <v>0</v>
      </c>
      <c r="U75" s="23">
        <v>0</v>
      </c>
      <c r="V75" s="23">
        <v>0</v>
      </c>
      <c r="W75" s="23">
        <f t="shared" si="8"/>
        <v>159.42000000000007</v>
      </c>
      <c r="X75" s="23">
        <f t="shared" si="9"/>
        <v>159.42000000000007</v>
      </c>
      <c r="Y75" s="23">
        <f t="shared" si="10"/>
        <v>0</v>
      </c>
      <c r="Z75" s="23">
        <v>0</v>
      </c>
      <c r="AA75" s="23">
        <f t="shared" si="11"/>
        <v>0</v>
      </c>
      <c r="AB75" s="23">
        <f t="shared" si="12"/>
        <v>3000</v>
      </c>
      <c r="AC75" s="20" t="s">
        <v>276</v>
      </c>
      <c r="AD75" s="20" t="s">
        <v>248</v>
      </c>
      <c r="AE75" s="11" t="str">
        <f t="shared" si="13"/>
        <v>X24APU5</v>
      </c>
    </row>
    <row r="76" spans="1:31" ht="12.75" hidden="1" customHeight="1" x14ac:dyDescent="0.3">
      <c r="A76" s="8">
        <v>5</v>
      </c>
      <c r="B76" s="22" t="s">
        <v>266</v>
      </c>
      <c r="C76" s="20" t="s">
        <v>50</v>
      </c>
      <c r="D76" s="20" t="s">
        <v>267</v>
      </c>
      <c r="E76" s="22" t="s">
        <v>232</v>
      </c>
      <c r="F76" s="22" t="s">
        <v>233</v>
      </c>
      <c r="G76" s="22" t="s">
        <v>234</v>
      </c>
      <c r="H76" s="26">
        <v>6000.31</v>
      </c>
      <c r="I76" s="23">
        <v>0</v>
      </c>
      <c r="J76" s="23">
        <v>0</v>
      </c>
      <c r="K76" s="23">
        <v>0</v>
      </c>
      <c r="L76" s="26">
        <v>-3123.9</v>
      </c>
      <c r="M76" s="24">
        <v>0</v>
      </c>
      <c r="N76" s="23">
        <v>-43</v>
      </c>
      <c r="O76" s="24">
        <f t="shared" si="7"/>
        <v>2833.4100000000003</v>
      </c>
      <c r="P76" s="23">
        <v>-2500</v>
      </c>
      <c r="Q76" s="23">
        <v>0</v>
      </c>
      <c r="R76" s="23">
        <v>-500</v>
      </c>
      <c r="S76" s="23">
        <v>0</v>
      </c>
      <c r="T76" s="23">
        <v>0</v>
      </c>
      <c r="U76" s="23">
        <v>0</v>
      </c>
      <c r="V76" s="23">
        <v>0</v>
      </c>
      <c r="W76" s="23">
        <f t="shared" si="8"/>
        <v>-166.58999999999969</v>
      </c>
      <c r="X76" s="23">
        <f t="shared" si="9"/>
        <v>0</v>
      </c>
      <c r="Y76" s="23">
        <f t="shared" si="10"/>
        <v>-166.58999999999969</v>
      </c>
      <c r="Z76" s="23">
        <v>0</v>
      </c>
      <c r="AA76" s="23">
        <f t="shared" si="11"/>
        <v>-166.58999999999969</v>
      </c>
      <c r="AB76" s="23">
        <f t="shared" si="12"/>
        <v>2666.8200000000006</v>
      </c>
      <c r="AC76" s="20"/>
      <c r="AD76" s="20" t="str">
        <f>VLOOKUP($C76,'[1]CTRL AUTOS'!$E:$AH,2,0)</f>
        <v>NBS225A</v>
      </c>
      <c r="AE76" s="11" t="str">
        <f t="shared" si="13"/>
        <v>NBS225A5</v>
      </c>
    </row>
    <row r="77" spans="1:31" ht="12.75" hidden="1" customHeight="1" x14ac:dyDescent="0.3">
      <c r="A77" s="8">
        <v>5</v>
      </c>
      <c r="B77" s="20" t="s">
        <v>45</v>
      </c>
      <c r="C77" s="20" t="s">
        <v>249</v>
      </c>
      <c r="D77" s="25" t="s">
        <v>250</v>
      </c>
      <c r="E77" s="22" t="s">
        <v>232</v>
      </c>
      <c r="F77" s="22" t="s">
        <v>232</v>
      </c>
      <c r="G77" s="22" t="s">
        <v>234</v>
      </c>
      <c r="H77" s="23">
        <v>3945.89</v>
      </c>
      <c r="I77" s="23">
        <v>24</v>
      </c>
      <c r="J77" s="23">
        <v>0</v>
      </c>
      <c r="K77" s="23">
        <v>0</v>
      </c>
      <c r="L77" s="23">
        <v>-1941.72</v>
      </c>
      <c r="M77" s="24">
        <v>-30</v>
      </c>
      <c r="N77" s="23">
        <v>-4.9700000000000273</v>
      </c>
      <c r="O77" s="24">
        <f t="shared" si="7"/>
        <v>1993.1999999999998</v>
      </c>
      <c r="P77" s="23">
        <v>-2300</v>
      </c>
      <c r="Q77" s="23">
        <v>0</v>
      </c>
      <c r="R77" s="23">
        <v>0</v>
      </c>
      <c r="S77" s="23">
        <v>-500</v>
      </c>
      <c r="T77" s="23">
        <v>0</v>
      </c>
      <c r="U77" s="23">
        <v>0</v>
      </c>
      <c r="V77" s="23">
        <v>0</v>
      </c>
      <c r="W77" s="23">
        <f t="shared" si="8"/>
        <v>-806.80000000000018</v>
      </c>
      <c r="X77" s="23">
        <f t="shared" si="9"/>
        <v>0</v>
      </c>
      <c r="Y77" s="23">
        <f t="shared" si="10"/>
        <v>-806.80000000000018</v>
      </c>
      <c r="Z77" s="23">
        <v>0</v>
      </c>
      <c r="AA77" s="23">
        <f t="shared" si="11"/>
        <v>-806.80000000000018</v>
      </c>
      <c r="AB77" s="23">
        <f t="shared" si="12"/>
        <v>1186.3999999999996</v>
      </c>
      <c r="AC77" s="20" t="s">
        <v>277</v>
      </c>
      <c r="AD77" s="20" t="s">
        <v>251</v>
      </c>
      <c r="AE77" s="11" t="str">
        <f t="shared" si="13"/>
        <v>BAJA DE PLACAS5</v>
      </c>
    </row>
    <row r="78" spans="1:31" ht="12.75" hidden="1" customHeight="1" x14ac:dyDescent="0.3">
      <c r="A78" s="8">
        <v>5</v>
      </c>
      <c r="B78" s="22" t="s">
        <v>271</v>
      </c>
      <c r="C78" s="20" t="s">
        <v>75</v>
      </c>
      <c r="D78" s="20" t="s">
        <v>237</v>
      </c>
      <c r="E78" s="22" t="s">
        <v>241</v>
      </c>
      <c r="F78" s="22" t="s">
        <v>232</v>
      </c>
      <c r="G78" s="22" t="s">
        <v>234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4">
        <v>0</v>
      </c>
      <c r="N78" s="23">
        <v>0</v>
      </c>
      <c r="O78" s="24">
        <f t="shared" si="7"/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f t="shared" si="8"/>
        <v>0</v>
      </c>
      <c r="X78" s="23">
        <f t="shared" si="9"/>
        <v>0</v>
      </c>
      <c r="Y78" s="23">
        <f t="shared" si="10"/>
        <v>0</v>
      </c>
      <c r="Z78" s="23">
        <v>0</v>
      </c>
      <c r="AA78" s="23">
        <f t="shared" si="11"/>
        <v>0</v>
      </c>
      <c r="AB78" s="23">
        <f t="shared" si="12"/>
        <v>0</v>
      </c>
      <c r="AC78" s="20"/>
      <c r="AD78" s="20" t="str">
        <f>VLOOKUP($C78,'[1]CTRL AUTOS'!$E:$AH,2,0)</f>
        <v>NFN014B</v>
      </c>
      <c r="AE78" s="11" t="str">
        <f t="shared" si="13"/>
        <v>NFN014B5</v>
      </c>
    </row>
    <row r="79" spans="1:31" ht="12.75" hidden="1" customHeight="1" x14ac:dyDescent="0.3">
      <c r="A79" s="8">
        <v>5</v>
      </c>
      <c r="B79" s="20" t="s">
        <v>252</v>
      </c>
      <c r="C79" s="20" t="s">
        <v>22</v>
      </c>
      <c r="D79" s="25" t="s">
        <v>253</v>
      </c>
      <c r="E79" s="22" t="s">
        <v>232</v>
      </c>
      <c r="F79" s="22" t="s">
        <v>233</v>
      </c>
      <c r="G79" s="22" t="s">
        <v>234</v>
      </c>
      <c r="H79" s="27">
        <v>6031.51</v>
      </c>
      <c r="I79" s="23">
        <v>63.2</v>
      </c>
      <c r="J79" s="23">
        <v>0</v>
      </c>
      <c r="K79" s="23">
        <v>0</v>
      </c>
      <c r="L79" s="26">
        <v>-2551.25</v>
      </c>
      <c r="M79" s="24">
        <v>0</v>
      </c>
      <c r="N79" s="23">
        <v>-381.72</v>
      </c>
      <c r="O79" s="24">
        <f t="shared" si="7"/>
        <v>3161.74</v>
      </c>
      <c r="P79" s="23">
        <v>-2500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f t="shared" si="8"/>
        <v>661.73999999999978</v>
      </c>
      <c r="X79" s="23">
        <f t="shared" si="9"/>
        <v>661.73999999999978</v>
      </c>
      <c r="Y79" s="23">
        <f t="shared" si="10"/>
        <v>0</v>
      </c>
      <c r="Z79" s="23">
        <v>0</v>
      </c>
      <c r="AA79" s="23">
        <f t="shared" si="11"/>
        <v>0</v>
      </c>
      <c r="AB79" s="23">
        <f t="shared" si="12"/>
        <v>2500</v>
      </c>
      <c r="AC79" s="20"/>
      <c r="AD79" s="20" t="str">
        <f>VLOOKUP($C79,'[1]CTRL AUTOS'!$E:$AH,2,0)</f>
        <v>NCK475B</v>
      </c>
      <c r="AE79" s="11" t="str">
        <f t="shared" si="13"/>
        <v>NCK475B5</v>
      </c>
    </row>
    <row r="80" spans="1:31" ht="12.75" hidden="1" customHeight="1" x14ac:dyDescent="0.3">
      <c r="A80" s="8">
        <v>6</v>
      </c>
      <c r="B80" s="20" t="s">
        <v>80</v>
      </c>
      <c r="C80" s="20" t="s">
        <v>230</v>
      </c>
      <c r="D80" s="25" t="s">
        <v>231</v>
      </c>
      <c r="E80" s="22" t="s">
        <v>232</v>
      </c>
      <c r="F80" s="22" t="s">
        <v>233</v>
      </c>
      <c r="G80" s="22" t="s">
        <v>234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4">
        <v>0</v>
      </c>
      <c r="N80" s="23">
        <v>0</v>
      </c>
      <c r="O80" s="24">
        <f t="shared" si="7"/>
        <v>0</v>
      </c>
      <c r="P80" s="23">
        <v>-2500</v>
      </c>
      <c r="Q80" s="23">
        <v>0</v>
      </c>
      <c r="R80" s="23">
        <v>0</v>
      </c>
      <c r="S80" s="28">
        <v>0</v>
      </c>
      <c r="T80" s="23">
        <v>0</v>
      </c>
      <c r="U80" s="23">
        <v>0</v>
      </c>
      <c r="V80" s="23">
        <v>0</v>
      </c>
      <c r="W80" s="23">
        <f t="shared" si="8"/>
        <v>-2500</v>
      </c>
      <c r="X80" s="23">
        <f t="shared" si="9"/>
        <v>0</v>
      </c>
      <c r="Y80" s="23">
        <f t="shared" si="10"/>
        <v>-2500</v>
      </c>
      <c r="Z80" s="23">
        <v>2500</v>
      </c>
      <c r="AA80" s="23">
        <f t="shared" si="11"/>
        <v>0</v>
      </c>
      <c r="AB80" s="23">
        <f t="shared" si="12"/>
        <v>2500</v>
      </c>
      <c r="AC80" s="20" t="s">
        <v>278</v>
      </c>
      <c r="AD80" s="20" t="s">
        <v>235</v>
      </c>
      <c r="AE80" s="11" t="str">
        <f t="shared" si="13"/>
        <v>NEB156A6</v>
      </c>
    </row>
    <row r="81" spans="1:31" ht="12.75" hidden="1" customHeight="1" x14ac:dyDescent="0.3">
      <c r="A81" s="8">
        <v>6</v>
      </c>
      <c r="B81" s="20" t="s">
        <v>238</v>
      </c>
      <c r="C81" s="20" t="s">
        <v>20</v>
      </c>
      <c r="D81" s="25" t="s">
        <v>239</v>
      </c>
      <c r="E81" s="22" t="s">
        <v>232</v>
      </c>
      <c r="F81" s="22" t="s">
        <v>233</v>
      </c>
      <c r="G81" s="22" t="s">
        <v>234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4">
        <v>0</v>
      </c>
      <c r="N81" s="23">
        <v>0</v>
      </c>
      <c r="O81" s="24">
        <f t="shared" si="7"/>
        <v>0</v>
      </c>
      <c r="P81" s="23">
        <v>-2500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f t="shared" si="8"/>
        <v>-2500</v>
      </c>
      <c r="X81" s="23">
        <f t="shared" si="9"/>
        <v>0</v>
      </c>
      <c r="Y81" s="23">
        <f t="shared" si="10"/>
        <v>-2500</v>
      </c>
      <c r="Z81" s="23">
        <v>2500</v>
      </c>
      <c r="AA81" s="23">
        <f t="shared" si="11"/>
        <v>0</v>
      </c>
      <c r="AB81" s="23">
        <f t="shared" si="12"/>
        <v>2500</v>
      </c>
      <c r="AC81" s="20" t="s">
        <v>279</v>
      </c>
      <c r="AD81" s="20" t="str">
        <f>VLOOKUP($C81,'[1]CTRL AUTOS'!$E:$AH,2,0)</f>
        <v>D40BKD</v>
      </c>
      <c r="AE81" s="11" t="str">
        <f t="shared" si="13"/>
        <v>D40BKD6</v>
      </c>
    </row>
    <row r="82" spans="1:31" ht="12.75" hidden="1" customHeight="1" x14ac:dyDescent="0.3">
      <c r="A82" s="8">
        <v>6</v>
      </c>
      <c r="B82" s="20" t="s">
        <v>256</v>
      </c>
      <c r="C82" s="20" t="s">
        <v>46</v>
      </c>
      <c r="D82" s="20" t="s">
        <v>257</v>
      </c>
      <c r="E82" s="22" t="s">
        <v>232</v>
      </c>
      <c r="F82" s="22" t="s">
        <v>232</v>
      </c>
      <c r="G82" s="22" t="s">
        <v>234</v>
      </c>
      <c r="H82" s="23">
        <v>4542.3100000000004</v>
      </c>
      <c r="I82" s="23">
        <v>0</v>
      </c>
      <c r="J82" s="23">
        <v>0</v>
      </c>
      <c r="K82" s="23">
        <v>0</v>
      </c>
      <c r="L82" s="23">
        <v>-2505.7399999999998</v>
      </c>
      <c r="M82" s="24">
        <v>0</v>
      </c>
      <c r="N82" s="23">
        <v>0</v>
      </c>
      <c r="O82" s="24">
        <f t="shared" si="7"/>
        <v>2036.5700000000006</v>
      </c>
      <c r="P82" s="23">
        <v>-2500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f t="shared" si="8"/>
        <v>-463.42999999999938</v>
      </c>
      <c r="X82" s="23">
        <f t="shared" si="9"/>
        <v>0</v>
      </c>
      <c r="Y82" s="23">
        <f t="shared" si="10"/>
        <v>-463.42999999999938</v>
      </c>
      <c r="Z82" s="23">
        <v>0</v>
      </c>
      <c r="AA82" s="23">
        <f t="shared" si="11"/>
        <v>-463.42999999999938</v>
      </c>
      <c r="AB82" s="23">
        <f t="shared" si="12"/>
        <v>1573.1400000000012</v>
      </c>
      <c r="AC82" s="20"/>
      <c r="AD82" s="20" t="str">
        <f>VLOOKUP($C82,'[1]CTRL AUTOS'!$E:$AH,2,0)</f>
        <v>R66BER</v>
      </c>
      <c r="AE82" s="11" t="str">
        <f t="shared" si="13"/>
        <v>R66BER6</v>
      </c>
    </row>
    <row r="83" spans="1:31" ht="12.75" hidden="1" customHeight="1" x14ac:dyDescent="0.3">
      <c r="A83" s="8">
        <v>6</v>
      </c>
      <c r="B83" s="22" t="s">
        <v>258</v>
      </c>
      <c r="C83" s="20" t="s">
        <v>40</v>
      </c>
      <c r="D83" s="25" t="s">
        <v>259</v>
      </c>
      <c r="E83" s="22" t="s">
        <v>232</v>
      </c>
      <c r="F83" s="22" t="s">
        <v>232</v>
      </c>
      <c r="G83" s="22" t="s">
        <v>234</v>
      </c>
      <c r="H83" s="23">
        <v>7372.52</v>
      </c>
      <c r="I83" s="23">
        <v>139.19999999999999</v>
      </c>
      <c r="J83" s="23">
        <v>0</v>
      </c>
      <c r="K83" s="23">
        <v>0</v>
      </c>
      <c r="L83" s="23">
        <v>-1389.35</v>
      </c>
      <c r="M83" s="24">
        <v>-96</v>
      </c>
      <c r="N83" s="23">
        <v>0</v>
      </c>
      <c r="O83" s="24">
        <f t="shared" si="7"/>
        <v>6026.3700000000008</v>
      </c>
      <c r="P83" s="23">
        <v>-2500</v>
      </c>
      <c r="Q83" s="23">
        <v>0</v>
      </c>
      <c r="R83" s="23">
        <v>0</v>
      </c>
      <c r="S83" s="28">
        <v>-343</v>
      </c>
      <c r="T83" s="23">
        <v>0</v>
      </c>
      <c r="U83" s="23">
        <v>0</v>
      </c>
      <c r="V83" s="23">
        <v>0</v>
      </c>
      <c r="W83" s="23">
        <f t="shared" si="8"/>
        <v>3183.3700000000008</v>
      </c>
      <c r="X83" s="23">
        <f t="shared" si="9"/>
        <v>3183.3700000000008</v>
      </c>
      <c r="Y83" s="23">
        <f t="shared" si="10"/>
        <v>0</v>
      </c>
      <c r="Z83" s="23">
        <v>0</v>
      </c>
      <c r="AA83" s="23">
        <f t="shared" si="11"/>
        <v>0</v>
      </c>
      <c r="AB83" s="23">
        <f t="shared" si="12"/>
        <v>2843</v>
      </c>
      <c r="AC83" s="20"/>
      <c r="AD83" s="20" t="str">
        <f>VLOOKUP($C83,'[1]CTRL AUTOS'!$E:$AH,2,0)</f>
        <v>NEL860A</v>
      </c>
      <c r="AE83" s="11" t="str">
        <f t="shared" si="13"/>
        <v>NEL860A6</v>
      </c>
    </row>
    <row r="84" spans="1:31" ht="12.75" hidden="1" customHeight="1" x14ac:dyDescent="0.3">
      <c r="A84" s="8">
        <v>6</v>
      </c>
      <c r="B84" s="20" t="s">
        <v>264</v>
      </c>
      <c r="C84" s="20" t="s">
        <v>168</v>
      </c>
      <c r="D84" s="25" t="s">
        <v>265</v>
      </c>
      <c r="E84" s="22" t="s">
        <v>232</v>
      </c>
      <c r="F84" s="22" t="s">
        <v>232</v>
      </c>
      <c r="G84" s="22" t="s">
        <v>234</v>
      </c>
      <c r="H84" s="23">
        <v>3023.97</v>
      </c>
      <c r="I84" s="23">
        <v>0</v>
      </c>
      <c r="J84" s="23">
        <v>0</v>
      </c>
      <c r="K84" s="23">
        <v>0</v>
      </c>
      <c r="L84" s="23">
        <v>-588.19000000000005</v>
      </c>
      <c r="M84" s="24">
        <v>0</v>
      </c>
      <c r="N84" s="23">
        <v>0</v>
      </c>
      <c r="O84" s="24">
        <f t="shared" si="7"/>
        <v>2435.7799999999997</v>
      </c>
      <c r="P84" s="23">
        <v>-2500</v>
      </c>
      <c r="Q84" s="23">
        <v>0</v>
      </c>
      <c r="R84" s="23">
        <v>-500</v>
      </c>
      <c r="S84" s="23">
        <v>0</v>
      </c>
      <c r="T84" s="23">
        <v>0</v>
      </c>
      <c r="U84" s="23">
        <v>0</v>
      </c>
      <c r="V84" s="23">
        <v>0</v>
      </c>
      <c r="W84" s="23">
        <f t="shared" si="8"/>
        <v>-564.22000000000025</v>
      </c>
      <c r="X84" s="23">
        <f t="shared" si="9"/>
        <v>0</v>
      </c>
      <c r="Y84" s="23">
        <f t="shared" si="10"/>
        <v>-564.22000000000025</v>
      </c>
      <c r="Z84" s="23">
        <v>545</v>
      </c>
      <c r="AA84" s="23">
        <f t="shared" si="11"/>
        <v>-19.220000000000255</v>
      </c>
      <c r="AB84" s="23">
        <f t="shared" si="12"/>
        <v>2961.5599999999995</v>
      </c>
      <c r="AC84" s="20"/>
      <c r="AD84" s="20" t="e">
        <f>VLOOKUP($C84,'[1]CTRL AUTOS'!$E:$AH,2,0)</f>
        <v>#N/A</v>
      </c>
      <c r="AE84" s="11" t="e">
        <f t="shared" si="13"/>
        <v>#N/A</v>
      </c>
    </row>
    <row r="85" spans="1:31" ht="12.75" hidden="1" customHeight="1" x14ac:dyDescent="0.3">
      <c r="A85" s="8">
        <v>6</v>
      </c>
      <c r="B85" s="20" t="s">
        <v>260</v>
      </c>
      <c r="C85" s="22" t="s">
        <v>97</v>
      </c>
      <c r="D85" s="25" t="s">
        <v>273</v>
      </c>
      <c r="E85" s="22" t="s">
        <v>232</v>
      </c>
      <c r="F85" s="22" t="s">
        <v>232</v>
      </c>
      <c r="G85" s="22" t="s">
        <v>234</v>
      </c>
      <c r="H85" s="23">
        <v>4975.22</v>
      </c>
      <c r="I85" s="23">
        <v>0</v>
      </c>
      <c r="J85" s="23">
        <v>0</v>
      </c>
      <c r="K85" s="23">
        <v>0</v>
      </c>
      <c r="L85" s="23">
        <v>-1753.47</v>
      </c>
      <c r="M85" s="24">
        <v>-56</v>
      </c>
      <c r="N85" s="23">
        <v>0</v>
      </c>
      <c r="O85" s="24">
        <f t="shared" si="7"/>
        <v>3165.75</v>
      </c>
      <c r="P85" s="23">
        <v>-2500</v>
      </c>
      <c r="Q85" s="23">
        <v>0</v>
      </c>
      <c r="R85" s="23">
        <v>0</v>
      </c>
      <c r="S85" s="28">
        <v>-500</v>
      </c>
      <c r="T85" s="23">
        <v>0</v>
      </c>
      <c r="U85" s="23">
        <v>0</v>
      </c>
      <c r="V85" s="23">
        <v>0</v>
      </c>
      <c r="W85" s="23">
        <f t="shared" si="8"/>
        <v>165.75</v>
      </c>
      <c r="X85" s="23">
        <f t="shared" si="9"/>
        <v>165.75</v>
      </c>
      <c r="Y85" s="23">
        <f t="shared" si="10"/>
        <v>0</v>
      </c>
      <c r="Z85" s="23">
        <v>0</v>
      </c>
      <c r="AA85" s="23">
        <f t="shared" si="11"/>
        <v>0</v>
      </c>
      <c r="AB85" s="23">
        <f t="shared" si="12"/>
        <v>3000</v>
      </c>
      <c r="AC85" s="20"/>
      <c r="AD85" s="20" t="str">
        <f>VLOOKUP($C85,'[1]CTRL AUTOS'!$E:$AH,2,0)</f>
        <v>MUF515A</v>
      </c>
      <c r="AE85" s="11" t="str">
        <f t="shared" si="13"/>
        <v>MUF515A6</v>
      </c>
    </row>
    <row r="86" spans="1:31" ht="12.75" hidden="1" customHeight="1" x14ac:dyDescent="0.3">
      <c r="A86" s="8">
        <v>6</v>
      </c>
      <c r="B86" s="20" t="s">
        <v>72</v>
      </c>
      <c r="C86" s="20" t="s">
        <v>28</v>
      </c>
      <c r="D86" s="25" t="s">
        <v>274</v>
      </c>
      <c r="E86" s="22" t="s">
        <v>232</v>
      </c>
      <c r="F86" s="22" t="s">
        <v>232</v>
      </c>
      <c r="G86" s="22" t="s">
        <v>234</v>
      </c>
      <c r="H86" s="23">
        <v>8889.43</v>
      </c>
      <c r="I86" s="23">
        <v>89.6</v>
      </c>
      <c r="J86" s="23">
        <v>-54</v>
      </c>
      <c r="K86" s="23">
        <v>0</v>
      </c>
      <c r="L86" s="23">
        <v>-4457.29</v>
      </c>
      <c r="M86" s="24">
        <v>-85</v>
      </c>
      <c r="N86" s="23">
        <v>-172.05</v>
      </c>
      <c r="O86" s="24">
        <f t="shared" si="7"/>
        <v>4210.6900000000005</v>
      </c>
      <c r="P86" s="23">
        <v>-2500</v>
      </c>
      <c r="Q86" s="23">
        <v>0</v>
      </c>
      <c r="R86" s="23">
        <v>0</v>
      </c>
      <c r="S86" s="28">
        <v>-500</v>
      </c>
      <c r="T86" s="23">
        <v>-65</v>
      </c>
      <c r="U86" s="23">
        <v>0</v>
      </c>
      <c r="V86" s="23">
        <v>0</v>
      </c>
      <c r="W86" s="23">
        <f t="shared" si="8"/>
        <v>1145.6900000000005</v>
      </c>
      <c r="X86" s="23">
        <f t="shared" si="9"/>
        <v>1145.6900000000005</v>
      </c>
      <c r="Y86" s="23">
        <f t="shared" si="10"/>
        <v>0</v>
      </c>
      <c r="Z86" s="23">
        <v>0</v>
      </c>
      <c r="AA86" s="23">
        <f t="shared" si="11"/>
        <v>0</v>
      </c>
      <c r="AB86" s="23">
        <f t="shared" si="12"/>
        <v>3065</v>
      </c>
      <c r="AC86" s="20"/>
      <c r="AD86" s="20" t="str">
        <f>VLOOKUP($C86,'[1]CTRL AUTOS'!$E:$AH,2,0)</f>
        <v>NCT814A</v>
      </c>
      <c r="AE86" s="11" t="str">
        <f t="shared" si="13"/>
        <v>NCT814A6</v>
      </c>
    </row>
    <row r="87" spans="1:31" ht="12.75" hidden="1" customHeight="1" x14ac:dyDescent="0.3">
      <c r="A87" s="8">
        <v>6</v>
      </c>
      <c r="B87" s="20" t="s">
        <v>244</v>
      </c>
      <c r="C87" s="20" t="s">
        <v>4</v>
      </c>
      <c r="D87" s="25" t="s">
        <v>245</v>
      </c>
      <c r="E87" s="22" t="s">
        <v>232</v>
      </c>
      <c r="F87" s="22" t="s">
        <v>232</v>
      </c>
      <c r="G87" s="22" t="s">
        <v>234</v>
      </c>
      <c r="H87" s="23">
        <v>4661.12</v>
      </c>
      <c r="I87" s="23">
        <v>0</v>
      </c>
      <c r="J87" s="23">
        <v>0</v>
      </c>
      <c r="K87" s="23">
        <v>0</v>
      </c>
      <c r="L87" s="23">
        <v>-2350.13</v>
      </c>
      <c r="M87" s="24">
        <v>-45</v>
      </c>
      <c r="N87" s="23">
        <v>0</v>
      </c>
      <c r="O87" s="24">
        <f t="shared" si="7"/>
        <v>2265.9899999999998</v>
      </c>
      <c r="P87" s="23">
        <v>-2500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f t="shared" si="8"/>
        <v>-234.01000000000022</v>
      </c>
      <c r="X87" s="23">
        <f t="shared" si="9"/>
        <v>0</v>
      </c>
      <c r="Y87" s="23">
        <f t="shared" si="10"/>
        <v>-234.01000000000022</v>
      </c>
      <c r="Z87" s="23">
        <v>234</v>
      </c>
      <c r="AA87" s="23">
        <f t="shared" si="11"/>
        <v>-1.0000000000218279E-2</v>
      </c>
      <c r="AB87" s="23">
        <f t="shared" si="12"/>
        <v>2499.9799999999996</v>
      </c>
      <c r="AC87" s="20"/>
      <c r="AD87" s="20" t="str">
        <f>VLOOKUP($C87,'[1]CTRL AUTOS'!$E:$AH,2,0)</f>
        <v>N15BKD</v>
      </c>
      <c r="AE87" s="11" t="str">
        <f t="shared" si="13"/>
        <v>N15BKD6</v>
      </c>
    </row>
    <row r="88" spans="1:31" ht="12.75" hidden="1" customHeight="1" x14ac:dyDescent="0.3">
      <c r="A88" s="8">
        <v>6</v>
      </c>
      <c r="B88" s="20" t="s">
        <v>35</v>
      </c>
      <c r="C88" s="20" t="s">
        <v>69</v>
      </c>
      <c r="D88" s="25" t="s">
        <v>262</v>
      </c>
      <c r="E88" s="22" t="s">
        <v>241</v>
      </c>
      <c r="F88" s="22" t="s">
        <v>232</v>
      </c>
      <c r="G88" s="22" t="s">
        <v>234</v>
      </c>
      <c r="H88" s="23">
        <v>6463.43</v>
      </c>
      <c r="I88" s="23">
        <v>117.60000000000001</v>
      </c>
      <c r="J88" s="23">
        <v>0</v>
      </c>
      <c r="K88" s="23">
        <v>0</v>
      </c>
      <c r="L88" s="23">
        <v>-3597.86</v>
      </c>
      <c r="M88" s="24">
        <v>-78</v>
      </c>
      <c r="N88" s="23">
        <v>0</v>
      </c>
      <c r="O88" s="24">
        <f t="shared" si="7"/>
        <v>2905.1700000000005</v>
      </c>
      <c r="P88" s="23">
        <v>-2500</v>
      </c>
      <c r="Q88" s="23">
        <v>9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f t="shared" si="8"/>
        <v>414.17000000000053</v>
      </c>
      <c r="X88" s="23">
        <f t="shared" si="9"/>
        <v>414.17000000000053</v>
      </c>
      <c r="Y88" s="23">
        <f t="shared" si="10"/>
        <v>0</v>
      </c>
      <c r="Z88" s="23">
        <v>0</v>
      </c>
      <c r="AA88" s="23">
        <f t="shared" si="11"/>
        <v>0</v>
      </c>
      <c r="AB88" s="23">
        <f t="shared" si="12"/>
        <v>2491</v>
      </c>
      <c r="AC88" s="20"/>
      <c r="AD88" s="20" t="str">
        <f>VLOOKUP($C88,'[1]CTRL AUTOS'!$E:$AH,2,0)</f>
        <v>R51BKD</v>
      </c>
      <c r="AE88" s="11" t="str">
        <f t="shared" si="13"/>
        <v>R51BKD6</v>
      </c>
    </row>
    <row r="89" spans="1:31" ht="12.75" hidden="1" customHeight="1" x14ac:dyDescent="0.3">
      <c r="A89" s="8">
        <v>6</v>
      </c>
      <c r="B89" s="20" t="s">
        <v>37</v>
      </c>
      <c r="C89" s="20" t="s">
        <v>246</v>
      </c>
      <c r="D89" s="20" t="s">
        <v>247</v>
      </c>
      <c r="E89" s="22" t="s">
        <v>232</v>
      </c>
      <c r="F89" s="22" t="s">
        <v>232</v>
      </c>
      <c r="G89" s="22" t="s">
        <v>234</v>
      </c>
      <c r="H89" s="23">
        <v>3144.49</v>
      </c>
      <c r="I89" s="23">
        <v>0</v>
      </c>
      <c r="J89" s="23">
        <v>0</v>
      </c>
      <c r="K89" s="23">
        <v>0</v>
      </c>
      <c r="L89" s="23">
        <v>-831.67</v>
      </c>
      <c r="M89" s="24">
        <v>0</v>
      </c>
      <c r="N89" s="23">
        <v>-75</v>
      </c>
      <c r="O89" s="24">
        <f t="shared" si="7"/>
        <v>2237.8199999999997</v>
      </c>
      <c r="P89" s="23">
        <v>-2321.4285714285716</v>
      </c>
      <c r="Q89" s="23">
        <v>0</v>
      </c>
      <c r="R89" s="23">
        <v>-500</v>
      </c>
      <c r="S89" s="23">
        <v>0</v>
      </c>
      <c r="T89" s="23">
        <v>0</v>
      </c>
      <c r="U89" s="23">
        <v>0</v>
      </c>
      <c r="V89" s="23">
        <v>0</v>
      </c>
      <c r="W89" s="23">
        <f t="shared" si="8"/>
        <v>-583.60857142857185</v>
      </c>
      <c r="X89" s="23">
        <f t="shared" si="9"/>
        <v>0</v>
      </c>
      <c r="Y89" s="23">
        <f t="shared" si="10"/>
        <v>-583.60857142857185</v>
      </c>
      <c r="Z89" s="23">
        <v>584</v>
      </c>
      <c r="AA89" s="23">
        <f t="shared" si="11"/>
        <v>0.39142857142815046</v>
      </c>
      <c r="AB89" s="23">
        <f t="shared" si="12"/>
        <v>2822.2114285714279</v>
      </c>
      <c r="AC89" s="20"/>
      <c r="AD89" s="20" t="s">
        <v>248</v>
      </c>
      <c r="AE89" s="11" t="str">
        <f t="shared" si="13"/>
        <v>X24APU6</v>
      </c>
    </row>
    <row r="90" spans="1:31" ht="12.75" hidden="1" customHeight="1" x14ac:dyDescent="0.3">
      <c r="A90" s="8">
        <v>6</v>
      </c>
      <c r="B90" s="22" t="s">
        <v>266</v>
      </c>
      <c r="C90" s="20" t="s">
        <v>50</v>
      </c>
      <c r="D90" s="20" t="s">
        <v>267</v>
      </c>
      <c r="E90" s="22" t="s">
        <v>232</v>
      </c>
      <c r="F90" s="22" t="s">
        <v>233</v>
      </c>
      <c r="G90" s="22" t="s">
        <v>234</v>
      </c>
      <c r="H90" s="27">
        <v>659.52</v>
      </c>
      <c r="I90" s="23">
        <v>0</v>
      </c>
      <c r="J90" s="23">
        <v>0</v>
      </c>
      <c r="K90" s="23">
        <v>0</v>
      </c>
      <c r="L90" s="23">
        <v>-220</v>
      </c>
      <c r="M90" s="24">
        <v>0</v>
      </c>
      <c r="N90" s="23">
        <v>-114</v>
      </c>
      <c r="O90" s="24">
        <f t="shared" si="7"/>
        <v>325.52</v>
      </c>
      <c r="P90" s="23">
        <v>-1786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f t="shared" si="8"/>
        <v>-1460.48</v>
      </c>
      <c r="X90" s="23">
        <f t="shared" si="9"/>
        <v>0</v>
      </c>
      <c r="Y90" s="23">
        <f t="shared" si="10"/>
        <v>-1460.48</v>
      </c>
      <c r="Z90" s="23">
        <v>3167</v>
      </c>
      <c r="AA90" s="23">
        <f t="shared" si="11"/>
        <v>1706.52</v>
      </c>
      <c r="AB90" s="23">
        <f t="shared" si="12"/>
        <v>5199.04</v>
      </c>
      <c r="AC90" s="20" t="s">
        <v>280</v>
      </c>
      <c r="AD90" s="20" t="str">
        <f>VLOOKUP($C90,'[1]CTRL AUTOS'!$E:$AH,2,0)</f>
        <v>NBS225A</v>
      </c>
      <c r="AE90" s="11" t="str">
        <f t="shared" si="13"/>
        <v>NBS225A6</v>
      </c>
    </row>
    <row r="91" spans="1:31" ht="12.75" hidden="1" customHeight="1" x14ac:dyDescent="0.3">
      <c r="A91" s="8">
        <v>6</v>
      </c>
      <c r="B91" s="20" t="s">
        <v>281</v>
      </c>
      <c r="C91" s="20" t="s">
        <v>34</v>
      </c>
      <c r="D91" s="20" t="s">
        <v>237</v>
      </c>
      <c r="E91" s="22" t="s">
        <v>232</v>
      </c>
      <c r="F91" s="22" t="s">
        <v>232</v>
      </c>
      <c r="G91" s="22" t="s">
        <v>234</v>
      </c>
      <c r="H91" s="23">
        <v>3054.64</v>
      </c>
      <c r="I91" s="23">
        <v>0.31</v>
      </c>
      <c r="J91" s="23">
        <v>0</v>
      </c>
      <c r="K91" s="23">
        <v>0</v>
      </c>
      <c r="L91" s="23">
        <v>-1378.41</v>
      </c>
      <c r="M91" s="24">
        <v>-0.83</v>
      </c>
      <c r="N91" s="23">
        <v>0</v>
      </c>
      <c r="O91" s="24">
        <f t="shared" si="7"/>
        <v>1675.7099999999998</v>
      </c>
      <c r="P91" s="23">
        <v>-1785.7142857142858</v>
      </c>
      <c r="Q91" s="23">
        <v>0</v>
      </c>
      <c r="R91" s="23">
        <v>-500</v>
      </c>
      <c r="S91" s="23">
        <v>0</v>
      </c>
      <c r="T91" s="23">
        <v>0</v>
      </c>
      <c r="U91" s="23">
        <v>0</v>
      </c>
      <c r="V91" s="23">
        <v>0</v>
      </c>
      <c r="W91" s="23">
        <f t="shared" si="8"/>
        <v>-610.00428571428597</v>
      </c>
      <c r="X91" s="23">
        <f t="shared" si="9"/>
        <v>0</v>
      </c>
      <c r="Y91" s="23">
        <f t="shared" si="10"/>
        <v>-610.00428571428597</v>
      </c>
      <c r="Z91" s="23">
        <v>0</v>
      </c>
      <c r="AA91" s="23">
        <f t="shared" si="11"/>
        <v>-610.00428571428597</v>
      </c>
      <c r="AB91" s="23">
        <f t="shared" si="12"/>
        <v>1065.7057142857138</v>
      </c>
      <c r="AC91" s="20"/>
      <c r="AD91" s="20" t="str">
        <f>VLOOKUP($C91,'[1]CTRL AUTOS'!$E:$AH,2,0)</f>
        <v>X59AWG</v>
      </c>
      <c r="AE91" s="11" t="str">
        <f t="shared" si="13"/>
        <v>X59AWG6</v>
      </c>
    </row>
    <row r="92" spans="1:31" ht="12.75" hidden="1" customHeight="1" x14ac:dyDescent="0.3">
      <c r="A92" s="8">
        <v>6</v>
      </c>
      <c r="B92" s="20" t="s">
        <v>45</v>
      </c>
      <c r="C92" s="20" t="s">
        <v>249</v>
      </c>
      <c r="D92" s="25" t="s">
        <v>250</v>
      </c>
      <c r="E92" s="22" t="s">
        <v>232</v>
      </c>
      <c r="F92" s="22" t="s">
        <v>232</v>
      </c>
      <c r="G92" s="22" t="s">
        <v>234</v>
      </c>
      <c r="H92" s="23">
        <v>5375.28</v>
      </c>
      <c r="I92" s="23">
        <v>28.799999999999997</v>
      </c>
      <c r="J92" s="23">
        <v>0</v>
      </c>
      <c r="K92" s="23">
        <v>0</v>
      </c>
      <c r="L92" s="23">
        <v>-1997.86</v>
      </c>
      <c r="M92" s="24">
        <v>-67</v>
      </c>
      <c r="N92" s="23">
        <v>0</v>
      </c>
      <c r="O92" s="24">
        <f t="shared" si="7"/>
        <v>3339.2200000000003</v>
      </c>
      <c r="P92" s="23">
        <v>-2300</v>
      </c>
      <c r="Q92" s="23">
        <v>0</v>
      </c>
      <c r="R92" s="23">
        <v>0</v>
      </c>
      <c r="S92" s="28">
        <v>-500</v>
      </c>
      <c r="T92" s="23">
        <v>0</v>
      </c>
      <c r="U92" s="23">
        <v>0</v>
      </c>
      <c r="V92" s="23">
        <v>0</v>
      </c>
      <c r="W92" s="23">
        <f t="shared" si="8"/>
        <v>539.22000000000025</v>
      </c>
      <c r="X92" s="23">
        <f t="shared" si="9"/>
        <v>539.22000000000025</v>
      </c>
      <c r="Y92" s="23">
        <f t="shared" si="10"/>
        <v>0</v>
      </c>
      <c r="Z92" s="23">
        <v>0</v>
      </c>
      <c r="AA92" s="23">
        <f t="shared" si="11"/>
        <v>0</v>
      </c>
      <c r="AB92" s="23">
        <f t="shared" si="12"/>
        <v>2800</v>
      </c>
      <c r="AC92" s="20"/>
      <c r="AD92" s="20" t="s">
        <v>251</v>
      </c>
      <c r="AE92" s="11" t="str">
        <f t="shared" si="13"/>
        <v>BAJA DE PLACAS6</v>
      </c>
    </row>
    <row r="93" spans="1:31" ht="12.75" hidden="1" customHeight="1" x14ac:dyDescent="0.3">
      <c r="A93" s="8">
        <v>6</v>
      </c>
      <c r="B93" s="29" t="s">
        <v>282</v>
      </c>
      <c r="C93" s="20" t="s">
        <v>75</v>
      </c>
      <c r="D93" s="30" t="s">
        <v>283</v>
      </c>
      <c r="E93" s="22" t="s">
        <v>241</v>
      </c>
      <c r="F93" s="22" t="s">
        <v>232</v>
      </c>
      <c r="G93" s="22" t="s">
        <v>234</v>
      </c>
      <c r="H93" s="23">
        <v>2278.65</v>
      </c>
      <c r="I93" s="23">
        <v>0</v>
      </c>
      <c r="J93" s="23">
        <v>0</v>
      </c>
      <c r="K93" s="23">
        <v>0</v>
      </c>
      <c r="L93" s="23">
        <v>-1184.24</v>
      </c>
      <c r="M93" s="24">
        <v>0</v>
      </c>
      <c r="N93" s="23">
        <v>0</v>
      </c>
      <c r="O93" s="24">
        <f t="shared" si="7"/>
        <v>1094.4100000000001</v>
      </c>
      <c r="P93" s="23">
        <v>-1785.7142857142858</v>
      </c>
      <c r="Q93" s="23">
        <v>0</v>
      </c>
      <c r="R93" s="23">
        <v>-500</v>
      </c>
      <c r="S93" s="23">
        <v>0</v>
      </c>
      <c r="T93" s="23">
        <v>0</v>
      </c>
      <c r="U93" s="23">
        <v>0</v>
      </c>
      <c r="V93" s="23">
        <v>0</v>
      </c>
      <c r="W93" s="23">
        <f t="shared" si="8"/>
        <v>-1191.3042857142857</v>
      </c>
      <c r="X93" s="23">
        <f t="shared" si="9"/>
        <v>0</v>
      </c>
      <c r="Y93" s="23">
        <f t="shared" si="10"/>
        <v>-1191.3042857142857</v>
      </c>
      <c r="Z93" s="23">
        <v>0</v>
      </c>
      <c r="AA93" s="23">
        <f t="shared" si="11"/>
        <v>-1191.3042857142857</v>
      </c>
      <c r="AB93" s="23">
        <f t="shared" si="12"/>
        <v>-96.894285714285616</v>
      </c>
      <c r="AC93" s="20"/>
      <c r="AD93" s="20" t="str">
        <f>VLOOKUP($C93,'[1]CTRL AUTOS'!$E:$AH,2,0)</f>
        <v>NFN014B</v>
      </c>
      <c r="AE93" s="11" t="str">
        <f t="shared" si="13"/>
        <v>NFN014B6</v>
      </c>
    </row>
    <row r="94" spans="1:31" ht="12.75" hidden="1" customHeight="1" x14ac:dyDescent="0.3">
      <c r="A94" s="8">
        <v>6</v>
      </c>
      <c r="B94" s="20" t="s">
        <v>252</v>
      </c>
      <c r="C94" s="20" t="s">
        <v>22</v>
      </c>
      <c r="D94" s="25" t="s">
        <v>253</v>
      </c>
      <c r="E94" s="22" t="s">
        <v>232</v>
      </c>
      <c r="F94" s="22" t="s">
        <v>233</v>
      </c>
      <c r="G94" s="22" t="s">
        <v>234</v>
      </c>
      <c r="H94" s="27">
        <v>4559.7</v>
      </c>
      <c r="I94" s="23">
        <v>8</v>
      </c>
      <c r="J94" s="23">
        <v>0</v>
      </c>
      <c r="K94" s="23">
        <v>0</v>
      </c>
      <c r="L94" s="23">
        <v>-1681.88</v>
      </c>
      <c r="M94" s="24">
        <v>0</v>
      </c>
      <c r="N94" s="23">
        <v>0</v>
      </c>
      <c r="O94" s="24">
        <f t="shared" si="7"/>
        <v>2885.8199999999997</v>
      </c>
      <c r="P94" s="23">
        <v>-2500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f t="shared" si="8"/>
        <v>385.81999999999971</v>
      </c>
      <c r="X94" s="23">
        <f t="shared" si="9"/>
        <v>385.81999999999971</v>
      </c>
      <c r="Y94" s="23">
        <f t="shared" si="10"/>
        <v>0</v>
      </c>
      <c r="Z94" s="23">
        <v>0</v>
      </c>
      <c r="AA94" s="23">
        <f t="shared" si="11"/>
        <v>0</v>
      </c>
      <c r="AB94" s="23">
        <f t="shared" si="12"/>
        <v>2500</v>
      </c>
      <c r="AC94" s="20"/>
      <c r="AD94" s="20" t="str">
        <f>VLOOKUP($C94,'[1]CTRL AUTOS'!$E:$AH,2,0)</f>
        <v>NCK475B</v>
      </c>
      <c r="AE94" s="11" t="str">
        <f t="shared" si="13"/>
        <v>NCK475B6</v>
      </c>
    </row>
    <row r="95" spans="1:31" ht="12.75" hidden="1" customHeight="1" x14ac:dyDescent="0.3">
      <c r="A95" s="8">
        <v>7</v>
      </c>
      <c r="B95" s="20" t="s">
        <v>80</v>
      </c>
      <c r="C95" s="20" t="s">
        <v>230</v>
      </c>
      <c r="D95" s="20" t="s">
        <v>231</v>
      </c>
      <c r="E95" s="22" t="s">
        <v>232</v>
      </c>
      <c r="F95" s="20" t="s">
        <v>233</v>
      </c>
      <c r="G95" s="22" t="s">
        <v>234</v>
      </c>
      <c r="H95" s="31">
        <v>0</v>
      </c>
      <c r="I95" s="23">
        <v>0</v>
      </c>
      <c r="J95" s="23">
        <v>0</v>
      </c>
      <c r="K95" s="23">
        <v>0</v>
      </c>
      <c r="L95" s="23">
        <v>0</v>
      </c>
      <c r="M95" s="24">
        <v>0</v>
      </c>
      <c r="N95" s="23">
        <v>0</v>
      </c>
      <c r="O95" s="24">
        <f t="shared" si="7"/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f t="shared" si="8"/>
        <v>0</v>
      </c>
      <c r="X95" s="23">
        <f t="shared" si="9"/>
        <v>0</v>
      </c>
      <c r="Y95" s="23">
        <f t="shared" si="10"/>
        <v>0</v>
      </c>
      <c r="Z95" s="23">
        <v>0</v>
      </c>
      <c r="AA95" s="23">
        <f t="shared" si="11"/>
        <v>0</v>
      </c>
      <c r="AB95" s="23">
        <f t="shared" si="12"/>
        <v>0</v>
      </c>
      <c r="AC95" s="20"/>
      <c r="AD95" s="20" t="s">
        <v>235</v>
      </c>
      <c r="AE95" s="11" t="str">
        <f t="shared" si="13"/>
        <v>NEB156A7</v>
      </c>
    </row>
    <row r="96" spans="1:31" ht="12.75" hidden="1" customHeight="1" x14ac:dyDescent="0.3">
      <c r="A96" s="8">
        <v>7</v>
      </c>
      <c r="B96" s="20" t="s">
        <v>238</v>
      </c>
      <c r="C96" s="20" t="s">
        <v>20</v>
      </c>
      <c r="D96" s="25" t="s">
        <v>239</v>
      </c>
      <c r="E96" s="22" t="s">
        <v>232</v>
      </c>
      <c r="F96" s="20" t="s">
        <v>233</v>
      </c>
      <c r="G96" s="22" t="s">
        <v>234</v>
      </c>
      <c r="H96" s="31">
        <v>0</v>
      </c>
      <c r="I96" s="23">
        <v>0</v>
      </c>
      <c r="J96" s="23">
        <v>0</v>
      </c>
      <c r="K96" s="23">
        <v>0</v>
      </c>
      <c r="L96" s="23">
        <v>0</v>
      </c>
      <c r="M96" s="24">
        <v>0</v>
      </c>
      <c r="N96" s="23">
        <v>0</v>
      </c>
      <c r="O96" s="24">
        <f t="shared" si="7"/>
        <v>0</v>
      </c>
      <c r="P96" s="23">
        <v>-2500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f t="shared" si="8"/>
        <v>-2500</v>
      </c>
      <c r="X96" s="23">
        <f t="shared" si="9"/>
        <v>0</v>
      </c>
      <c r="Y96" s="23">
        <f t="shared" si="10"/>
        <v>-2500</v>
      </c>
      <c r="Z96" s="23">
        <v>2500</v>
      </c>
      <c r="AA96" s="23">
        <f t="shared" si="11"/>
        <v>0</v>
      </c>
      <c r="AB96" s="23">
        <f t="shared" si="12"/>
        <v>2500</v>
      </c>
      <c r="AC96" s="20"/>
      <c r="AD96" s="20" t="str">
        <f>VLOOKUP($C96,'[1]CTRL AUTOS'!$E:$AH,2,0)</f>
        <v>D40BKD</v>
      </c>
      <c r="AE96" s="11" t="str">
        <f t="shared" si="13"/>
        <v>D40BKD7</v>
      </c>
    </row>
    <row r="97" spans="1:31" ht="12.75" hidden="1" customHeight="1" x14ac:dyDescent="0.3">
      <c r="A97" s="8">
        <v>7</v>
      </c>
      <c r="B97" s="20" t="s">
        <v>256</v>
      </c>
      <c r="C97" s="20" t="s">
        <v>46</v>
      </c>
      <c r="D97" s="20" t="s">
        <v>257</v>
      </c>
      <c r="E97" s="22" t="s">
        <v>232</v>
      </c>
      <c r="F97" s="20" t="s">
        <v>232</v>
      </c>
      <c r="G97" s="22" t="s">
        <v>234</v>
      </c>
      <c r="H97" s="32">
        <v>3240.77</v>
      </c>
      <c r="I97" s="32">
        <v>0</v>
      </c>
      <c r="J97" s="23">
        <v>0</v>
      </c>
      <c r="K97" s="23">
        <v>0</v>
      </c>
      <c r="L97" s="32">
        <v>-1738.57</v>
      </c>
      <c r="M97" s="24">
        <v>-26</v>
      </c>
      <c r="N97" s="23">
        <v>-295.29000000000002</v>
      </c>
      <c r="O97" s="24">
        <f t="shared" si="7"/>
        <v>1180.9100000000001</v>
      </c>
      <c r="P97" s="23">
        <v>-2500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f t="shared" si="8"/>
        <v>-1319.09</v>
      </c>
      <c r="X97" s="23">
        <f t="shared" si="9"/>
        <v>0</v>
      </c>
      <c r="Y97" s="23">
        <f t="shared" si="10"/>
        <v>-1319.09</v>
      </c>
      <c r="Z97" s="23">
        <v>0</v>
      </c>
      <c r="AA97" s="23">
        <f t="shared" si="11"/>
        <v>-1319.09</v>
      </c>
      <c r="AB97" s="23">
        <f t="shared" si="12"/>
        <v>-138.17999999999984</v>
      </c>
      <c r="AC97" s="20"/>
      <c r="AD97" s="20" t="str">
        <f>VLOOKUP($C97,'[1]CTRL AUTOS'!$E:$AH,2,0)</f>
        <v>R66BER</v>
      </c>
      <c r="AE97" s="11" t="str">
        <f t="shared" si="13"/>
        <v>R66BER7</v>
      </c>
    </row>
    <row r="98" spans="1:31" ht="12.75" hidden="1" customHeight="1" x14ac:dyDescent="0.3">
      <c r="A98" s="8">
        <v>7</v>
      </c>
      <c r="B98" s="20" t="s">
        <v>258</v>
      </c>
      <c r="C98" s="20" t="s">
        <v>40</v>
      </c>
      <c r="D98" s="25" t="s">
        <v>259</v>
      </c>
      <c r="E98" s="22" t="s">
        <v>232</v>
      </c>
      <c r="F98" s="20" t="s">
        <v>232</v>
      </c>
      <c r="G98" s="22" t="s">
        <v>234</v>
      </c>
      <c r="H98" s="32">
        <v>5003.53</v>
      </c>
      <c r="I98" s="32">
        <v>0</v>
      </c>
      <c r="J98" s="23">
        <v>0</v>
      </c>
      <c r="K98" s="23">
        <v>0</v>
      </c>
      <c r="L98" s="32">
        <v>-731.26</v>
      </c>
      <c r="M98" s="24">
        <v>-45</v>
      </c>
      <c r="N98" s="23">
        <v>-8.73</v>
      </c>
      <c r="O98" s="24">
        <f t="shared" si="7"/>
        <v>4218.54</v>
      </c>
      <c r="P98" s="23">
        <v>-96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f t="shared" si="8"/>
        <v>4122.54</v>
      </c>
      <c r="X98" s="23">
        <f t="shared" si="9"/>
        <v>4122.54</v>
      </c>
      <c r="Y98" s="23">
        <f t="shared" si="10"/>
        <v>0</v>
      </c>
      <c r="Z98" s="23">
        <v>0</v>
      </c>
      <c r="AA98" s="23">
        <f t="shared" si="11"/>
        <v>0</v>
      </c>
      <c r="AB98" s="23">
        <f t="shared" si="12"/>
        <v>96</v>
      </c>
      <c r="AC98" s="20"/>
      <c r="AD98" s="20" t="str">
        <f>VLOOKUP($C98,'[1]CTRL AUTOS'!$E:$AH,2,0)</f>
        <v>NEL860A</v>
      </c>
      <c r="AE98" s="11" t="str">
        <f t="shared" si="13"/>
        <v>NEL860A7</v>
      </c>
    </row>
    <row r="99" spans="1:31" ht="12.75" hidden="1" customHeight="1" x14ac:dyDescent="0.3">
      <c r="A99" s="8">
        <v>7</v>
      </c>
      <c r="B99" s="20" t="s">
        <v>264</v>
      </c>
      <c r="C99" s="20" t="s">
        <v>168</v>
      </c>
      <c r="D99" s="20" t="s">
        <v>265</v>
      </c>
      <c r="E99" s="22" t="s">
        <v>232</v>
      </c>
      <c r="F99" s="20" t="s">
        <v>232</v>
      </c>
      <c r="G99" s="22" t="s">
        <v>234</v>
      </c>
      <c r="H99" s="32">
        <v>79.680000000000007</v>
      </c>
      <c r="I99" s="32">
        <v>0</v>
      </c>
      <c r="J99" s="23">
        <v>0</v>
      </c>
      <c r="K99" s="23">
        <v>0</v>
      </c>
      <c r="L99" s="32">
        <v>0</v>
      </c>
      <c r="M99" s="24">
        <v>0</v>
      </c>
      <c r="N99" s="23">
        <v>-71</v>
      </c>
      <c r="O99" s="24">
        <f t="shared" si="7"/>
        <v>8.6800000000000068</v>
      </c>
      <c r="P99" s="23">
        <v>0</v>
      </c>
      <c r="Q99" s="23">
        <v>0</v>
      </c>
      <c r="R99" s="23">
        <v>0</v>
      </c>
      <c r="S99" s="23">
        <v>0</v>
      </c>
      <c r="T99" s="23">
        <v>0</v>
      </c>
      <c r="U99" s="23">
        <v>0</v>
      </c>
      <c r="V99" s="23">
        <v>0</v>
      </c>
      <c r="W99" s="23">
        <f t="shared" si="8"/>
        <v>8.6800000000000068</v>
      </c>
      <c r="X99" s="23">
        <f t="shared" si="9"/>
        <v>8.6800000000000068</v>
      </c>
      <c r="Y99" s="23">
        <f t="shared" si="10"/>
        <v>0</v>
      </c>
      <c r="Z99" s="23">
        <v>0</v>
      </c>
      <c r="AA99" s="23">
        <f t="shared" si="11"/>
        <v>0</v>
      </c>
      <c r="AB99" s="23">
        <f t="shared" si="12"/>
        <v>0</v>
      </c>
      <c r="AC99" s="20"/>
      <c r="AD99" s="20" t="e">
        <f>VLOOKUP($C99,'[1]CTRL AUTOS'!$E:$AH,2,0)</f>
        <v>#N/A</v>
      </c>
      <c r="AE99" s="11" t="e">
        <f t="shared" si="13"/>
        <v>#N/A</v>
      </c>
    </row>
    <row r="100" spans="1:31" ht="12.75" hidden="1" customHeight="1" x14ac:dyDescent="0.3">
      <c r="A100" s="8">
        <v>7</v>
      </c>
      <c r="B100" s="20" t="s">
        <v>260</v>
      </c>
      <c r="C100" s="22" t="s">
        <v>97</v>
      </c>
      <c r="D100" s="20" t="s">
        <v>273</v>
      </c>
      <c r="E100" s="22" t="s">
        <v>232</v>
      </c>
      <c r="F100" s="20" t="s">
        <v>232</v>
      </c>
      <c r="G100" s="22" t="s">
        <v>234</v>
      </c>
      <c r="H100" s="32">
        <v>4390.43</v>
      </c>
      <c r="I100" s="32">
        <v>0</v>
      </c>
      <c r="J100" s="23">
        <v>0</v>
      </c>
      <c r="K100" s="23">
        <v>0</v>
      </c>
      <c r="L100" s="32">
        <v>-1581.18</v>
      </c>
      <c r="M100" s="24">
        <v>0</v>
      </c>
      <c r="N100" s="23">
        <v>0</v>
      </c>
      <c r="O100" s="24">
        <f t="shared" si="7"/>
        <v>2809.25</v>
      </c>
      <c r="P100" s="23">
        <v>-56</v>
      </c>
      <c r="Q100" s="23">
        <v>0</v>
      </c>
      <c r="R100" s="23">
        <v>0</v>
      </c>
      <c r="S100" s="23">
        <v>-300</v>
      </c>
      <c r="T100" s="23">
        <v>0</v>
      </c>
      <c r="U100" s="23">
        <v>0</v>
      </c>
      <c r="V100" s="23">
        <v>0</v>
      </c>
      <c r="W100" s="23">
        <f t="shared" si="8"/>
        <v>2453.25</v>
      </c>
      <c r="X100" s="23">
        <f t="shared" si="9"/>
        <v>2453.25</v>
      </c>
      <c r="Y100" s="23">
        <f t="shared" si="10"/>
        <v>0</v>
      </c>
      <c r="Z100" s="23">
        <v>0</v>
      </c>
      <c r="AA100" s="23">
        <f t="shared" si="11"/>
        <v>0</v>
      </c>
      <c r="AB100" s="23">
        <f t="shared" si="12"/>
        <v>356</v>
      </c>
      <c r="AC100" s="20"/>
      <c r="AD100" s="20" t="str">
        <f>VLOOKUP($C100,'[1]CTRL AUTOS'!$E:$AH,2,0)</f>
        <v>MUF515A</v>
      </c>
      <c r="AE100" s="11" t="str">
        <f t="shared" si="13"/>
        <v>MUF515A7</v>
      </c>
    </row>
    <row r="101" spans="1:31" ht="12.75" hidden="1" customHeight="1" x14ac:dyDescent="0.3">
      <c r="A101" s="8">
        <v>7</v>
      </c>
      <c r="B101" s="20" t="s">
        <v>72</v>
      </c>
      <c r="C101" s="20" t="s">
        <v>28</v>
      </c>
      <c r="D101" s="20" t="s">
        <v>274</v>
      </c>
      <c r="E101" s="22" t="s">
        <v>232</v>
      </c>
      <c r="F101" s="20" t="s">
        <v>232</v>
      </c>
      <c r="G101" s="22" t="s">
        <v>234</v>
      </c>
      <c r="H101" s="32">
        <v>9463.2000000000007</v>
      </c>
      <c r="I101" s="32">
        <v>-55.2</v>
      </c>
      <c r="J101" s="23">
        <v>0</v>
      </c>
      <c r="K101" s="23">
        <v>0</v>
      </c>
      <c r="L101" s="32">
        <v>-5047.87</v>
      </c>
      <c r="M101" s="24">
        <v>-98</v>
      </c>
      <c r="N101" s="23">
        <v>-431.45</v>
      </c>
      <c r="O101" s="24">
        <f t="shared" si="7"/>
        <v>3830.6800000000003</v>
      </c>
      <c r="P101" s="23">
        <v>-85</v>
      </c>
      <c r="Q101" s="23">
        <v>-500</v>
      </c>
      <c r="R101" s="23">
        <v>0</v>
      </c>
      <c r="S101" s="23">
        <v>-500</v>
      </c>
      <c r="T101" s="23">
        <v>0</v>
      </c>
      <c r="U101" s="23">
        <v>0</v>
      </c>
      <c r="V101" s="23">
        <v>0</v>
      </c>
      <c r="W101" s="23">
        <f t="shared" si="8"/>
        <v>2745.6800000000003</v>
      </c>
      <c r="X101" s="23">
        <f t="shared" si="9"/>
        <v>2745.6800000000003</v>
      </c>
      <c r="Y101" s="23">
        <f t="shared" si="10"/>
        <v>0</v>
      </c>
      <c r="Z101" s="23">
        <v>0</v>
      </c>
      <c r="AA101" s="23">
        <f t="shared" si="11"/>
        <v>0</v>
      </c>
      <c r="AB101" s="23">
        <f t="shared" si="12"/>
        <v>1085</v>
      </c>
      <c r="AC101" s="20"/>
      <c r="AD101" s="20" t="str">
        <f>VLOOKUP($C101,'[1]CTRL AUTOS'!$E:$AH,2,0)</f>
        <v>NCT814A</v>
      </c>
      <c r="AE101" s="11" t="str">
        <f t="shared" si="13"/>
        <v>NCT814A7</v>
      </c>
    </row>
    <row r="102" spans="1:31" ht="12.75" hidden="1" customHeight="1" x14ac:dyDescent="0.3">
      <c r="A102" s="8">
        <v>7</v>
      </c>
      <c r="B102" s="20" t="s">
        <v>244</v>
      </c>
      <c r="C102" s="20" t="s">
        <v>4</v>
      </c>
      <c r="D102" s="20" t="s">
        <v>245</v>
      </c>
      <c r="E102" s="22" t="s">
        <v>232</v>
      </c>
      <c r="F102" s="20" t="s">
        <v>232</v>
      </c>
      <c r="G102" s="22" t="s">
        <v>234</v>
      </c>
      <c r="H102" s="32">
        <v>5882.5</v>
      </c>
      <c r="I102" s="32">
        <v>0</v>
      </c>
      <c r="J102" s="23">
        <v>0</v>
      </c>
      <c r="K102" s="23">
        <v>0</v>
      </c>
      <c r="L102" s="32">
        <v>-2894.54</v>
      </c>
      <c r="M102" s="24">
        <v>-49</v>
      </c>
      <c r="N102" s="23">
        <v>0</v>
      </c>
      <c r="O102" s="24">
        <f t="shared" si="7"/>
        <v>2938.96</v>
      </c>
      <c r="P102" s="23">
        <v>-45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f t="shared" si="8"/>
        <v>2893.96</v>
      </c>
      <c r="X102" s="23">
        <f t="shared" si="9"/>
        <v>2893.96</v>
      </c>
      <c r="Y102" s="23">
        <f t="shared" si="10"/>
        <v>0</v>
      </c>
      <c r="Z102" s="23">
        <v>0</v>
      </c>
      <c r="AA102" s="23">
        <f t="shared" si="11"/>
        <v>0</v>
      </c>
      <c r="AB102" s="23">
        <f t="shared" si="12"/>
        <v>45</v>
      </c>
      <c r="AC102" s="20"/>
      <c r="AD102" s="20" t="str">
        <f>VLOOKUP($C102,'[1]CTRL AUTOS'!$E:$AH,2,0)</f>
        <v>N15BKD</v>
      </c>
      <c r="AE102" s="11" t="str">
        <f t="shared" si="13"/>
        <v>N15BKD7</v>
      </c>
    </row>
    <row r="103" spans="1:31" ht="12.75" hidden="1" customHeight="1" x14ac:dyDescent="0.3">
      <c r="A103" s="8">
        <v>7</v>
      </c>
      <c r="B103" s="20" t="s">
        <v>35</v>
      </c>
      <c r="C103" s="20" t="s">
        <v>69</v>
      </c>
      <c r="D103" s="20" t="s">
        <v>262</v>
      </c>
      <c r="E103" s="22" t="s">
        <v>241</v>
      </c>
      <c r="F103" s="20" t="s">
        <v>232</v>
      </c>
      <c r="G103" s="22" t="s">
        <v>234</v>
      </c>
      <c r="H103" s="32">
        <v>7845.5</v>
      </c>
      <c r="I103" s="32">
        <v>-104.80000000000001</v>
      </c>
      <c r="J103" s="23">
        <v>0</v>
      </c>
      <c r="K103" s="23">
        <v>0</v>
      </c>
      <c r="L103" s="32">
        <v>-5215.32</v>
      </c>
      <c r="M103" s="24">
        <v>-78</v>
      </c>
      <c r="N103" s="23">
        <v>0</v>
      </c>
      <c r="O103" s="24">
        <f t="shared" si="7"/>
        <v>2447.38</v>
      </c>
      <c r="P103" s="23">
        <v>-78</v>
      </c>
      <c r="Q103" s="23">
        <v>58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f t="shared" si="8"/>
        <v>2427.38</v>
      </c>
      <c r="X103" s="23">
        <f t="shared" si="9"/>
        <v>2427.38</v>
      </c>
      <c r="Y103" s="23">
        <f t="shared" si="10"/>
        <v>0</v>
      </c>
      <c r="Z103" s="23">
        <v>0</v>
      </c>
      <c r="AA103" s="23">
        <f t="shared" si="11"/>
        <v>0</v>
      </c>
      <c r="AB103" s="23">
        <f t="shared" si="12"/>
        <v>20</v>
      </c>
      <c r="AC103" s="20"/>
      <c r="AD103" s="20" t="str">
        <f>VLOOKUP($C103,'[1]CTRL AUTOS'!$E:$AH,2,0)</f>
        <v>R51BKD</v>
      </c>
      <c r="AE103" s="11" t="str">
        <f t="shared" si="13"/>
        <v>R51BKD7</v>
      </c>
    </row>
    <row r="104" spans="1:31" ht="12.75" hidden="1" customHeight="1" x14ac:dyDescent="0.3">
      <c r="A104" s="8">
        <v>7</v>
      </c>
      <c r="B104" s="20" t="s">
        <v>37</v>
      </c>
      <c r="C104" s="20" t="s">
        <v>246</v>
      </c>
      <c r="D104" s="20" t="s">
        <v>247</v>
      </c>
      <c r="E104" s="22" t="s">
        <v>232</v>
      </c>
      <c r="F104" s="20" t="s">
        <v>232</v>
      </c>
      <c r="G104" s="22" t="s">
        <v>234</v>
      </c>
      <c r="H104" s="32">
        <v>2538.63</v>
      </c>
      <c r="I104" s="32">
        <v>0</v>
      </c>
      <c r="J104" s="23">
        <v>0</v>
      </c>
      <c r="K104" s="23">
        <v>0</v>
      </c>
      <c r="L104" s="32">
        <v>-532.49</v>
      </c>
      <c r="M104" s="24">
        <v>-23</v>
      </c>
      <c r="N104" s="23">
        <v>0</v>
      </c>
      <c r="O104" s="24">
        <f t="shared" si="7"/>
        <v>1983.14</v>
      </c>
      <c r="P104" s="23">
        <v>-2500</v>
      </c>
      <c r="Q104" s="23">
        <v>0</v>
      </c>
      <c r="R104" s="23">
        <v>-326</v>
      </c>
      <c r="S104" s="23">
        <v>0</v>
      </c>
      <c r="T104" s="23">
        <v>0</v>
      </c>
      <c r="U104" s="23">
        <v>0</v>
      </c>
      <c r="V104" s="23">
        <v>0</v>
      </c>
      <c r="W104" s="23">
        <f t="shared" si="8"/>
        <v>-842.8599999999999</v>
      </c>
      <c r="X104" s="23">
        <f t="shared" si="9"/>
        <v>0</v>
      </c>
      <c r="Y104" s="23">
        <f t="shared" si="10"/>
        <v>-842.8599999999999</v>
      </c>
      <c r="Z104" s="23">
        <v>843</v>
      </c>
      <c r="AA104" s="23">
        <f t="shared" si="11"/>
        <v>0.14000000000010004</v>
      </c>
      <c r="AB104" s="23">
        <f t="shared" si="12"/>
        <v>2826.2800000000007</v>
      </c>
      <c r="AC104" s="20"/>
      <c r="AD104" s="20" t="s">
        <v>248</v>
      </c>
      <c r="AE104" s="11" t="str">
        <f t="shared" si="13"/>
        <v>X24APU7</v>
      </c>
    </row>
    <row r="105" spans="1:31" ht="12.75" hidden="1" customHeight="1" x14ac:dyDescent="0.3">
      <c r="A105" s="8">
        <v>7</v>
      </c>
      <c r="B105" s="20" t="s">
        <v>266</v>
      </c>
      <c r="C105" s="20" t="s">
        <v>50</v>
      </c>
      <c r="D105" s="20" t="s">
        <v>267</v>
      </c>
      <c r="E105" s="22" t="s">
        <v>232</v>
      </c>
      <c r="F105" s="20" t="s">
        <v>233</v>
      </c>
      <c r="G105" s="22" t="s">
        <v>234</v>
      </c>
      <c r="H105" s="31">
        <v>0</v>
      </c>
      <c r="I105" s="23">
        <v>0</v>
      </c>
      <c r="J105" s="23">
        <v>0</v>
      </c>
      <c r="K105" s="23">
        <v>0</v>
      </c>
      <c r="L105" s="23">
        <v>0</v>
      </c>
      <c r="M105" s="24">
        <v>0</v>
      </c>
      <c r="N105" s="23">
        <v>0</v>
      </c>
      <c r="O105" s="24">
        <f t="shared" si="7"/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f t="shared" si="8"/>
        <v>0</v>
      </c>
      <c r="X105" s="23">
        <f t="shared" si="9"/>
        <v>0</v>
      </c>
      <c r="Y105" s="23">
        <f t="shared" si="10"/>
        <v>0</v>
      </c>
      <c r="Z105" s="23">
        <v>0</v>
      </c>
      <c r="AA105" s="23">
        <f t="shared" si="11"/>
        <v>0</v>
      </c>
      <c r="AB105" s="23">
        <f t="shared" si="12"/>
        <v>0</v>
      </c>
      <c r="AC105" s="20"/>
      <c r="AD105" s="20" t="str">
        <f>VLOOKUP($C105,'[1]CTRL AUTOS'!$E:$AH,2,0)</f>
        <v>NBS225A</v>
      </c>
      <c r="AE105" s="11" t="str">
        <f t="shared" si="13"/>
        <v>NBS225A7</v>
      </c>
    </row>
    <row r="106" spans="1:31" ht="12.75" hidden="1" customHeight="1" x14ac:dyDescent="0.3">
      <c r="A106" s="8">
        <v>7</v>
      </c>
      <c r="B106" s="20" t="s">
        <v>281</v>
      </c>
      <c r="C106" s="20" t="s">
        <v>34</v>
      </c>
      <c r="D106" s="20" t="s">
        <v>237</v>
      </c>
      <c r="E106" s="22" t="s">
        <v>232</v>
      </c>
      <c r="F106" s="20" t="s">
        <v>232</v>
      </c>
      <c r="G106" s="22" t="s">
        <v>234</v>
      </c>
      <c r="H106" s="32">
        <v>4591.28</v>
      </c>
      <c r="I106" s="32">
        <v>0</v>
      </c>
      <c r="J106" s="23">
        <v>0</v>
      </c>
      <c r="K106" s="23">
        <v>0</v>
      </c>
      <c r="L106" s="32">
        <v>-2715.4</v>
      </c>
      <c r="M106" s="24">
        <v>-29</v>
      </c>
      <c r="N106" s="23">
        <v>0</v>
      </c>
      <c r="O106" s="24">
        <f t="shared" si="7"/>
        <v>1846.8799999999997</v>
      </c>
      <c r="P106" s="23">
        <v>-2500</v>
      </c>
      <c r="Q106" s="23">
        <v>0</v>
      </c>
      <c r="R106" s="23">
        <v>-500</v>
      </c>
      <c r="S106" s="23">
        <v>0</v>
      </c>
      <c r="T106" s="23">
        <v>0</v>
      </c>
      <c r="U106" s="23">
        <v>0</v>
      </c>
      <c r="V106" s="23">
        <v>0</v>
      </c>
      <c r="W106" s="23">
        <f t="shared" si="8"/>
        <v>-1153.1200000000003</v>
      </c>
      <c r="X106" s="23">
        <f t="shared" si="9"/>
        <v>0</v>
      </c>
      <c r="Y106" s="23">
        <f t="shared" si="10"/>
        <v>-1153.1200000000003</v>
      </c>
      <c r="Z106" s="23">
        <v>0</v>
      </c>
      <c r="AA106" s="23">
        <f t="shared" si="11"/>
        <v>-1153.1200000000003</v>
      </c>
      <c r="AB106" s="23">
        <f t="shared" si="12"/>
        <v>693.75999999999931</v>
      </c>
      <c r="AC106" s="20"/>
      <c r="AD106" s="20" t="str">
        <f>VLOOKUP($C106,'[1]CTRL AUTOS'!$E:$AH,2,0)</f>
        <v>X59AWG</v>
      </c>
      <c r="AE106" s="11" t="str">
        <f t="shared" si="13"/>
        <v>X59AWG7</v>
      </c>
    </row>
    <row r="107" spans="1:31" ht="12.75" hidden="1" customHeight="1" x14ac:dyDescent="0.3">
      <c r="A107" s="8">
        <v>7</v>
      </c>
      <c r="B107" s="20" t="s">
        <v>45</v>
      </c>
      <c r="C107" s="20" t="s">
        <v>249</v>
      </c>
      <c r="D107" s="20" t="s">
        <v>250</v>
      </c>
      <c r="E107" s="22" t="s">
        <v>232</v>
      </c>
      <c r="F107" s="20" t="s">
        <v>232</v>
      </c>
      <c r="G107" s="22" t="s">
        <v>234</v>
      </c>
      <c r="H107" s="32">
        <v>4677.2</v>
      </c>
      <c r="I107" s="32">
        <v>-48</v>
      </c>
      <c r="J107" s="23">
        <v>0</v>
      </c>
      <c r="K107" s="23">
        <v>0</v>
      </c>
      <c r="L107" s="32">
        <v>-1618.04</v>
      </c>
      <c r="M107" s="24">
        <v>-34</v>
      </c>
      <c r="N107" s="23">
        <v>-156</v>
      </c>
      <c r="O107" s="24">
        <f t="shared" si="7"/>
        <v>2821.16</v>
      </c>
      <c r="P107" s="23">
        <v>-67</v>
      </c>
      <c r="Q107" s="23">
        <v>0</v>
      </c>
      <c r="R107" s="23">
        <v>0</v>
      </c>
      <c r="S107" s="23">
        <v>-500</v>
      </c>
      <c r="T107" s="23">
        <v>0</v>
      </c>
      <c r="U107" s="23">
        <v>0</v>
      </c>
      <c r="V107" s="23">
        <v>0</v>
      </c>
      <c r="W107" s="23">
        <f t="shared" si="8"/>
        <v>2254.16</v>
      </c>
      <c r="X107" s="23">
        <f t="shared" si="9"/>
        <v>2254.16</v>
      </c>
      <c r="Y107" s="23">
        <f t="shared" si="10"/>
        <v>0</v>
      </c>
      <c r="Z107" s="23">
        <v>0</v>
      </c>
      <c r="AA107" s="23">
        <f t="shared" si="11"/>
        <v>0</v>
      </c>
      <c r="AB107" s="23">
        <f t="shared" si="12"/>
        <v>567</v>
      </c>
      <c r="AC107" s="20"/>
      <c r="AD107" s="20" t="s">
        <v>251</v>
      </c>
      <c r="AE107" s="11" t="str">
        <f t="shared" si="13"/>
        <v>BAJA DE PLACAS7</v>
      </c>
    </row>
    <row r="108" spans="1:31" ht="12.75" hidden="1" customHeight="1" x14ac:dyDescent="0.3">
      <c r="A108" s="8">
        <v>7</v>
      </c>
      <c r="B108" s="20" t="s">
        <v>282</v>
      </c>
      <c r="C108" s="20" t="s">
        <v>75</v>
      </c>
      <c r="D108" s="20" t="s">
        <v>237</v>
      </c>
      <c r="E108" s="22" t="s">
        <v>241</v>
      </c>
      <c r="F108" s="20" t="s">
        <v>232</v>
      </c>
      <c r="G108" s="22" t="s">
        <v>234</v>
      </c>
      <c r="H108" s="32">
        <v>3796.1</v>
      </c>
      <c r="I108" s="32">
        <v>0</v>
      </c>
      <c r="J108" s="23">
        <v>0</v>
      </c>
      <c r="K108" s="23">
        <v>0</v>
      </c>
      <c r="L108" s="32">
        <v>-1964.25</v>
      </c>
      <c r="M108" s="24">
        <v>-22</v>
      </c>
      <c r="N108" s="23">
        <v>0</v>
      </c>
      <c r="O108" s="24">
        <f t="shared" si="7"/>
        <v>1809.85</v>
      </c>
      <c r="P108" s="23">
        <v>-2500</v>
      </c>
      <c r="Q108" s="23">
        <v>0</v>
      </c>
      <c r="R108" s="23">
        <v>-500</v>
      </c>
      <c r="S108" s="23">
        <v>0</v>
      </c>
      <c r="T108" s="23">
        <v>0</v>
      </c>
      <c r="U108" s="23">
        <v>0</v>
      </c>
      <c r="V108" s="23">
        <v>0</v>
      </c>
      <c r="W108" s="23">
        <f t="shared" si="8"/>
        <v>-1190.1500000000001</v>
      </c>
      <c r="X108" s="23">
        <f t="shared" si="9"/>
        <v>0</v>
      </c>
      <c r="Y108" s="23">
        <f t="shared" si="10"/>
        <v>-1190.1500000000001</v>
      </c>
      <c r="Z108" s="23">
        <v>0</v>
      </c>
      <c r="AA108" s="23">
        <f t="shared" si="11"/>
        <v>-1190.1500000000001</v>
      </c>
      <c r="AB108" s="23">
        <f t="shared" si="12"/>
        <v>619.69999999999982</v>
      </c>
      <c r="AC108" s="20"/>
      <c r="AD108" s="20" t="str">
        <f>VLOOKUP($C108,'[1]CTRL AUTOS'!$E:$AH,2,0)</f>
        <v>NFN014B</v>
      </c>
      <c r="AE108" s="11" t="str">
        <f t="shared" si="13"/>
        <v>NFN014B7</v>
      </c>
    </row>
    <row r="109" spans="1:31" ht="12.75" hidden="1" customHeight="1" x14ac:dyDescent="0.3">
      <c r="A109" s="8">
        <v>7</v>
      </c>
      <c r="B109" s="20" t="s">
        <v>252</v>
      </c>
      <c r="C109" s="20" t="s">
        <v>22</v>
      </c>
      <c r="D109" s="20" t="s">
        <v>253</v>
      </c>
      <c r="E109" s="22" t="s">
        <v>232</v>
      </c>
      <c r="F109" s="20" t="s">
        <v>233</v>
      </c>
      <c r="G109" s="22" t="s">
        <v>234</v>
      </c>
      <c r="H109" s="31">
        <v>0</v>
      </c>
      <c r="I109" s="23">
        <v>0</v>
      </c>
      <c r="J109" s="23">
        <v>0</v>
      </c>
      <c r="K109" s="23">
        <v>0</v>
      </c>
      <c r="L109" s="23">
        <v>0</v>
      </c>
      <c r="M109" s="24">
        <v>0</v>
      </c>
      <c r="N109" s="23">
        <v>0</v>
      </c>
      <c r="O109" s="24">
        <f t="shared" si="7"/>
        <v>0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f t="shared" si="8"/>
        <v>0</v>
      </c>
      <c r="X109" s="23">
        <f t="shared" si="9"/>
        <v>0</v>
      </c>
      <c r="Y109" s="23">
        <f t="shared" si="10"/>
        <v>0</v>
      </c>
      <c r="Z109" s="23">
        <v>0</v>
      </c>
      <c r="AA109" s="23">
        <f t="shared" si="11"/>
        <v>0</v>
      </c>
      <c r="AB109" s="23">
        <f t="shared" si="12"/>
        <v>0</v>
      </c>
      <c r="AC109" s="20"/>
      <c r="AD109" s="20" t="str">
        <f>VLOOKUP($C109,'[1]CTRL AUTOS'!$E:$AH,2,0)</f>
        <v>NCK475B</v>
      </c>
      <c r="AE109" s="11" t="str">
        <f t="shared" si="13"/>
        <v>NCK475B7</v>
      </c>
    </row>
    <row r="110" spans="1:31" ht="12.75" hidden="1" customHeight="1" x14ac:dyDescent="0.3">
      <c r="A110" s="8">
        <v>8</v>
      </c>
      <c r="B110" s="20" t="s">
        <v>80</v>
      </c>
      <c r="C110" s="20" t="s">
        <v>230</v>
      </c>
      <c r="D110" s="20" t="s">
        <v>231</v>
      </c>
      <c r="E110" s="22" t="s">
        <v>232</v>
      </c>
      <c r="F110" s="20" t="s">
        <v>233</v>
      </c>
      <c r="G110" s="22" t="s">
        <v>234</v>
      </c>
      <c r="H110" s="23">
        <v>2644.3</v>
      </c>
      <c r="I110" s="23">
        <v>0</v>
      </c>
      <c r="J110" s="23">
        <v>0</v>
      </c>
      <c r="K110" s="23">
        <v>0</v>
      </c>
      <c r="L110" s="23">
        <v>-834.09</v>
      </c>
      <c r="M110" s="24">
        <v>0</v>
      </c>
      <c r="N110" s="23">
        <v>0</v>
      </c>
      <c r="O110" s="24">
        <f t="shared" si="7"/>
        <v>1810.21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  <c r="U110" s="23">
        <v>0</v>
      </c>
      <c r="V110" s="23">
        <v>0</v>
      </c>
      <c r="W110" s="23">
        <f t="shared" si="8"/>
        <v>1810.21</v>
      </c>
      <c r="X110" s="23">
        <f t="shared" si="9"/>
        <v>1810.21</v>
      </c>
      <c r="Y110" s="23">
        <f t="shared" si="10"/>
        <v>0</v>
      </c>
      <c r="Z110" s="23">
        <v>0</v>
      </c>
      <c r="AA110" s="23">
        <f t="shared" si="11"/>
        <v>0</v>
      </c>
      <c r="AB110" s="23">
        <f t="shared" si="12"/>
        <v>0</v>
      </c>
      <c r="AC110" s="20"/>
      <c r="AD110" s="20" t="s">
        <v>235</v>
      </c>
      <c r="AE110" s="11" t="str">
        <f t="shared" si="13"/>
        <v>NEB156A8</v>
      </c>
    </row>
    <row r="111" spans="1:31" ht="12.75" hidden="1" customHeight="1" x14ac:dyDescent="0.3">
      <c r="A111" s="8">
        <v>8</v>
      </c>
      <c r="B111" s="20" t="s">
        <v>238</v>
      </c>
      <c r="C111" s="20" t="s">
        <v>20</v>
      </c>
      <c r="D111" s="20" t="s">
        <v>239</v>
      </c>
      <c r="E111" s="22" t="s">
        <v>232</v>
      </c>
      <c r="F111" s="20" t="s">
        <v>233</v>
      </c>
      <c r="G111" s="22" t="s">
        <v>234</v>
      </c>
      <c r="H111" s="23">
        <v>1472.4</v>
      </c>
      <c r="I111" s="23">
        <v>0</v>
      </c>
      <c r="J111" s="23">
        <v>0</v>
      </c>
      <c r="K111" s="23">
        <v>0</v>
      </c>
      <c r="L111" s="23">
        <v>-499.64</v>
      </c>
      <c r="M111" s="24">
        <v>0</v>
      </c>
      <c r="N111" s="23">
        <v>0</v>
      </c>
      <c r="O111" s="24">
        <f t="shared" si="7"/>
        <v>972.7600000000001</v>
      </c>
      <c r="P111" s="23">
        <v>-2500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f t="shared" si="8"/>
        <v>-1527.2399999999998</v>
      </c>
      <c r="X111" s="23">
        <f t="shared" si="9"/>
        <v>0</v>
      </c>
      <c r="Y111" s="23">
        <f t="shared" si="10"/>
        <v>-1527.2399999999998</v>
      </c>
      <c r="Z111" s="23">
        <v>0</v>
      </c>
      <c r="AA111" s="23">
        <f t="shared" si="11"/>
        <v>-1527.2399999999998</v>
      </c>
      <c r="AB111" s="23">
        <f t="shared" si="12"/>
        <v>-554.47999999999968</v>
      </c>
      <c r="AC111" s="20"/>
      <c r="AD111" s="20" t="str">
        <f>VLOOKUP($C111,'[1]CTRL AUTOS'!$E:$AH,2,0)</f>
        <v>D40BKD</v>
      </c>
      <c r="AE111" s="11" t="str">
        <f t="shared" si="13"/>
        <v>D40BKD8</v>
      </c>
    </row>
    <row r="112" spans="1:31" ht="12.75" hidden="1" customHeight="1" x14ac:dyDescent="0.3">
      <c r="A112" s="8">
        <v>8</v>
      </c>
      <c r="B112" s="20" t="s">
        <v>23</v>
      </c>
      <c r="C112" s="20" t="s">
        <v>75</v>
      </c>
      <c r="D112" s="20" t="s">
        <v>237</v>
      </c>
      <c r="E112" s="22" t="s">
        <v>241</v>
      </c>
      <c r="F112" s="20" t="s">
        <v>232</v>
      </c>
      <c r="G112" s="22" t="s">
        <v>234</v>
      </c>
      <c r="H112" s="23">
        <v>3487.81</v>
      </c>
      <c r="I112" s="23">
        <v>-8</v>
      </c>
      <c r="J112" s="23">
        <v>0</v>
      </c>
      <c r="K112" s="23">
        <v>0</v>
      </c>
      <c r="L112" s="23">
        <v>-1828.37</v>
      </c>
      <c r="M112" s="24">
        <v>-36.869978464560809</v>
      </c>
      <c r="N112" s="23">
        <v>0</v>
      </c>
      <c r="O112" s="24">
        <f t="shared" si="7"/>
        <v>1614.5700215354393</v>
      </c>
      <c r="P112" s="23">
        <v>-1542.8571428571427</v>
      </c>
      <c r="Q112" s="23">
        <v>0</v>
      </c>
      <c r="R112" s="23">
        <v>-500</v>
      </c>
      <c r="S112" s="23">
        <v>0</v>
      </c>
      <c r="T112" s="23">
        <v>0</v>
      </c>
      <c r="U112" s="23">
        <v>0</v>
      </c>
      <c r="V112" s="23">
        <v>0</v>
      </c>
      <c r="W112" s="23">
        <f t="shared" si="8"/>
        <v>-428.28712132170335</v>
      </c>
      <c r="X112" s="23">
        <f t="shared" si="9"/>
        <v>0</v>
      </c>
      <c r="Y112" s="23">
        <f t="shared" si="10"/>
        <v>-428.28712132170335</v>
      </c>
      <c r="Z112" s="23">
        <v>0</v>
      </c>
      <c r="AA112" s="23">
        <f t="shared" si="11"/>
        <v>-428.28712132170335</v>
      </c>
      <c r="AB112" s="23">
        <f t="shared" si="12"/>
        <v>1186.282900213736</v>
      </c>
      <c r="AC112" s="20"/>
      <c r="AD112" s="20" t="str">
        <f>VLOOKUP($C112,'[1]CTRL AUTOS'!$E:$AH,2,0)</f>
        <v>NFN014B</v>
      </c>
      <c r="AE112" s="11" t="str">
        <f t="shared" si="13"/>
        <v>NFN014B8</v>
      </c>
    </row>
    <row r="113" spans="1:31" ht="12.75" hidden="1" customHeight="1" x14ac:dyDescent="0.3">
      <c r="A113" s="8">
        <v>8</v>
      </c>
      <c r="B113" s="20" t="s">
        <v>256</v>
      </c>
      <c r="C113" s="20" t="s">
        <v>46</v>
      </c>
      <c r="D113" s="20" t="s">
        <v>257</v>
      </c>
      <c r="E113" s="22" t="s">
        <v>232</v>
      </c>
      <c r="F113" s="20" t="s">
        <v>232</v>
      </c>
      <c r="G113" s="22" t="s">
        <v>234</v>
      </c>
      <c r="H113" s="23">
        <v>1798.32</v>
      </c>
      <c r="I113" s="23">
        <v>0</v>
      </c>
      <c r="J113" s="23">
        <v>0</v>
      </c>
      <c r="K113" s="23">
        <v>0</v>
      </c>
      <c r="L113" s="23">
        <v>-1254.48</v>
      </c>
      <c r="M113" s="24">
        <v>0</v>
      </c>
      <c r="N113" s="23">
        <v>-55</v>
      </c>
      <c r="O113" s="24">
        <f t="shared" si="7"/>
        <v>488.83999999999992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f t="shared" si="8"/>
        <v>488.83999999999992</v>
      </c>
      <c r="X113" s="23">
        <f t="shared" si="9"/>
        <v>488.83999999999992</v>
      </c>
      <c r="Y113" s="23">
        <f t="shared" si="10"/>
        <v>0</v>
      </c>
      <c r="Z113" s="23">
        <v>0</v>
      </c>
      <c r="AA113" s="23">
        <f t="shared" si="11"/>
        <v>0</v>
      </c>
      <c r="AB113" s="23">
        <f t="shared" si="12"/>
        <v>0</v>
      </c>
      <c r="AC113" s="20"/>
      <c r="AD113" s="20" t="str">
        <f>VLOOKUP($C113,'[1]CTRL AUTOS'!$E:$AH,2,0)</f>
        <v>R66BER</v>
      </c>
      <c r="AE113" s="11" t="str">
        <f t="shared" si="13"/>
        <v>R66BER8</v>
      </c>
    </row>
    <row r="114" spans="1:31" ht="12.75" hidden="1" customHeight="1" x14ac:dyDescent="0.3">
      <c r="A114" s="8">
        <v>8</v>
      </c>
      <c r="B114" s="20" t="s">
        <v>258</v>
      </c>
      <c r="C114" s="20" t="s">
        <v>40</v>
      </c>
      <c r="D114" s="25" t="s">
        <v>259</v>
      </c>
      <c r="E114" s="22" t="s">
        <v>232</v>
      </c>
      <c r="F114" s="20" t="s">
        <v>232</v>
      </c>
      <c r="G114" s="22" t="s">
        <v>234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4">
        <v>0</v>
      </c>
      <c r="N114" s="23">
        <v>0</v>
      </c>
      <c r="O114" s="24">
        <f t="shared" si="7"/>
        <v>0</v>
      </c>
      <c r="P114" s="23">
        <v>0</v>
      </c>
      <c r="Q114" s="23">
        <v>0</v>
      </c>
      <c r="R114" s="23">
        <v>500</v>
      </c>
      <c r="S114" s="23">
        <v>0</v>
      </c>
      <c r="T114" s="23">
        <v>0</v>
      </c>
      <c r="U114" s="23">
        <v>0</v>
      </c>
      <c r="V114" s="23">
        <v>0</v>
      </c>
      <c r="W114" s="23">
        <f t="shared" si="8"/>
        <v>500</v>
      </c>
      <c r="X114" s="23">
        <f t="shared" si="9"/>
        <v>500</v>
      </c>
      <c r="Y114" s="23">
        <f t="shared" si="10"/>
        <v>0</v>
      </c>
      <c r="Z114" s="23">
        <v>0</v>
      </c>
      <c r="AA114" s="23">
        <f t="shared" si="11"/>
        <v>0</v>
      </c>
      <c r="AB114" s="23">
        <f t="shared" si="12"/>
        <v>-500</v>
      </c>
      <c r="AC114" s="20"/>
      <c r="AD114" s="20" t="str">
        <f>VLOOKUP($C114,'[1]CTRL AUTOS'!$E:$AH,2,0)</f>
        <v>NEL860A</v>
      </c>
      <c r="AE114" s="11" t="str">
        <f t="shared" si="13"/>
        <v>NEL860A8</v>
      </c>
    </row>
    <row r="115" spans="1:31" ht="12.75" hidden="1" customHeight="1" x14ac:dyDescent="0.3">
      <c r="A115" s="8">
        <v>8</v>
      </c>
      <c r="B115" s="20" t="s">
        <v>264</v>
      </c>
      <c r="C115" s="20" t="s">
        <v>50</v>
      </c>
      <c r="D115" s="20" t="s">
        <v>267</v>
      </c>
      <c r="E115" s="22" t="s">
        <v>232</v>
      </c>
      <c r="F115" s="20" t="s">
        <v>232</v>
      </c>
      <c r="G115" s="22" t="s">
        <v>234</v>
      </c>
      <c r="H115" s="23">
        <v>770.77</v>
      </c>
      <c r="I115" s="23">
        <v>0</v>
      </c>
      <c r="J115" s="23">
        <v>0</v>
      </c>
      <c r="K115" s="23">
        <v>0</v>
      </c>
      <c r="L115" s="23">
        <v>-595.05999999999995</v>
      </c>
      <c r="M115" s="24">
        <v>-8.1478845754583933</v>
      </c>
      <c r="N115" s="23">
        <v>-145</v>
      </c>
      <c r="O115" s="24">
        <f t="shared" si="7"/>
        <v>22.562115424541645</v>
      </c>
      <c r="P115" s="23">
        <v>-1428.5714285714287</v>
      </c>
      <c r="Q115" s="23">
        <v>0</v>
      </c>
      <c r="R115" s="23">
        <v>-285.71428571428572</v>
      </c>
      <c r="S115" s="23">
        <v>0</v>
      </c>
      <c r="T115" s="23">
        <v>0</v>
      </c>
      <c r="U115" s="23">
        <v>0</v>
      </c>
      <c r="V115" s="23">
        <v>0</v>
      </c>
      <c r="W115" s="23">
        <f t="shared" si="8"/>
        <v>-1691.7235988611728</v>
      </c>
      <c r="X115" s="23">
        <f t="shared" si="9"/>
        <v>0</v>
      </c>
      <c r="Y115" s="23">
        <f t="shared" si="10"/>
        <v>-1691.7235988611728</v>
      </c>
      <c r="Z115" s="23">
        <v>1392</v>
      </c>
      <c r="AA115" s="23">
        <f t="shared" si="11"/>
        <v>-299.72359886117283</v>
      </c>
      <c r="AB115" s="23">
        <f t="shared" si="12"/>
        <v>1114.8385165633688</v>
      </c>
      <c r="AC115" s="20"/>
      <c r="AD115" s="20" t="str">
        <f>VLOOKUP($C115,'[1]CTRL AUTOS'!$E:$AH,2,0)</f>
        <v>NBS225A</v>
      </c>
      <c r="AE115" s="11" t="str">
        <f t="shared" si="13"/>
        <v>NBS225A8</v>
      </c>
    </row>
    <row r="116" spans="1:31" ht="12.75" hidden="1" customHeight="1" x14ac:dyDescent="0.3">
      <c r="A116" s="8">
        <v>8</v>
      </c>
      <c r="B116" s="20" t="s">
        <v>260</v>
      </c>
      <c r="C116" s="20" t="s">
        <v>54</v>
      </c>
      <c r="D116" s="20" t="s">
        <v>273</v>
      </c>
      <c r="E116" s="22" t="s">
        <v>232</v>
      </c>
      <c r="F116" s="20" t="s">
        <v>232</v>
      </c>
      <c r="G116" s="22" t="s">
        <v>234</v>
      </c>
      <c r="H116" s="23">
        <v>509.1</v>
      </c>
      <c r="I116" s="23">
        <v>0</v>
      </c>
      <c r="J116" s="23">
        <v>0</v>
      </c>
      <c r="K116" s="23">
        <v>0</v>
      </c>
      <c r="L116" s="23">
        <v>-319.97000000000003</v>
      </c>
      <c r="M116" s="24">
        <v>0</v>
      </c>
      <c r="N116" s="23">
        <v>0</v>
      </c>
      <c r="O116" s="24">
        <f t="shared" si="7"/>
        <v>189.13</v>
      </c>
      <c r="P116" s="23">
        <v>0</v>
      </c>
      <c r="Q116" s="23">
        <v>0</v>
      </c>
      <c r="R116" s="23">
        <v>0</v>
      </c>
      <c r="S116" s="23">
        <v>-189.13</v>
      </c>
      <c r="T116" s="23">
        <v>0</v>
      </c>
      <c r="U116" s="23">
        <v>0</v>
      </c>
      <c r="V116" s="23">
        <v>0</v>
      </c>
      <c r="W116" s="23">
        <f t="shared" si="8"/>
        <v>0</v>
      </c>
      <c r="X116" s="23">
        <f t="shared" si="9"/>
        <v>0</v>
      </c>
      <c r="Y116" s="23">
        <f t="shared" si="10"/>
        <v>0</v>
      </c>
      <c r="Z116" s="23">
        <v>0</v>
      </c>
      <c r="AA116" s="23">
        <f t="shared" si="11"/>
        <v>0</v>
      </c>
      <c r="AB116" s="23">
        <f t="shared" si="12"/>
        <v>189.13</v>
      </c>
      <c r="AC116" s="20"/>
      <c r="AD116" s="20" t="str">
        <f>VLOOKUP($C116,'[1]CTRL AUTOS'!$E:$AH,2,0)</f>
        <v>NZY685B</v>
      </c>
      <c r="AE116" s="11" t="str">
        <f t="shared" si="13"/>
        <v>NZY685B8</v>
      </c>
    </row>
    <row r="117" spans="1:31" ht="12.75" hidden="1" customHeight="1" x14ac:dyDescent="0.3">
      <c r="A117" s="8">
        <v>8</v>
      </c>
      <c r="B117" s="20" t="s">
        <v>72</v>
      </c>
      <c r="C117" s="20" t="s">
        <v>28</v>
      </c>
      <c r="D117" s="20" t="s">
        <v>274</v>
      </c>
      <c r="E117" s="22" t="s">
        <v>232</v>
      </c>
      <c r="F117" s="20" t="s">
        <v>232</v>
      </c>
      <c r="G117" s="22" t="s">
        <v>234</v>
      </c>
      <c r="H117" s="23">
        <v>10899.63</v>
      </c>
      <c r="I117" s="23">
        <v>-137.60000000000002</v>
      </c>
      <c r="J117" s="23">
        <v>0</v>
      </c>
      <c r="K117" s="23">
        <v>0</v>
      </c>
      <c r="L117" s="23">
        <v>-5571.2</v>
      </c>
      <c r="M117" s="24">
        <v>-75</v>
      </c>
      <c r="N117" s="23">
        <v>-466.22</v>
      </c>
      <c r="O117" s="24">
        <f t="shared" si="7"/>
        <v>4649.6099999999988</v>
      </c>
      <c r="P117" s="23">
        <v>-2500</v>
      </c>
      <c r="Q117" s="23">
        <v>-500</v>
      </c>
      <c r="R117" s="23">
        <v>0</v>
      </c>
      <c r="S117" s="23">
        <v>-500</v>
      </c>
      <c r="T117" s="23">
        <v>0</v>
      </c>
      <c r="U117" s="23">
        <v>0</v>
      </c>
      <c r="V117" s="23">
        <v>0</v>
      </c>
      <c r="W117" s="23">
        <f t="shared" si="8"/>
        <v>1149.6099999999988</v>
      </c>
      <c r="X117" s="23">
        <f t="shared" si="9"/>
        <v>1149.6099999999988</v>
      </c>
      <c r="Y117" s="23">
        <f t="shared" si="10"/>
        <v>0</v>
      </c>
      <c r="Z117" s="23">
        <v>0</v>
      </c>
      <c r="AA117" s="23">
        <f t="shared" si="11"/>
        <v>0</v>
      </c>
      <c r="AB117" s="23">
        <f t="shared" si="12"/>
        <v>3500</v>
      </c>
      <c r="AC117" s="20"/>
      <c r="AD117" s="20" t="str">
        <f>VLOOKUP($C117,'[1]CTRL AUTOS'!$E:$AH,2,0)</f>
        <v>NCT814A</v>
      </c>
      <c r="AE117" s="11" t="str">
        <f t="shared" si="13"/>
        <v>NCT814A8</v>
      </c>
    </row>
    <row r="118" spans="1:31" ht="12.75" hidden="1" customHeight="1" x14ac:dyDescent="0.3">
      <c r="A118" s="8">
        <v>8</v>
      </c>
      <c r="B118" s="20" t="s">
        <v>105</v>
      </c>
      <c r="C118" s="20" t="s">
        <v>46</v>
      </c>
      <c r="D118" s="20" t="s">
        <v>257</v>
      </c>
      <c r="E118" s="22" t="s">
        <v>232</v>
      </c>
      <c r="F118" s="20" t="s">
        <v>232</v>
      </c>
      <c r="G118" s="22" t="s">
        <v>234</v>
      </c>
      <c r="H118" s="23">
        <v>666.67</v>
      </c>
      <c r="I118" s="23">
        <v>0</v>
      </c>
      <c r="J118" s="23">
        <v>0</v>
      </c>
      <c r="K118" s="23">
        <v>0</v>
      </c>
      <c r="L118" s="23">
        <v>-199.87</v>
      </c>
      <c r="M118" s="24">
        <v>199.87</v>
      </c>
      <c r="N118" s="23">
        <v>0</v>
      </c>
      <c r="O118" s="24">
        <f t="shared" si="7"/>
        <v>666.67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f t="shared" si="8"/>
        <v>666.67</v>
      </c>
      <c r="X118" s="23">
        <f t="shared" si="9"/>
        <v>666.67</v>
      </c>
      <c r="Y118" s="23">
        <f t="shared" si="10"/>
        <v>0</v>
      </c>
      <c r="Z118" s="23">
        <v>200</v>
      </c>
      <c r="AA118" s="23">
        <f t="shared" si="11"/>
        <v>200</v>
      </c>
      <c r="AB118" s="23">
        <f t="shared" si="12"/>
        <v>400</v>
      </c>
      <c r="AC118" s="30" t="s">
        <v>284</v>
      </c>
      <c r="AD118" s="20" t="str">
        <f>VLOOKUP($C118,'[1]CTRL AUTOS'!$E:$AH,2,0)</f>
        <v>R66BER</v>
      </c>
      <c r="AE118" s="11" t="str">
        <f t="shared" si="13"/>
        <v>R66BER8</v>
      </c>
    </row>
    <row r="119" spans="1:31" ht="12.75" hidden="1" customHeight="1" x14ac:dyDescent="0.3">
      <c r="A119" s="8">
        <v>8</v>
      </c>
      <c r="B119" s="20" t="s">
        <v>244</v>
      </c>
      <c r="C119" s="20" t="s">
        <v>4</v>
      </c>
      <c r="D119" s="20" t="s">
        <v>285</v>
      </c>
      <c r="E119" s="22" t="s">
        <v>232</v>
      </c>
      <c r="F119" s="20" t="s">
        <v>232</v>
      </c>
      <c r="G119" s="22" t="s">
        <v>234</v>
      </c>
      <c r="H119" s="23">
        <v>5681.43</v>
      </c>
      <c r="I119" s="23">
        <v>0</v>
      </c>
      <c r="J119" s="23">
        <v>0</v>
      </c>
      <c r="K119" s="23">
        <v>0</v>
      </c>
      <c r="L119" s="23">
        <v>-2828.89</v>
      </c>
      <c r="M119" s="24">
        <v>-60.058948666329236</v>
      </c>
      <c r="N119" s="23">
        <v>0</v>
      </c>
      <c r="O119" s="24">
        <f t="shared" si="7"/>
        <v>2792.4810513336711</v>
      </c>
      <c r="P119" s="23">
        <v>-2500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f t="shared" si="8"/>
        <v>292.48105133367108</v>
      </c>
      <c r="X119" s="23">
        <f t="shared" si="9"/>
        <v>292.48105133367108</v>
      </c>
      <c r="Y119" s="23">
        <f t="shared" si="10"/>
        <v>0</v>
      </c>
      <c r="Z119" s="23">
        <v>0</v>
      </c>
      <c r="AA119" s="23">
        <f t="shared" si="11"/>
        <v>0</v>
      </c>
      <c r="AB119" s="23">
        <f t="shared" si="12"/>
        <v>2500</v>
      </c>
      <c r="AC119" s="20"/>
      <c r="AD119" s="20" t="str">
        <f>VLOOKUP($C119,'[1]CTRL AUTOS'!$E:$AH,2,0)</f>
        <v>N15BKD</v>
      </c>
      <c r="AE119" s="11" t="str">
        <f t="shared" si="13"/>
        <v>N15BKD8</v>
      </c>
    </row>
    <row r="120" spans="1:31" ht="12.75" hidden="1" customHeight="1" x14ac:dyDescent="0.3">
      <c r="A120" s="8">
        <v>8</v>
      </c>
      <c r="B120" s="20" t="s">
        <v>35</v>
      </c>
      <c r="C120" s="20" t="s">
        <v>34</v>
      </c>
      <c r="D120" s="20" t="s">
        <v>237</v>
      </c>
      <c r="E120" s="22" t="s">
        <v>232</v>
      </c>
      <c r="F120" s="20" t="s">
        <v>232</v>
      </c>
      <c r="G120" s="22" t="s">
        <v>234</v>
      </c>
      <c r="H120" s="23">
        <v>7249.24</v>
      </c>
      <c r="I120" s="23">
        <v>-155.19999999999999</v>
      </c>
      <c r="J120" s="23">
        <v>0</v>
      </c>
      <c r="K120" s="23">
        <v>0</v>
      </c>
      <c r="L120" s="23">
        <v>-4431.63</v>
      </c>
      <c r="M120" s="24">
        <v>-76.632420540233795</v>
      </c>
      <c r="N120" s="23">
        <v>0</v>
      </c>
      <c r="O120" s="24">
        <f t="shared" si="7"/>
        <v>2585.777579459766</v>
      </c>
      <c r="P120" s="23">
        <v>-2142.8571428571431</v>
      </c>
      <c r="Q120" s="23">
        <v>15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f t="shared" si="8"/>
        <v>457.92043660262289</v>
      </c>
      <c r="X120" s="23">
        <f t="shared" si="9"/>
        <v>457.92043660262289</v>
      </c>
      <c r="Y120" s="23">
        <f t="shared" si="10"/>
        <v>0</v>
      </c>
      <c r="Z120" s="23">
        <v>0</v>
      </c>
      <c r="AA120" s="23">
        <f t="shared" si="11"/>
        <v>0</v>
      </c>
      <c r="AB120" s="23">
        <f t="shared" si="12"/>
        <v>2127.8571428571431</v>
      </c>
      <c r="AC120" s="20"/>
      <c r="AD120" s="20" t="str">
        <f>VLOOKUP($C120,'[1]CTRL AUTOS'!$E:$AH,2,0)</f>
        <v>X59AWG</v>
      </c>
      <c r="AE120" s="11" t="str">
        <f t="shared" si="13"/>
        <v>X59AWG8</v>
      </c>
    </row>
    <row r="121" spans="1:31" ht="12.75" hidden="1" customHeight="1" x14ac:dyDescent="0.3">
      <c r="A121" s="8">
        <v>8</v>
      </c>
      <c r="B121" s="20" t="s">
        <v>37</v>
      </c>
      <c r="C121" s="20" t="s">
        <v>246</v>
      </c>
      <c r="D121" s="20" t="s">
        <v>247</v>
      </c>
      <c r="E121" s="22" t="s">
        <v>232</v>
      </c>
      <c r="F121" s="20" t="s">
        <v>232</v>
      </c>
      <c r="G121" s="22" t="s">
        <v>234</v>
      </c>
      <c r="H121" s="23">
        <v>6045.31</v>
      </c>
      <c r="I121" s="23">
        <v>-34.400000000000006</v>
      </c>
      <c r="J121" s="23">
        <v>0</v>
      </c>
      <c r="K121" s="23">
        <v>0</v>
      </c>
      <c r="L121" s="23">
        <v>-2635.75</v>
      </c>
      <c r="M121" s="24">
        <v>-63.905559509145895</v>
      </c>
      <c r="N121" s="23">
        <v>0</v>
      </c>
      <c r="O121" s="24">
        <f t="shared" si="7"/>
        <v>3311.2544404908549</v>
      </c>
      <c r="P121" s="23">
        <v>-2500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f t="shared" si="8"/>
        <v>811.2544404908549</v>
      </c>
      <c r="X121" s="23">
        <f t="shared" si="9"/>
        <v>811.2544404908549</v>
      </c>
      <c r="Y121" s="23">
        <f t="shared" si="10"/>
        <v>0</v>
      </c>
      <c r="Z121" s="23">
        <v>0</v>
      </c>
      <c r="AA121" s="23">
        <f t="shared" si="11"/>
        <v>0</v>
      </c>
      <c r="AB121" s="23">
        <f t="shared" si="12"/>
        <v>2500</v>
      </c>
      <c r="AC121" s="20"/>
      <c r="AD121" s="20" t="s">
        <v>248</v>
      </c>
      <c r="AE121" s="11" t="str">
        <f t="shared" si="13"/>
        <v>X24APU8</v>
      </c>
    </row>
    <row r="122" spans="1:31" ht="12.75" hidden="1" customHeight="1" x14ac:dyDescent="0.3">
      <c r="A122" s="8">
        <v>8</v>
      </c>
      <c r="B122" s="20" t="s">
        <v>286</v>
      </c>
      <c r="C122" s="20" t="s">
        <v>40</v>
      </c>
      <c r="D122" s="20" t="s">
        <v>259</v>
      </c>
      <c r="E122" s="22" t="s">
        <v>232</v>
      </c>
      <c r="F122" s="20" t="s">
        <v>232</v>
      </c>
      <c r="G122" s="22" t="s">
        <v>234</v>
      </c>
      <c r="H122" s="23">
        <v>4121.57</v>
      </c>
      <c r="I122" s="23">
        <v>0</v>
      </c>
      <c r="J122" s="23">
        <v>0</v>
      </c>
      <c r="K122" s="23">
        <v>0</v>
      </c>
      <c r="L122" s="23">
        <v>-1552.55</v>
      </c>
      <c r="M122" s="24">
        <v>-40</v>
      </c>
      <c r="N122" s="23">
        <v>0</v>
      </c>
      <c r="O122" s="24">
        <f t="shared" si="7"/>
        <v>2529.0199999999995</v>
      </c>
      <c r="P122" s="23">
        <v>-2142.8571428571431</v>
      </c>
      <c r="Q122" s="2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23">
        <f t="shared" si="8"/>
        <v>386.16285714285641</v>
      </c>
      <c r="X122" s="23">
        <f t="shared" si="9"/>
        <v>386.16285714285641</v>
      </c>
      <c r="Y122" s="23">
        <f t="shared" si="10"/>
        <v>0</v>
      </c>
      <c r="Z122" s="23">
        <v>0</v>
      </c>
      <c r="AA122" s="23">
        <f t="shared" si="11"/>
        <v>0</v>
      </c>
      <c r="AB122" s="23">
        <f t="shared" si="12"/>
        <v>2142.8571428571431</v>
      </c>
      <c r="AC122" s="20"/>
      <c r="AD122" s="20" t="str">
        <f>VLOOKUP($C122,'[1]CTRL AUTOS'!$E:$AH,2,0)</f>
        <v>NEL860A</v>
      </c>
      <c r="AE122" s="11" t="str">
        <f t="shared" si="13"/>
        <v>NEL860A8</v>
      </c>
    </row>
    <row r="123" spans="1:31" ht="12.75" hidden="1" customHeight="1" x14ac:dyDescent="0.3">
      <c r="A123" s="8">
        <v>8</v>
      </c>
      <c r="B123" s="20" t="s">
        <v>45</v>
      </c>
      <c r="C123" s="20" t="s">
        <v>249</v>
      </c>
      <c r="D123" s="20" t="s">
        <v>250</v>
      </c>
      <c r="E123" s="22" t="s">
        <v>232</v>
      </c>
      <c r="F123" s="20" t="s">
        <v>232</v>
      </c>
      <c r="G123" s="22" t="s">
        <v>234</v>
      </c>
      <c r="H123" s="23">
        <v>4323.7299999999996</v>
      </c>
      <c r="I123" s="23">
        <v>-1.33</v>
      </c>
      <c r="J123" s="23">
        <v>0</v>
      </c>
      <c r="K123" s="23">
        <v>0</v>
      </c>
      <c r="L123" s="23">
        <v>-1673.59</v>
      </c>
      <c r="M123" s="24">
        <v>-45.706570021467776</v>
      </c>
      <c r="N123" s="23">
        <v>0</v>
      </c>
      <c r="O123" s="24">
        <f t="shared" si="7"/>
        <v>2603.1034299785315</v>
      </c>
      <c r="P123" s="23">
        <v>-2300</v>
      </c>
      <c r="Q123" s="23">
        <v>0</v>
      </c>
      <c r="R123" s="23">
        <v>0</v>
      </c>
      <c r="S123" s="23">
        <v>-257</v>
      </c>
      <c r="T123" s="23">
        <v>0</v>
      </c>
      <c r="U123" s="23">
        <v>0</v>
      </c>
      <c r="V123" s="23">
        <v>0</v>
      </c>
      <c r="W123" s="23">
        <f t="shared" si="8"/>
        <v>46.103429978531494</v>
      </c>
      <c r="X123" s="23">
        <f t="shared" si="9"/>
        <v>46.103429978531494</v>
      </c>
      <c r="Y123" s="23">
        <f t="shared" si="10"/>
        <v>0</v>
      </c>
      <c r="Z123" s="23">
        <v>0</v>
      </c>
      <c r="AA123" s="23">
        <f t="shared" si="11"/>
        <v>0</v>
      </c>
      <c r="AB123" s="23">
        <f t="shared" si="12"/>
        <v>2557</v>
      </c>
      <c r="AC123" s="20"/>
      <c r="AD123" s="20" t="s">
        <v>251</v>
      </c>
      <c r="AE123" s="11" t="str">
        <f t="shared" si="13"/>
        <v>BAJA DE PLACAS8</v>
      </c>
    </row>
    <row r="124" spans="1:31" ht="12.75" hidden="1" customHeight="1" x14ac:dyDescent="0.3">
      <c r="A124" s="8">
        <v>8</v>
      </c>
      <c r="B124" s="20" t="s">
        <v>252</v>
      </c>
      <c r="C124" s="20" t="s">
        <v>22</v>
      </c>
      <c r="D124" s="20" t="s">
        <v>287</v>
      </c>
      <c r="E124" s="22" t="s">
        <v>232</v>
      </c>
      <c r="F124" s="20" t="s">
        <v>233</v>
      </c>
      <c r="G124" s="22" t="s">
        <v>234</v>
      </c>
      <c r="H124" s="23">
        <v>757.47</v>
      </c>
      <c r="I124" s="23">
        <v>0</v>
      </c>
      <c r="J124" s="23">
        <v>0</v>
      </c>
      <c r="K124" s="23">
        <v>0</v>
      </c>
      <c r="L124" s="23">
        <v>-193.43</v>
      </c>
      <c r="M124" s="24">
        <v>-8.007288982929369</v>
      </c>
      <c r="N124" s="23">
        <v>0</v>
      </c>
      <c r="O124" s="24">
        <f t="shared" si="7"/>
        <v>556.0327110170706</v>
      </c>
      <c r="P124" s="23">
        <v>-357.14285714285717</v>
      </c>
      <c r="Q124" s="23">
        <v>0</v>
      </c>
      <c r="R124" s="23">
        <v>0</v>
      </c>
      <c r="S124" s="23">
        <v>0</v>
      </c>
      <c r="T124" s="23">
        <v>0</v>
      </c>
      <c r="U124" s="23">
        <v>0</v>
      </c>
      <c r="V124" s="23">
        <v>0</v>
      </c>
      <c r="W124" s="23">
        <f t="shared" si="8"/>
        <v>198.88985387421343</v>
      </c>
      <c r="X124" s="23">
        <f t="shared" si="9"/>
        <v>198.88985387421343</v>
      </c>
      <c r="Y124" s="23">
        <f t="shared" si="10"/>
        <v>0</v>
      </c>
      <c r="Z124" s="23">
        <v>0</v>
      </c>
      <c r="AA124" s="23">
        <f t="shared" si="11"/>
        <v>0</v>
      </c>
      <c r="AB124" s="23">
        <f t="shared" si="12"/>
        <v>357.14285714285717</v>
      </c>
      <c r="AC124" s="20"/>
      <c r="AD124" s="20" t="str">
        <f>VLOOKUP($C124,'[1]CTRL AUTOS'!$E:$AH,2,0)</f>
        <v>NCK475B</v>
      </c>
      <c r="AE124" s="11" t="str">
        <f t="shared" si="13"/>
        <v>NCK475B8</v>
      </c>
    </row>
    <row r="125" spans="1:31" ht="12.75" hidden="1" customHeight="1" x14ac:dyDescent="0.3">
      <c r="A125" s="8">
        <v>8</v>
      </c>
      <c r="B125" s="20" t="s">
        <v>252</v>
      </c>
      <c r="C125" s="20" t="s">
        <v>22</v>
      </c>
      <c r="D125" s="20" t="s">
        <v>287</v>
      </c>
      <c r="E125" s="22" t="s">
        <v>232</v>
      </c>
      <c r="F125" s="20" t="s">
        <v>233</v>
      </c>
      <c r="G125" s="22" t="s">
        <v>234</v>
      </c>
      <c r="H125" s="23">
        <v>5918.87</v>
      </c>
      <c r="I125" s="23">
        <v>-82.4</v>
      </c>
      <c r="J125" s="23">
        <v>0</v>
      </c>
      <c r="K125" s="23">
        <v>0</v>
      </c>
      <c r="L125" s="23">
        <v>-1794</v>
      </c>
      <c r="M125" s="24">
        <v>0</v>
      </c>
      <c r="N125" s="23">
        <v>0</v>
      </c>
      <c r="O125" s="24">
        <f t="shared" si="7"/>
        <v>4042.4700000000003</v>
      </c>
      <c r="P125" s="23">
        <v>0</v>
      </c>
      <c r="Q125" s="23">
        <v>0</v>
      </c>
      <c r="R125" s="23">
        <v>0</v>
      </c>
      <c r="S125" s="23">
        <v>0</v>
      </c>
      <c r="T125" s="23">
        <v>0</v>
      </c>
      <c r="U125" s="23">
        <v>0</v>
      </c>
      <c r="V125" s="23">
        <v>0</v>
      </c>
      <c r="W125" s="23">
        <f t="shared" si="8"/>
        <v>4042.4700000000003</v>
      </c>
      <c r="X125" s="23">
        <f t="shared" si="9"/>
        <v>4042.4700000000003</v>
      </c>
      <c r="Y125" s="23">
        <f t="shared" si="10"/>
        <v>0</v>
      </c>
      <c r="Z125" s="23">
        <v>0</v>
      </c>
      <c r="AA125" s="23">
        <f t="shared" si="11"/>
        <v>0</v>
      </c>
      <c r="AB125" s="23">
        <f t="shared" si="12"/>
        <v>0</v>
      </c>
      <c r="AC125" s="20"/>
      <c r="AD125" s="20" t="str">
        <f>VLOOKUP($C125,'[1]CTRL AUTOS'!$E:$AH,2,0)</f>
        <v>NCK475B</v>
      </c>
      <c r="AE125" s="11" t="str">
        <f t="shared" si="13"/>
        <v>NCK475B8</v>
      </c>
    </row>
    <row r="126" spans="1:31" ht="12.75" hidden="1" customHeight="1" x14ac:dyDescent="0.3">
      <c r="A126" s="8">
        <v>9</v>
      </c>
      <c r="B126" s="20" t="s">
        <v>80</v>
      </c>
      <c r="C126" s="20" t="s">
        <v>230</v>
      </c>
      <c r="D126" s="20" t="s">
        <v>231</v>
      </c>
      <c r="E126" s="22" t="s">
        <v>232</v>
      </c>
      <c r="F126" s="20" t="s">
        <v>233</v>
      </c>
      <c r="G126" s="22" t="s">
        <v>234</v>
      </c>
      <c r="H126" s="23">
        <v>2323.84</v>
      </c>
      <c r="I126" s="23">
        <v>0</v>
      </c>
      <c r="J126" s="23">
        <v>0</v>
      </c>
      <c r="K126" s="23">
        <v>0</v>
      </c>
      <c r="L126" s="23">
        <v>-907.84</v>
      </c>
      <c r="M126" s="24">
        <v>-18</v>
      </c>
      <c r="N126" s="23">
        <v>0</v>
      </c>
      <c r="O126" s="24">
        <f t="shared" si="7"/>
        <v>1398</v>
      </c>
      <c r="P126" s="23">
        <v>-2500</v>
      </c>
      <c r="Q126" s="23">
        <v>0</v>
      </c>
      <c r="R126" s="23">
        <v>0</v>
      </c>
      <c r="S126" s="23">
        <v>-500</v>
      </c>
      <c r="T126" s="23">
        <v>0</v>
      </c>
      <c r="U126" s="23">
        <v>0</v>
      </c>
      <c r="V126" s="23">
        <v>0</v>
      </c>
      <c r="W126" s="23">
        <f t="shared" si="8"/>
        <v>-1602</v>
      </c>
      <c r="X126" s="23">
        <f t="shared" si="9"/>
        <v>0</v>
      </c>
      <c r="Y126" s="23">
        <f t="shared" si="10"/>
        <v>-1602</v>
      </c>
      <c r="Z126" s="23">
        <v>1602</v>
      </c>
      <c r="AA126" s="23">
        <f t="shared" si="11"/>
        <v>0</v>
      </c>
      <c r="AB126" s="23">
        <f t="shared" si="12"/>
        <v>3000</v>
      </c>
      <c r="AC126" s="20"/>
      <c r="AD126" s="20" t="s">
        <v>235</v>
      </c>
      <c r="AE126" s="11" t="str">
        <f t="shared" si="13"/>
        <v>NEB156A9</v>
      </c>
    </row>
    <row r="127" spans="1:31" ht="12.75" hidden="1" customHeight="1" x14ac:dyDescent="0.3">
      <c r="A127" s="8">
        <v>9</v>
      </c>
      <c r="B127" s="20" t="s">
        <v>238</v>
      </c>
      <c r="C127" s="20" t="s">
        <v>20</v>
      </c>
      <c r="D127" s="20" t="s">
        <v>239</v>
      </c>
      <c r="E127" s="22" t="s">
        <v>232</v>
      </c>
      <c r="F127" s="20" t="s">
        <v>233</v>
      </c>
      <c r="G127" s="22" t="s">
        <v>234</v>
      </c>
      <c r="H127" s="23">
        <v>1874.75</v>
      </c>
      <c r="I127" s="23">
        <v>-120</v>
      </c>
      <c r="J127" s="23">
        <v>0</v>
      </c>
      <c r="K127" s="23">
        <v>0</v>
      </c>
      <c r="L127" s="23">
        <v>-392.4</v>
      </c>
      <c r="M127" s="24">
        <v>-10</v>
      </c>
      <c r="N127" s="23">
        <v>0</v>
      </c>
      <c r="O127" s="24">
        <f t="shared" si="7"/>
        <v>1352.35</v>
      </c>
      <c r="P127" s="23">
        <v>-2500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f t="shared" si="8"/>
        <v>-1147.6500000000001</v>
      </c>
      <c r="X127" s="23">
        <f t="shared" si="9"/>
        <v>0</v>
      </c>
      <c r="Y127" s="23">
        <f t="shared" si="10"/>
        <v>-1147.6500000000001</v>
      </c>
      <c r="Z127" s="23">
        <v>1148</v>
      </c>
      <c r="AA127" s="23">
        <f t="shared" si="11"/>
        <v>0.34999999999990905</v>
      </c>
      <c r="AB127" s="23">
        <f t="shared" si="12"/>
        <v>2500.6999999999998</v>
      </c>
      <c r="AC127" s="20"/>
      <c r="AD127" s="20" t="str">
        <f>VLOOKUP($C127,'[1]CTRL AUTOS'!$E:$AH,2,0)</f>
        <v>D40BKD</v>
      </c>
      <c r="AE127" s="11" t="str">
        <f t="shared" si="13"/>
        <v>D40BKD9</v>
      </c>
    </row>
    <row r="128" spans="1:31" ht="12.75" hidden="1" customHeight="1" x14ac:dyDescent="0.3">
      <c r="A128" s="8">
        <v>9</v>
      </c>
      <c r="B128" s="20" t="s">
        <v>23</v>
      </c>
      <c r="C128" s="20" t="s">
        <v>75</v>
      </c>
      <c r="D128" s="20" t="s">
        <v>237</v>
      </c>
      <c r="E128" s="22" t="s">
        <v>241</v>
      </c>
      <c r="F128" s="20" t="s">
        <v>232</v>
      </c>
      <c r="G128" s="22" t="s">
        <v>234</v>
      </c>
      <c r="H128" s="23">
        <v>7193.14</v>
      </c>
      <c r="I128" s="23">
        <v>-84</v>
      </c>
      <c r="J128" s="23">
        <v>0</v>
      </c>
      <c r="K128" s="23">
        <v>0</v>
      </c>
      <c r="L128" s="23">
        <v>-3764.59</v>
      </c>
      <c r="M128" s="24">
        <v>0</v>
      </c>
      <c r="N128" s="23">
        <v>0</v>
      </c>
      <c r="O128" s="24">
        <f t="shared" si="7"/>
        <v>3344.55</v>
      </c>
      <c r="P128" s="23">
        <v>-2400</v>
      </c>
      <c r="Q128" s="23">
        <v>-1</v>
      </c>
      <c r="R128" s="23">
        <v>-500</v>
      </c>
      <c r="S128" s="23">
        <v>0</v>
      </c>
      <c r="T128" s="23">
        <v>0</v>
      </c>
      <c r="U128" s="23">
        <v>0</v>
      </c>
      <c r="V128" s="23">
        <v>0</v>
      </c>
      <c r="W128" s="23">
        <f t="shared" si="8"/>
        <v>443.55000000000018</v>
      </c>
      <c r="X128" s="23">
        <f t="shared" si="9"/>
        <v>443.55000000000018</v>
      </c>
      <c r="Y128" s="23">
        <f t="shared" si="10"/>
        <v>0</v>
      </c>
      <c r="Z128" s="23">
        <v>0</v>
      </c>
      <c r="AA128" s="23">
        <f t="shared" si="11"/>
        <v>0</v>
      </c>
      <c r="AB128" s="23">
        <f t="shared" si="12"/>
        <v>2901</v>
      </c>
      <c r="AC128" s="20"/>
      <c r="AD128" s="20" t="str">
        <f>VLOOKUP($C128,'[1]CTRL AUTOS'!$E:$AH,2,0)</f>
        <v>NFN014B</v>
      </c>
      <c r="AE128" s="11" t="str">
        <f t="shared" si="13"/>
        <v>NFN014B9</v>
      </c>
    </row>
    <row r="129" spans="1:31" ht="12.75" hidden="1" customHeight="1" x14ac:dyDescent="0.3">
      <c r="A129" s="8">
        <v>9</v>
      </c>
      <c r="B129" s="20" t="s">
        <v>258</v>
      </c>
      <c r="C129" s="20" t="s">
        <v>40</v>
      </c>
      <c r="D129" s="25" t="s">
        <v>259</v>
      </c>
      <c r="E129" s="22" t="s">
        <v>232</v>
      </c>
      <c r="F129" s="20" t="s">
        <v>232</v>
      </c>
      <c r="G129" s="22" t="s">
        <v>234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4">
        <v>0</v>
      </c>
      <c r="N129" s="23">
        <v>0</v>
      </c>
      <c r="O129" s="24">
        <f t="shared" si="7"/>
        <v>0</v>
      </c>
      <c r="P129" s="23">
        <v>0</v>
      </c>
      <c r="Q129" s="23">
        <v>0</v>
      </c>
      <c r="R129" s="23">
        <v>500</v>
      </c>
      <c r="S129" s="23">
        <v>0</v>
      </c>
      <c r="T129" s="23">
        <v>0</v>
      </c>
      <c r="U129" s="23">
        <v>0</v>
      </c>
      <c r="V129" s="23">
        <v>0</v>
      </c>
      <c r="W129" s="23">
        <f t="shared" si="8"/>
        <v>500</v>
      </c>
      <c r="X129" s="23">
        <f t="shared" si="9"/>
        <v>500</v>
      </c>
      <c r="Y129" s="23">
        <f t="shared" si="10"/>
        <v>0</v>
      </c>
      <c r="Z129" s="23">
        <v>0</v>
      </c>
      <c r="AA129" s="23">
        <f t="shared" si="11"/>
        <v>0</v>
      </c>
      <c r="AB129" s="23">
        <f t="shared" si="12"/>
        <v>-500</v>
      </c>
      <c r="AC129" s="20"/>
      <c r="AD129" s="20" t="str">
        <f>VLOOKUP($C129,'[1]CTRL AUTOS'!$E:$AH,2,0)</f>
        <v>NEL860A</v>
      </c>
      <c r="AE129" s="11" t="str">
        <f t="shared" si="13"/>
        <v>NEL860A9</v>
      </c>
    </row>
    <row r="130" spans="1:31" ht="12.75" hidden="1" customHeight="1" x14ac:dyDescent="0.3">
      <c r="A130" s="8">
        <v>9</v>
      </c>
      <c r="B130" s="20" t="s">
        <v>264</v>
      </c>
      <c r="C130" s="20" t="s">
        <v>50</v>
      </c>
      <c r="D130" s="20" t="s">
        <v>267</v>
      </c>
      <c r="E130" s="22" t="s">
        <v>232</v>
      </c>
      <c r="F130" s="20" t="s">
        <v>232</v>
      </c>
      <c r="G130" s="22" t="s">
        <v>234</v>
      </c>
      <c r="H130" s="23">
        <v>2823.95</v>
      </c>
      <c r="I130" s="23">
        <v>-11.25</v>
      </c>
      <c r="J130" s="23">
        <v>0</v>
      </c>
      <c r="K130" s="23">
        <v>0</v>
      </c>
      <c r="L130" s="23">
        <v>-1209.8800000000001</v>
      </c>
      <c r="M130" s="24">
        <v>-20.534493833943685</v>
      </c>
      <c r="N130" s="23">
        <v>-502.33</v>
      </c>
      <c r="O130" s="24">
        <f t="shared" si="7"/>
        <v>1079.955506166056</v>
      </c>
      <c r="P130" s="23">
        <v>-2500</v>
      </c>
      <c r="Q130" s="23">
        <v>-300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f t="shared" si="8"/>
        <v>-1720.044493833944</v>
      </c>
      <c r="X130" s="23">
        <f t="shared" si="9"/>
        <v>0</v>
      </c>
      <c r="Y130" s="23">
        <f t="shared" si="10"/>
        <v>-1720.044493833944</v>
      </c>
      <c r="Z130" s="23">
        <v>0</v>
      </c>
      <c r="AA130" s="23">
        <f t="shared" si="11"/>
        <v>-1720.044493833944</v>
      </c>
      <c r="AB130" s="23">
        <f t="shared" si="12"/>
        <v>-640.08898766788798</v>
      </c>
      <c r="AC130" s="20"/>
      <c r="AD130" s="20" t="str">
        <f>VLOOKUP($C130,'[1]CTRL AUTOS'!$E:$AH,2,0)</f>
        <v>NBS225A</v>
      </c>
      <c r="AE130" s="11" t="str">
        <f t="shared" si="13"/>
        <v>NBS225A9</v>
      </c>
    </row>
    <row r="131" spans="1:31" ht="12.75" hidden="1" customHeight="1" x14ac:dyDescent="0.3">
      <c r="A131" s="8">
        <v>9</v>
      </c>
      <c r="B131" s="20" t="s">
        <v>260</v>
      </c>
      <c r="C131" s="20" t="s">
        <v>54</v>
      </c>
      <c r="D131" s="20" t="s">
        <v>273</v>
      </c>
      <c r="E131" s="22" t="s">
        <v>232</v>
      </c>
      <c r="F131" s="20" t="s">
        <v>232</v>
      </c>
      <c r="G131" s="22" t="s">
        <v>234</v>
      </c>
      <c r="H131" s="23">
        <v>5365.52</v>
      </c>
      <c r="I131" s="23">
        <v>0</v>
      </c>
      <c r="J131" s="23">
        <v>0</v>
      </c>
      <c r="K131" s="23">
        <v>0</v>
      </c>
      <c r="L131" s="23">
        <v>-805</v>
      </c>
      <c r="M131" s="24">
        <v>-39.015647357744129</v>
      </c>
      <c r="N131" s="23">
        <v>0</v>
      </c>
      <c r="O131" s="24">
        <f t="shared" ref="O131:O194" si="14">SUM(H131:N131)</f>
        <v>4521.504352642256</v>
      </c>
      <c r="P131" s="23">
        <v>-2500</v>
      </c>
      <c r="Q131" s="23">
        <v>0</v>
      </c>
      <c r="R131" s="23">
        <v>0</v>
      </c>
      <c r="S131" s="23">
        <v>-300</v>
      </c>
      <c r="T131" s="23">
        <v>0</v>
      </c>
      <c r="U131" s="23">
        <v>0</v>
      </c>
      <c r="V131" s="23">
        <v>0</v>
      </c>
      <c r="W131" s="23">
        <f t="shared" ref="W131:W194" si="15">+O131+SUM(P131:V131)</f>
        <v>1721.504352642256</v>
      </c>
      <c r="X131" s="23">
        <f t="shared" ref="X131:X194" si="16">IF(W131&gt;=0,W131,0)</f>
        <v>1721.504352642256</v>
      </c>
      <c r="Y131" s="23">
        <f t="shared" ref="Y131:Y194" si="17">IF(W131&lt;=0,W131,0)</f>
        <v>0</v>
      </c>
      <c r="Z131" s="23">
        <v>0</v>
      </c>
      <c r="AA131" s="23">
        <f t="shared" ref="AA131:AA194" si="18">+Y131+Z131</f>
        <v>0</v>
      </c>
      <c r="AB131" s="23">
        <f t="shared" ref="AB131:AB194" si="19">+O131-X131+Z131+AA131</f>
        <v>2800</v>
      </c>
      <c r="AC131" s="20"/>
      <c r="AD131" s="20" t="str">
        <f>VLOOKUP($C131,'[1]CTRL AUTOS'!$E:$AH,2,0)</f>
        <v>NZY685B</v>
      </c>
      <c r="AE131" s="11" t="str">
        <f t="shared" si="13"/>
        <v>NZY685B9</v>
      </c>
    </row>
    <row r="132" spans="1:31" ht="12.75" hidden="1" customHeight="1" x14ac:dyDescent="0.3">
      <c r="A132" s="8">
        <v>9</v>
      </c>
      <c r="B132" s="20" t="s">
        <v>72</v>
      </c>
      <c r="C132" s="20" t="s">
        <v>28</v>
      </c>
      <c r="D132" s="20" t="s">
        <v>274</v>
      </c>
      <c r="E132" s="22" t="s">
        <v>232</v>
      </c>
      <c r="F132" s="20" t="s">
        <v>232</v>
      </c>
      <c r="G132" s="22" t="s">
        <v>234</v>
      </c>
      <c r="H132" s="23">
        <v>12587.42</v>
      </c>
      <c r="I132" s="23">
        <v>-216</v>
      </c>
      <c r="J132" s="23">
        <v>0</v>
      </c>
      <c r="K132" s="23">
        <v>0</v>
      </c>
      <c r="L132" s="23">
        <v>-6062.13</v>
      </c>
      <c r="M132" s="24">
        <v>-90.13</v>
      </c>
      <c r="N132" s="23">
        <v>-155</v>
      </c>
      <c r="O132" s="24">
        <f t="shared" si="14"/>
        <v>6064.16</v>
      </c>
      <c r="P132" s="23">
        <v>-2500</v>
      </c>
      <c r="Q132" s="23">
        <v>-500</v>
      </c>
      <c r="R132" s="23">
        <v>0</v>
      </c>
      <c r="S132" s="23">
        <v>-500</v>
      </c>
      <c r="T132" s="23">
        <v>0</v>
      </c>
      <c r="U132" s="23">
        <v>0</v>
      </c>
      <c r="V132" s="23">
        <v>0</v>
      </c>
      <c r="W132" s="23">
        <f t="shared" si="15"/>
        <v>2564.16</v>
      </c>
      <c r="X132" s="23">
        <f t="shared" si="16"/>
        <v>2564.16</v>
      </c>
      <c r="Y132" s="23">
        <f t="shared" si="17"/>
        <v>0</v>
      </c>
      <c r="Z132" s="23">
        <v>0</v>
      </c>
      <c r="AA132" s="23">
        <f t="shared" si="18"/>
        <v>0</v>
      </c>
      <c r="AB132" s="23">
        <f t="shared" si="19"/>
        <v>3500</v>
      </c>
      <c r="AC132" s="20"/>
      <c r="AD132" s="20" t="str">
        <f>VLOOKUP($C132,'[1]CTRL AUTOS'!$E:$AH,2,0)</f>
        <v>NCT814A</v>
      </c>
      <c r="AE132" s="11" t="str">
        <f t="shared" ref="AE132:AE195" si="20">AD132&amp;A132</f>
        <v>NCT814A9</v>
      </c>
    </row>
    <row r="133" spans="1:31" ht="12.75" hidden="1" customHeight="1" x14ac:dyDescent="0.3">
      <c r="A133" s="8">
        <v>9</v>
      </c>
      <c r="B133" s="20" t="s">
        <v>105</v>
      </c>
      <c r="C133" s="20" t="s">
        <v>46</v>
      </c>
      <c r="D133" s="20" t="s">
        <v>257</v>
      </c>
      <c r="E133" s="22" t="s">
        <v>232</v>
      </c>
      <c r="F133" s="20" t="s">
        <v>232</v>
      </c>
      <c r="G133" s="22" t="s">
        <v>234</v>
      </c>
      <c r="H133" s="23">
        <v>5277.13</v>
      </c>
      <c r="I133" s="23">
        <v>0</v>
      </c>
      <c r="J133" s="23">
        <v>0</v>
      </c>
      <c r="K133" s="23">
        <v>0</v>
      </c>
      <c r="L133" s="23">
        <v>-3123.09</v>
      </c>
      <c r="M133" s="24">
        <v>0</v>
      </c>
      <c r="N133" s="23">
        <v>-66</v>
      </c>
      <c r="O133" s="24">
        <f t="shared" si="14"/>
        <v>2088.04</v>
      </c>
      <c r="P133" s="23">
        <v>-2154.04</v>
      </c>
      <c r="Q133" s="23">
        <v>-3123.09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f t="shared" si="15"/>
        <v>-3189.09</v>
      </c>
      <c r="X133" s="23">
        <f t="shared" si="16"/>
        <v>0</v>
      </c>
      <c r="Y133" s="23">
        <f t="shared" si="17"/>
        <v>-3189.09</v>
      </c>
      <c r="Z133" s="23">
        <v>3189</v>
      </c>
      <c r="AA133" s="23">
        <f t="shared" si="18"/>
        <v>-9.0000000000145519E-2</v>
      </c>
      <c r="AB133" s="23">
        <f t="shared" si="19"/>
        <v>5276.95</v>
      </c>
      <c r="AC133" s="20"/>
      <c r="AD133" s="20" t="str">
        <f>VLOOKUP($C133,'[1]CTRL AUTOS'!$E:$AH,2,0)</f>
        <v>R66BER</v>
      </c>
      <c r="AE133" s="11" t="str">
        <f t="shared" si="20"/>
        <v>R66BER9</v>
      </c>
    </row>
    <row r="134" spans="1:31" ht="12.75" hidden="1" customHeight="1" x14ac:dyDescent="0.3">
      <c r="A134" s="8">
        <v>9</v>
      </c>
      <c r="B134" s="20" t="s">
        <v>288</v>
      </c>
      <c r="C134" s="20" t="s">
        <v>56</v>
      </c>
      <c r="D134" s="20" t="s">
        <v>289</v>
      </c>
      <c r="E134" s="22" t="s">
        <v>241</v>
      </c>
      <c r="F134" s="20" t="s">
        <v>232</v>
      </c>
      <c r="G134" s="22" t="s">
        <v>234</v>
      </c>
      <c r="H134" s="23">
        <v>8275.59</v>
      </c>
      <c r="I134" s="23">
        <v>-25.6</v>
      </c>
      <c r="J134" s="23">
        <v>0</v>
      </c>
      <c r="K134" s="23">
        <v>0</v>
      </c>
      <c r="L134" s="23">
        <v>-3373.99</v>
      </c>
      <c r="M134" s="24">
        <v>-60.176367084136061</v>
      </c>
      <c r="N134" s="23">
        <v>0</v>
      </c>
      <c r="O134" s="24">
        <f t="shared" si="14"/>
        <v>4815.8236329158635</v>
      </c>
      <c r="P134" s="23">
        <v>-2350</v>
      </c>
      <c r="Q134" s="23">
        <v>0</v>
      </c>
      <c r="R134" s="23">
        <v>-500</v>
      </c>
      <c r="S134" s="23">
        <v>0</v>
      </c>
      <c r="T134" s="23">
        <v>0</v>
      </c>
      <c r="U134" s="23">
        <v>0</v>
      </c>
      <c r="V134" s="23">
        <v>0</v>
      </c>
      <c r="W134" s="23">
        <f t="shared" si="15"/>
        <v>1965.8236329158635</v>
      </c>
      <c r="X134" s="23">
        <f t="shared" si="16"/>
        <v>1965.8236329158635</v>
      </c>
      <c r="Y134" s="23">
        <f t="shared" si="17"/>
        <v>0</v>
      </c>
      <c r="Z134" s="23">
        <v>0</v>
      </c>
      <c r="AA134" s="23">
        <f t="shared" si="18"/>
        <v>0</v>
      </c>
      <c r="AB134" s="23">
        <f t="shared" si="19"/>
        <v>2850</v>
      </c>
      <c r="AC134" s="20"/>
      <c r="AD134" s="20" t="str">
        <f>VLOOKUP($C134,'[1]CTRL AUTOS'!$E:$AH,2,0)</f>
        <v>MYE912A</v>
      </c>
      <c r="AE134" s="11" t="str">
        <f t="shared" si="20"/>
        <v>MYE912A9</v>
      </c>
    </row>
    <row r="135" spans="1:31" ht="12.75" hidden="1" customHeight="1" x14ac:dyDescent="0.3">
      <c r="A135" s="8">
        <v>9</v>
      </c>
      <c r="B135" s="20" t="s">
        <v>244</v>
      </c>
      <c r="C135" s="20" t="s">
        <v>4</v>
      </c>
      <c r="D135" s="20" t="s">
        <v>285</v>
      </c>
      <c r="E135" s="22" t="s">
        <v>232</v>
      </c>
      <c r="F135" s="20" t="s">
        <v>232</v>
      </c>
      <c r="G135" s="22" t="s">
        <v>234</v>
      </c>
      <c r="H135" s="23">
        <v>7235.39</v>
      </c>
      <c r="I135" s="23">
        <v>0</v>
      </c>
      <c r="J135" s="23">
        <v>0</v>
      </c>
      <c r="K135" s="23">
        <v>0</v>
      </c>
      <c r="L135" s="23">
        <v>-2866.99</v>
      </c>
      <c r="M135" s="24">
        <v>-52.612500696250933</v>
      </c>
      <c r="N135" s="23">
        <v>0</v>
      </c>
      <c r="O135" s="24">
        <f t="shared" si="14"/>
        <v>4315.7874993037494</v>
      </c>
      <c r="P135" s="23">
        <v>-2500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f t="shared" si="15"/>
        <v>1815.7874993037494</v>
      </c>
      <c r="X135" s="23">
        <f t="shared" si="16"/>
        <v>1815.7874993037494</v>
      </c>
      <c r="Y135" s="23">
        <f t="shared" si="17"/>
        <v>0</v>
      </c>
      <c r="Z135" s="23">
        <v>0</v>
      </c>
      <c r="AA135" s="23">
        <f t="shared" si="18"/>
        <v>0</v>
      </c>
      <c r="AB135" s="23">
        <f t="shared" si="19"/>
        <v>2500</v>
      </c>
      <c r="AC135" s="20"/>
      <c r="AD135" s="20" t="str">
        <f>VLOOKUP($C135,'[1]CTRL AUTOS'!$E:$AH,2,0)</f>
        <v>N15BKD</v>
      </c>
      <c r="AE135" s="11" t="str">
        <f t="shared" si="20"/>
        <v>N15BKD9</v>
      </c>
    </row>
    <row r="136" spans="1:31" ht="12.75" hidden="1" customHeight="1" x14ac:dyDescent="0.3">
      <c r="A136" s="8">
        <v>9</v>
      </c>
      <c r="B136" s="20" t="s">
        <v>35</v>
      </c>
      <c r="C136" s="20" t="s">
        <v>34</v>
      </c>
      <c r="D136" s="20" t="s">
        <v>237</v>
      </c>
      <c r="E136" s="22" t="s">
        <v>232</v>
      </c>
      <c r="F136" s="20" t="s">
        <v>232</v>
      </c>
      <c r="G136" s="22" t="s">
        <v>234</v>
      </c>
      <c r="H136" s="23">
        <v>6907.17</v>
      </c>
      <c r="I136" s="23">
        <v>-112.8</v>
      </c>
      <c r="J136" s="23">
        <v>0</v>
      </c>
      <c r="K136" s="23">
        <v>0</v>
      </c>
      <c r="L136" s="23">
        <v>-3949.64</v>
      </c>
      <c r="M136" s="24">
        <v>-50.225832530675405</v>
      </c>
      <c r="N136" s="23">
        <v>0</v>
      </c>
      <c r="O136" s="24">
        <f t="shared" si="14"/>
        <v>2794.5041674693248</v>
      </c>
      <c r="P136" s="23">
        <v>-2500</v>
      </c>
      <c r="Q136" s="23">
        <v>-42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f t="shared" si="15"/>
        <v>252.50416746932478</v>
      </c>
      <c r="X136" s="23">
        <f t="shared" si="16"/>
        <v>252.50416746932478</v>
      </c>
      <c r="Y136" s="23">
        <f t="shared" si="17"/>
        <v>0</v>
      </c>
      <c r="Z136" s="23">
        <v>0</v>
      </c>
      <c r="AA136" s="23">
        <f t="shared" si="18"/>
        <v>0</v>
      </c>
      <c r="AB136" s="23">
        <f t="shared" si="19"/>
        <v>2542</v>
      </c>
      <c r="AC136" s="20"/>
      <c r="AD136" s="20" t="str">
        <f>VLOOKUP($C136,'[1]CTRL AUTOS'!$E:$AH,2,0)</f>
        <v>X59AWG</v>
      </c>
      <c r="AE136" s="11" t="str">
        <f t="shared" si="20"/>
        <v>X59AWG9</v>
      </c>
    </row>
    <row r="137" spans="1:31" ht="12.75" hidden="1" customHeight="1" x14ac:dyDescent="0.3">
      <c r="A137" s="8">
        <v>9</v>
      </c>
      <c r="B137" s="20" t="s">
        <v>37</v>
      </c>
      <c r="C137" s="20" t="s">
        <v>246</v>
      </c>
      <c r="D137" s="20" t="s">
        <v>247</v>
      </c>
      <c r="E137" s="22" t="s">
        <v>232</v>
      </c>
      <c r="F137" s="20" t="s">
        <v>232</v>
      </c>
      <c r="G137" s="22" t="s">
        <v>234</v>
      </c>
      <c r="H137" s="23">
        <v>4200.58</v>
      </c>
      <c r="I137" s="23">
        <v>0</v>
      </c>
      <c r="J137" s="23">
        <v>0</v>
      </c>
      <c r="K137" s="23">
        <v>0</v>
      </c>
      <c r="L137" s="23">
        <v>-908.09</v>
      </c>
      <c r="M137" s="24">
        <v>-30.544727813519064</v>
      </c>
      <c r="N137" s="23">
        <v>0</v>
      </c>
      <c r="O137" s="24">
        <f t="shared" si="14"/>
        <v>3261.9452721864809</v>
      </c>
      <c r="P137" s="23">
        <v>-2500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0</v>
      </c>
      <c r="W137" s="23">
        <f t="shared" si="15"/>
        <v>761.94527218648091</v>
      </c>
      <c r="X137" s="23">
        <f t="shared" si="16"/>
        <v>761.94527218648091</v>
      </c>
      <c r="Y137" s="23">
        <f t="shared" si="17"/>
        <v>0</v>
      </c>
      <c r="Z137" s="23">
        <v>0</v>
      </c>
      <c r="AA137" s="23">
        <f t="shared" si="18"/>
        <v>0</v>
      </c>
      <c r="AB137" s="23">
        <f t="shared" si="19"/>
        <v>2500</v>
      </c>
      <c r="AC137" s="20"/>
      <c r="AD137" s="20" t="s">
        <v>248</v>
      </c>
      <c r="AE137" s="11" t="str">
        <f t="shared" si="20"/>
        <v>X24APU9</v>
      </c>
    </row>
    <row r="138" spans="1:31" ht="12.75" hidden="1" customHeight="1" x14ac:dyDescent="0.3">
      <c r="A138" s="8">
        <v>9</v>
      </c>
      <c r="B138" s="20" t="s">
        <v>286</v>
      </c>
      <c r="C138" s="20" t="s">
        <v>40</v>
      </c>
      <c r="D138" s="20" t="s">
        <v>259</v>
      </c>
      <c r="E138" s="22" t="s">
        <v>232</v>
      </c>
      <c r="F138" s="20" t="s">
        <v>232</v>
      </c>
      <c r="G138" s="22" t="s">
        <v>234</v>
      </c>
      <c r="H138" s="23">
        <v>3148.92</v>
      </c>
      <c r="I138" s="23">
        <v>0</v>
      </c>
      <c r="J138" s="23">
        <v>0</v>
      </c>
      <c r="K138" s="23">
        <v>0</v>
      </c>
      <c r="L138" s="23">
        <v>-1728.95</v>
      </c>
      <c r="M138" s="24">
        <v>-22.897529461775864</v>
      </c>
      <c r="N138" s="23">
        <v>0</v>
      </c>
      <c r="O138" s="24">
        <f t="shared" si="14"/>
        <v>1397.0724705382243</v>
      </c>
      <c r="P138" s="23">
        <v>-2500</v>
      </c>
      <c r="Q138" s="23">
        <v>0</v>
      </c>
      <c r="R138" s="23">
        <v>-500</v>
      </c>
      <c r="S138" s="23">
        <v>0</v>
      </c>
      <c r="T138" s="23">
        <v>0</v>
      </c>
      <c r="U138" s="23">
        <v>0</v>
      </c>
      <c r="V138" s="23">
        <v>0</v>
      </c>
      <c r="W138" s="23">
        <f t="shared" si="15"/>
        <v>-1602.9275294617757</v>
      </c>
      <c r="X138" s="23">
        <f t="shared" si="16"/>
        <v>0</v>
      </c>
      <c r="Y138" s="23">
        <f t="shared" si="17"/>
        <v>-1602.9275294617757</v>
      </c>
      <c r="Z138" s="23">
        <v>1500</v>
      </c>
      <c r="AA138" s="23">
        <f t="shared" si="18"/>
        <v>-102.92752946177575</v>
      </c>
      <c r="AB138" s="23">
        <f t="shared" si="19"/>
        <v>2794.144941076449</v>
      </c>
      <c r="AC138" s="20"/>
      <c r="AD138" s="20" t="str">
        <f>VLOOKUP($C138,'[1]CTRL AUTOS'!$E:$AH,2,0)</f>
        <v>NEL860A</v>
      </c>
      <c r="AE138" s="11" t="str">
        <f t="shared" si="20"/>
        <v>NEL860A9</v>
      </c>
    </row>
    <row r="139" spans="1:31" ht="12.75" hidden="1" customHeight="1" x14ac:dyDescent="0.3">
      <c r="A139" s="8">
        <v>9</v>
      </c>
      <c r="B139" s="20" t="s">
        <v>290</v>
      </c>
      <c r="C139" s="20" t="s">
        <v>63</v>
      </c>
      <c r="D139" s="20" t="s">
        <v>237</v>
      </c>
      <c r="E139" s="20" t="s">
        <v>291</v>
      </c>
      <c r="F139" s="20" t="s">
        <v>232</v>
      </c>
      <c r="G139" s="22" t="s">
        <v>234</v>
      </c>
      <c r="H139" s="23">
        <v>2006.67</v>
      </c>
      <c r="I139" s="23">
        <v>0</v>
      </c>
      <c r="J139" s="23">
        <v>0</v>
      </c>
      <c r="K139" s="23">
        <v>0</v>
      </c>
      <c r="L139" s="23">
        <v>-1520.46</v>
      </c>
      <c r="M139" s="24">
        <v>0</v>
      </c>
      <c r="N139" s="23">
        <v>0</v>
      </c>
      <c r="O139" s="24">
        <f t="shared" si="14"/>
        <v>486.21000000000004</v>
      </c>
      <c r="P139" s="23">
        <v>-1071.4285714285716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f t="shared" si="15"/>
        <v>-585.21857142857152</v>
      </c>
      <c r="X139" s="23">
        <f t="shared" si="16"/>
        <v>0</v>
      </c>
      <c r="Y139" s="23">
        <f t="shared" si="17"/>
        <v>-585.21857142857152</v>
      </c>
      <c r="Z139" s="23">
        <v>0</v>
      </c>
      <c r="AA139" s="23">
        <f t="shared" si="18"/>
        <v>-585.21857142857152</v>
      </c>
      <c r="AB139" s="23">
        <f t="shared" si="19"/>
        <v>-99.008571428571486</v>
      </c>
      <c r="AC139" s="20"/>
      <c r="AD139" s="20" t="str">
        <f>VLOOKUP($C139,'[1]CTRL AUTOS'!$E:$AH,2,0)</f>
        <v>X89ALV</v>
      </c>
      <c r="AE139" s="11" t="str">
        <f t="shared" si="20"/>
        <v>X89ALV9</v>
      </c>
    </row>
    <row r="140" spans="1:31" ht="12.75" hidden="1" customHeight="1" x14ac:dyDescent="0.3">
      <c r="A140" s="8">
        <v>9</v>
      </c>
      <c r="B140" s="20" t="s">
        <v>45</v>
      </c>
      <c r="C140" s="20" t="s">
        <v>249</v>
      </c>
      <c r="D140" s="20" t="s">
        <v>250</v>
      </c>
      <c r="E140" s="22" t="s">
        <v>232</v>
      </c>
      <c r="F140" s="20" t="s">
        <v>232</v>
      </c>
      <c r="G140" s="22" t="s">
        <v>234</v>
      </c>
      <c r="H140" s="23">
        <v>3739.65</v>
      </c>
      <c r="I140" s="23">
        <v>-19.2</v>
      </c>
      <c r="J140" s="23">
        <v>0</v>
      </c>
      <c r="K140" s="23">
        <v>0</v>
      </c>
      <c r="L140" s="23">
        <v>-1669.46</v>
      </c>
      <c r="M140" s="24">
        <v>-17</v>
      </c>
      <c r="N140" s="23">
        <v>0</v>
      </c>
      <c r="O140" s="24">
        <f t="shared" si="14"/>
        <v>2033.9900000000002</v>
      </c>
      <c r="P140" s="23">
        <v>-2300</v>
      </c>
      <c r="Q140" s="23">
        <v>0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23">
        <f t="shared" si="15"/>
        <v>-266.00999999999976</v>
      </c>
      <c r="X140" s="23">
        <f t="shared" si="16"/>
        <v>0</v>
      </c>
      <c r="Y140" s="23">
        <f t="shared" si="17"/>
        <v>-266.00999999999976</v>
      </c>
      <c r="Z140" s="23">
        <v>266</v>
      </c>
      <c r="AA140" s="23">
        <f t="shared" si="18"/>
        <v>-9.9999999997635314E-3</v>
      </c>
      <c r="AB140" s="23">
        <f t="shared" si="19"/>
        <v>2299.9800000000005</v>
      </c>
      <c r="AC140" s="20"/>
      <c r="AD140" s="20" t="s">
        <v>251</v>
      </c>
      <c r="AE140" s="11" t="str">
        <f t="shared" si="20"/>
        <v>BAJA DE PLACAS9</v>
      </c>
    </row>
    <row r="141" spans="1:31" ht="12.75" hidden="1" customHeight="1" x14ac:dyDescent="0.3">
      <c r="A141" s="8">
        <v>9</v>
      </c>
      <c r="B141" s="20" t="s">
        <v>252</v>
      </c>
      <c r="C141" s="20" t="s">
        <v>22</v>
      </c>
      <c r="D141" s="20" t="s">
        <v>287</v>
      </c>
      <c r="E141" s="22" t="s">
        <v>232</v>
      </c>
      <c r="F141" s="20" t="s">
        <v>233</v>
      </c>
      <c r="G141" s="22" t="s">
        <v>234</v>
      </c>
      <c r="H141" s="23">
        <v>6754.51</v>
      </c>
      <c r="I141" s="23">
        <v>-56.8</v>
      </c>
      <c r="J141" s="23">
        <v>0</v>
      </c>
      <c r="K141" s="23">
        <v>0</v>
      </c>
      <c r="L141" s="23">
        <v>-2410.66</v>
      </c>
      <c r="M141" s="24">
        <v>-42</v>
      </c>
      <c r="N141" s="23">
        <v>0</v>
      </c>
      <c r="O141" s="24">
        <f t="shared" si="14"/>
        <v>4245.05</v>
      </c>
      <c r="P141" s="23">
        <v>-2500</v>
      </c>
      <c r="Q141" s="23">
        <v>0</v>
      </c>
      <c r="R141" s="23">
        <v>0</v>
      </c>
      <c r="S141" s="23">
        <v>0</v>
      </c>
      <c r="T141" s="23">
        <v>0</v>
      </c>
      <c r="U141" s="23">
        <v>0</v>
      </c>
      <c r="V141" s="23">
        <v>0</v>
      </c>
      <c r="W141" s="23">
        <f t="shared" si="15"/>
        <v>1745.0500000000002</v>
      </c>
      <c r="X141" s="23">
        <f t="shared" si="16"/>
        <v>1745.0500000000002</v>
      </c>
      <c r="Y141" s="23">
        <f t="shared" si="17"/>
        <v>0</v>
      </c>
      <c r="Z141" s="23">
        <v>0</v>
      </c>
      <c r="AA141" s="23">
        <f t="shared" si="18"/>
        <v>0</v>
      </c>
      <c r="AB141" s="23">
        <f t="shared" si="19"/>
        <v>2500</v>
      </c>
      <c r="AC141" s="20"/>
      <c r="AD141" s="20" t="str">
        <f>VLOOKUP($C141,'[1]CTRL AUTOS'!$E:$AH,2,0)</f>
        <v>NCK475B</v>
      </c>
      <c r="AE141" s="11" t="str">
        <f t="shared" si="20"/>
        <v>NCK475B9</v>
      </c>
    </row>
    <row r="142" spans="1:31" ht="12.75" hidden="1" customHeight="1" x14ac:dyDescent="0.3">
      <c r="A142" s="8">
        <v>10</v>
      </c>
      <c r="B142" s="20" t="s">
        <v>80</v>
      </c>
      <c r="C142" s="20" t="s">
        <v>230</v>
      </c>
      <c r="D142" s="20" t="s">
        <v>231</v>
      </c>
      <c r="E142" s="22" t="s">
        <v>232</v>
      </c>
      <c r="F142" s="20" t="s">
        <v>233</v>
      </c>
      <c r="G142" s="22" t="s">
        <v>234</v>
      </c>
      <c r="H142" s="23">
        <v>143.03</v>
      </c>
      <c r="I142" s="23">
        <v>0</v>
      </c>
      <c r="J142" s="23">
        <v>0</v>
      </c>
      <c r="K142" s="23">
        <v>0</v>
      </c>
      <c r="L142" s="23">
        <v>-80.930000000000007</v>
      </c>
      <c r="M142" s="24">
        <v>0</v>
      </c>
      <c r="N142" s="23">
        <v>0</v>
      </c>
      <c r="O142" s="24">
        <f t="shared" si="14"/>
        <v>62.099999999999994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23">
        <f t="shared" si="15"/>
        <v>62.099999999999994</v>
      </c>
      <c r="X142" s="23">
        <f t="shared" si="16"/>
        <v>62.099999999999994</v>
      </c>
      <c r="Y142" s="23">
        <f t="shared" si="17"/>
        <v>0</v>
      </c>
      <c r="Z142" s="23">
        <v>0</v>
      </c>
      <c r="AA142" s="23">
        <f t="shared" si="18"/>
        <v>0</v>
      </c>
      <c r="AB142" s="23">
        <f t="shared" si="19"/>
        <v>0</v>
      </c>
      <c r="AC142" s="20"/>
      <c r="AD142" s="20" t="s">
        <v>235</v>
      </c>
      <c r="AE142" s="11" t="str">
        <f t="shared" si="20"/>
        <v>NEB156A10</v>
      </c>
    </row>
    <row r="143" spans="1:31" ht="12.75" hidden="1" customHeight="1" x14ac:dyDescent="0.3">
      <c r="A143" s="8">
        <v>10</v>
      </c>
      <c r="B143" s="20" t="s">
        <v>238</v>
      </c>
      <c r="C143" s="20" t="s">
        <v>20</v>
      </c>
      <c r="D143" s="20" t="s">
        <v>239</v>
      </c>
      <c r="E143" s="22" t="s">
        <v>232</v>
      </c>
      <c r="F143" s="20" t="s">
        <v>233</v>
      </c>
      <c r="G143" s="22" t="s">
        <v>234</v>
      </c>
      <c r="H143" s="23">
        <v>19.579999999999998</v>
      </c>
      <c r="I143" s="23">
        <v>0</v>
      </c>
      <c r="J143" s="23">
        <v>0</v>
      </c>
      <c r="K143" s="23">
        <v>0</v>
      </c>
      <c r="L143" s="23">
        <v>0</v>
      </c>
      <c r="M143" s="24">
        <v>0</v>
      </c>
      <c r="N143" s="23">
        <v>0</v>
      </c>
      <c r="O143" s="24">
        <f t="shared" si="14"/>
        <v>19.579999999999998</v>
      </c>
      <c r="P143" s="23">
        <v>-2500</v>
      </c>
      <c r="Q143" s="23">
        <v>-175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f t="shared" si="15"/>
        <v>-2655.42</v>
      </c>
      <c r="X143" s="23">
        <f t="shared" si="16"/>
        <v>0</v>
      </c>
      <c r="Y143" s="23">
        <f t="shared" si="17"/>
        <v>-2655.42</v>
      </c>
      <c r="Z143" s="23">
        <v>2655</v>
      </c>
      <c r="AA143" s="23">
        <f t="shared" si="18"/>
        <v>-0.42000000000007276</v>
      </c>
      <c r="AB143" s="23">
        <f t="shared" si="19"/>
        <v>2674.16</v>
      </c>
      <c r="AC143" s="20"/>
      <c r="AD143" s="20" t="str">
        <f>VLOOKUP($C143,'[1]CTRL AUTOS'!$E:$AH,2,0)</f>
        <v>D40BKD</v>
      </c>
      <c r="AE143" s="11" t="str">
        <f t="shared" si="20"/>
        <v>D40BKD10</v>
      </c>
    </row>
    <row r="144" spans="1:31" ht="12.75" hidden="1" customHeight="1" x14ac:dyDescent="0.3">
      <c r="A144" s="8">
        <v>10</v>
      </c>
      <c r="B144" s="20" t="s">
        <v>23</v>
      </c>
      <c r="C144" s="20" t="s">
        <v>75</v>
      </c>
      <c r="D144" s="20" t="s">
        <v>237</v>
      </c>
      <c r="E144" s="22" t="s">
        <v>241</v>
      </c>
      <c r="F144" s="20" t="s">
        <v>232</v>
      </c>
      <c r="G144" s="22" t="s">
        <v>234</v>
      </c>
      <c r="H144" s="23">
        <v>6164.87</v>
      </c>
      <c r="I144" s="23">
        <v>-16</v>
      </c>
      <c r="J144" s="23">
        <v>0</v>
      </c>
      <c r="K144" s="23">
        <v>0</v>
      </c>
      <c r="L144" s="23">
        <v>-3397.74</v>
      </c>
      <c r="M144" s="24">
        <v>0</v>
      </c>
      <c r="N144" s="23">
        <v>0</v>
      </c>
      <c r="O144" s="24">
        <f t="shared" si="14"/>
        <v>2751.13</v>
      </c>
      <c r="P144" s="23">
        <v>-2057.1428571428569</v>
      </c>
      <c r="Q144" s="23">
        <v>0</v>
      </c>
      <c r="R144" s="23">
        <v>-500</v>
      </c>
      <c r="S144" s="23">
        <v>0</v>
      </c>
      <c r="T144" s="23">
        <v>0</v>
      </c>
      <c r="U144" s="23">
        <v>0</v>
      </c>
      <c r="V144" s="23">
        <v>0</v>
      </c>
      <c r="W144" s="23">
        <f t="shared" si="15"/>
        <v>193.98714285714323</v>
      </c>
      <c r="X144" s="23">
        <f t="shared" si="16"/>
        <v>193.98714285714323</v>
      </c>
      <c r="Y144" s="23">
        <f t="shared" si="17"/>
        <v>0</v>
      </c>
      <c r="Z144" s="23">
        <v>0</v>
      </c>
      <c r="AA144" s="23">
        <f t="shared" si="18"/>
        <v>0</v>
      </c>
      <c r="AB144" s="23">
        <f t="shared" si="19"/>
        <v>2557.1428571428569</v>
      </c>
      <c r="AC144" s="20"/>
      <c r="AD144" s="20" t="str">
        <f>VLOOKUP($C144,'[1]CTRL AUTOS'!$E:$AH,2,0)</f>
        <v>NFN014B</v>
      </c>
      <c r="AE144" s="11" t="str">
        <f t="shared" si="20"/>
        <v>NFN014B10</v>
      </c>
    </row>
    <row r="145" spans="1:31" ht="12.75" hidden="1" customHeight="1" x14ac:dyDescent="0.3">
      <c r="A145" s="8">
        <v>10</v>
      </c>
      <c r="B145" s="20" t="s">
        <v>258</v>
      </c>
      <c r="C145" s="20" t="s">
        <v>40</v>
      </c>
      <c r="D145" s="25" t="s">
        <v>259</v>
      </c>
      <c r="E145" s="22" t="s">
        <v>232</v>
      </c>
      <c r="F145" s="20" t="s">
        <v>232</v>
      </c>
      <c r="G145" s="22" t="s">
        <v>234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  <c r="M145" s="24">
        <v>0</v>
      </c>
      <c r="N145" s="23">
        <v>0</v>
      </c>
      <c r="O145" s="24">
        <f t="shared" si="14"/>
        <v>0</v>
      </c>
      <c r="P145" s="23">
        <v>0</v>
      </c>
      <c r="Q145" s="23">
        <v>0</v>
      </c>
      <c r="R145" s="23">
        <v>500</v>
      </c>
      <c r="S145" s="23">
        <v>0</v>
      </c>
      <c r="T145" s="23">
        <v>0</v>
      </c>
      <c r="U145" s="23">
        <v>0</v>
      </c>
      <c r="V145" s="23">
        <v>0</v>
      </c>
      <c r="W145" s="23">
        <f t="shared" si="15"/>
        <v>500</v>
      </c>
      <c r="X145" s="23">
        <f t="shared" si="16"/>
        <v>500</v>
      </c>
      <c r="Y145" s="23">
        <f t="shared" si="17"/>
        <v>0</v>
      </c>
      <c r="Z145" s="23">
        <v>0</v>
      </c>
      <c r="AA145" s="23">
        <f t="shared" si="18"/>
        <v>0</v>
      </c>
      <c r="AB145" s="23">
        <f t="shared" si="19"/>
        <v>-500</v>
      </c>
      <c r="AC145" s="20"/>
      <c r="AD145" s="20" t="str">
        <f>VLOOKUP($C145,'[1]CTRL AUTOS'!$E:$AH,2,0)</f>
        <v>NEL860A</v>
      </c>
      <c r="AE145" s="11" t="str">
        <f t="shared" si="20"/>
        <v>NEL860A10</v>
      </c>
    </row>
    <row r="146" spans="1:31" ht="12.75" hidden="1" customHeight="1" x14ac:dyDescent="0.3">
      <c r="A146" s="8">
        <v>10</v>
      </c>
      <c r="B146" s="20" t="s">
        <v>264</v>
      </c>
      <c r="C146" s="20" t="s">
        <v>50</v>
      </c>
      <c r="D146" s="20" t="s">
        <v>267</v>
      </c>
      <c r="E146" s="22" t="s">
        <v>232</v>
      </c>
      <c r="F146" s="20" t="s">
        <v>232</v>
      </c>
      <c r="G146" s="22" t="s">
        <v>234</v>
      </c>
      <c r="H146" s="23">
        <v>172.78</v>
      </c>
      <c r="I146" s="23">
        <v>-8.7100000000000009</v>
      </c>
      <c r="J146" s="23">
        <v>0</v>
      </c>
      <c r="K146" s="23">
        <v>0</v>
      </c>
      <c r="L146" s="23">
        <v>0</v>
      </c>
      <c r="M146" s="24">
        <v>0</v>
      </c>
      <c r="N146" s="23">
        <v>-190</v>
      </c>
      <c r="O146" s="24">
        <f t="shared" si="14"/>
        <v>-25.930000000000007</v>
      </c>
      <c r="P146" s="23">
        <v>0</v>
      </c>
      <c r="Q146" s="23">
        <v>0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23">
        <f t="shared" si="15"/>
        <v>-25.930000000000007</v>
      </c>
      <c r="X146" s="23">
        <f t="shared" si="16"/>
        <v>0</v>
      </c>
      <c r="Y146" s="23">
        <f t="shared" si="17"/>
        <v>-25.930000000000007</v>
      </c>
      <c r="Z146" s="23">
        <v>0</v>
      </c>
      <c r="AA146" s="23">
        <f t="shared" si="18"/>
        <v>-25.930000000000007</v>
      </c>
      <c r="AB146" s="23">
        <f t="shared" si="19"/>
        <v>-51.860000000000014</v>
      </c>
      <c r="AC146" s="20"/>
      <c r="AD146" s="20" t="str">
        <f>VLOOKUP($C146,'[1]CTRL AUTOS'!$E:$AH,2,0)</f>
        <v>NBS225A</v>
      </c>
      <c r="AE146" s="11" t="str">
        <f t="shared" si="20"/>
        <v>NBS225A10</v>
      </c>
    </row>
    <row r="147" spans="1:31" ht="12.75" hidden="1" customHeight="1" x14ac:dyDescent="0.3">
      <c r="A147" s="8">
        <v>10</v>
      </c>
      <c r="B147" s="20" t="s">
        <v>260</v>
      </c>
      <c r="C147" s="20" t="s">
        <v>54</v>
      </c>
      <c r="D147" s="20" t="s">
        <v>273</v>
      </c>
      <c r="E147" s="22" t="s">
        <v>232</v>
      </c>
      <c r="F147" s="20" t="s">
        <v>232</v>
      </c>
      <c r="G147" s="22" t="s">
        <v>234</v>
      </c>
      <c r="H147" s="23">
        <v>3765.74</v>
      </c>
      <c r="I147" s="23">
        <v>-92.68</v>
      </c>
      <c r="J147" s="23">
        <v>0</v>
      </c>
      <c r="K147" s="23">
        <v>0</v>
      </c>
      <c r="L147" s="23">
        <v>-768.37</v>
      </c>
      <c r="M147" s="24">
        <v>0</v>
      </c>
      <c r="N147" s="23">
        <v>0</v>
      </c>
      <c r="O147" s="24">
        <f t="shared" si="14"/>
        <v>2904.69</v>
      </c>
      <c r="P147" s="23">
        <v>-2500</v>
      </c>
      <c r="Q147" s="23">
        <v>0</v>
      </c>
      <c r="R147" s="23">
        <v>0</v>
      </c>
      <c r="S147" s="23">
        <v>-500</v>
      </c>
      <c r="T147" s="23">
        <v>0</v>
      </c>
      <c r="U147" s="23">
        <v>0</v>
      </c>
      <c r="V147" s="23">
        <v>0</v>
      </c>
      <c r="W147" s="23">
        <f t="shared" si="15"/>
        <v>-95.309999999999945</v>
      </c>
      <c r="X147" s="23">
        <f t="shared" si="16"/>
        <v>0</v>
      </c>
      <c r="Y147" s="23">
        <f t="shared" si="17"/>
        <v>-95.309999999999945</v>
      </c>
      <c r="Z147" s="23">
        <v>0</v>
      </c>
      <c r="AA147" s="23">
        <f t="shared" si="18"/>
        <v>-95.309999999999945</v>
      </c>
      <c r="AB147" s="23">
        <f t="shared" si="19"/>
        <v>2809.38</v>
      </c>
      <c r="AC147" s="20"/>
      <c r="AD147" s="20" t="str">
        <f>VLOOKUP($C147,'[1]CTRL AUTOS'!$E:$AH,2,0)</f>
        <v>NZY685B</v>
      </c>
      <c r="AE147" s="11" t="str">
        <f t="shared" si="20"/>
        <v>NZY685B10</v>
      </c>
    </row>
    <row r="148" spans="1:31" ht="12.75" hidden="1" customHeight="1" x14ac:dyDescent="0.3">
      <c r="A148" s="8">
        <v>10</v>
      </c>
      <c r="B148" s="20" t="s">
        <v>72</v>
      </c>
      <c r="C148" s="20" t="s">
        <v>28</v>
      </c>
      <c r="D148" s="20" t="s">
        <v>274</v>
      </c>
      <c r="E148" s="22" t="s">
        <v>232</v>
      </c>
      <c r="F148" s="20" t="s">
        <v>232</v>
      </c>
      <c r="G148" s="22" t="s">
        <v>234</v>
      </c>
      <c r="H148" s="23">
        <v>7882.57</v>
      </c>
      <c r="I148" s="23">
        <v>-78.400000000000006</v>
      </c>
      <c r="J148" s="23">
        <v>0</v>
      </c>
      <c r="K148" s="23">
        <v>0</v>
      </c>
      <c r="L148" s="23">
        <v>-3156.47</v>
      </c>
      <c r="M148" s="24">
        <v>-72</v>
      </c>
      <c r="N148" s="23">
        <v>-343</v>
      </c>
      <c r="O148" s="24">
        <f t="shared" si="14"/>
        <v>4232.7000000000007</v>
      </c>
      <c r="P148" s="23">
        <v>-2500</v>
      </c>
      <c r="Q148" s="23">
        <v>-500</v>
      </c>
      <c r="R148" s="23">
        <v>0</v>
      </c>
      <c r="S148" s="23">
        <v>-500</v>
      </c>
      <c r="T148" s="23">
        <v>0</v>
      </c>
      <c r="U148" s="23">
        <v>0</v>
      </c>
      <c r="V148" s="23">
        <v>0</v>
      </c>
      <c r="W148" s="23">
        <f t="shared" si="15"/>
        <v>732.70000000000073</v>
      </c>
      <c r="X148" s="23">
        <f t="shared" si="16"/>
        <v>732.70000000000073</v>
      </c>
      <c r="Y148" s="23">
        <f t="shared" si="17"/>
        <v>0</v>
      </c>
      <c r="Z148" s="23">
        <v>0</v>
      </c>
      <c r="AA148" s="23">
        <f t="shared" si="18"/>
        <v>0</v>
      </c>
      <c r="AB148" s="23">
        <f t="shared" si="19"/>
        <v>3500</v>
      </c>
      <c r="AC148" s="20"/>
      <c r="AD148" s="20" t="str">
        <f>VLOOKUP($C148,'[1]CTRL AUTOS'!$E:$AH,2,0)</f>
        <v>NCT814A</v>
      </c>
      <c r="AE148" s="11" t="str">
        <f t="shared" si="20"/>
        <v>NCT814A10</v>
      </c>
    </row>
    <row r="149" spans="1:31" ht="12.75" hidden="1" customHeight="1" x14ac:dyDescent="0.3">
      <c r="A149" s="8">
        <v>10</v>
      </c>
      <c r="B149" s="20" t="s">
        <v>292</v>
      </c>
      <c r="C149" s="20" t="s">
        <v>69</v>
      </c>
      <c r="D149" s="20" t="s">
        <v>262</v>
      </c>
      <c r="E149" s="22" t="s">
        <v>241</v>
      </c>
      <c r="F149" s="20" t="s">
        <v>232</v>
      </c>
      <c r="G149" s="22" t="s">
        <v>234</v>
      </c>
      <c r="H149" s="23">
        <v>2564.25</v>
      </c>
      <c r="I149" s="23">
        <v>0</v>
      </c>
      <c r="J149" s="23">
        <v>0</v>
      </c>
      <c r="K149" s="23">
        <v>0</v>
      </c>
      <c r="L149" s="23">
        <v>-809.33</v>
      </c>
      <c r="M149" s="24">
        <v>0</v>
      </c>
      <c r="N149" s="23">
        <v>0</v>
      </c>
      <c r="O149" s="24">
        <f t="shared" si="14"/>
        <v>1754.92</v>
      </c>
      <c r="P149" s="23">
        <v>-714.28571428571433</v>
      </c>
      <c r="Q149" s="23">
        <v>0</v>
      </c>
      <c r="R149" s="23">
        <v>-500</v>
      </c>
      <c r="S149" s="23">
        <v>0</v>
      </c>
      <c r="T149" s="23">
        <v>0</v>
      </c>
      <c r="U149" s="23">
        <v>0</v>
      </c>
      <c r="V149" s="23">
        <v>0</v>
      </c>
      <c r="W149" s="23">
        <f t="shared" si="15"/>
        <v>540.63428571428585</v>
      </c>
      <c r="X149" s="23">
        <f t="shared" si="16"/>
        <v>540.63428571428585</v>
      </c>
      <c r="Y149" s="23">
        <f t="shared" si="17"/>
        <v>0</v>
      </c>
      <c r="Z149" s="23">
        <v>0</v>
      </c>
      <c r="AA149" s="23">
        <f t="shared" si="18"/>
        <v>0</v>
      </c>
      <c r="AB149" s="23">
        <f t="shared" si="19"/>
        <v>1214.2857142857142</v>
      </c>
      <c r="AC149" s="20"/>
      <c r="AD149" s="20" t="str">
        <f>VLOOKUP($C149,'[1]CTRL AUTOS'!$E:$AH,2,0)</f>
        <v>R51BKD</v>
      </c>
      <c r="AE149" s="11" t="str">
        <f t="shared" si="20"/>
        <v>R51BKD10</v>
      </c>
    </row>
    <row r="150" spans="1:31" ht="12.75" hidden="1" customHeight="1" x14ac:dyDescent="0.3">
      <c r="A150" s="8">
        <v>10</v>
      </c>
      <c r="B150" s="20" t="s">
        <v>105</v>
      </c>
      <c r="C150" s="20" t="s">
        <v>46</v>
      </c>
      <c r="D150" s="20" t="s">
        <v>257</v>
      </c>
      <c r="E150" s="22" t="s">
        <v>232</v>
      </c>
      <c r="F150" s="20" t="s">
        <v>232</v>
      </c>
      <c r="G150" s="22" t="s">
        <v>234</v>
      </c>
      <c r="H150" s="23">
        <v>4649.29</v>
      </c>
      <c r="I150" s="23">
        <v>-27.2</v>
      </c>
      <c r="J150" s="23">
        <v>0</v>
      </c>
      <c r="K150" s="23">
        <v>0</v>
      </c>
      <c r="L150" s="23">
        <v>-1269.97</v>
      </c>
      <c r="M150" s="24">
        <v>0</v>
      </c>
      <c r="N150" s="23">
        <v>111</v>
      </c>
      <c r="O150" s="24">
        <f t="shared" si="14"/>
        <v>3463.12</v>
      </c>
      <c r="P150" s="23">
        <v>-3352.12</v>
      </c>
      <c r="Q150" s="23">
        <v>1270</v>
      </c>
      <c r="R150" s="23">
        <v>0</v>
      </c>
      <c r="S150" s="23">
        <v>500</v>
      </c>
      <c r="T150" s="23">
        <v>0</v>
      </c>
      <c r="U150" s="23">
        <v>0</v>
      </c>
      <c r="V150" s="23">
        <v>0</v>
      </c>
      <c r="W150" s="23">
        <f t="shared" si="15"/>
        <v>1881</v>
      </c>
      <c r="X150" s="23">
        <f t="shared" si="16"/>
        <v>1881</v>
      </c>
      <c r="Y150" s="23">
        <f t="shared" si="17"/>
        <v>0</v>
      </c>
      <c r="Z150" s="23">
        <v>1881</v>
      </c>
      <c r="AA150" s="23">
        <f t="shared" si="18"/>
        <v>1881</v>
      </c>
      <c r="AB150" s="23">
        <f t="shared" si="19"/>
        <v>5344.12</v>
      </c>
      <c r="AC150" s="20"/>
      <c r="AD150" s="20" t="str">
        <f>VLOOKUP($C150,'[1]CTRL AUTOS'!$E:$AH,2,0)</f>
        <v>R66BER</v>
      </c>
      <c r="AE150" s="11" t="str">
        <f t="shared" si="20"/>
        <v>R66BER10</v>
      </c>
    </row>
    <row r="151" spans="1:31" ht="12.75" hidden="1" customHeight="1" x14ac:dyDescent="0.3">
      <c r="A151" s="8">
        <v>10</v>
      </c>
      <c r="B151" s="20" t="s">
        <v>288</v>
      </c>
      <c r="C151" s="20" t="s">
        <v>56</v>
      </c>
      <c r="D151" s="20" t="s">
        <v>289</v>
      </c>
      <c r="E151" s="22" t="s">
        <v>241</v>
      </c>
      <c r="F151" s="20" t="s">
        <v>232</v>
      </c>
      <c r="G151" s="22" t="s">
        <v>234</v>
      </c>
      <c r="H151" s="23">
        <v>7576.85</v>
      </c>
      <c r="I151" s="23">
        <v>-95.2</v>
      </c>
      <c r="J151" s="23">
        <v>0</v>
      </c>
      <c r="K151" s="23">
        <v>0</v>
      </c>
      <c r="L151" s="23">
        <v>-1841.66</v>
      </c>
      <c r="M151" s="24">
        <v>-65</v>
      </c>
      <c r="N151" s="23">
        <v>0</v>
      </c>
      <c r="O151" s="24">
        <f t="shared" si="14"/>
        <v>5574.9900000000007</v>
      </c>
      <c r="P151" s="23">
        <v>-2350</v>
      </c>
      <c r="Q151" s="23">
        <v>-500</v>
      </c>
      <c r="R151" s="23">
        <v>-500</v>
      </c>
      <c r="S151" s="23">
        <v>0</v>
      </c>
      <c r="T151" s="23">
        <v>0</v>
      </c>
      <c r="U151" s="23">
        <v>0</v>
      </c>
      <c r="V151" s="23">
        <v>0</v>
      </c>
      <c r="W151" s="23">
        <f t="shared" si="15"/>
        <v>2224.9900000000007</v>
      </c>
      <c r="X151" s="23">
        <f t="shared" si="16"/>
        <v>2224.9900000000007</v>
      </c>
      <c r="Y151" s="23">
        <f t="shared" si="17"/>
        <v>0</v>
      </c>
      <c r="Z151" s="23">
        <v>0</v>
      </c>
      <c r="AA151" s="23">
        <f t="shared" si="18"/>
        <v>0</v>
      </c>
      <c r="AB151" s="23">
        <f t="shared" si="19"/>
        <v>3350</v>
      </c>
      <c r="AC151" s="20"/>
      <c r="AD151" s="20" t="str">
        <f>VLOOKUP($C151,'[1]CTRL AUTOS'!$E:$AH,2,0)</f>
        <v>MYE912A</v>
      </c>
      <c r="AE151" s="11" t="str">
        <f t="shared" si="20"/>
        <v>MYE912A10</v>
      </c>
    </row>
    <row r="152" spans="1:31" ht="12.75" hidden="1" customHeight="1" x14ac:dyDescent="0.3">
      <c r="A152" s="8">
        <v>10</v>
      </c>
      <c r="B152" s="20" t="s">
        <v>244</v>
      </c>
      <c r="C152" s="20" t="s">
        <v>4</v>
      </c>
      <c r="D152" s="20" t="s">
        <v>285</v>
      </c>
      <c r="E152" s="22" t="s">
        <v>232</v>
      </c>
      <c r="F152" s="20" t="s">
        <v>232</v>
      </c>
      <c r="G152" s="22" t="s">
        <v>234</v>
      </c>
      <c r="H152" s="23">
        <v>4862.38</v>
      </c>
      <c r="I152" s="23">
        <v>0</v>
      </c>
      <c r="J152" s="23">
        <v>0</v>
      </c>
      <c r="K152" s="23">
        <v>0</v>
      </c>
      <c r="L152" s="23">
        <v>-2051.37</v>
      </c>
      <c r="M152" s="24">
        <v>-48</v>
      </c>
      <c r="N152" s="23">
        <v>0</v>
      </c>
      <c r="O152" s="24">
        <f t="shared" si="14"/>
        <v>2763.01</v>
      </c>
      <c r="P152" s="23">
        <v>-2500</v>
      </c>
      <c r="Q152" s="23">
        <v>500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f t="shared" si="15"/>
        <v>763.01000000000022</v>
      </c>
      <c r="X152" s="23">
        <f t="shared" si="16"/>
        <v>763.01000000000022</v>
      </c>
      <c r="Y152" s="23">
        <f t="shared" si="17"/>
        <v>0</v>
      </c>
      <c r="Z152" s="23">
        <v>0</v>
      </c>
      <c r="AA152" s="23">
        <f t="shared" si="18"/>
        <v>0</v>
      </c>
      <c r="AB152" s="23">
        <f t="shared" si="19"/>
        <v>2000</v>
      </c>
      <c r="AC152" s="20"/>
      <c r="AD152" s="20" t="str">
        <f>VLOOKUP($C152,'[1]CTRL AUTOS'!$E:$AH,2,0)</f>
        <v>N15BKD</v>
      </c>
      <c r="AE152" s="11" t="str">
        <f t="shared" si="20"/>
        <v>N15BKD10</v>
      </c>
    </row>
    <row r="153" spans="1:31" ht="12.75" hidden="1" customHeight="1" x14ac:dyDescent="0.3">
      <c r="A153" s="8">
        <v>10</v>
      </c>
      <c r="B153" s="20" t="s">
        <v>35</v>
      </c>
      <c r="C153" s="20" t="s">
        <v>34</v>
      </c>
      <c r="D153" s="20" t="s">
        <v>237</v>
      </c>
      <c r="E153" s="22" t="s">
        <v>232</v>
      </c>
      <c r="F153" s="20" t="s">
        <v>232</v>
      </c>
      <c r="G153" s="22" t="s">
        <v>234</v>
      </c>
      <c r="H153" s="23">
        <v>7311.4</v>
      </c>
      <c r="I153" s="23">
        <v>-142.4</v>
      </c>
      <c r="J153" s="23">
        <v>0</v>
      </c>
      <c r="K153" s="23">
        <v>0</v>
      </c>
      <c r="L153" s="23">
        <v>-5716.4</v>
      </c>
      <c r="M153" s="24">
        <v>-23</v>
      </c>
      <c r="N153" s="23">
        <v>0</v>
      </c>
      <c r="O153" s="24">
        <f t="shared" si="14"/>
        <v>1429.6000000000004</v>
      </c>
      <c r="P153" s="23">
        <v>-2500</v>
      </c>
      <c r="Q153" s="2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0</v>
      </c>
      <c r="W153" s="23">
        <f t="shared" si="15"/>
        <v>-1070.3999999999996</v>
      </c>
      <c r="X153" s="23">
        <f t="shared" si="16"/>
        <v>0</v>
      </c>
      <c r="Y153" s="23">
        <f t="shared" si="17"/>
        <v>-1070.3999999999996</v>
      </c>
      <c r="Z153" s="23">
        <v>0</v>
      </c>
      <c r="AA153" s="23">
        <f t="shared" si="18"/>
        <v>-1070.3999999999996</v>
      </c>
      <c r="AB153" s="23">
        <f t="shared" si="19"/>
        <v>359.20000000000073</v>
      </c>
      <c r="AC153" s="20"/>
      <c r="AD153" s="20" t="str">
        <f>VLOOKUP($C153,'[1]CTRL AUTOS'!$E:$AH,2,0)</f>
        <v>X59AWG</v>
      </c>
      <c r="AE153" s="11" t="str">
        <f t="shared" si="20"/>
        <v>X59AWG10</v>
      </c>
    </row>
    <row r="154" spans="1:31" ht="12.75" hidden="1" customHeight="1" x14ac:dyDescent="0.3">
      <c r="A154" s="8">
        <v>10</v>
      </c>
      <c r="B154" s="20" t="s">
        <v>37</v>
      </c>
      <c r="C154" s="20" t="s">
        <v>246</v>
      </c>
      <c r="D154" s="20" t="s">
        <v>247</v>
      </c>
      <c r="E154" s="22" t="s">
        <v>232</v>
      </c>
      <c r="F154" s="20" t="s">
        <v>232</v>
      </c>
      <c r="G154" s="22" t="s">
        <v>234</v>
      </c>
      <c r="H154" s="23">
        <v>4684.01</v>
      </c>
      <c r="I154" s="23">
        <v>-16</v>
      </c>
      <c r="J154" s="23">
        <v>0</v>
      </c>
      <c r="K154" s="23">
        <v>0</v>
      </c>
      <c r="L154" s="23">
        <v>-1328.24</v>
      </c>
      <c r="M154" s="24">
        <v>-45</v>
      </c>
      <c r="N154" s="23">
        <v>0</v>
      </c>
      <c r="O154" s="24">
        <f t="shared" si="14"/>
        <v>3294.7700000000004</v>
      </c>
      <c r="P154" s="23">
        <v>-2500</v>
      </c>
      <c r="Q154" s="23">
        <v>0</v>
      </c>
      <c r="R154" s="23">
        <v>0</v>
      </c>
      <c r="S154" s="23">
        <v>0</v>
      </c>
      <c r="T154" s="23">
        <v>0</v>
      </c>
      <c r="U154" s="23">
        <v>0</v>
      </c>
      <c r="V154" s="23">
        <v>0</v>
      </c>
      <c r="W154" s="23">
        <f t="shared" si="15"/>
        <v>794.77000000000044</v>
      </c>
      <c r="X154" s="23">
        <f t="shared" si="16"/>
        <v>794.77000000000044</v>
      </c>
      <c r="Y154" s="23">
        <f t="shared" si="17"/>
        <v>0</v>
      </c>
      <c r="Z154" s="23">
        <v>0</v>
      </c>
      <c r="AA154" s="23">
        <f t="shared" si="18"/>
        <v>0</v>
      </c>
      <c r="AB154" s="23">
        <f t="shared" si="19"/>
        <v>2500</v>
      </c>
      <c r="AC154" s="20"/>
      <c r="AD154" s="20" t="s">
        <v>248</v>
      </c>
      <c r="AE154" s="11" t="str">
        <f t="shared" si="20"/>
        <v>X24APU10</v>
      </c>
    </row>
    <row r="155" spans="1:31" ht="12.75" hidden="1" customHeight="1" x14ac:dyDescent="0.3">
      <c r="A155" s="8">
        <v>10</v>
      </c>
      <c r="B155" s="20" t="s">
        <v>286</v>
      </c>
      <c r="C155" s="20" t="s">
        <v>40</v>
      </c>
      <c r="D155" s="20" t="s">
        <v>259</v>
      </c>
      <c r="E155" s="22" t="s">
        <v>232</v>
      </c>
      <c r="F155" s="20" t="s">
        <v>232</v>
      </c>
      <c r="G155" s="22" t="s">
        <v>234</v>
      </c>
      <c r="H155" s="23">
        <v>1699.37</v>
      </c>
      <c r="I155" s="23">
        <v>-9.6999999999999993</v>
      </c>
      <c r="J155" s="23">
        <v>0</v>
      </c>
      <c r="K155" s="23">
        <v>0</v>
      </c>
      <c r="L155" s="23">
        <v>-912.6</v>
      </c>
      <c r="M155" s="24">
        <v>0</v>
      </c>
      <c r="N155" s="23">
        <v>0</v>
      </c>
      <c r="O155" s="24">
        <f t="shared" si="14"/>
        <v>777.06999999999982</v>
      </c>
      <c r="P155" s="23">
        <v>-2500</v>
      </c>
      <c r="Q155" s="23">
        <v>0</v>
      </c>
      <c r="R155" s="23">
        <v>-500</v>
      </c>
      <c r="S155" s="23">
        <v>0</v>
      </c>
      <c r="T155" s="23">
        <v>0</v>
      </c>
      <c r="U155" s="23">
        <v>0</v>
      </c>
      <c r="V155" s="23">
        <v>0</v>
      </c>
      <c r="W155" s="23">
        <f t="shared" si="15"/>
        <v>-2222.9300000000003</v>
      </c>
      <c r="X155" s="23">
        <f t="shared" si="16"/>
        <v>0</v>
      </c>
      <c r="Y155" s="23">
        <f t="shared" si="17"/>
        <v>-2222.9300000000003</v>
      </c>
      <c r="Z155" s="23">
        <v>0</v>
      </c>
      <c r="AA155" s="23">
        <f t="shared" si="18"/>
        <v>-2222.9300000000003</v>
      </c>
      <c r="AB155" s="23">
        <f t="shared" si="19"/>
        <v>-1445.8600000000006</v>
      </c>
      <c r="AC155" s="20"/>
      <c r="AD155" s="20" t="str">
        <f>VLOOKUP($C155,'[1]CTRL AUTOS'!$E:$AH,2,0)</f>
        <v>NEL860A</v>
      </c>
      <c r="AE155" s="11" t="str">
        <f t="shared" si="20"/>
        <v>NEL860A10</v>
      </c>
    </row>
    <row r="156" spans="1:31" ht="12.75" hidden="1" customHeight="1" x14ac:dyDescent="0.3">
      <c r="A156" s="8">
        <v>10</v>
      </c>
      <c r="B156" s="20" t="s">
        <v>290</v>
      </c>
      <c r="C156" s="20" t="s">
        <v>63</v>
      </c>
      <c r="D156" s="20" t="s">
        <v>237</v>
      </c>
      <c r="E156" s="20" t="s">
        <v>291</v>
      </c>
      <c r="F156" s="20" t="s">
        <v>232</v>
      </c>
      <c r="G156" s="22" t="s">
        <v>234</v>
      </c>
      <c r="H156" s="23">
        <v>5141.03</v>
      </c>
      <c r="I156" s="23">
        <v>-138.4</v>
      </c>
      <c r="J156" s="23">
        <v>0</v>
      </c>
      <c r="K156" s="23">
        <v>0</v>
      </c>
      <c r="L156" s="23">
        <v>-1172.71</v>
      </c>
      <c r="M156" s="24">
        <v>0</v>
      </c>
      <c r="N156" s="23">
        <v>0</v>
      </c>
      <c r="O156" s="24">
        <f t="shared" si="14"/>
        <v>3829.92</v>
      </c>
      <c r="P156" s="23">
        <v>-2500</v>
      </c>
      <c r="Q156" s="23">
        <v>0</v>
      </c>
      <c r="R156" s="23">
        <v>-500</v>
      </c>
      <c r="S156" s="23">
        <v>0</v>
      </c>
      <c r="T156" s="23">
        <v>0</v>
      </c>
      <c r="U156" s="23">
        <v>0</v>
      </c>
      <c r="V156" s="23">
        <v>0</v>
      </c>
      <c r="W156" s="23">
        <f t="shared" si="15"/>
        <v>829.92000000000007</v>
      </c>
      <c r="X156" s="23">
        <f t="shared" si="16"/>
        <v>829.92000000000007</v>
      </c>
      <c r="Y156" s="23">
        <f t="shared" si="17"/>
        <v>0</v>
      </c>
      <c r="Z156" s="23">
        <v>0</v>
      </c>
      <c r="AA156" s="23">
        <f t="shared" si="18"/>
        <v>0</v>
      </c>
      <c r="AB156" s="23">
        <f t="shared" si="19"/>
        <v>3000</v>
      </c>
      <c r="AC156" s="20"/>
      <c r="AD156" s="20" t="str">
        <f>VLOOKUP($C156,'[1]CTRL AUTOS'!$E:$AH,2,0)</f>
        <v>X89ALV</v>
      </c>
      <c r="AE156" s="11" t="str">
        <f t="shared" si="20"/>
        <v>X89ALV10</v>
      </c>
    </row>
    <row r="157" spans="1:31" ht="12.75" hidden="1" customHeight="1" x14ac:dyDescent="0.3">
      <c r="A157" s="8">
        <v>10</v>
      </c>
      <c r="B157" s="20" t="s">
        <v>45</v>
      </c>
      <c r="C157" s="20" t="s">
        <v>249</v>
      </c>
      <c r="D157" s="20" t="s">
        <v>250</v>
      </c>
      <c r="E157" s="22" t="s">
        <v>232</v>
      </c>
      <c r="F157" s="20" t="s">
        <v>232</v>
      </c>
      <c r="G157" s="22" t="s">
        <v>234</v>
      </c>
      <c r="H157" s="23">
        <v>4623.45</v>
      </c>
      <c r="I157" s="23">
        <v>0</v>
      </c>
      <c r="J157" s="23">
        <v>0</v>
      </c>
      <c r="K157" s="23">
        <v>0</v>
      </c>
      <c r="L157" s="23">
        <v>-1922.46</v>
      </c>
      <c r="M157" s="24">
        <v>-25</v>
      </c>
      <c r="N157" s="23">
        <v>0</v>
      </c>
      <c r="O157" s="24">
        <f t="shared" si="14"/>
        <v>2675.99</v>
      </c>
      <c r="P157" s="23">
        <v>-2300</v>
      </c>
      <c r="Q157" s="23">
        <v>0</v>
      </c>
      <c r="R157" s="23">
        <v>0</v>
      </c>
      <c r="S157" s="23">
        <v>0</v>
      </c>
      <c r="T157" s="23">
        <v>0</v>
      </c>
      <c r="U157" s="23">
        <v>0</v>
      </c>
      <c r="V157" s="23">
        <v>0</v>
      </c>
      <c r="W157" s="23">
        <f t="shared" si="15"/>
        <v>375.98999999999978</v>
      </c>
      <c r="X157" s="23">
        <f t="shared" si="16"/>
        <v>375.98999999999978</v>
      </c>
      <c r="Y157" s="23">
        <f t="shared" si="17"/>
        <v>0</v>
      </c>
      <c r="Z157" s="23">
        <v>0</v>
      </c>
      <c r="AA157" s="23">
        <f t="shared" si="18"/>
        <v>0</v>
      </c>
      <c r="AB157" s="23">
        <f t="shared" si="19"/>
        <v>2300</v>
      </c>
      <c r="AC157" s="20"/>
      <c r="AD157" s="20" t="s">
        <v>251</v>
      </c>
      <c r="AE157" s="11" t="str">
        <f t="shared" si="20"/>
        <v>BAJA DE PLACAS10</v>
      </c>
    </row>
    <row r="158" spans="1:31" ht="12.75" hidden="1" customHeight="1" x14ac:dyDescent="0.3">
      <c r="A158" s="8">
        <v>10</v>
      </c>
      <c r="B158" s="20" t="s">
        <v>252</v>
      </c>
      <c r="C158" s="20" t="s">
        <v>22</v>
      </c>
      <c r="D158" s="20" t="s">
        <v>287</v>
      </c>
      <c r="E158" s="22" t="s">
        <v>232</v>
      </c>
      <c r="F158" s="20" t="s">
        <v>233</v>
      </c>
      <c r="G158" s="22" t="s">
        <v>234</v>
      </c>
      <c r="H158" s="23">
        <v>3668.4</v>
      </c>
      <c r="I158" s="23">
        <v>-19.2</v>
      </c>
      <c r="J158" s="23">
        <v>0</v>
      </c>
      <c r="K158" s="23">
        <v>0</v>
      </c>
      <c r="L158" s="23">
        <v>-1106.47</v>
      </c>
      <c r="M158" s="24">
        <v>0</v>
      </c>
      <c r="N158" s="23">
        <v>0</v>
      </c>
      <c r="O158" s="24">
        <f t="shared" si="14"/>
        <v>2542.7300000000005</v>
      </c>
      <c r="P158" s="23">
        <v>-2500</v>
      </c>
      <c r="Q158" s="23">
        <v>0</v>
      </c>
      <c r="R158" s="23">
        <v>0</v>
      </c>
      <c r="S158" s="23">
        <v>0</v>
      </c>
      <c r="T158" s="23">
        <v>0</v>
      </c>
      <c r="U158" s="23">
        <v>0</v>
      </c>
      <c r="V158" s="23">
        <v>0</v>
      </c>
      <c r="W158" s="23">
        <f t="shared" si="15"/>
        <v>42.730000000000473</v>
      </c>
      <c r="X158" s="23">
        <f t="shared" si="16"/>
        <v>42.730000000000473</v>
      </c>
      <c r="Y158" s="23">
        <f t="shared" si="17"/>
        <v>0</v>
      </c>
      <c r="Z158" s="23">
        <v>0</v>
      </c>
      <c r="AA158" s="23">
        <f t="shared" si="18"/>
        <v>0</v>
      </c>
      <c r="AB158" s="23">
        <f t="shared" si="19"/>
        <v>2500</v>
      </c>
      <c r="AC158" s="20"/>
      <c r="AD158" s="20" t="str">
        <f>VLOOKUP($C158,'[1]CTRL AUTOS'!$E:$AH,2,0)</f>
        <v>NCK475B</v>
      </c>
      <c r="AE158" s="11" t="str">
        <f t="shared" si="20"/>
        <v>NCK475B10</v>
      </c>
    </row>
    <row r="159" spans="1:31" ht="12.75" hidden="1" customHeight="1" x14ac:dyDescent="0.3">
      <c r="A159" s="8">
        <v>11</v>
      </c>
      <c r="B159" s="20" t="s">
        <v>80</v>
      </c>
      <c r="C159" s="20" t="s">
        <v>230</v>
      </c>
      <c r="D159" s="20" t="s">
        <v>231</v>
      </c>
      <c r="E159" s="22" t="s">
        <v>232</v>
      </c>
      <c r="F159" s="20" t="s">
        <v>233</v>
      </c>
      <c r="G159" s="22" t="s">
        <v>234</v>
      </c>
      <c r="H159" s="23">
        <v>2122.37</v>
      </c>
      <c r="I159" s="23">
        <v>0</v>
      </c>
      <c r="J159" s="23">
        <v>0</v>
      </c>
      <c r="K159" s="23">
        <v>0</v>
      </c>
      <c r="L159" s="23">
        <v>-282.75</v>
      </c>
      <c r="M159" s="24">
        <v>0</v>
      </c>
      <c r="N159" s="23">
        <v>0</v>
      </c>
      <c r="O159" s="24">
        <f t="shared" si="14"/>
        <v>1839.62</v>
      </c>
      <c r="P159" s="23">
        <v>-2500</v>
      </c>
      <c r="Q159" s="23">
        <v>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23">
        <f t="shared" si="15"/>
        <v>-660.38000000000011</v>
      </c>
      <c r="X159" s="23">
        <f t="shared" si="16"/>
        <v>0</v>
      </c>
      <c r="Y159" s="23">
        <f t="shared" si="17"/>
        <v>-660.38000000000011</v>
      </c>
      <c r="Z159" s="23">
        <v>660</v>
      </c>
      <c r="AA159" s="23">
        <f t="shared" si="18"/>
        <v>-0.38000000000010914</v>
      </c>
      <c r="AB159" s="23">
        <f t="shared" si="19"/>
        <v>2499.2399999999998</v>
      </c>
      <c r="AC159" s="20"/>
      <c r="AD159" s="20" t="s">
        <v>235</v>
      </c>
      <c r="AE159" s="11" t="str">
        <f t="shared" si="20"/>
        <v>NEB156A11</v>
      </c>
    </row>
    <row r="160" spans="1:31" ht="12.75" hidden="1" customHeight="1" x14ac:dyDescent="0.3">
      <c r="A160" s="8">
        <v>11</v>
      </c>
      <c r="B160" s="20" t="s">
        <v>238</v>
      </c>
      <c r="C160" s="20" t="s">
        <v>20</v>
      </c>
      <c r="D160" s="20" t="s">
        <v>239</v>
      </c>
      <c r="E160" s="22" t="s">
        <v>232</v>
      </c>
      <c r="F160" s="20" t="s">
        <v>233</v>
      </c>
      <c r="G160" s="22" t="s">
        <v>234</v>
      </c>
      <c r="H160" s="23">
        <v>0</v>
      </c>
      <c r="I160" s="23">
        <v>0</v>
      </c>
      <c r="J160" s="23">
        <v>0</v>
      </c>
      <c r="K160" s="23">
        <v>0</v>
      </c>
      <c r="L160" s="23">
        <v>0</v>
      </c>
      <c r="M160" s="24">
        <v>0</v>
      </c>
      <c r="N160" s="23">
        <v>0</v>
      </c>
      <c r="O160" s="24">
        <f t="shared" si="14"/>
        <v>0</v>
      </c>
      <c r="P160" s="23">
        <v>-2500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f t="shared" si="15"/>
        <v>-2500</v>
      </c>
      <c r="X160" s="23">
        <f t="shared" si="16"/>
        <v>0</v>
      </c>
      <c r="Y160" s="23">
        <f t="shared" si="17"/>
        <v>-2500</v>
      </c>
      <c r="Z160" s="23">
        <v>2500</v>
      </c>
      <c r="AA160" s="23">
        <f t="shared" si="18"/>
        <v>0</v>
      </c>
      <c r="AB160" s="23">
        <f t="shared" si="19"/>
        <v>2500</v>
      </c>
      <c r="AC160" s="20"/>
      <c r="AD160" s="20" t="str">
        <f>VLOOKUP($C160,'[1]CTRL AUTOS'!$E:$AH,2,0)</f>
        <v>D40BKD</v>
      </c>
      <c r="AE160" s="11" t="str">
        <f t="shared" si="20"/>
        <v>D40BKD11</v>
      </c>
    </row>
    <row r="161" spans="1:31" ht="12.75" hidden="1" customHeight="1" x14ac:dyDescent="0.3">
      <c r="A161" s="8">
        <v>11</v>
      </c>
      <c r="B161" s="20" t="s">
        <v>23</v>
      </c>
      <c r="C161" s="20" t="s">
        <v>75</v>
      </c>
      <c r="D161" s="20" t="s">
        <v>237</v>
      </c>
      <c r="E161" s="22" t="s">
        <v>241</v>
      </c>
      <c r="F161" s="20" t="s">
        <v>232</v>
      </c>
      <c r="G161" s="22" t="s">
        <v>234</v>
      </c>
      <c r="H161" s="23">
        <v>7300.01</v>
      </c>
      <c r="I161" s="23">
        <v>-52.8</v>
      </c>
      <c r="J161" s="23">
        <v>0</v>
      </c>
      <c r="K161" s="23">
        <v>0</v>
      </c>
      <c r="L161" s="23">
        <v>-4723.78</v>
      </c>
      <c r="M161" s="24">
        <v>0</v>
      </c>
      <c r="N161" s="23">
        <v>0</v>
      </c>
      <c r="O161" s="24">
        <f t="shared" si="14"/>
        <v>2523.4300000000003</v>
      </c>
      <c r="P161" s="23">
        <v>-2400</v>
      </c>
      <c r="Q161" s="23">
        <v>0</v>
      </c>
      <c r="R161" s="23">
        <v>-500</v>
      </c>
      <c r="S161" s="23">
        <v>0</v>
      </c>
      <c r="T161" s="23">
        <v>0</v>
      </c>
      <c r="U161" s="23">
        <v>0</v>
      </c>
      <c r="V161" s="23">
        <v>0</v>
      </c>
      <c r="W161" s="23">
        <f t="shared" si="15"/>
        <v>-376.56999999999971</v>
      </c>
      <c r="X161" s="23">
        <f t="shared" si="16"/>
        <v>0</v>
      </c>
      <c r="Y161" s="23">
        <f t="shared" si="17"/>
        <v>-376.56999999999971</v>
      </c>
      <c r="Z161" s="23">
        <v>0</v>
      </c>
      <c r="AA161" s="23">
        <f t="shared" si="18"/>
        <v>-376.56999999999971</v>
      </c>
      <c r="AB161" s="23">
        <f t="shared" si="19"/>
        <v>2146.8600000000006</v>
      </c>
      <c r="AC161" s="20"/>
      <c r="AD161" s="20" t="str">
        <f>VLOOKUP($C161,'[1]CTRL AUTOS'!$E:$AH,2,0)</f>
        <v>NFN014B</v>
      </c>
      <c r="AE161" s="11" t="str">
        <f t="shared" si="20"/>
        <v>NFN014B11</v>
      </c>
    </row>
    <row r="162" spans="1:31" ht="12.75" hidden="1" customHeight="1" x14ac:dyDescent="0.3">
      <c r="A162" s="8">
        <v>11</v>
      </c>
      <c r="B162" s="20" t="s">
        <v>258</v>
      </c>
      <c r="C162" s="20" t="s">
        <v>40</v>
      </c>
      <c r="D162" s="25" t="s">
        <v>259</v>
      </c>
      <c r="E162" s="22" t="s">
        <v>232</v>
      </c>
      <c r="F162" s="20" t="s">
        <v>232</v>
      </c>
      <c r="G162" s="22" t="s">
        <v>234</v>
      </c>
      <c r="H162" s="23">
        <v>0</v>
      </c>
      <c r="I162" s="23">
        <v>0</v>
      </c>
      <c r="J162" s="23">
        <v>0</v>
      </c>
      <c r="K162" s="23">
        <v>0</v>
      </c>
      <c r="L162" s="23">
        <v>0</v>
      </c>
      <c r="M162" s="24">
        <v>0</v>
      </c>
      <c r="N162" s="23">
        <v>0</v>
      </c>
      <c r="O162" s="24">
        <f t="shared" si="14"/>
        <v>0</v>
      </c>
      <c r="P162" s="23">
        <v>0</v>
      </c>
      <c r="Q162" s="23">
        <v>0</v>
      </c>
      <c r="R162" s="23">
        <v>500</v>
      </c>
      <c r="S162" s="23">
        <v>0</v>
      </c>
      <c r="T162" s="23">
        <v>0</v>
      </c>
      <c r="U162" s="23">
        <v>0</v>
      </c>
      <c r="V162" s="23">
        <v>0</v>
      </c>
      <c r="W162" s="23">
        <f t="shared" si="15"/>
        <v>500</v>
      </c>
      <c r="X162" s="23">
        <f t="shared" si="16"/>
        <v>500</v>
      </c>
      <c r="Y162" s="23">
        <f t="shared" si="17"/>
        <v>0</v>
      </c>
      <c r="Z162" s="23">
        <v>0</v>
      </c>
      <c r="AA162" s="23">
        <f t="shared" si="18"/>
        <v>0</v>
      </c>
      <c r="AB162" s="23">
        <f t="shared" si="19"/>
        <v>-500</v>
      </c>
      <c r="AC162" s="20"/>
      <c r="AD162" s="20" t="str">
        <f>VLOOKUP($C162,'[1]CTRL AUTOS'!$E:$AH,2,0)</f>
        <v>NEL860A</v>
      </c>
      <c r="AE162" s="11" t="str">
        <f t="shared" si="20"/>
        <v>NEL860A11</v>
      </c>
    </row>
    <row r="163" spans="1:31" ht="12.75" hidden="1" customHeight="1" x14ac:dyDescent="0.3">
      <c r="A163" s="8">
        <v>11</v>
      </c>
      <c r="B163" s="20" t="s">
        <v>260</v>
      </c>
      <c r="C163" s="20" t="s">
        <v>54</v>
      </c>
      <c r="D163" s="20" t="s">
        <v>273</v>
      </c>
      <c r="E163" s="22" t="s">
        <v>232</v>
      </c>
      <c r="F163" s="20" t="s">
        <v>232</v>
      </c>
      <c r="G163" s="22" t="s">
        <v>234</v>
      </c>
      <c r="H163" s="23">
        <v>2999.62</v>
      </c>
      <c r="I163" s="23">
        <v>-28.72</v>
      </c>
      <c r="J163" s="23">
        <v>0</v>
      </c>
      <c r="K163" s="23">
        <v>0</v>
      </c>
      <c r="L163" s="23">
        <v>-1142.3599999999999</v>
      </c>
      <c r="M163" s="24">
        <v>-15</v>
      </c>
      <c r="N163" s="23">
        <v>-521.51</v>
      </c>
      <c r="O163" s="24">
        <f t="shared" si="14"/>
        <v>1292.0300000000002</v>
      </c>
      <c r="P163" s="23">
        <v>-2500</v>
      </c>
      <c r="Q163" s="23">
        <v>0</v>
      </c>
      <c r="R163" s="23">
        <v>0</v>
      </c>
      <c r="S163" s="23">
        <v>-300</v>
      </c>
      <c r="T163" s="23">
        <v>0</v>
      </c>
      <c r="U163" s="23">
        <v>0</v>
      </c>
      <c r="V163" s="23">
        <v>0</v>
      </c>
      <c r="W163" s="23">
        <f t="shared" si="15"/>
        <v>-1507.9699999999998</v>
      </c>
      <c r="X163" s="23">
        <f t="shared" si="16"/>
        <v>0</v>
      </c>
      <c r="Y163" s="23">
        <f t="shared" si="17"/>
        <v>-1507.9699999999998</v>
      </c>
      <c r="Z163" s="23">
        <v>0</v>
      </c>
      <c r="AA163" s="23">
        <f t="shared" si="18"/>
        <v>-1507.9699999999998</v>
      </c>
      <c r="AB163" s="23">
        <f t="shared" si="19"/>
        <v>-215.9399999999996</v>
      </c>
      <c r="AC163" s="20"/>
      <c r="AD163" s="20" t="str">
        <f>VLOOKUP($C163,'[1]CTRL AUTOS'!$E:$AH,2,0)</f>
        <v>NZY685B</v>
      </c>
      <c r="AE163" s="11" t="str">
        <f t="shared" si="20"/>
        <v>NZY685B11</v>
      </c>
    </row>
    <row r="164" spans="1:31" ht="12.75" hidden="1" customHeight="1" x14ac:dyDescent="0.3">
      <c r="A164" s="8">
        <v>11</v>
      </c>
      <c r="B164" s="20" t="s">
        <v>72</v>
      </c>
      <c r="C164" s="20" t="s">
        <v>28</v>
      </c>
      <c r="D164" s="20" t="s">
        <v>274</v>
      </c>
      <c r="E164" s="22" t="s">
        <v>232</v>
      </c>
      <c r="F164" s="20" t="s">
        <v>232</v>
      </c>
      <c r="G164" s="22" t="s">
        <v>234</v>
      </c>
      <c r="H164" s="23">
        <v>12106.79</v>
      </c>
      <c r="I164" s="23">
        <v>-234.39999999999998</v>
      </c>
      <c r="J164" s="23">
        <v>0</v>
      </c>
      <c r="K164" s="23">
        <v>-94.28</v>
      </c>
      <c r="L164" s="23">
        <v>-5587.31</v>
      </c>
      <c r="M164" s="24">
        <v>-74</v>
      </c>
      <c r="N164" s="23">
        <v>-418.51</v>
      </c>
      <c r="O164" s="24">
        <f t="shared" si="14"/>
        <v>5698.29</v>
      </c>
      <c r="P164" s="23">
        <v>-2500</v>
      </c>
      <c r="Q164" s="23">
        <v>0</v>
      </c>
      <c r="R164" s="23">
        <v>0</v>
      </c>
      <c r="S164" s="23">
        <v>-500</v>
      </c>
      <c r="T164" s="23">
        <v>0</v>
      </c>
      <c r="U164" s="23">
        <v>0</v>
      </c>
      <c r="V164" s="23">
        <v>0</v>
      </c>
      <c r="W164" s="23">
        <f t="shared" si="15"/>
        <v>2698.29</v>
      </c>
      <c r="X164" s="23">
        <f t="shared" si="16"/>
        <v>2698.29</v>
      </c>
      <c r="Y164" s="23">
        <f t="shared" si="17"/>
        <v>0</v>
      </c>
      <c r="Z164" s="23">
        <v>0</v>
      </c>
      <c r="AA164" s="23">
        <f t="shared" si="18"/>
        <v>0</v>
      </c>
      <c r="AB164" s="23">
        <f t="shared" si="19"/>
        <v>3000</v>
      </c>
      <c r="AC164" s="20"/>
      <c r="AD164" s="20" t="str">
        <f>VLOOKUP($C164,'[1]CTRL AUTOS'!$E:$AH,2,0)</f>
        <v>NCT814A</v>
      </c>
      <c r="AE164" s="11" t="str">
        <f t="shared" si="20"/>
        <v>NCT814A11</v>
      </c>
    </row>
    <row r="165" spans="1:31" ht="12.75" hidden="1" customHeight="1" x14ac:dyDescent="0.3">
      <c r="A165" s="8">
        <v>11</v>
      </c>
      <c r="B165" s="20" t="s">
        <v>292</v>
      </c>
      <c r="C165" s="20" t="s">
        <v>69</v>
      </c>
      <c r="D165" s="20" t="s">
        <v>262</v>
      </c>
      <c r="E165" s="22" t="s">
        <v>241</v>
      </c>
      <c r="F165" s="20" t="s">
        <v>232</v>
      </c>
      <c r="G165" s="22" t="s">
        <v>234</v>
      </c>
      <c r="H165" s="23">
        <v>8073.05</v>
      </c>
      <c r="I165" s="23">
        <v>-139.19999999999999</v>
      </c>
      <c r="J165" s="23">
        <v>0</v>
      </c>
      <c r="K165" s="23">
        <v>0</v>
      </c>
      <c r="L165" s="23">
        <v>-2560.08</v>
      </c>
      <c r="M165" s="24">
        <v>-25</v>
      </c>
      <c r="N165" s="23">
        <v>0</v>
      </c>
      <c r="O165" s="24">
        <f t="shared" si="14"/>
        <v>5348.77</v>
      </c>
      <c r="P165" s="23">
        <v>-2500</v>
      </c>
      <c r="Q165" s="23">
        <v>0</v>
      </c>
      <c r="R165" s="23">
        <v>-500</v>
      </c>
      <c r="S165" s="23">
        <v>0</v>
      </c>
      <c r="T165" s="23">
        <v>0</v>
      </c>
      <c r="U165" s="23">
        <v>0</v>
      </c>
      <c r="V165" s="23">
        <v>0</v>
      </c>
      <c r="W165" s="23">
        <f t="shared" si="15"/>
        <v>2348.7700000000004</v>
      </c>
      <c r="X165" s="23">
        <f t="shared" si="16"/>
        <v>2348.7700000000004</v>
      </c>
      <c r="Y165" s="23">
        <f t="shared" si="17"/>
        <v>0</v>
      </c>
      <c r="Z165" s="23">
        <v>0</v>
      </c>
      <c r="AA165" s="23">
        <f t="shared" si="18"/>
        <v>0</v>
      </c>
      <c r="AB165" s="23">
        <f t="shared" si="19"/>
        <v>3000</v>
      </c>
      <c r="AC165" s="20"/>
      <c r="AD165" s="20" t="str">
        <f>VLOOKUP($C165,'[1]CTRL AUTOS'!$E:$AH,2,0)</f>
        <v>R51BKD</v>
      </c>
      <c r="AE165" s="11" t="str">
        <f t="shared" si="20"/>
        <v>R51BKD11</v>
      </c>
    </row>
    <row r="166" spans="1:31" ht="12.75" hidden="1" customHeight="1" x14ac:dyDescent="0.3">
      <c r="A166" s="8">
        <v>11</v>
      </c>
      <c r="B166" s="20" t="s">
        <v>105</v>
      </c>
      <c r="C166" s="20" t="s">
        <v>46</v>
      </c>
      <c r="D166" s="20" t="s">
        <v>257</v>
      </c>
      <c r="E166" s="22" t="s">
        <v>232</v>
      </c>
      <c r="F166" s="20" t="s">
        <v>232</v>
      </c>
      <c r="G166" s="22" t="s">
        <v>234</v>
      </c>
      <c r="H166" s="23">
        <v>5621.48</v>
      </c>
      <c r="I166" s="23">
        <v>-19.2</v>
      </c>
      <c r="J166" s="23">
        <v>0</v>
      </c>
      <c r="K166" s="23">
        <v>0</v>
      </c>
      <c r="L166" s="23">
        <v>-2789.37</v>
      </c>
      <c r="M166" s="24">
        <v>0</v>
      </c>
      <c r="N166" s="23">
        <v>0</v>
      </c>
      <c r="O166" s="24">
        <f t="shared" si="14"/>
        <v>2812.91</v>
      </c>
      <c r="P166" s="23">
        <v>-2815</v>
      </c>
      <c r="Q166" s="23">
        <v>-2807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23">
        <f t="shared" si="15"/>
        <v>-2809.09</v>
      </c>
      <c r="X166" s="23">
        <f t="shared" si="16"/>
        <v>0</v>
      </c>
      <c r="Y166" s="23">
        <f t="shared" si="17"/>
        <v>-2809.09</v>
      </c>
      <c r="Z166" s="23">
        <v>2809</v>
      </c>
      <c r="AA166" s="23">
        <f t="shared" si="18"/>
        <v>-9.0000000000145519E-2</v>
      </c>
      <c r="AB166" s="23">
        <f t="shared" si="19"/>
        <v>5621.82</v>
      </c>
      <c r="AC166" s="20"/>
      <c r="AD166" s="20" t="str">
        <f>VLOOKUP($C166,'[1]CTRL AUTOS'!$E:$AH,2,0)</f>
        <v>R66BER</v>
      </c>
      <c r="AE166" s="11" t="str">
        <f t="shared" si="20"/>
        <v>R66BER11</v>
      </c>
    </row>
    <row r="167" spans="1:31" ht="12.75" hidden="1" customHeight="1" x14ac:dyDescent="0.3">
      <c r="A167" s="8">
        <v>11</v>
      </c>
      <c r="B167" s="20" t="s">
        <v>288</v>
      </c>
      <c r="C167" s="20" t="s">
        <v>56</v>
      </c>
      <c r="D167" s="20" t="s">
        <v>289</v>
      </c>
      <c r="E167" s="22" t="s">
        <v>241</v>
      </c>
      <c r="F167" s="20" t="s">
        <v>232</v>
      </c>
      <c r="G167" s="22" t="s">
        <v>234</v>
      </c>
      <c r="H167" s="23">
        <v>8903.99</v>
      </c>
      <c r="I167" s="23">
        <v>-85.6</v>
      </c>
      <c r="J167" s="23">
        <v>0</v>
      </c>
      <c r="K167" s="23">
        <v>0</v>
      </c>
      <c r="L167" s="23">
        <v>-2183.87</v>
      </c>
      <c r="M167" s="24">
        <v>-73.41</v>
      </c>
      <c r="N167" s="23">
        <v>-24</v>
      </c>
      <c r="O167" s="24">
        <f t="shared" si="14"/>
        <v>6537.11</v>
      </c>
      <c r="P167" s="23">
        <v>-2350</v>
      </c>
      <c r="Q167" s="23">
        <v>0</v>
      </c>
      <c r="R167" s="23">
        <v>-500</v>
      </c>
      <c r="S167" s="23">
        <v>0</v>
      </c>
      <c r="T167" s="23">
        <v>0</v>
      </c>
      <c r="U167" s="23">
        <v>0</v>
      </c>
      <c r="V167" s="23">
        <v>0</v>
      </c>
      <c r="W167" s="23">
        <f t="shared" si="15"/>
        <v>3687.1099999999997</v>
      </c>
      <c r="X167" s="23">
        <f t="shared" si="16"/>
        <v>3687.1099999999997</v>
      </c>
      <c r="Y167" s="23">
        <f t="shared" si="17"/>
        <v>0</v>
      </c>
      <c r="Z167" s="23">
        <v>0</v>
      </c>
      <c r="AA167" s="23">
        <f t="shared" si="18"/>
        <v>0</v>
      </c>
      <c r="AB167" s="23">
        <f t="shared" si="19"/>
        <v>2850</v>
      </c>
      <c r="AC167" s="20"/>
      <c r="AD167" s="20" t="str">
        <f>VLOOKUP($C167,'[1]CTRL AUTOS'!$E:$AH,2,0)</f>
        <v>MYE912A</v>
      </c>
      <c r="AE167" s="11" t="str">
        <f t="shared" si="20"/>
        <v>MYE912A11</v>
      </c>
    </row>
    <row r="168" spans="1:31" ht="12.75" hidden="1" customHeight="1" x14ac:dyDescent="0.3">
      <c r="A168" s="8">
        <v>11</v>
      </c>
      <c r="B168" s="20" t="s">
        <v>244</v>
      </c>
      <c r="C168" s="20" t="s">
        <v>4</v>
      </c>
      <c r="D168" s="20" t="s">
        <v>245</v>
      </c>
      <c r="E168" s="22" t="s">
        <v>232</v>
      </c>
      <c r="F168" s="20" t="s">
        <v>232</v>
      </c>
      <c r="G168" s="22" t="s">
        <v>234</v>
      </c>
      <c r="H168" s="23">
        <v>6382.43</v>
      </c>
      <c r="I168" s="23">
        <v>0</v>
      </c>
      <c r="J168" s="23">
        <v>0</v>
      </c>
      <c r="K168" s="23">
        <v>0</v>
      </c>
      <c r="L168" s="23">
        <v>-2599.5500000000002</v>
      </c>
      <c r="M168" s="24">
        <v>-35</v>
      </c>
      <c r="N168" s="23">
        <v>0</v>
      </c>
      <c r="O168" s="24">
        <f t="shared" si="14"/>
        <v>3747.88</v>
      </c>
      <c r="P168" s="23">
        <v>-2500</v>
      </c>
      <c r="Q168" s="23">
        <v>0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23">
        <f t="shared" si="15"/>
        <v>1247.8800000000001</v>
      </c>
      <c r="X168" s="23">
        <f t="shared" si="16"/>
        <v>1247.8800000000001</v>
      </c>
      <c r="Y168" s="23">
        <f t="shared" si="17"/>
        <v>0</v>
      </c>
      <c r="Z168" s="23">
        <v>0</v>
      </c>
      <c r="AA168" s="23">
        <f t="shared" si="18"/>
        <v>0</v>
      </c>
      <c r="AB168" s="23">
        <f t="shared" si="19"/>
        <v>2500</v>
      </c>
      <c r="AC168" s="20"/>
      <c r="AD168" s="20" t="str">
        <f>VLOOKUP($C168,'[1]CTRL AUTOS'!$E:$AH,2,0)</f>
        <v>N15BKD</v>
      </c>
      <c r="AE168" s="11" t="str">
        <f t="shared" si="20"/>
        <v>N15BKD11</v>
      </c>
    </row>
    <row r="169" spans="1:31" ht="12.75" hidden="1" customHeight="1" x14ac:dyDescent="0.3">
      <c r="A169" s="8">
        <v>11</v>
      </c>
      <c r="B169" s="20" t="s">
        <v>35</v>
      </c>
      <c r="C169" s="20" t="s">
        <v>34</v>
      </c>
      <c r="D169" s="20" t="s">
        <v>237</v>
      </c>
      <c r="E169" s="22" t="s">
        <v>232</v>
      </c>
      <c r="F169" s="20" t="s">
        <v>232</v>
      </c>
      <c r="G169" s="22" t="s">
        <v>234</v>
      </c>
      <c r="H169" s="23">
        <v>6705.51</v>
      </c>
      <c r="I169" s="23">
        <v>-149.6</v>
      </c>
      <c r="J169" s="23">
        <v>0</v>
      </c>
      <c r="K169" s="23">
        <v>0</v>
      </c>
      <c r="L169" s="23">
        <v>-3735.21</v>
      </c>
      <c r="M169" s="24">
        <v>-25</v>
      </c>
      <c r="N169" s="23">
        <v>0</v>
      </c>
      <c r="O169" s="24">
        <f t="shared" si="14"/>
        <v>2795.7</v>
      </c>
      <c r="P169" s="23">
        <v>-2321</v>
      </c>
      <c r="Q169" s="23">
        <v>0</v>
      </c>
      <c r="R169" s="23">
        <v>0</v>
      </c>
      <c r="S169" s="23">
        <v>0</v>
      </c>
      <c r="T169" s="23">
        <v>0</v>
      </c>
      <c r="U169" s="23">
        <v>0</v>
      </c>
      <c r="V169" s="23">
        <v>0</v>
      </c>
      <c r="W169" s="23">
        <f t="shared" si="15"/>
        <v>474.69999999999982</v>
      </c>
      <c r="X169" s="23">
        <f t="shared" si="16"/>
        <v>474.69999999999982</v>
      </c>
      <c r="Y169" s="23">
        <f t="shared" si="17"/>
        <v>0</v>
      </c>
      <c r="Z169" s="23">
        <v>0</v>
      </c>
      <c r="AA169" s="23">
        <f t="shared" si="18"/>
        <v>0</v>
      </c>
      <c r="AB169" s="23">
        <f t="shared" si="19"/>
        <v>2321</v>
      </c>
      <c r="AC169" s="20"/>
      <c r="AD169" s="20" t="str">
        <f>VLOOKUP($C169,'[1]CTRL AUTOS'!$E:$AH,2,0)</f>
        <v>X59AWG</v>
      </c>
      <c r="AE169" s="11" t="str">
        <f t="shared" si="20"/>
        <v>X59AWG11</v>
      </c>
    </row>
    <row r="170" spans="1:31" ht="12.75" hidden="1" customHeight="1" x14ac:dyDescent="0.3">
      <c r="A170" s="8">
        <v>11</v>
      </c>
      <c r="B170" s="20" t="s">
        <v>37</v>
      </c>
      <c r="C170" s="20" t="s">
        <v>246</v>
      </c>
      <c r="D170" s="20" t="s">
        <v>247</v>
      </c>
      <c r="E170" s="22" t="s">
        <v>232</v>
      </c>
      <c r="F170" s="20" t="s">
        <v>232</v>
      </c>
      <c r="G170" s="22" t="s">
        <v>234</v>
      </c>
      <c r="H170" s="23">
        <v>4937.51</v>
      </c>
      <c r="I170" s="23">
        <v>0</v>
      </c>
      <c r="J170" s="23">
        <v>0</v>
      </c>
      <c r="K170" s="23">
        <v>0</v>
      </c>
      <c r="L170" s="23">
        <v>-2193.15</v>
      </c>
      <c r="M170" s="24">
        <v>-22</v>
      </c>
      <c r="N170" s="23">
        <v>0</v>
      </c>
      <c r="O170" s="24">
        <f t="shared" si="14"/>
        <v>2722.36</v>
      </c>
      <c r="P170" s="23">
        <v>-2500</v>
      </c>
      <c r="Q170" s="2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23">
        <f t="shared" si="15"/>
        <v>222.36000000000013</v>
      </c>
      <c r="X170" s="23">
        <f t="shared" si="16"/>
        <v>222.36000000000013</v>
      </c>
      <c r="Y170" s="23">
        <f t="shared" si="17"/>
        <v>0</v>
      </c>
      <c r="Z170" s="23">
        <v>0</v>
      </c>
      <c r="AA170" s="23">
        <f t="shared" si="18"/>
        <v>0</v>
      </c>
      <c r="AB170" s="23">
        <f t="shared" si="19"/>
        <v>2500</v>
      </c>
      <c r="AC170" s="20"/>
      <c r="AD170" s="20" t="s">
        <v>248</v>
      </c>
      <c r="AE170" s="11" t="str">
        <f t="shared" si="20"/>
        <v>X24APU11</v>
      </c>
    </row>
    <row r="171" spans="1:31" ht="12.75" hidden="1" customHeight="1" x14ac:dyDescent="0.3">
      <c r="A171" s="8">
        <v>11</v>
      </c>
      <c r="B171" s="20" t="s">
        <v>286</v>
      </c>
      <c r="C171" s="20" t="s">
        <v>40</v>
      </c>
      <c r="D171" s="20" t="s">
        <v>259</v>
      </c>
      <c r="E171" s="22" t="s">
        <v>232</v>
      </c>
      <c r="F171" s="20" t="s">
        <v>232</v>
      </c>
      <c r="G171" s="22" t="s">
        <v>234</v>
      </c>
      <c r="H171" s="23">
        <v>275.75</v>
      </c>
      <c r="I171" s="23">
        <v>-7.39</v>
      </c>
      <c r="J171" s="23">
        <v>0</v>
      </c>
      <c r="K171" s="23">
        <v>0</v>
      </c>
      <c r="L171" s="23">
        <v>-179.85</v>
      </c>
      <c r="M171" s="24">
        <v>0</v>
      </c>
      <c r="N171" s="23">
        <v>0</v>
      </c>
      <c r="O171" s="24">
        <f t="shared" si="14"/>
        <v>88.510000000000019</v>
      </c>
      <c r="P171" s="23">
        <v>-2500</v>
      </c>
      <c r="Q171" s="2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23">
        <f t="shared" si="15"/>
        <v>-2411.4899999999998</v>
      </c>
      <c r="X171" s="23">
        <f t="shared" si="16"/>
        <v>0</v>
      </c>
      <c r="Y171" s="23">
        <f t="shared" si="17"/>
        <v>-2411.4899999999998</v>
      </c>
      <c r="Z171" s="23">
        <v>0</v>
      </c>
      <c r="AA171" s="23">
        <f t="shared" si="18"/>
        <v>-2411.4899999999998</v>
      </c>
      <c r="AB171" s="23">
        <f t="shared" si="19"/>
        <v>-2322.9799999999996</v>
      </c>
      <c r="AC171" s="20"/>
      <c r="AD171" s="20" t="str">
        <f>VLOOKUP($C171,'[1]CTRL AUTOS'!$E:$AH,2,0)</f>
        <v>NEL860A</v>
      </c>
      <c r="AE171" s="11" t="str">
        <f t="shared" si="20"/>
        <v>NEL860A11</v>
      </c>
    </row>
    <row r="172" spans="1:31" ht="12.75" hidden="1" customHeight="1" x14ac:dyDescent="0.3">
      <c r="A172" s="8">
        <v>11</v>
      </c>
      <c r="B172" s="20" t="s">
        <v>290</v>
      </c>
      <c r="C172" s="20" t="s">
        <v>63</v>
      </c>
      <c r="D172" s="20" t="s">
        <v>237</v>
      </c>
      <c r="E172" s="20" t="s">
        <v>291</v>
      </c>
      <c r="F172" s="20" t="s">
        <v>232</v>
      </c>
      <c r="G172" s="22" t="s">
        <v>234</v>
      </c>
      <c r="H172" s="23">
        <v>2464.06</v>
      </c>
      <c r="I172" s="23">
        <v>0</v>
      </c>
      <c r="J172" s="23">
        <v>0</v>
      </c>
      <c r="K172" s="23">
        <v>0</v>
      </c>
      <c r="L172" s="23">
        <v>-1485.97</v>
      </c>
      <c r="M172" s="24">
        <v>0</v>
      </c>
      <c r="N172" s="23">
        <v>0</v>
      </c>
      <c r="O172" s="24">
        <f t="shared" si="14"/>
        <v>978.08999999999992</v>
      </c>
      <c r="P172" s="23">
        <v>-2500</v>
      </c>
      <c r="Q172" s="23">
        <v>-420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f t="shared" si="15"/>
        <v>-1941.91</v>
      </c>
      <c r="X172" s="23">
        <f t="shared" si="16"/>
        <v>0</v>
      </c>
      <c r="Y172" s="23">
        <f t="shared" si="17"/>
        <v>-1941.91</v>
      </c>
      <c r="Z172" s="23">
        <v>0</v>
      </c>
      <c r="AA172" s="23">
        <f t="shared" si="18"/>
        <v>-1941.91</v>
      </c>
      <c r="AB172" s="23">
        <f t="shared" si="19"/>
        <v>-963.82000000000016</v>
      </c>
      <c r="AC172" s="20"/>
      <c r="AD172" s="20" t="str">
        <f>VLOOKUP($C172,'[1]CTRL AUTOS'!$E:$AH,2,0)</f>
        <v>X89ALV</v>
      </c>
      <c r="AE172" s="11" t="str">
        <f t="shared" si="20"/>
        <v>X89ALV11</v>
      </c>
    </row>
    <row r="173" spans="1:31" ht="12.75" hidden="1" customHeight="1" x14ac:dyDescent="0.3">
      <c r="A173" s="8">
        <v>11</v>
      </c>
      <c r="B173" s="20" t="s">
        <v>45</v>
      </c>
      <c r="C173" s="20" t="s">
        <v>249</v>
      </c>
      <c r="D173" s="20" t="s">
        <v>250</v>
      </c>
      <c r="E173" s="22" t="s">
        <v>232</v>
      </c>
      <c r="F173" s="20" t="s">
        <v>232</v>
      </c>
      <c r="G173" s="22" t="s">
        <v>234</v>
      </c>
      <c r="H173" s="23">
        <v>5098.34</v>
      </c>
      <c r="I173" s="23">
        <v>-16</v>
      </c>
      <c r="J173" s="23">
        <v>0</v>
      </c>
      <c r="K173" s="23">
        <v>0</v>
      </c>
      <c r="L173" s="23">
        <v>-2038.26</v>
      </c>
      <c r="M173" s="24">
        <v>-72.06</v>
      </c>
      <c r="N173" s="23">
        <v>0</v>
      </c>
      <c r="O173" s="24">
        <f t="shared" si="14"/>
        <v>2972.02</v>
      </c>
      <c r="P173" s="23">
        <v>-2300</v>
      </c>
      <c r="Q173" s="23">
        <v>0</v>
      </c>
      <c r="R173" s="23">
        <v>0</v>
      </c>
      <c r="S173" s="23">
        <v>0</v>
      </c>
      <c r="T173" s="23">
        <v>0</v>
      </c>
      <c r="U173" s="23">
        <v>0</v>
      </c>
      <c r="V173" s="23">
        <v>0</v>
      </c>
      <c r="W173" s="23">
        <f t="shared" si="15"/>
        <v>672.02</v>
      </c>
      <c r="X173" s="23">
        <f t="shared" si="16"/>
        <v>672.02</v>
      </c>
      <c r="Y173" s="23">
        <f t="shared" si="17"/>
        <v>0</v>
      </c>
      <c r="Z173" s="23">
        <v>0</v>
      </c>
      <c r="AA173" s="23">
        <f t="shared" si="18"/>
        <v>0</v>
      </c>
      <c r="AB173" s="23">
        <f t="shared" si="19"/>
        <v>2300</v>
      </c>
      <c r="AC173" s="20"/>
      <c r="AD173" s="20" t="s">
        <v>251</v>
      </c>
      <c r="AE173" s="11" t="str">
        <f t="shared" si="20"/>
        <v>BAJA DE PLACAS11</v>
      </c>
    </row>
    <row r="174" spans="1:31" ht="12.75" hidden="1" customHeight="1" x14ac:dyDescent="0.3">
      <c r="A174" s="8">
        <v>11</v>
      </c>
      <c r="B174" s="20" t="s">
        <v>5</v>
      </c>
      <c r="C174" s="20" t="s">
        <v>50</v>
      </c>
      <c r="D174" s="20" t="s">
        <v>267</v>
      </c>
      <c r="E174" s="22" t="s">
        <v>232</v>
      </c>
      <c r="F174" s="20" t="s">
        <v>232</v>
      </c>
      <c r="G174" s="22" t="s">
        <v>234</v>
      </c>
      <c r="H174" s="23">
        <v>3097.05</v>
      </c>
      <c r="I174" s="23">
        <v>-51.96</v>
      </c>
      <c r="J174" s="23">
        <v>0</v>
      </c>
      <c r="K174" s="23">
        <v>0</v>
      </c>
      <c r="L174" s="23">
        <v>-859.66</v>
      </c>
      <c r="M174" s="24">
        <v>-15</v>
      </c>
      <c r="N174" s="23">
        <v>-190</v>
      </c>
      <c r="O174" s="24">
        <f t="shared" si="14"/>
        <v>1980.4300000000003</v>
      </c>
      <c r="P174" s="23">
        <v>-1607</v>
      </c>
      <c r="Q174" s="23">
        <v>0</v>
      </c>
      <c r="R174" s="23">
        <v>0</v>
      </c>
      <c r="S174" s="23">
        <v>0</v>
      </c>
      <c r="T174" s="23">
        <v>0</v>
      </c>
      <c r="U174" s="23">
        <v>0</v>
      </c>
      <c r="V174" s="23">
        <v>0</v>
      </c>
      <c r="W174" s="23">
        <f t="shared" si="15"/>
        <v>373.43000000000029</v>
      </c>
      <c r="X174" s="23">
        <f t="shared" si="16"/>
        <v>373.43000000000029</v>
      </c>
      <c r="Y174" s="23">
        <f t="shared" si="17"/>
        <v>0</v>
      </c>
      <c r="Z174" s="23">
        <v>0</v>
      </c>
      <c r="AA174" s="23">
        <f t="shared" si="18"/>
        <v>0</v>
      </c>
      <c r="AB174" s="23">
        <f t="shared" si="19"/>
        <v>1607</v>
      </c>
      <c r="AC174" s="20"/>
      <c r="AD174" s="20" t="str">
        <f>VLOOKUP($C174,'[1]CTRL AUTOS'!$E:$AH,2,0)</f>
        <v>NBS225A</v>
      </c>
      <c r="AE174" s="11" t="str">
        <f t="shared" si="20"/>
        <v>NBS225A11</v>
      </c>
    </row>
    <row r="175" spans="1:31" ht="12.75" hidden="1" customHeight="1" x14ac:dyDescent="0.3">
      <c r="A175" s="8">
        <v>11</v>
      </c>
      <c r="B175" s="20" t="s">
        <v>252</v>
      </c>
      <c r="C175" s="20" t="s">
        <v>22</v>
      </c>
      <c r="D175" s="20" t="s">
        <v>287</v>
      </c>
      <c r="E175" s="22" t="s">
        <v>232</v>
      </c>
      <c r="F175" s="20" t="s">
        <v>233</v>
      </c>
      <c r="G175" s="22" t="s">
        <v>234</v>
      </c>
      <c r="H175" s="23">
        <v>6168.41</v>
      </c>
      <c r="I175" s="23">
        <v>-82.4</v>
      </c>
      <c r="J175" s="23">
        <v>0</v>
      </c>
      <c r="K175" s="23">
        <v>0</v>
      </c>
      <c r="L175" s="23">
        <v>-2154.85</v>
      </c>
      <c r="M175" s="24">
        <v>-25</v>
      </c>
      <c r="N175" s="23">
        <v>0</v>
      </c>
      <c r="O175" s="24">
        <f t="shared" si="14"/>
        <v>3906.1600000000003</v>
      </c>
      <c r="P175" s="23">
        <v>-2500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f t="shared" si="15"/>
        <v>1406.1600000000003</v>
      </c>
      <c r="X175" s="23">
        <f t="shared" si="16"/>
        <v>1406.1600000000003</v>
      </c>
      <c r="Y175" s="23">
        <f t="shared" si="17"/>
        <v>0</v>
      </c>
      <c r="Z175" s="23">
        <v>0</v>
      </c>
      <c r="AA175" s="23">
        <f t="shared" si="18"/>
        <v>0</v>
      </c>
      <c r="AB175" s="23">
        <f t="shared" si="19"/>
        <v>2500</v>
      </c>
      <c r="AC175" s="20"/>
      <c r="AD175" s="20" t="str">
        <f>VLOOKUP($C175,'[1]CTRL AUTOS'!$E:$AH,2,0)</f>
        <v>NCK475B</v>
      </c>
      <c r="AE175" s="11" t="str">
        <f t="shared" si="20"/>
        <v>NCK475B11</v>
      </c>
    </row>
    <row r="176" spans="1:31" ht="12.75" hidden="1" customHeight="1" x14ac:dyDescent="0.3">
      <c r="A176" s="8">
        <v>12</v>
      </c>
      <c r="B176" s="20" t="s">
        <v>80</v>
      </c>
      <c r="C176" s="20" t="s">
        <v>230</v>
      </c>
      <c r="D176" s="20" t="s">
        <v>231</v>
      </c>
      <c r="E176" s="22" t="s">
        <v>232</v>
      </c>
      <c r="F176" s="20" t="s">
        <v>232</v>
      </c>
      <c r="G176" s="22" t="s">
        <v>234</v>
      </c>
      <c r="H176" s="23">
        <v>1366.27</v>
      </c>
      <c r="I176" s="23">
        <v>0</v>
      </c>
      <c r="J176" s="23"/>
      <c r="K176" s="23">
        <v>0</v>
      </c>
      <c r="L176" s="23">
        <v>-365.15</v>
      </c>
      <c r="M176" s="24">
        <v>-16.2330548991801</v>
      </c>
      <c r="N176" s="23">
        <v>-167</v>
      </c>
      <c r="O176" s="24">
        <f t="shared" si="14"/>
        <v>817.88694510081996</v>
      </c>
      <c r="P176" s="23">
        <v>-2500</v>
      </c>
      <c r="Q176" s="23">
        <v>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23">
        <f t="shared" si="15"/>
        <v>-1682.11305489918</v>
      </c>
      <c r="X176" s="23">
        <f t="shared" si="16"/>
        <v>0</v>
      </c>
      <c r="Y176" s="23">
        <f t="shared" si="17"/>
        <v>-1682.11305489918</v>
      </c>
      <c r="Z176" s="23">
        <v>1682</v>
      </c>
      <c r="AA176" s="23">
        <f t="shared" si="18"/>
        <v>-0.11305489918004241</v>
      </c>
      <c r="AB176" s="23">
        <f t="shared" si="19"/>
        <v>2499.7738902016399</v>
      </c>
      <c r="AC176" s="20"/>
      <c r="AD176" s="20" t="s">
        <v>235</v>
      </c>
      <c r="AE176" s="11" t="str">
        <f t="shared" si="20"/>
        <v>NEB156A12</v>
      </c>
    </row>
    <row r="177" spans="1:31" ht="12.75" hidden="1" customHeight="1" x14ac:dyDescent="0.3">
      <c r="A177" s="8">
        <v>12</v>
      </c>
      <c r="B177" s="20" t="s">
        <v>238</v>
      </c>
      <c r="C177" s="20" t="s">
        <v>20</v>
      </c>
      <c r="D177" s="20" t="s">
        <v>239</v>
      </c>
      <c r="E177" s="22" t="s">
        <v>232</v>
      </c>
      <c r="F177" s="20" t="s">
        <v>232</v>
      </c>
      <c r="G177" s="22" t="s">
        <v>234</v>
      </c>
      <c r="H177" s="23">
        <v>1780.48</v>
      </c>
      <c r="I177" s="23">
        <v>0</v>
      </c>
      <c r="J177" s="23"/>
      <c r="K177" s="23">
        <v>0</v>
      </c>
      <c r="L177" s="23">
        <v>-1431.1</v>
      </c>
      <c r="M177" s="24">
        <v>-21.154405488587301</v>
      </c>
      <c r="N177" s="23">
        <v>0</v>
      </c>
      <c r="O177" s="24">
        <f t="shared" si="14"/>
        <v>328.22559451141279</v>
      </c>
      <c r="P177" s="23">
        <v>-2500</v>
      </c>
      <c r="Q177" s="23">
        <v>0</v>
      </c>
      <c r="R177" s="23">
        <v>0</v>
      </c>
      <c r="S177" s="23">
        <v>0</v>
      </c>
      <c r="T177" s="23">
        <v>0</v>
      </c>
      <c r="U177" s="23">
        <v>0</v>
      </c>
      <c r="V177" s="23">
        <v>0</v>
      </c>
      <c r="W177" s="23">
        <f t="shared" si="15"/>
        <v>-2171.774405488587</v>
      </c>
      <c r="X177" s="23">
        <f t="shared" si="16"/>
        <v>0</v>
      </c>
      <c r="Y177" s="23">
        <f t="shared" si="17"/>
        <v>-2171.774405488587</v>
      </c>
      <c r="Z177" s="23">
        <v>2100</v>
      </c>
      <c r="AA177" s="23">
        <f t="shared" si="18"/>
        <v>-71.774405488587036</v>
      </c>
      <c r="AB177" s="23">
        <f t="shared" si="19"/>
        <v>2356.4511890228259</v>
      </c>
      <c r="AC177" s="20"/>
      <c r="AD177" s="20" t="str">
        <f>VLOOKUP($C177,'[1]CTRL AUTOS'!$E:$AH,2,0)</f>
        <v>D40BKD</v>
      </c>
      <c r="AE177" s="11" t="str">
        <f t="shared" si="20"/>
        <v>D40BKD12</v>
      </c>
    </row>
    <row r="178" spans="1:31" ht="12.75" hidden="1" customHeight="1" x14ac:dyDescent="0.3">
      <c r="A178" s="8">
        <v>12</v>
      </c>
      <c r="B178" s="20" t="s">
        <v>23</v>
      </c>
      <c r="C178" s="20" t="s">
        <v>75</v>
      </c>
      <c r="D178" s="20" t="s">
        <v>237</v>
      </c>
      <c r="E178" s="22" t="s">
        <v>241</v>
      </c>
      <c r="F178" s="20" t="s">
        <v>232</v>
      </c>
      <c r="G178" s="22" t="s">
        <v>234</v>
      </c>
      <c r="H178" s="23">
        <v>5393.46</v>
      </c>
      <c r="I178" s="23">
        <v>-54.4</v>
      </c>
      <c r="J178" s="23"/>
      <c r="K178" s="23">
        <v>0</v>
      </c>
      <c r="L178" s="23">
        <v>-2660.92</v>
      </c>
      <c r="M178" s="24">
        <v>0</v>
      </c>
      <c r="N178" s="23">
        <v>0</v>
      </c>
      <c r="O178" s="24">
        <f t="shared" si="14"/>
        <v>2678.1400000000003</v>
      </c>
      <c r="P178" s="23">
        <v>-2400</v>
      </c>
      <c r="Q178" s="23">
        <v>0</v>
      </c>
      <c r="R178" s="23">
        <v>-500</v>
      </c>
      <c r="S178" s="23">
        <v>0</v>
      </c>
      <c r="T178" s="23">
        <v>0</v>
      </c>
      <c r="U178" s="23">
        <v>0</v>
      </c>
      <c r="V178" s="23">
        <v>0</v>
      </c>
      <c r="W178" s="23">
        <f t="shared" si="15"/>
        <v>-221.85999999999967</v>
      </c>
      <c r="X178" s="23">
        <f t="shared" si="16"/>
        <v>0</v>
      </c>
      <c r="Y178" s="23">
        <f t="shared" si="17"/>
        <v>-221.85999999999967</v>
      </c>
      <c r="Z178" s="23">
        <v>0</v>
      </c>
      <c r="AA178" s="23">
        <f t="shared" si="18"/>
        <v>-221.85999999999967</v>
      </c>
      <c r="AB178" s="23">
        <f t="shared" si="19"/>
        <v>2456.2800000000007</v>
      </c>
      <c r="AC178" s="20"/>
      <c r="AD178" s="20" t="str">
        <f>VLOOKUP($C178,'[1]CTRL AUTOS'!$E:$AH,2,0)</f>
        <v>NFN014B</v>
      </c>
      <c r="AE178" s="11" t="str">
        <f t="shared" si="20"/>
        <v>NFN014B12</v>
      </c>
    </row>
    <row r="179" spans="1:31" ht="12.75" hidden="1" customHeight="1" x14ac:dyDescent="0.3">
      <c r="A179" s="8">
        <v>12</v>
      </c>
      <c r="B179" s="20" t="s">
        <v>258</v>
      </c>
      <c r="C179" s="20" t="s">
        <v>40</v>
      </c>
      <c r="D179" s="25" t="s">
        <v>259</v>
      </c>
      <c r="E179" s="22" t="s">
        <v>232</v>
      </c>
      <c r="F179" s="20" t="s">
        <v>232</v>
      </c>
      <c r="G179" s="22" t="s">
        <v>234</v>
      </c>
      <c r="H179" s="23">
        <v>0</v>
      </c>
      <c r="I179" s="23">
        <v>0</v>
      </c>
      <c r="J179" s="23">
        <v>0</v>
      </c>
      <c r="K179" s="23">
        <v>0</v>
      </c>
      <c r="L179" s="23">
        <v>0</v>
      </c>
      <c r="M179" s="24">
        <v>0</v>
      </c>
      <c r="N179" s="23">
        <v>0</v>
      </c>
      <c r="O179" s="24">
        <f t="shared" si="14"/>
        <v>0</v>
      </c>
      <c r="P179" s="23">
        <v>0</v>
      </c>
      <c r="Q179" s="23">
        <v>0</v>
      </c>
      <c r="R179" s="23">
        <v>500</v>
      </c>
      <c r="S179" s="23">
        <v>0</v>
      </c>
      <c r="T179" s="23">
        <v>0</v>
      </c>
      <c r="U179" s="23">
        <v>0</v>
      </c>
      <c r="V179" s="23">
        <v>0</v>
      </c>
      <c r="W179" s="23">
        <f t="shared" si="15"/>
        <v>500</v>
      </c>
      <c r="X179" s="23">
        <f t="shared" si="16"/>
        <v>500</v>
      </c>
      <c r="Y179" s="23">
        <f t="shared" si="17"/>
        <v>0</v>
      </c>
      <c r="Z179" s="23">
        <v>0</v>
      </c>
      <c r="AA179" s="23">
        <f t="shared" si="18"/>
        <v>0</v>
      </c>
      <c r="AB179" s="23">
        <f t="shared" si="19"/>
        <v>-500</v>
      </c>
      <c r="AC179" s="23">
        <f>+AC178+AA178</f>
        <v>-221.85999999999967</v>
      </c>
      <c r="AD179" s="20" t="str">
        <f>VLOOKUP($C179,'[1]CTRL AUTOS'!$E:$AH,2,0)</f>
        <v>NEL860A</v>
      </c>
      <c r="AE179" s="11" t="str">
        <f t="shared" si="20"/>
        <v>NEL860A12</v>
      </c>
    </row>
    <row r="180" spans="1:31" ht="12.75" hidden="1" customHeight="1" x14ac:dyDescent="0.3">
      <c r="A180" s="8">
        <v>12</v>
      </c>
      <c r="B180" s="20" t="s">
        <v>264</v>
      </c>
      <c r="C180" s="20" t="s">
        <v>46</v>
      </c>
      <c r="D180" s="20" t="s">
        <v>257</v>
      </c>
      <c r="E180" s="22" t="s">
        <v>232</v>
      </c>
      <c r="F180" s="20" t="s">
        <v>232</v>
      </c>
      <c r="G180" s="22" t="s">
        <v>234</v>
      </c>
      <c r="H180" s="23">
        <v>0</v>
      </c>
      <c r="I180" s="23">
        <v>0</v>
      </c>
      <c r="J180" s="23">
        <v>0</v>
      </c>
      <c r="K180" s="23">
        <v>0</v>
      </c>
      <c r="L180" s="23">
        <v>0</v>
      </c>
      <c r="M180" s="24">
        <v>0</v>
      </c>
      <c r="N180" s="23">
        <v>0</v>
      </c>
      <c r="O180" s="24">
        <f t="shared" si="14"/>
        <v>0</v>
      </c>
      <c r="P180" s="23">
        <v>-892.85714285714289</v>
      </c>
      <c r="Q180" s="23">
        <v>0</v>
      </c>
      <c r="R180" s="23">
        <v>-107</v>
      </c>
      <c r="S180" s="23">
        <v>0</v>
      </c>
      <c r="T180" s="23">
        <v>0</v>
      </c>
      <c r="U180" s="23">
        <v>0</v>
      </c>
      <c r="V180" s="23">
        <v>0</v>
      </c>
      <c r="W180" s="23">
        <f t="shared" si="15"/>
        <v>-999.85714285714289</v>
      </c>
      <c r="X180" s="23">
        <f t="shared" si="16"/>
        <v>0</v>
      </c>
      <c r="Y180" s="23">
        <f t="shared" si="17"/>
        <v>-999.85714285714289</v>
      </c>
      <c r="Z180" s="23">
        <v>1000</v>
      </c>
      <c r="AA180" s="23">
        <f t="shared" si="18"/>
        <v>0.14285714285711038</v>
      </c>
      <c r="AB180" s="23">
        <f t="shared" si="19"/>
        <v>1000.1428571428571</v>
      </c>
      <c r="AC180" s="20"/>
      <c r="AD180" s="20" t="str">
        <f>VLOOKUP($C180,'[1]CTRL AUTOS'!$E:$AH,2,0)</f>
        <v>R66BER</v>
      </c>
      <c r="AE180" s="11" t="str">
        <f t="shared" si="20"/>
        <v>R66BER12</v>
      </c>
    </row>
    <row r="181" spans="1:31" ht="12.75" hidden="1" customHeight="1" x14ac:dyDescent="0.3">
      <c r="A181" s="8">
        <v>12</v>
      </c>
      <c r="B181" s="20" t="s">
        <v>260</v>
      </c>
      <c r="C181" s="20" t="s">
        <v>81</v>
      </c>
      <c r="D181" s="20" t="s">
        <v>273</v>
      </c>
      <c r="E181" s="22" t="s">
        <v>232</v>
      </c>
      <c r="F181" s="20" t="s">
        <v>232</v>
      </c>
      <c r="G181" s="22" t="s">
        <v>234</v>
      </c>
      <c r="H181" s="23">
        <v>4621.99</v>
      </c>
      <c r="I181" s="23">
        <v>-17.28</v>
      </c>
      <c r="J181" s="23"/>
      <c r="K181" s="23">
        <v>0</v>
      </c>
      <c r="L181" s="23">
        <v>-1118.53</v>
      </c>
      <c r="M181" s="24">
        <v>-25</v>
      </c>
      <c r="N181" s="23">
        <v>-149.11000000000001</v>
      </c>
      <c r="O181" s="24">
        <f t="shared" si="14"/>
        <v>3312.07</v>
      </c>
      <c r="P181" s="23">
        <v>-2500</v>
      </c>
      <c r="Q181" s="23">
        <v>0</v>
      </c>
      <c r="R181" s="23">
        <v>0</v>
      </c>
      <c r="S181" s="23">
        <v>-500</v>
      </c>
      <c r="T181" s="23">
        <v>0</v>
      </c>
      <c r="U181" s="23">
        <v>0</v>
      </c>
      <c r="V181" s="23">
        <v>0</v>
      </c>
      <c r="W181" s="23">
        <f t="shared" si="15"/>
        <v>312.07000000000016</v>
      </c>
      <c r="X181" s="23">
        <f t="shared" si="16"/>
        <v>312.07000000000016</v>
      </c>
      <c r="Y181" s="23">
        <f t="shared" si="17"/>
        <v>0</v>
      </c>
      <c r="Z181" s="23">
        <v>0</v>
      </c>
      <c r="AA181" s="23">
        <f t="shared" si="18"/>
        <v>0</v>
      </c>
      <c r="AB181" s="23">
        <f t="shared" si="19"/>
        <v>3000</v>
      </c>
      <c r="AC181" s="20"/>
      <c r="AD181" s="20" t="str">
        <f>VLOOKUP($C181,'[1]CTRL AUTOS'!$E:$AH,2,0)</f>
        <v>NLP172B</v>
      </c>
      <c r="AE181" s="11" t="str">
        <f t="shared" si="20"/>
        <v>NLP172B12</v>
      </c>
    </row>
    <row r="182" spans="1:31" ht="12.75" hidden="1" customHeight="1" x14ac:dyDescent="0.3">
      <c r="A182" s="8">
        <v>12</v>
      </c>
      <c r="B182" s="20" t="s">
        <v>72</v>
      </c>
      <c r="C182" s="20" t="s">
        <v>28</v>
      </c>
      <c r="D182" s="20" t="s">
        <v>274</v>
      </c>
      <c r="E182" s="22" t="s">
        <v>232</v>
      </c>
      <c r="F182" s="20" t="s">
        <v>232</v>
      </c>
      <c r="G182" s="22" t="s">
        <v>234</v>
      </c>
      <c r="H182" s="23">
        <v>10997.62</v>
      </c>
      <c r="I182" s="23">
        <v>-119.2</v>
      </c>
      <c r="J182" s="23"/>
      <c r="K182" s="23">
        <v>-101.81</v>
      </c>
      <c r="L182" s="23">
        <v>-4605.29</v>
      </c>
      <c r="M182" s="24">
        <v>-22</v>
      </c>
      <c r="N182" s="23">
        <v>-24</v>
      </c>
      <c r="O182" s="24">
        <f t="shared" si="14"/>
        <v>6125.3200000000006</v>
      </c>
      <c r="P182" s="23">
        <v>-2500</v>
      </c>
      <c r="Q182" s="23">
        <v>-800</v>
      </c>
      <c r="R182" s="23">
        <v>0</v>
      </c>
      <c r="S182" s="23">
        <v>-500</v>
      </c>
      <c r="T182" s="23">
        <v>0</v>
      </c>
      <c r="U182" s="23">
        <v>0</v>
      </c>
      <c r="V182" s="23">
        <v>0</v>
      </c>
      <c r="W182" s="23">
        <f t="shared" si="15"/>
        <v>2325.3200000000006</v>
      </c>
      <c r="X182" s="23">
        <f t="shared" si="16"/>
        <v>2325.3200000000006</v>
      </c>
      <c r="Y182" s="23">
        <f t="shared" si="17"/>
        <v>0</v>
      </c>
      <c r="Z182" s="23">
        <v>0</v>
      </c>
      <c r="AA182" s="23">
        <f t="shared" si="18"/>
        <v>0</v>
      </c>
      <c r="AB182" s="23">
        <f t="shared" si="19"/>
        <v>3800</v>
      </c>
      <c r="AC182" s="20"/>
      <c r="AD182" s="20" t="str">
        <f>VLOOKUP($C182,'[1]CTRL AUTOS'!$E:$AH,2,0)</f>
        <v>NCT814A</v>
      </c>
      <c r="AE182" s="11" t="str">
        <f t="shared" si="20"/>
        <v>NCT814A12</v>
      </c>
    </row>
    <row r="183" spans="1:31" ht="12.75" hidden="1" customHeight="1" x14ac:dyDescent="0.3">
      <c r="A183" s="8">
        <v>12</v>
      </c>
      <c r="B183" s="20" t="s">
        <v>292</v>
      </c>
      <c r="C183" s="20" t="s">
        <v>52</v>
      </c>
      <c r="D183" s="20" t="s">
        <v>237</v>
      </c>
      <c r="E183" s="22" t="s">
        <v>232</v>
      </c>
      <c r="F183" s="20" t="s">
        <v>232</v>
      </c>
      <c r="G183" s="22" t="s">
        <v>234</v>
      </c>
      <c r="H183" s="23">
        <v>9091.98</v>
      </c>
      <c r="I183" s="23">
        <v>-78.400000000000006</v>
      </c>
      <c r="J183" s="23"/>
      <c r="K183" s="23">
        <v>0</v>
      </c>
      <c r="L183" s="23">
        <v>-1769.58</v>
      </c>
      <c r="M183" s="24">
        <v>-25</v>
      </c>
      <c r="N183" s="23">
        <v>0</v>
      </c>
      <c r="O183" s="24">
        <f t="shared" si="14"/>
        <v>7219</v>
      </c>
      <c r="P183" s="23">
        <v>-2500</v>
      </c>
      <c r="Q183" s="23">
        <v>0</v>
      </c>
      <c r="R183" s="23">
        <v>-500</v>
      </c>
      <c r="S183" s="23">
        <v>0</v>
      </c>
      <c r="T183" s="23">
        <v>474</v>
      </c>
      <c r="U183" s="23">
        <v>0</v>
      </c>
      <c r="V183" s="23">
        <v>0</v>
      </c>
      <c r="W183" s="23">
        <f t="shared" si="15"/>
        <v>4693</v>
      </c>
      <c r="X183" s="23">
        <f t="shared" si="16"/>
        <v>4693</v>
      </c>
      <c r="Y183" s="23">
        <f t="shared" si="17"/>
        <v>0</v>
      </c>
      <c r="Z183" s="23">
        <v>0</v>
      </c>
      <c r="AA183" s="23">
        <f t="shared" si="18"/>
        <v>0</v>
      </c>
      <c r="AB183" s="23">
        <f t="shared" si="19"/>
        <v>2526</v>
      </c>
      <c r="AC183" s="20"/>
      <c r="AD183" s="20" t="str">
        <f>VLOOKUP($C183,'[1]CTRL AUTOS'!$E:$AH,2,0)</f>
        <v>A35BHD</v>
      </c>
      <c r="AE183" s="11" t="str">
        <f t="shared" si="20"/>
        <v>A35BHD12</v>
      </c>
    </row>
    <row r="184" spans="1:31" ht="12.75" hidden="1" customHeight="1" x14ac:dyDescent="0.3">
      <c r="A184" s="8">
        <v>12</v>
      </c>
      <c r="B184" s="20" t="s">
        <v>105</v>
      </c>
      <c r="C184" s="20" t="s">
        <v>54</v>
      </c>
      <c r="D184" s="20" t="s">
        <v>237</v>
      </c>
      <c r="E184" s="22" t="s">
        <v>232</v>
      </c>
      <c r="F184" s="20" t="s">
        <v>232</v>
      </c>
      <c r="G184" s="22" t="s">
        <v>234</v>
      </c>
      <c r="H184" s="23">
        <v>5853.15</v>
      </c>
      <c r="I184" s="23">
        <v>-24.96</v>
      </c>
      <c r="J184" s="23"/>
      <c r="K184" s="23">
        <v>0</v>
      </c>
      <c r="L184" s="23">
        <v>-2421.4299999999998</v>
      </c>
      <c r="M184" s="24">
        <v>-55</v>
      </c>
      <c r="N184" s="23">
        <v>0</v>
      </c>
      <c r="O184" s="24">
        <f t="shared" si="14"/>
        <v>3351.7599999999998</v>
      </c>
      <c r="P184" s="23">
        <v>-2476.4299999999998</v>
      </c>
      <c r="Q184" s="23">
        <v>2800</v>
      </c>
      <c r="R184" s="23">
        <v>0</v>
      </c>
      <c r="S184" s="23">
        <v>0</v>
      </c>
      <c r="T184" s="23">
        <v>0</v>
      </c>
      <c r="U184" s="23">
        <v>0</v>
      </c>
      <c r="V184" s="23">
        <v>0</v>
      </c>
      <c r="W184" s="23">
        <f t="shared" si="15"/>
        <v>3675.33</v>
      </c>
      <c r="X184" s="23">
        <f t="shared" si="16"/>
        <v>3675.33</v>
      </c>
      <c r="Y184" s="23">
        <f t="shared" si="17"/>
        <v>0</v>
      </c>
      <c r="Z184" s="23">
        <v>0</v>
      </c>
      <c r="AA184" s="23">
        <f t="shared" si="18"/>
        <v>0</v>
      </c>
      <c r="AB184" s="23">
        <f t="shared" si="19"/>
        <v>-323.57000000000016</v>
      </c>
      <c r="AC184" s="20"/>
      <c r="AD184" s="20" t="str">
        <f>VLOOKUP($C184,'[1]CTRL AUTOS'!$E:$AH,2,0)</f>
        <v>NZY685B</v>
      </c>
      <c r="AE184" s="11" t="str">
        <f t="shared" si="20"/>
        <v>NZY685B12</v>
      </c>
    </row>
    <row r="185" spans="1:31" ht="12.75" hidden="1" customHeight="1" x14ac:dyDescent="0.3">
      <c r="A185" s="8">
        <v>12</v>
      </c>
      <c r="B185" s="20" t="s">
        <v>288</v>
      </c>
      <c r="C185" s="20" t="s">
        <v>56</v>
      </c>
      <c r="D185" s="20" t="s">
        <v>289</v>
      </c>
      <c r="E185" s="22" t="s">
        <v>241</v>
      </c>
      <c r="F185" s="20" t="s">
        <v>232</v>
      </c>
      <c r="G185" s="22" t="s">
        <v>234</v>
      </c>
      <c r="H185" s="23">
        <v>9045.16</v>
      </c>
      <c r="I185" s="23">
        <v>-105.6</v>
      </c>
      <c r="J185" s="23"/>
      <c r="K185" s="23">
        <v>0</v>
      </c>
      <c r="L185" s="23">
        <v>-3326.26</v>
      </c>
      <c r="M185" s="24">
        <v>-41.256247184133436</v>
      </c>
      <c r="N185" s="23">
        <v>0</v>
      </c>
      <c r="O185" s="24">
        <f t="shared" si="14"/>
        <v>5572.0437528158654</v>
      </c>
      <c r="P185" s="23">
        <v>-2350</v>
      </c>
      <c r="Q185" s="23">
        <v>0</v>
      </c>
      <c r="R185" s="23">
        <v>-500</v>
      </c>
      <c r="S185" s="23">
        <v>0</v>
      </c>
      <c r="T185" s="23">
        <v>0</v>
      </c>
      <c r="U185" s="23">
        <v>0</v>
      </c>
      <c r="V185" s="23">
        <v>0</v>
      </c>
      <c r="W185" s="23">
        <f t="shared" si="15"/>
        <v>2722.0437528158654</v>
      </c>
      <c r="X185" s="23">
        <f t="shared" si="16"/>
        <v>2722.0437528158654</v>
      </c>
      <c r="Y185" s="23">
        <f t="shared" si="17"/>
        <v>0</v>
      </c>
      <c r="Z185" s="23">
        <v>0</v>
      </c>
      <c r="AA185" s="23">
        <f t="shared" si="18"/>
        <v>0</v>
      </c>
      <c r="AB185" s="23">
        <f t="shared" si="19"/>
        <v>2850</v>
      </c>
      <c r="AC185" s="20"/>
      <c r="AD185" s="20" t="str">
        <f>VLOOKUP($C185,'[1]CTRL AUTOS'!$E:$AH,2,0)</f>
        <v>MYE912A</v>
      </c>
      <c r="AE185" s="11" t="str">
        <f t="shared" si="20"/>
        <v>MYE912A12</v>
      </c>
    </row>
    <row r="186" spans="1:31" ht="12.75" hidden="1" customHeight="1" x14ac:dyDescent="0.3">
      <c r="A186" s="8">
        <v>12</v>
      </c>
      <c r="B186" s="20" t="s">
        <v>244</v>
      </c>
      <c r="C186" s="20" t="s">
        <v>4</v>
      </c>
      <c r="D186" s="20" t="s">
        <v>245</v>
      </c>
      <c r="E186" s="22" t="s">
        <v>232</v>
      </c>
      <c r="F186" s="20" t="s">
        <v>232</v>
      </c>
      <c r="G186" s="22" t="s">
        <v>234</v>
      </c>
      <c r="H186" s="23">
        <v>3472.37</v>
      </c>
      <c r="I186" s="23">
        <v>0</v>
      </c>
      <c r="J186" s="23"/>
      <c r="K186" s="23">
        <v>0</v>
      </c>
      <c r="L186" s="23">
        <v>-875.47</v>
      </c>
      <c r="M186" s="24">
        <v>-45</v>
      </c>
      <c r="N186" s="23">
        <v>0</v>
      </c>
      <c r="O186" s="24">
        <f t="shared" si="14"/>
        <v>2551.8999999999996</v>
      </c>
      <c r="P186" s="23">
        <v>-2500</v>
      </c>
      <c r="Q186" s="23">
        <v>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23">
        <f t="shared" si="15"/>
        <v>51.899999999999636</v>
      </c>
      <c r="X186" s="23">
        <f t="shared" si="16"/>
        <v>51.899999999999636</v>
      </c>
      <c r="Y186" s="23">
        <f t="shared" si="17"/>
        <v>0</v>
      </c>
      <c r="Z186" s="23">
        <v>0</v>
      </c>
      <c r="AA186" s="23">
        <f t="shared" si="18"/>
        <v>0</v>
      </c>
      <c r="AB186" s="23">
        <f t="shared" si="19"/>
        <v>2500</v>
      </c>
      <c r="AC186" s="20"/>
      <c r="AD186" s="20" t="str">
        <f>VLOOKUP($C186,'[1]CTRL AUTOS'!$E:$AH,2,0)</f>
        <v>N15BKD</v>
      </c>
      <c r="AE186" s="11" t="str">
        <f t="shared" si="20"/>
        <v>N15BKD12</v>
      </c>
    </row>
    <row r="187" spans="1:31" ht="12.75" hidden="1" customHeight="1" x14ac:dyDescent="0.3">
      <c r="A187" s="8">
        <v>12</v>
      </c>
      <c r="B187" s="20" t="s">
        <v>35</v>
      </c>
      <c r="C187" s="20" t="s">
        <v>34</v>
      </c>
      <c r="D187" s="20" t="s">
        <v>285</v>
      </c>
      <c r="E187" s="22" t="s">
        <v>232</v>
      </c>
      <c r="F187" s="20" t="s">
        <v>232</v>
      </c>
      <c r="G187" s="22" t="s">
        <v>234</v>
      </c>
      <c r="H187" s="23">
        <v>7308.46</v>
      </c>
      <c r="I187" s="23">
        <v>-119.2</v>
      </c>
      <c r="J187" s="23"/>
      <c r="K187" s="23">
        <v>0</v>
      </c>
      <c r="L187" s="23">
        <v>-4504.12</v>
      </c>
      <c r="M187" s="24">
        <v>-35</v>
      </c>
      <c r="N187" s="23">
        <v>0</v>
      </c>
      <c r="O187" s="24">
        <f t="shared" si="14"/>
        <v>2650.1400000000003</v>
      </c>
      <c r="P187" s="23">
        <v>-2500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f t="shared" si="15"/>
        <v>150.14000000000033</v>
      </c>
      <c r="X187" s="23">
        <f t="shared" si="16"/>
        <v>150.14000000000033</v>
      </c>
      <c r="Y187" s="23">
        <f t="shared" si="17"/>
        <v>0</v>
      </c>
      <c r="Z187" s="23">
        <v>0</v>
      </c>
      <c r="AA187" s="23">
        <f t="shared" si="18"/>
        <v>0</v>
      </c>
      <c r="AB187" s="23">
        <f t="shared" si="19"/>
        <v>2500</v>
      </c>
      <c r="AC187" s="20"/>
      <c r="AD187" s="20" t="str">
        <f>VLOOKUP($C187,'[1]CTRL AUTOS'!$E:$AH,2,0)</f>
        <v>X59AWG</v>
      </c>
      <c r="AE187" s="11" t="str">
        <f t="shared" si="20"/>
        <v>X59AWG12</v>
      </c>
    </row>
    <row r="188" spans="1:31" ht="12.75" hidden="1" customHeight="1" x14ac:dyDescent="0.3">
      <c r="A188" s="8">
        <v>12</v>
      </c>
      <c r="B188" s="20" t="s">
        <v>37</v>
      </c>
      <c r="C188" s="20" t="s">
        <v>246</v>
      </c>
      <c r="D188" s="20" t="s">
        <v>247</v>
      </c>
      <c r="E188" s="22" t="s">
        <v>232</v>
      </c>
      <c r="F188" s="20" t="s">
        <v>232</v>
      </c>
      <c r="G188" s="22" t="s">
        <v>234</v>
      </c>
      <c r="H188" s="23">
        <v>5356.42</v>
      </c>
      <c r="I188" s="23">
        <v>-16</v>
      </c>
      <c r="J188" s="23">
        <v>0</v>
      </c>
      <c r="K188" s="23">
        <v>0</v>
      </c>
      <c r="L188" s="23">
        <v>-1966.63</v>
      </c>
      <c r="M188" s="24">
        <v>-15</v>
      </c>
      <c r="N188" s="23">
        <v>0</v>
      </c>
      <c r="O188" s="24">
        <f t="shared" si="14"/>
        <v>3358.79</v>
      </c>
      <c r="P188" s="23">
        <v>-2500</v>
      </c>
      <c r="Q188" s="23">
        <v>0</v>
      </c>
      <c r="R188" s="23">
        <v>0</v>
      </c>
      <c r="S188" s="23">
        <v>0</v>
      </c>
      <c r="T188" s="23">
        <v>0</v>
      </c>
      <c r="U188" s="23">
        <v>0</v>
      </c>
      <c r="V188" s="23">
        <v>0</v>
      </c>
      <c r="W188" s="23">
        <f t="shared" si="15"/>
        <v>858.79</v>
      </c>
      <c r="X188" s="23">
        <f t="shared" si="16"/>
        <v>858.79</v>
      </c>
      <c r="Y188" s="23">
        <f t="shared" si="17"/>
        <v>0</v>
      </c>
      <c r="Z188" s="23">
        <v>0</v>
      </c>
      <c r="AA188" s="23">
        <f t="shared" si="18"/>
        <v>0</v>
      </c>
      <c r="AB188" s="23">
        <f t="shared" si="19"/>
        <v>2500</v>
      </c>
      <c r="AC188" s="20"/>
      <c r="AD188" s="20" t="s">
        <v>248</v>
      </c>
      <c r="AE188" s="11" t="str">
        <f t="shared" si="20"/>
        <v>X24APU12</v>
      </c>
    </row>
    <row r="189" spans="1:31" ht="12.75" hidden="1" customHeight="1" x14ac:dyDescent="0.3">
      <c r="A189" s="8">
        <v>12</v>
      </c>
      <c r="B189" s="20" t="s">
        <v>293</v>
      </c>
      <c r="C189" s="20" t="s">
        <v>63</v>
      </c>
      <c r="D189" s="20" t="s">
        <v>237</v>
      </c>
      <c r="E189" s="20" t="s">
        <v>291</v>
      </c>
      <c r="F189" s="20" t="s">
        <v>232</v>
      </c>
      <c r="G189" s="22" t="s">
        <v>234</v>
      </c>
      <c r="H189" s="23">
        <v>2531.9299999999998</v>
      </c>
      <c r="I189" s="23">
        <v>0</v>
      </c>
      <c r="J189" s="23"/>
      <c r="K189" s="23">
        <v>0</v>
      </c>
      <c r="L189" s="23">
        <v>0</v>
      </c>
      <c r="M189" s="24">
        <v>-53.717229016209885</v>
      </c>
      <c r="N189" s="23">
        <v>0</v>
      </c>
      <c r="O189" s="24">
        <f t="shared" si="14"/>
        <v>2478.2127709837901</v>
      </c>
      <c r="P189" s="23">
        <v>-1785.7142857142858</v>
      </c>
      <c r="Q189" s="23">
        <v>0</v>
      </c>
      <c r="R189" s="23">
        <v>-357.14285714285717</v>
      </c>
      <c r="S189" s="23">
        <v>0</v>
      </c>
      <c r="T189" s="23">
        <v>0</v>
      </c>
      <c r="U189" s="23">
        <v>0</v>
      </c>
      <c r="V189" s="23">
        <v>0</v>
      </c>
      <c r="W189" s="23">
        <f t="shared" si="15"/>
        <v>335.35562812664693</v>
      </c>
      <c r="X189" s="23">
        <f t="shared" si="16"/>
        <v>335.35562812664693</v>
      </c>
      <c r="Y189" s="23">
        <f t="shared" si="17"/>
        <v>0</v>
      </c>
      <c r="Z189" s="23">
        <v>0</v>
      </c>
      <c r="AA189" s="23">
        <f t="shared" si="18"/>
        <v>0</v>
      </c>
      <c r="AB189" s="23">
        <f t="shared" si="19"/>
        <v>2142.8571428571431</v>
      </c>
      <c r="AC189" s="20"/>
      <c r="AD189" s="20" t="str">
        <f>VLOOKUP($C189,'[1]CTRL AUTOS'!$E:$AH,2,0)</f>
        <v>X89ALV</v>
      </c>
      <c r="AE189" s="11" t="str">
        <f t="shared" si="20"/>
        <v>X89ALV12</v>
      </c>
    </row>
    <row r="190" spans="1:31" ht="12.75" hidden="1" customHeight="1" x14ac:dyDescent="0.3">
      <c r="A190" s="8">
        <v>12</v>
      </c>
      <c r="B190" s="20" t="s">
        <v>45</v>
      </c>
      <c r="C190" s="20" t="s">
        <v>249</v>
      </c>
      <c r="D190" s="20" t="s">
        <v>250</v>
      </c>
      <c r="E190" s="22" t="s">
        <v>232</v>
      </c>
      <c r="F190" s="20" t="s">
        <v>232</v>
      </c>
      <c r="G190" s="22" t="s">
        <v>234</v>
      </c>
      <c r="H190" s="23">
        <v>4521.16</v>
      </c>
      <c r="I190" s="23">
        <v>-16</v>
      </c>
      <c r="J190" s="23"/>
      <c r="K190" s="23">
        <v>0</v>
      </c>
      <c r="L190" s="23">
        <v>-2951.63</v>
      </c>
      <c r="M190" s="24">
        <v>-115</v>
      </c>
      <c r="N190" s="23">
        <v>0</v>
      </c>
      <c r="O190" s="24">
        <f t="shared" si="14"/>
        <v>1438.5299999999997</v>
      </c>
      <c r="P190" s="23">
        <v>-2300</v>
      </c>
      <c r="Q190" s="23">
        <v>0</v>
      </c>
      <c r="R190" s="23">
        <v>0</v>
      </c>
      <c r="S190" s="23">
        <v>0</v>
      </c>
      <c r="T190" s="23">
        <v>630</v>
      </c>
      <c r="U190" s="23">
        <v>0</v>
      </c>
      <c r="V190" s="23">
        <v>0</v>
      </c>
      <c r="W190" s="23">
        <f t="shared" si="15"/>
        <v>-231.47000000000025</v>
      </c>
      <c r="X190" s="23">
        <f t="shared" si="16"/>
        <v>0</v>
      </c>
      <c r="Y190" s="23">
        <f t="shared" si="17"/>
        <v>-231.47000000000025</v>
      </c>
      <c r="Z190" s="23">
        <v>0</v>
      </c>
      <c r="AA190" s="23">
        <f t="shared" si="18"/>
        <v>-231.47000000000025</v>
      </c>
      <c r="AB190" s="23">
        <f t="shared" si="19"/>
        <v>1207.0599999999995</v>
      </c>
      <c r="AC190" s="20"/>
      <c r="AD190" s="20" t="s">
        <v>251</v>
      </c>
      <c r="AE190" s="11" t="str">
        <f t="shared" si="20"/>
        <v>BAJA DE PLACAS12</v>
      </c>
    </row>
    <row r="191" spans="1:31" ht="12.75" hidden="1" customHeight="1" x14ac:dyDescent="0.3">
      <c r="A191" s="8">
        <v>12</v>
      </c>
      <c r="B191" s="20" t="s">
        <v>5</v>
      </c>
      <c r="C191" s="20" t="s">
        <v>50</v>
      </c>
      <c r="D191" s="20" t="s">
        <v>267</v>
      </c>
      <c r="E191" s="22" t="s">
        <v>232</v>
      </c>
      <c r="F191" s="20" t="s">
        <v>232</v>
      </c>
      <c r="G191" s="22" t="s">
        <v>234</v>
      </c>
      <c r="H191" s="23">
        <v>4804.97</v>
      </c>
      <c r="I191" s="23">
        <v>0</v>
      </c>
      <c r="J191" s="23"/>
      <c r="K191" s="23">
        <v>0</v>
      </c>
      <c r="L191" s="23">
        <v>-1559.78</v>
      </c>
      <c r="M191" s="24">
        <v>-10</v>
      </c>
      <c r="N191" s="23">
        <v>-96</v>
      </c>
      <c r="O191" s="24">
        <f t="shared" si="14"/>
        <v>3139.1900000000005</v>
      </c>
      <c r="P191" s="23">
        <v>-2500</v>
      </c>
      <c r="Q191" s="23">
        <v>0</v>
      </c>
      <c r="R191" s="23">
        <v>0</v>
      </c>
      <c r="S191" s="23">
        <v>0</v>
      </c>
      <c r="T191" s="23">
        <v>0</v>
      </c>
      <c r="U191" s="23">
        <v>0</v>
      </c>
      <c r="V191" s="23">
        <v>0</v>
      </c>
      <c r="W191" s="23">
        <f t="shared" si="15"/>
        <v>639.19000000000051</v>
      </c>
      <c r="X191" s="23">
        <f t="shared" si="16"/>
        <v>639.19000000000051</v>
      </c>
      <c r="Y191" s="23">
        <f t="shared" si="17"/>
        <v>0</v>
      </c>
      <c r="Z191" s="23">
        <v>0</v>
      </c>
      <c r="AA191" s="23">
        <f t="shared" si="18"/>
        <v>0</v>
      </c>
      <c r="AB191" s="23">
        <f t="shared" si="19"/>
        <v>2500</v>
      </c>
      <c r="AC191" s="20"/>
      <c r="AD191" s="20" t="str">
        <f>VLOOKUP($C191,'[1]CTRL AUTOS'!$E:$AH,2,0)</f>
        <v>NBS225A</v>
      </c>
      <c r="AE191" s="11" t="str">
        <f t="shared" si="20"/>
        <v>NBS225A12</v>
      </c>
    </row>
    <row r="192" spans="1:31" ht="12.75" hidden="1" customHeight="1" x14ac:dyDescent="0.3">
      <c r="A192" s="8">
        <v>12</v>
      </c>
      <c r="B192" s="20" t="s">
        <v>252</v>
      </c>
      <c r="C192" s="20" t="s">
        <v>22</v>
      </c>
      <c r="D192" s="20" t="s">
        <v>287</v>
      </c>
      <c r="E192" s="22" t="s">
        <v>232</v>
      </c>
      <c r="F192" s="20" t="s">
        <v>232</v>
      </c>
      <c r="G192" s="22" t="s">
        <v>234</v>
      </c>
      <c r="H192" s="23">
        <v>6058.96</v>
      </c>
      <c r="I192" s="23">
        <v>-95.2</v>
      </c>
      <c r="J192" s="23"/>
      <c r="K192" s="23">
        <v>0</v>
      </c>
      <c r="L192" s="23">
        <v>-1793.92</v>
      </c>
      <c r="M192" s="24">
        <v>0</v>
      </c>
      <c r="N192" s="23">
        <v>0</v>
      </c>
      <c r="O192" s="24">
        <f t="shared" si="14"/>
        <v>4169.84</v>
      </c>
      <c r="P192" s="23">
        <v>-2500</v>
      </c>
      <c r="Q192" s="23">
        <v>0</v>
      </c>
      <c r="R192" s="23">
        <v>1000</v>
      </c>
      <c r="S192" s="23">
        <v>0</v>
      </c>
      <c r="T192" s="23">
        <v>0</v>
      </c>
      <c r="U192" s="23">
        <v>0</v>
      </c>
      <c r="V192" s="23">
        <v>0</v>
      </c>
      <c r="W192" s="23">
        <f t="shared" si="15"/>
        <v>2669.84</v>
      </c>
      <c r="X192" s="23">
        <f t="shared" si="16"/>
        <v>2669.84</v>
      </c>
      <c r="Y192" s="23">
        <f t="shared" si="17"/>
        <v>0</v>
      </c>
      <c r="Z192" s="23">
        <v>0</v>
      </c>
      <c r="AA192" s="23">
        <f t="shared" si="18"/>
        <v>0</v>
      </c>
      <c r="AB192" s="23">
        <f t="shared" si="19"/>
        <v>1500</v>
      </c>
      <c r="AC192" s="20"/>
      <c r="AD192" s="20" t="str">
        <f>VLOOKUP($C192,'[1]CTRL AUTOS'!$E:$AH,2,0)</f>
        <v>NCK475B</v>
      </c>
      <c r="AE192" s="11" t="str">
        <f t="shared" si="20"/>
        <v>NCK475B12</v>
      </c>
    </row>
    <row r="193" spans="1:31" ht="12.75" hidden="1" customHeight="1" x14ac:dyDescent="0.3">
      <c r="A193" s="8">
        <v>12</v>
      </c>
      <c r="B193" s="20" t="s">
        <v>294</v>
      </c>
      <c r="C193" s="20" t="s">
        <v>69</v>
      </c>
      <c r="D193" s="20" t="s">
        <v>262</v>
      </c>
      <c r="E193" s="22" t="s">
        <v>241</v>
      </c>
      <c r="F193" s="20" t="s">
        <v>232</v>
      </c>
      <c r="G193" s="22" t="s">
        <v>234</v>
      </c>
      <c r="H193" s="23">
        <v>1961.54</v>
      </c>
      <c r="I193" s="23">
        <v>0</v>
      </c>
      <c r="J193" s="23"/>
      <c r="K193" s="23">
        <v>0</v>
      </c>
      <c r="L193" s="23">
        <v>-1546.42</v>
      </c>
      <c r="M193" s="24">
        <v>0</v>
      </c>
      <c r="N193" s="23">
        <v>0</v>
      </c>
      <c r="O193" s="24">
        <f t="shared" si="14"/>
        <v>415.11999999999989</v>
      </c>
      <c r="P193" s="23">
        <v>-1071.4285714285716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f t="shared" si="15"/>
        <v>-656.30857142857167</v>
      </c>
      <c r="X193" s="23">
        <f t="shared" si="16"/>
        <v>0</v>
      </c>
      <c r="Y193" s="23">
        <f t="shared" si="17"/>
        <v>-656.30857142857167</v>
      </c>
      <c r="Z193" s="23">
        <v>656</v>
      </c>
      <c r="AA193" s="23">
        <f t="shared" si="18"/>
        <v>-0.30857142857166764</v>
      </c>
      <c r="AB193" s="23">
        <f t="shared" si="19"/>
        <v>1070.8114285714282</v>
      </c>
      <c r="AC193" s="20"/>
      <c r="AD193" s="20" t="str">
        <f>VLOOKUP($C193,'[1]CTRL AUTOS'!$E:$AH,2,0)</f>
        <v>R51BKD</v>
      </c>
      <c r="AE193" s="11" t="str">
        <f t="shared" si="20"/>
        <v>R51BKD12</v>
      </c>
    </row>
    <row r="194" spans="1:31" ht="12.75" hidden="1" customHeight="1" x14ac:dyDescent="0.3">
      <c r="A194" s="8">
        <v>13</v>
      </c>
      <c r="B194" s="20" t="s">
        <v>80</v>
      </c>
      <c r="C194" s="20" t="s">
        <v>230</v>
      </c>
      <c r="D194" s="20" t="s">
        <v>231</v>
      </c>
      <c r="E194" s="22" t="s">
        <v>232</v>
      </c>
      <c r="F194" s="20" t="s">
        <v>232</v>
      </c>
      <c r="G194" s="22" t="s">
        <v>234</v>
      </c>
      <c r="H194" s="23">
        <v>273.12</v>
      </c>
      <c r="I194" s="23">
        <v>-13.22</v>
      </c>
      <c r="J194" s="23">
        <v>0</v>
      </c>
      <c r="K194" s="23">
        <v>0</v>
      </c>
      <c r="L194" s="23">
        <v>0</v>
      </c>
      <c r="M194" s="23">
        <v>0</v>
      </c>
      <c r="N194" s="23">
        <v>0</v>
      </c>
      <c r="O194" s="24">
        <f t="shared" si="14"/>
        <v>259.89999999999998</v>
      </c>
      <c r="P194" s="23">
        <v>-2500</v>
      </c>
      <c r="Q194" s="23">
        <v>0</v>
      </c>
      <c r="R194" s="23">
        <v>0</v>
      </c>
      <c r="S194" s="23">
        <v>0</v>
      </c>
      <c r="T194" s="23">
        <v>275</v>
      </c>
      <c r="U194" s="23">
        <v>0</v>
      </c>
      <c r="V194" s="23">
        <v>0</v>
      </c>
      <c r="W194" s="23">
        <f t="shared" si="15"/>
        <v>-1965.1</v>
      </c>
      <c r="X194" s="23">
        <f t="shared" si="16"/>
        <v>0</v>
      </c>
      <c r="Y194" s="23">
        <f t="shared" si="17"/>
        <v>-1965.1</v>
      </c>
      <c r="Z194" s="23">
        <v>1965</v>
      </c>
      <c r="AA194" s="23">
        <f t="shared" si="18"/>
        <v>-9.9999999999909051E-2</v>
      </c>
      <c r="AB194" s="23">
        <f t="shared" si="19"/>
        <v>2224.8000000000002</v>
      </c>
      <c r="AC194" s="20" t="s">
        <v>295</v>
      </c>
      <c r="AD194" s="20" t="s">
        <v>235</v>
      </c>
      <c r="AE194" s="11" t="str">
        <f t="shared" si="20"/>
        <v>NEB156A13</v>
      </c>
    </row>
    <row r="195" spans="1:31" ht="12.75" hidden="1" customHeight="1" x14ac:dyDescent="0.3">
      <c r="A195" s="8">
        <v>13</v>
      </c>
      <c r="B195" s="20" t="s">
        <v>238</v>
      </c>
      <c r="C195" s="20" t="s">
        <v>20</v>
      </c>
      <c r="D195" s="20" t="s">
        <v>239</v>
      </c>
      <c r="E195" s="22" t="s">
        <v>232</v>
      </c>
      <c r="F195" s="20" t="s">
        <v>232</v>
      </c>
      <c r="G195" s="22" t="s">
        <v>234</v>
      </c>
      <c r="H195" s="23">
        <v>971.61</v>
      </c>
      <c r="I195" s="23">
        <v>0</v>
      </c>
      <c r="J195" s="23">
        <v>0</v>
      </c>
      <c r="K195" s="23">
        <v>0</v>
      </c>
      <c r="L195" s="23">
        <v>-661.97</v>
      </c>
      <c r="M195" s="23">
        <v>0</v>
      </c>
      <c r="N195" s="23">
        <v>0</v>
      </c>
      <c r="O195" s="24">
        <f t="shared" ref="O195:O258" si="21">SUM(H195:N195)</f>
        <v>309.64</v>
      </c>
      <c r="P195" s="23">
        <v>-2500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f t="shared" ref="W195:W258" si="22">+O195+SUM(P195:V195)</f>
        <v>-2190.36</v>
      </c>
      <c r="X195" s="23">
        <f t="shared" ref="X195:X258" si="23">IF(W195&gt;=0,W195,0)</f>
        <v>0</v>
      </c>
      <c r="Y195" s="23">
        <f t="shared" ref="Y195:Y258" si="24">IF(W195&lt;=0,W195,0)</f>
        <v>-2190.36</v>
      </c>
      <c r="Z195" s="23">
        <v>2000</v>
      </c>
      <c r="AA195" s="23">
        <f t="shared" ref="AA195:AA258" si="25">+Y195+Z195</f>
        <v>-190.36000000000013</v>
      </c>
      <c r="AB195" s="23">
        <f t="shared" ref="AB195:AB258" si="26">+O195-X195+Z195+AA195</f>
        <v>2119.2799999999997</v>
      </c>
      <c r="AC195" s="20"/>
      <c r="AD195" s="20" t="str">
        <f>VLOOKUP($C195,'[1]CTRL AUTOS'!$E:$AH,2,0)</f>
        <v>D40BKD</v>
      </c>
      <c r="AE195" s="11" t="str">
        <f t="shared" si="20"/>
        <v>D40BKD13</v>
      </c>
    </row>
    <row r="196" spans="1:31" ht="12.75" hidden="1" customHeight="1" x14ac:dyDescent="0.3">
      <c r="A196" s="8">
        <v>13</v>
      </c>
      <c r="B196" s="20" t="s">
        <v>23</v>
      </c>
      <c r="C196" s="20" t="s">
        <v>75</v>
      </c>
      <c r="D196" s="20" t="s">
        <v>237</v>
      </c>
      <c r="E196" s="22" t="s">
        <v>241</v>
      </c>
      <c r="F196" s="20" t="s">
        <v>232</v>
      </c>
      <c r="G196" s="22" t="s">
        <v>234</v>
      </c>
      <c r="H196" s="23">
        <v>6980.9800000000014</v>
      </c>
      <c r="I196" s="23">
        <v>-35.200000000000003</v>
      </c>
      <c r="J196" s="23">
        <v>0</v>
      </c>
      <c r="K196" s="23">
        <v>0</v>
      </c>
      <c r="L196" s="23">
        <v>-3548.2199999999989</v>
      </c>
      <c r="M196" s="23">
        <v>0</v>
      </c>
      <c r="N196" s="23">
        <v>0</v>
      </c>
      <c r="O196" s="24">
        <f t="shared" si="21"/>
        <v>3397.5600000000027</v>
      </c>
      <c r="P196" s="23">
        <v>-2400</v>
      </c>
      <c r="Q196" s="23">
        <v>-221.86000000000013</v>
      </c>
      <c r="R196" s="23">
        <v>-500</v>
      </c>
      <c r="S196" s="23">
        <v>0</v>
      </c>
      <c r="T196" s="23">
        <v>0</v>
      </c>
      <c r="U196" s="23">
        <v>0</v>
      </c>
      <c r="V196" s="23">
        <v>0</v>
      </c>
      <c r="W196" s="23">
        <f t="shared" si="22"/>
        <v>275.70000000000255</v>
      </c>
      <c r="X196" s="23">
        <f t="shared" si="23"/>
        <v>275.70000000000255</v>
      </c>
      <c r="Y196" s="23">
        <f t="shared" si="24"/>
        <v>0</v>
      </c>
      <c r="Z196" s="23">
        <v>0</v>
      </c>
      <c r="AA196" s="23">
        <f t="shared" si="25"/>
        <v>0</v>
      </c>
      <c r="AB196" s="23">
        <f t="shared" si="26"/>
        <v>3121.86</v>
      </c>
      <c r="AC196" s="20"/>
      <c r="AD196" s="20" t="str">
        <f>VLOOKUP($C196,'[1]CTRL AUTOS'!$E:$AH,2,0)</f>
        <v>NFN014B</v>
      </c>
      <c r="AE196" s="11" t="str">
        <f t="shared" ref="AE196:AE259" si="27">AD196&amp;A196</f>
        <v>NFN014B13</v>
      </c>
    </row>
    <row r="197" spans="1:31" ht="12.75" hidden="1" customHeight="1" x14ac:dyDescent="0.3">
      <c r="A197" s="8">
        <v>13</v>
      </c>
      <c r="B197" s="20" t="s">
        <v>258</v>
      </c>
      <c r="C197" s="20" t="s">
        <v>40</v>
      </c>
      <c r="D197" s="25" t="s">
        <v>259</v>
      </c>
      <c r="E197" s="22" t="s">
        <v>232</v>
      </c>
      <c r="F197" s="20" t="s">
        <v>232</v>
      </c>
      <c r="G197" s="22" t="s">
        <v>234</v>
      </c>
      <c r="H197" s="23">
        <v>0</v>
      </c>
      <c r="I197" s="23">
        <v>0</v>
      </c>
      <c r="J197" s="23">
        <v>0</v>
      </c>
      <c r="K197" s="23">
        <v>0</v>
      </c>
      <c r="L197" s="23">
        <v>0</v>
      </c>
      <c r="M197" s="23">
        <v>0</v>
      </c>
      <c r="N197" s="23">
        <v>0</v>
      </c>
      <c r="O197" s="24">
        <f t="shared" si="21"/>
        <v>0</v>
      </c>
      <c r="P197" s="23">
        <v>0</v>
      </c>
      <c r="Q197" s="23">
        <v>0</v>
      </c>
      <c r="R197" s="23">
        <v>500</v>
      </c>
      <c r="S197" s="23">
        <v>0</v>
      </c>
      <c r="T197" s="23">
        <v>0</v>
      </c>
      <c r="U197" s="23">
        <v>0</v>
      </c>
      <c r="V197" s="23">
        <v>0</v>
      </c>
      <c r="W197" s="23">
        <f t="shared" si="22"/>
        <v>500</v>
      </c>
      <c r="X197" s="23">
        <f t="shared" si="23"/>
        <v>500</v>
      </c>
      <c r="Y197" s="23">
        <f t="shared" si="24"/>
        <v>0</v>
      </c>
      <c r="Z197" s="23">
        <v>0</v>
      </c>
      <c r="AA197" s="23">
        <f t="shared" si="25"/>
        <v>0</v>
      </c>
      <c r="AB197" s="23">
        <f t="shared" si="26"/>
        <v>-500</v>
      </c>
      <c r="AC197" s="20"/>
      <c r="AD197" s="20" t="str">
        <f>VLOOKUP($C197,'[1]CTRL AUTOS'!$E:$AH,2,0)</f>
        <v>NEL860A</v>
      </c>
      <c r="AE197" s="11" t="str">
        <f t="shared" si="27"/>
        <v>NEL860A13</v>
      </c>
    </row>
    <row r="198" spans="1:31" ht="12.75" hidden="1" customHeight="1" x14ac:dyDescent="0.3">
      <c r="A198" s="8">
        <v>13</v>
      </c>
      <c r="B198" s="20" t="s">
        <v>264</v>
      </c>
      <c r="C198" s="20" t="s">
        <v>46</v>
      </c>
      <c r="D198" s="20" t="s">
        <v>257</v>
      </c>
      <c r="E198" s="22" t="s">
        <v>232</v>
      </c>
      <c r="F198" s="20" t="s">
        <v>232</v>
      </c>
      <c r="G198" s="22" t="s">
        <v>234</v>
      </c>
      <c r="H198" s="23">
        <v>3489.3100000000004</v>
      </c>
      <c r="I198" s="23">
        <v>-23.14</v>
      </c>
      <c r="J198" s="23">
        <v>0</v>
      </c>
      <c r="K198" s="23">
        <v>0</v>
      </c>
      <c r="L198" s="23">
        <v>-1364.13</v>
      </c>
      <c r="M198" s="23">
        <v>-30</v>
      </c>
      <c r="N198" s="23">
        <v>0</v>
      </c>
      <c r="O198" s="24">
        <f t="shared" si="21"/>
        <v>2072.0400000000004</v>
      </c>
      <c r="P198" s="23">
        <v>-2500</v>
      </c>
      <c r="Q198" s="23">
        <v>-71</v>
      </c>
      <c r="R198" s="23">
        <v>-500</v>
      </c>
      <c r="S198" s="23">
        <v>0</v>
      </c>
      <c r="T198" s="23">
        <v>0</v>
      </c>
      <c r="U198" s="23">
        <v>0</v>
      </c>
      <c r="V198" s="23">
        <v>0</v>
      </c>
      <c r="W198" s="23">
        <f t="shared" si="22"/>
        <v>-998.95999999999958</v>
      </c>
      <c r="X198" s="23">
        <f t="shared" si="23"/>
        <v>0</v>
      </c>
      <c r="Y198" s="23">
        <f t="shared" si="24"/>
        <v>-998.95999999999958</v>
      </c>
      <c r="Z198" s="23">
        <v>999</v>
      </c>
      <c r="AA198" s="23">
        <f t="shared" si="25"/>
        <v>4.0000000000418368E-2</v>
      </c>
      <c r="AB198" s="23">
        <f t="shared" si="26"/>
        <v>3071.0800000000008</v>
      </c>
      <c r="AC198" s="20"/>
      <c r="AD198" s="20" t="str">
        <f>VLOOKUP($C198,'[1]CTRL AUTOS'!$E:$AH,2,0)</f>
        <v>R66BER</v>
      </c>
      <c r="AE198" s="11" t="str">
        <f t="shared" si="27"/>
        <v>R66BER13</v>
      </c>
    </row>
    <row r="199" spans="1:31" ht="12.75" hidden="1" customHeight="1" x14ac:dyDescent="0.3">
      <c r="A199" s="8">
        <v>13</v>
      </c>
      <c r="B199" s="20" t="s">
        <v>260</v>
      </c>
      <c r="C199" s="20" t="s">
        <v>81</v>
      </c>
      <c r="D199" s="20" t="s">
        <v>273</v>
      </c>
      <c r="E199" s="22" t="s">
        <v>232</v>
      </c>
      <c r="F199" s="20" t="s">
        <v>232</v>
      </c>
      <c r="G199" s="22" t="s">
        <v>234</v>
      </c>
      <c r="H199" s="23">
        <v>4313.91</v>
      </c>
      <c r="I199" s="23">
        <v>-17.28</v>
      </c>
      <c r="J199" s="23">
        <v>0</v>
      </c>
      <c r="K199" s="23">
        <v>0</v>
      </c>
      <c r="L199" s="23">
        <v>-1240.23</v>
      </c>
      <c r="M199" s="23">
        <v>0</v>
      </c>
      <c r="N199" s="23">
        <v>0</v>
      </c>
      <c r="O199" s="24">
        <f t="shared" si="21"/>
        <v>3056.4</v>
      </c>
      <c r="P199" s="23">
        <v>-2500</v>
      </c>
      <c r="Q199" s="23">
        <v>0</v>
      </c>
      <c r="R199" s="23">
        <v>0</v>
      </c>
      <c r="S199" s="23">
        <v>-300</v>
      </c>
      <c r="T199" s="23">
        <v>0</v>
      </c>
      <c r="U199" s="23">
        <v>0</v>
      </c>
      <c r="V199" s="23">
        <v>0</v>
      </c>
      <c r="W199" s="23">
        <f t="shared" si="22"/>
        <v>256.40000000000009</v>
      </c>
      <c r="X199" s="23">
        <f t="shared" si="23"/>
        <v>256.40000000000009</v>
      </c>
      <c r="Y199" s="23">
        <f t="shared" si="24"/>
        <v>0</v>
      </c>
      <c r="Z199" s="23">
        <v>0</v>
      </c>
      <c r="AA199" s="23">
        <f t="shared" si="25"/>
        <v>0</v>
      </c>
      <c r="AB199" s="23">
        <f t="shared" si="26"/>
        <v>2800</v>
      </c>
      <c r="AC199" s="20"/>
      <c r="AD199" s="20" t="str">
        <f>VLOOKUP($C199,'[1]CTRL AUTOS'!$E:$AH,2,0)</f>
        <v>NLP172B</v>
      </c>
      <c r="AE199" s="11" t="str">
        <f t="shared" si="27"/>
        <v>NLP172B13</v>
      </c>
    </row>
    <row r="200" spans="1:31" ht="12.75" hidden="1" customHeight="1" x14ac:dyDescent="0.3">
      <c r="A200" s="8">
        <v>13</v>
      </c>
      <c r="B200" s="20" t="s">
        <v>72</v>
      </c>
      <c r="C200" s="20" t="s">
        <v>28</v>
      </c>
      <c r="D200" s="20" t="s">
        <v>274</v>
      </c>
      <c r="E200" s="22" t="s">
        <v>232</v>
      </c>
      <c r="F200" s="20" t="s">
        <v>232</v>
      </c>
      <c r="G200" s="22" t="s">
        <v>234</v>
      </c>
      <c r="H200" s="23">
        <v>11308.270000000004</v>
      </c>
      <c r="I200" s="23">
        <v>-132.80000000000001</v>
      </c>
      <c r="J200" s="23">
        <v>0</v>
      </c>
      <c r="K200" s="23">
        <v>-102.77000000000005</v>
      </c>
      <c r="L200" s="23">
        <v>-5254.15</v>
      </c>
      <c r="M200" s="23">
        <v>-23</v>
      </c>
      <c r="N200" s="23">
        <v>-123.41999999999999</v>
      </c>
      <c r="O200" s="24">
        <f t="shared" si="21"/>
        <v>5672.1300000000047</v>
      </c>
      <c r="P200" s="23">
        <v>-2500</v>
      </c>
      <c r="Q200" s="23">
        <v>0</v>
      </c>
      <c r="R200" s="23">
        <v>0</v>
      </c>
      <c r="S200" s="23">
        <v>-500</v>
      </c>
      <c r="T200" s="23">
        <v>0</v>
      </c>
      <c r="U200" s="23">
        <v>0</v>
      </c>
      <c r="V200" s="23">
        <v>0</v>
      </c>
      <c r="W200" s="23">
        <f t="shared" si="22"/>
        <v>2672.1300000000047</v>
      </c>
      <c r="X200" s="23">
        <f t="shared" si="23"/>
        <v>2672.1300000000047</v>
      </c>
      <c r="Y200" s="23">
        <f t="shared" si="24"/>
        <v>0</v>
      </c>
      <c r="Z200" s="23">
        <v>0</v>
      </c>
      <c r="AA200" s="23">
        <f t="shared" si="25"/>
        <v>0</v>
      </c>
      <c r="AB200" s="23">
        <f t="shared" si="26"/>
        <v>3000</v>
      </c>
      <c r="AC200" s="20"/>
      <c r="AD200" s="20" t="str">
        <f>VLOOKUP($C200,'[1]CTRL AUTOS'!$E:$AH,2,0)</f>
        <v>NCT814A</v>
      </c>
      <c r="AE200" s="11" t="str">
        <f t="shared" si="27"/>
        <v>NCT814A13</v>
      </c>
    </row>
    <row r="201" spans="1:31" ht="12.75" hidden="1" customHeight="1" x14ac:dyDescent="0.3">
      <c r="A201" s="8">
        <v>13</v>
      </c>
      <c r="B201" s="20" t="s">
        <v>292</v>
      </c>
      <c r="C201" s="20" t="s">
        <v>52</v>
      </c>
      <c r="D201" s="20" t="s">
        <v>237</v>
      </c>
      <c r="E201" s="22" t="s">
        <v>232</v>
      </c>
      <c r="F201" s="20" t="s">
        <v>232</v>
      </c>
      <c r="G201" s="22" t="s">
        <v>234</v>
      </c>
      <c r="H201" s="23">
        <v>7506.91</v>
      </c>
      <c r="I201" s="23">
        <v>0</v>
      </c>
      <c r="J201" s="23">
        <v>0</v>
      </c>
      <c r="K201" s="23">
        <v>0</v>
      </c>
      <c r="L201" s="23">
        <v>-2280.7399999999998</v>
      </c>
      <c r="M201" s="23">
        <v>-72</v>
      </c>
      <c r="N201" s="23">
        <v>0</v>
      </c>
      <c r="O201" s="24">
        <f t="shared" si="21"/>
        <v>5154.17</v>
      </c>
      <c r="P201" s="23">
        <v>-2500</v>
      </c>
      <c r="Q201" s="23">
        <v>0</v>
      </c>
      <c r="R201" s="23">
        <v>-500</v>
      </c>
      <c r="S201" s="23">
        <v>0</v>
      </c>
      <c r="T201" s="23">
        <v>259</v>
      </c>
      <c r="U201" s="23">
        <v>0</v>
      </c>
      <c r="V201" s="23">
        <v>0</v>
      </c>
      <c r="W201" s="23">
        <f t="shared" si="22"/>
        <v>2413.17</v>
      </c>
      <c r="X201" s="23">
        <f t="shared" si="23"/>
        <v>2413.17</v>
      </c>
      <c r="Y201" s="23">
        <f t="shared" si="24"/>
        <v>0</v>
      </c>
      <c r="Z201" s="23">
        <v>0</v>
      </c>
      <c r="AA201" s="23">
        <f t="shared" si="25"/>
        <v>0</v>
      </c>
      <c r="AB201" s="23">
        <f t="shared" si="26"/>
        <v>2741</v>
      </c>
      <c r="AC201" s="20"/>
      <c r="AD201" s="20" t="str">
        <f>VLOOKUP($C201,'[1]CTRL AUTOS'!$E:$AH,2,0)</f>
        <v>A35BHD</v>
      </c>
      <c r="AE201" s="11" t="str">
        <f t="shared" si="27"/>
        <v>A35BHD13</v>
      </c>
    </row>
    <row r="202" spans="1:31" ht="12.75" hidden="1" customHeight="1" x14ac:dyDescent="0.3">
      <c r="A202" s="8">
        <v>13</v>
      </c>
      <c r="B202" s="20" t="s">
        <v>105</v>
      </c>
      <c r="C202" s="20" t="s">
        <v>54</v>
      </c>
      <c r="D202" s="20" t="s">
        <v>237</v>
      </c>
      <c r="E202" s="22" t="s">
        <v>232</v>
      </c>
      <c r="F202" s="20" t="s">
        <v>232</v>
      </c>
      <c r="G202" s="22" t="s">
        <v>234</v>
      </c>
      <c r="H202" s="23">
        <v>4764.6100000000006</v>
      </c>
      <c r="I202" s="23">
        <v>-15.36</v>
      </c>
      <c r="J202" s="23">
        <v>0</v>
      </c>
      <c r="K202" s="23">
        <v>0</v>
      </c>
      <c r="L202" s="23">
        <v>-2925.45</v>
      </c>
      <c r="M202" s="23">
        <v>0</v>
      </c>
      <c r="N202" s="23">
        <v>0</v>
      </c>
      <c r="O202" s="24">
        <f t="shared" si="21"/>
        <v>1823.8000000000011</v>
      </c>
      <c r="P202" s="23">
        <v>-4764.6100000000006</v>
      </c>
      <c r="Q202" s="23">
        <v>0</v>
      </c>
      <c r="R202" s="23">
        <v>0</v>
      </c>
      <c r="S202" s="23">
        <v>0</v>
      </c>
      <c r="T202" s="23">
        <v>0</v>
      </c>
      <c r="U202" s="23">
        <v>0</v>
      </c>
      <c r="V202" s="23">
        <v>0</v>
      </c>
      <c r="W202" s="23">
        <f t="shared" si="22"/>
        <v>-2940.8099999999995</v>
      </c>
      <c r="X202" s="23">
        <f t="shared" si="23"/>
        <v>0</v>
      </c>
      <c r="Y202" s="23">
        <f t="shared" si="24"/>
        <v>-2940.8099999999995</v>
      </c>
      <c r="Z202" s="23">
        <v>2925</v>
      </c>
      <c r="AA202" s="23">
        <f t="shared" si="25"/>
        <v>-15.809999999999491</v>
      </c>
      <c r="AB202" s="23">
        <f t="shared" si="26"/>
        <v>4732.9900000000016</v>
      </c>
      <c r="AC202" s="20" t="s">
        <v>296</v>
      </c>
      <c r="AD202" s="20" t="str">
        <f>VLOOKUP($C202,'[1]CTRL AUTOS'!$E:$AH,2,0)</f>
        <v>NZY685B</v>
      </c>
      <c r="AE202" s="11" t="str">
        <f t="shared" si="27"/>
        <v>NZY685B13</v>
      </c>
    </row>
    <row r="203" spans="1:31" ht="12.75" hidden="1" customHeight="1" x14ac:dyDescent="0.3">
      <c r="A203" s="8">
        <v>13</v>
      </c>
      <c r="B203" s="20" t="s">
        <v>288</v>
      </c>
      <c r="C203" s="20" t="s">
        <v>56</v>
      </c>
      <c r="D203" s="20" t="s">
        <v>289</v>
      </c>
      <c r="E203" s="22" t="s">
        <v>241</v>
      </c>
      <c r="F203" s="20" t="s">
        <v>232</v>
      </c>
      <c r="G203" s="22" t="s">
        <v>234</v>
      </c>
      <c r="H203" s="23">
        <v>8332.6099999999969</v>
      </c>
      <c r="I203" s="23">
        <v>0</v>
      </c>
      <c r="J203" s="23">
        <v>0</v>
      </c>
      <c r="K203" s="23">
        <v>0</v>
      </c>
      <c r="L203" s="23">
        <v>-3822.3299999999995</v>
      </c>
      <c r="M203" s="23">
        <v>-48</v>
      </c>
      <c r="N203" s="23">
        <v>0</v>
      </c>
      <c r="O203" s="24">
        <f t="shared" si="21"/>
        <v>4462.279999999997</v>
      </c>
      <c r="P203" s="23">
        <v>-2350</v>
      </c>
      <c r="Q203" s="23">
        <v>0</v>
      </c>
      <c r="R203" s="23">
        <v>-500</v>
      </c>
      <c r="S203" s="23">
        <v>0</v>
      </c>
      <c r="T203" s="23">
        <v>0</v>
      </c>
      <c r="U203" s="23">
        <v>0</v>
      </c>
      <c r="V203" s="23">
        <v>0</v>
      </c>
      <c r="W203" s="23">
        <f t="shared" si="22"/>
        <v>1612.279999999997</v>
      </c>
      <c r="X203" s="23">
        <f t="shared" si="23"/>
        <v>1612.279999999997</v>
      </c>
      <c r="Y203" s="23">
        <f t="shared" si="24"/>
        <v>0</v>
      </c>
      <c r="Z203" s="23">
        <v>0</v>
      </c>
      <c r="AA203" s="23">
        <f t="shared" si="25"/>
        <v>0</v>
      </c>
      <c r="AB203" s="23">
        <f t="shared" si="26"/>
        <v>2850</v>
      </c>
      <c r="AC203" s="20"/>
      <c r="AD203" s="20" t="str">
        <f>VLOOKUP($C203,'[1]CTRL AUTOS'!$E:$AH,2,0)</f>
        <v>MYE912A</v>
      </c>
      <c r="AE203" s="11" t="str">
        <f t="shared" si="27"/>
        <v>MYE912A13</v>
      </c>
    </row>
    <row r="204" spans="1:31" ht="12.75" hidden="1" customHeight="1" x14ac:dyDescent="0.3">
      <c r="A204" s="8">
        <v>13</v>
      </c>
      <c r="B204" s="20" t="s">
        <v>244</v>
      </c>
      <c r="C204" s="20" t="s">
        <v>4</v>
      </c>
      <c r="D204" s="20" t="s">
        <v>245</v>
      </c>
      <c r="E204" s="22" t="s">
        <v>232</v>
      </c>
      <c r="F204" s="20" t="s">
        <v>232</v>
      </c>
      <c r="G204" s="22" t="s">
        <v>234</v>
      </c>
      <c r="H204" s="23">
        <v>5208.7800000000025</v>
      </c>
      <c r="I204" s="23">
        <v>0</v>
      </c>
      <c r="J204" s="23">
        <v>0</v>
      </c>
      <c r="K204" s="23">
        <v>0</v>
      </c>
      <c r="L204" s="23">
        <v>-1982.0900000000004</v>
      </c>
      <c r="M204" s="23">
        <v>-65</v>
      </c>
      <c r="N204" s="23">
        <v>0</v>
      </c>
      <c r="O204" s="24">
        <f t="shared" si="21"/>
        <v>3161.6900000000023</v>
      </c>
      <c r="P204" s="23">
        <v>-2500</v>
      </c>
      <c r="Q204" s="2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f t="shared" si="22"/>
        <v>661.69000000000233</v>
      </c>
      <c r="X204" s="23">
        <f t="shared" si="23"/>
        <v>661.69000000000233</v>
      </c>
      <c r="Y204" s="23">
        <f t="shared" si="24"/>
        <v>0</v>
      </c>
      <c r="Z204" s="23">
        <v>0</v>
      </c>
      <c r="AA204" s="23">
        <f t="shared" si="25"/>
        <v>0</v>
      </c>
      <c r="AB204" s="23">
        <f t="shared" si="26"/>
        <v>2500</v>
      </c>
      <c r="AC204" s="20"/>
      <c r="AD204" s="20" t="str">
        <f>VLOOKUP($C204,'[1]CTRL AUTOS'!$E:$AH,2,0)</f>
        <v>N15BKD</v>
      </c>
      <c r="AE204" s="11" t="str">
        <f t="shared" si="27"/>
        <v>N15BKD13</v>
      </c>
    </row>
    <row r="205" spans="1:31" ht="12.75" hidden="1" customHeight="1" x14ac:dyDescent="0.3">
      <c r="A205" s="8">
        <v>13</v>
      </c>
      <c r="B205" s="20" t="s">
        <v>35</v>
      </c>
      <c r="C205" s="20" t="s">
        <v>34</v>
      </c>
      <c r="D205" s="20" t="s">
        <v>285</v>
      </c>
      <c r="E205" s="22" t="s">
        <v>232</v>
      </c>
      <c r="F205" s="20" t="s">
        <v>232</v>
      </c>
      <c r="G205" s="22" t="s">
        <v>234</v>
      </c>
      <c r="H205" s="23">
        <v>7754.83</v>
      </c>
      <c r="I205" s="23">
        <v>-92.8</v>
      </c>
      <c r="J205" s="23">
        <v>0</v>
      </c>
      <c r="K205" s="23">
        <v>0</v>
      </c>
      <c r="L205" s="23">
        <v>-5592.9199999999973</v>
      </c>
      <c r="M205" s="23">
        <v>-70</v>
      </c>
      <c r="N205" s="23">
        <v>0</v>
      </c>
      <c r="O205" s="24">
        <f t="shared" si="21"/>
        <v>1999.1100000000024</v>
      </c>
      <c r="P205" s="23">
        <v>-2500</v>
      </c>
      <c r="Q205" s="23">
        <v>0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f t="shared" si="22"/>
        <v>-500.8899999999976</v>
      </c>
      <c r="X205" s="23">
        <f t="shared" si="23"/>
        <v>0</v>
      </c>
      <c r="Y205" s="23">
        <f t="shared" si="24"/>
        <v>-500.8899999999976</v>
      </c>
      <c r="Z205" s="23">
        <v>0</v>
      </c>
      <c r="AA205" s="23">
        <f t="shared" si="25"/>
        <v>-500.8899999999976</v>
      </c>
      <c r="AB205" s="23">
        <f t="shared" si="26"/>
        <v>1498.2200000000048</v>
      </c>
      <c r="AC205" s="20"/>
      <c r="AD205" s="20" t="str">
        <f>VLOOKUP($C205,'[1]CTRL AUTOS'!$E:$AH,2,0)</f>
        <v>X59AWG</v>
      </c>
      <c r="AE205" s="11" t="str">
        <f t="shared" si="27"/>
        <v>X59AWG13</v>
      </c>
    </row>
    <row r="206" spans="1:31" ht="12.75" hidden="1" customHeight="1" x14ac:dyDescent="0.3">
      <c r="A206" s="8">
        <v>13</v>
      </c>
      <c r="B206" s="20" t="s">
        <v>37</v>
      </c>
      <c r="C206" s="20" t="s">
        <v>246</v>
      </c>
      <c r="D206" s="20" t="s">
        <v>247</v>
      </c>
      <c r="E206" s="22" t="s">
        <v>232</v>
      </c>
      <c r="F206" s="20" t="s">
        <v>232</v>
      </c>
      <c r="G206" s="22" t="s">
        <v>234</v>
      </c>
      <c r="H206" s="23">
        <v>3957.18</v>
      </c>
      <c r="I206" s="23">
        <v>0</v>
      </c>
      <c r="J206" s="23">
        <v>0</v>
      </c>
      <c r="K206" s="23">
        <v>0</v>
      </c>
      <c r="L206" s="23">
        <v>-1313.3700000000003</v>
      </c>
      <c r="M206" s="23">
        <v>-65</v>
      </c>
      <c r="N206" s="23">
        <v>0</v>
      </c>
      <c r="O206" s="24">
        <f t="shared" si="21"/>
        <v>2578.8099999999995</v>
      </c>
      <c r="P206" s="23">
        <v>-2500</v>
      </c>
      <c r="Q206" s="23">
        <v>0</v>
      </c>
      <c r="R206" s="23">
        <v>0</v>
      </c>
      <c r="S206" s="23">
        <v>0</v>
      </c>
      <c r="T206" s="23">
        <v>0</v>
      </c>
      <c r="U206" s="23">
        <v>0</v>
      </c>
      <c r="V206" s="23">
        <v>0</v>
      </c>
      <c r="W206" s="23">
        <f t="shared" si="22"/>
        <v>78.809999999999491</v>
      </c>
      <c r="X206" s="23">
        <f t="shared" si="23"/>
        <v>78.809999999999491</v>
      </c>
      <c r="Y206" s="23">
        <f t="shared" si="24"/>
        <v>0</v>
      </c>
      <c r="Z206" s="23">
        <v>0</v>
      </c>
      <c r="AA206" s="23">
        <f t="shared" si="25"/>
        <v>0</v>
      </c>
      <c r="AB206" s="23">
        <f t="shared" si="26"/>
        <v>2500</v>
      </c>
      <c r="AC206" s="20"/>
      <c r="AD206" s="20" t="s">
        <v>248</v>
      </c>
      <c r="AE206" s="11" t="str">
        <f t="shared" si="27"/>
        <v>X24APU13</v>
      </c>
    </row>
    <row r="207" spans="1:31" ht="12.75" hidden="1" customHeight="1" x14ac:dyDescent="0.3">
      <c r="A207" s="8">
        <v>13</v>
      </c>
      <c r="B207" s="20" t="s">
        <v>293</v>
      </c>
      <c r="C207" s="20" t="s">
        <v>63</v>
      </c>
      <c r="D207" s="20" t="s">
        <v>237</v>
      </c>
      <c r="E207" s="20" t="s">
        <v>291</v>
      </c>
      <c r="F207" s="20" t="s">
        <v>232</v>
      </c>
      <c r="G207" s="22" t="s">
        <v>234</v>
      </c>
      <c r="H207" s="23">
        <v>6253.6499999999978</v>
      </c>
      <c r="I207" s="23">
        <v>0</v>
      </c>
      <c r="J207" s="23">
        <v>0</v>
      </c>
      <c r="K207" s="23">
        <v>0</v>
      </c>
      <c r="L207" s="23">
        <v>-2544.7400000000002</v>
      </c>
      <c r="M207" s="23">
        <v>-65</v>
      </c>
      <c r="N207" s="23">
        <v>0</v>
      </c>
      <c r="O207" s="24">
        <f t="shared" si="21"/>
        <v>3643.9099999999976</v>
      </c>
      <c r="P207" s="23">
        <v>-2500</v>
      </c>
      <c r="Q207" s="23">
        <v>0</v>
      </c>
      <c r="R207" s="23">
        <v>-500</v>
      </c>
      <c r="S207" s="23">
        <v>0</v>
      </c>
      <c r="T207" s="23">
        <v>0</v>
      </c>
      <c r="U207" s="23">
        <v>0</v>
      </c>
      <c r="V207" s="23">
        <v>0</v>
      </c>
      <c r="W207" s="23">
        <f t="shared" si="22"/>
        <v>643.90999999999758</v>
      </c>
      <c r="X207" s="23">
        <f t="shared" si="23"/>
        <v>643.90999999999758</v>
      </c>
      <c r="Y207" s="23">
        <f t="shared" si="24"/>
        <v>0</v>
      </c>
      <c r="Z207" s="23">
        <v>0</v>
      </c>
      <c r="AA207" s="23">
        <f t="shared" si="25"/>
        <v>0</v>
      </c>
      <c r="AB207" s="23">
        <f t="shared" si="26"/>
        <v>3000</v>
      </c>
      <c r="AC207" s="20"/>
      <c r="AD207" s="20" t="str">
        <f>VLOOKUP($C207,'[1]CTRL AUTOS'!$E:$AH,2,0)</f>
        <v>X89ALV</v>
      </c>
      <c r="AE207" s="11" t="str">
        <f t="shared" si="27"/>
        <v>X89ALV13</v>
      </c>
    </row>
    <row r="208" spans="1:31" ht="12.75" hidden="1" customHeight="1" x14ac:dyDescent="0.3">
      <c r="A208" s="8">
        <v>13</v>
      </c>
      <c r="B208" s="20" t="s">
        <v>45</v>
      </c>
      <c r="C208" s="20" t="s">
        <v>249</v>
      </c>
      <c r="D208" s="20" t="s">
        <v>250</v>
      </c>
      <c r="E208" s="22" t="s">
        <v>232</v>
      </c>
      <c r="F208" s="20" t="s">
        <v>232</v>
      </c>
      <c r="G208" s="22" t="s">
        <v>234</v>
      </c>
      <c r="H208" s="23">
        <v>3999.3100000000004</v>
      </c>
      <c r="I208" s="23">
        <v>-19.2</v>
      </c>
      <c r="J208" s="23">
        <v>0</v>
      </c>
      <c r="K208" s="23">
        <v>0</v>
      </c>
      <c r="L208" s="23">
        <v>-929.06999999999994</v>
      </c>
      <c r="M208" s="23">
        <v>-65</v>
      </c>
      <c r="N208" s="23">
        <v>-18.32</v>
      </c>
      <c r="O208" s="24">
        <f t="shared" si="21"/>
        <v>2967.7200000000007</v>
      </c>
      <c r="P208" s="23">
        <v>-2300</v>
      </c>
      <c r="Q208" s="23">
        <v>0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23">
        <f t="shared" si="22"/>
        <v>667.72000000000071</v>
      </c>
      <c r="X208" s="23">
        <f t="shared" si="23"/>
        <v>667.72000000000071</v>
      </c>
      <c r="Y208" s="23">
        <f t="shared" si="24"/>
        <v>0</v>
      </c>
      <c r="Z208" s="23">
        <v>0</v>
      </c>
      <c r="AA208" s="23">
        <f t="shared" si="25"/>
        <v>0</v>
      </c>
      <c r="AB208" s="23">
        <f t="shared" si="26"/>
        <v>2300</v>
      </c>
      <c r="AC208" s="20"/>
      <c r="AD208" s="20" t="s">
        <v>251</v>
      </c>
      <c r="AE208" s="11" t="str">
        <f t="shared" si="27"/>
        <v>BAJA DE PLACAS13</v>
      </c>
    </row>
    <row r="209" spans="1:31" ht="12.75" hidden="1" customHeight="1" x14ac:dyDescent="0.3">
      <c r="A209" s="8">
        <v>13</v>
      </c>
      <c r="B209" s="20" t="s">
        <v>5</v>
      </c>
      <c r="C209" s="20" t="s">
        <v>50</v>
      </c>
      <c r="D209" s="20" t="s">
        <v>267</v>
      </c>
      <c r="E209" s="22" t="s">
        <v>232</v>
      </c>
      <c r="F209" s="20" t="s">
        <v>232</v>
      </c>
      <c r="G209" s="22" t="s">
        <v>234</v>
      </c>
      <c r="H209" s="23">
        <v>5984.2099999999982</v>
      </c>
      <c r="I209" s="23">
        <v>0</v>
      </c>
      <c r="J209" s="23">
        <v>0</v>
      </c>
      <c r="K209" s="23">
        <v>0</v>
      </c>
      <c r="L209" s="23">
        <v>-2440.19</v>
      </c>
      <c r="M209" s="23">
        <v>-65</v>
      </c>
      <c r="N209" s="23">
        <v>-276</v>
      </c>
      <c r="O209" s="24">
        <f t="shared" si="21"/>
        <v>3203.0199999999982</v>
      </c>
      <c r="P209" s="23">
        <v>-2500</v>
      </c>
      <c r="Q209" s="23">
        <v>0</v>
      </c>
      <c r="R209" s="23">
        <v>-500</v>
      </c>
      <c r="S209" s="23">
        <v>0</v>
      </c>
      <c r="T209" s="23">
        <v>0</v>
      </c>
      <c r="U209" s="23">
        <v>0</v>
      </c>
      <c r="V209" s="23">
        <v>0</v>
      </c>
      <c r="W209" s="23">
        <f t="shared" si="22"/>
        <v>203.01999999999816</v>
      </c>
      <c r="X209" s="23">
        <f t="shared" si="23"/>
        <v>203.01999999999816</v>
      </c>
      <c r="Y209" s="23">
        <f t="shared" si="24"/>
        <v>0</v>
      </c>
      <c r="Z209" s="23">
        <v>0</v>
      </c>
      <c r="AA209" s="23">
        <f t="shared" si="25"/>
        <v>0</v>
      </c>
      <c r="AB209" s="23">
        <f t="shared" si="26"/>
        <v>3000</v>
      </c>
      <c r="AC209" s="20"/>
      <c r="AD209" s="20" t="str">
        <f>VLOOKUP($C209,'[1]CTRL AUTOS'!$E:$AH,2,0)</f>
        <v>NBS225A</v>
      </c>
      <c r="AE209" s="11" t="str">
        <f t="shared" si="27"/>
        <v>NBS225A13</v>
      </c>
    </row>
    <row r="210" spans="1:31" ht="12.75" hidden="1" customHeight="1" x14ac:dyDescent="0.3">
      <c r="A210" s="8">
        <v>13</v>
      </c>
      <c r="B210" s="20" t="s">
        <v>252</v>
      </c>
      <c r="C210" s="20" t="s">
        <v>22</v>
      </c>
      <c r="D210" s="20" t="s">
        <v>287</v>
      </c>
      <c r="E210" s="22" t="s">
        <v>232</v>
      </c>
      <c r="F210" s="20" t="s">
        <v>232</v>
      </c>
      <c r="G210" s="22" t="s">
        <v>234</v>
      </c>
      <c r="H210" s="23">
        <v>340.69999999999993</v>
      </c>
      <c r="I210" s="23">
        <v>0</v>
      </c>
      <c r="J210" s="23">
        <v>0</v>
      </c>
      <c r="K210" s="23">
        <v>0</v>
      </c>
      <c r="L210" s="23">
        <v>0</v>
      </c>
      <c r="M210" s="23">
        <v>0</v>
      </c>
      <c r="N210" s="23">
        <v>0</v>
      </c>
      <c r="O210" s="24">
        <f t="shared" si="21"/>
        <v>340.69999999999993</v>
      </c>
      <c r="P210" s="23">
        <v>-2500</v>
      </c>
      <c r="Q210" s="23">
        <v>0</v>
      </c>
      <c r="R210" s="23">
        <v>2159</v>
      </c>
      <c r="S210" s="23">
        <v>0</v>
      </c>
      <c r="T210" s="23">
        <v>0</v>
      </c>
      <c r="U210" s="23">
        <v>0</v>
      </c>
      <c r="V210" s="23">
        <v>0</v>
      </c>
      <c r="W210" s="23">
        <f t="shared" si="22"/>
        <v>-0.30000000000006821</v>
      </c>
      <c r="X210" s="23">
        <f t="shared" si="23"/>
        <v>0</v>
      </c>
      <c r="Y210" s="23">
        <f t="shared" si="24"/>
        <v>-0.30000000000006821</v>
      </c>
      <c r="Z210" s="23">
        <v>0</v>
      </c>
      <c r="AA210" s="23">
        <f t="shared" si="25"/>
        <v>-0.30000000000006821</v>
      </c>
      <c r="AB210" s="23">
        <f t="shared" si="26"/>
        <v>340.39999999999986</v>
      </c>
      <c r="AC210" s="20"/>
      <c r="AD210" s="20" t="str">
        <f>VLOOKUP($C210,'[1]CTRL AUTOS'!$E:$AH,2,0)</f>
        <v>NCK475B</v>
      </c>
      <c r="AE210" s="11" t="str">
        <f t="shared" si="27"/>
        <v>NCK475B13</v>
      </c>
    </row>
    <row r="211" spans="1:31" ht="12.75" hidden="1" customHeight="1" x14ac:dyDescent="0.3">
      <c r="A211" s="8">
        <v>13</v>
      </c>
      <c r="B211" s="20" t="s">
        <v>294</v>
      </c>
      <c r="C211" s="20" t="s">
        <v>69</v>
      </c>
      <c r="D211" s="20" t="s">
        <v>262</v>
      </c>
      <c r="E211" s="22" t="s">
        <v>241</v>
      </c>
      <c r="F211" s="20" t="s">
        <v>232</v>
      </c>
      <c r="G211" s="22" t="s">
        <v>234</v>
      </c>
      <c r="H211" s="23">
        <v>3253.0199999999995</v>
      </c>
      <c r="I211" s="23">
        <v>0</v>
      </c>
      <c r="J211" s="23">
        <v>0</v>
      </c>
      <c r="K211" s="23">
        <v>0</v>
      </c>
      <c r="L211" s="23">
        <v>-820.53999999999985</v>
      </c>
      <c r="M211" s="23">
        <v>-32</v>
      </c>
      <c r="N211" s="23">
        <v>0</v>
      </c>
      <c r="O211" s="24">
        <f t="shared" si="21"/>
        <v>2400.4799999999996</v>
      </c>
      <c r="P211" s="23">
        <v>-2500</v>
      </c>
      <c r="Q211" s="23">
        <v>0</v>
      </c>
      <c r="R211" s="23">
        <v>-500</v>
      </c>
      <c r="S211" s="23">
        <v>0</v>
      </c>
      <c r="T211" s="23">
        <v>0</v>
      </c>
      <c r="U211" s="23">
        <v>0</v>
      </c>
      <c r="V211" s="23">
        <v>0</v>
      </c>
      <c r="W211" s="23">
        <f t="shared" si="22"/>
        <v>-599.52000000000044</v>
      </c>
      <c r="X211" s="23">
        <f t="shared" si="23"/>
        <v>0</v>
      </c>
      <c r="Y211" s="23">
        <f t="shared" si="24"/>
        <v>-599.52000000000044</v>
      </c>
      <c r="Z211" s="23">
        <v>600</v>
      </c>
      <c r="AA211" s="23">
        <f t="shared" si="25"/>
        <v>0.47999999999956344</v>
      </c>
      <c r="AB211" s="23">
        <f t="shared" si="26"/>
        <v>3000.9599999999991</v>
      </c>
      <c r="AC211" s="20"/>
      <c r="AD211" s="20" t="str">
        <f>VLOOKUP($C211,'[1]CTRL AUTOS'!$E:$AH,2,0)</f>
        <v>R51BKD</v>
      </c>
      <c r="AE211" s="11" t="str">
        <f t="shared" si="27"/>
        <v>R51BKD13</v>
      </c>
    </row>
    <row r="212" spans="1:31" ht="12.75" hidden="1" customHeight="1" x14ac:dyDescent="0.3">
      <c r="A212" s="8">
        <v>14</v>
      </c>
      <c r="B212" s="20" t="s">
        <v>80</v>
      </c>
      <c r="C212" s="20" t="s">
        <v>230</v>
      </c>
      <c r="D212" s="20" t="s">
        <v>231</v>
      </c>
      <c r="E212" s="22" t="s">
        <v>232</v>
      </c>
      <c r="F212" s="20" t="s">
        <v>232</v>
      </c>
      <c r="G212" s="22" t="s">
        <v>234</v>
      </c>
      <c r="H212" s="23">
        <v>1018.7100000000003</v>
      </c>
      <c r="I212" s="23">
        <v>0</v>
      </c>
      <c r="J212" s="23">
        <v>0</v>
      </c>
      <c r="K212" s="23">
        <v>0</v>
      </c>
      <c r="L212" s="23">
        <v>-171.85</v>
      </c>
      <c r="M212" s="23">
        <v>0</v>
      </c>
      <c r="N212" s="23">
        <v>0</v>
      </c>
      <c r="O212" s="24">
        <f t="shared" si="21"/>
        <v>846.86000000000024</v>
      </c>
      <c r="P212" s="23">
        <v>-2500</v>
      </c>
      <c r="Q212" s="2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23">
        <f t="shared" si="22"/>
        <v>-1653.1399999999999</v>
      </c>
      <c r="X212" s="23">
        <f t="shared" si="23"/>
        <v>0</v>
      </c>
      <c r="Y212" s="23">
        <f t="shared" si="24"/>
        <v>-1653.1399999999999</v>
      </c>
      <c r="Z212" s="23">
        <v>1653</v>
      </c>
      <c r="AA212" s="23">
        <f t="shared" si="25"/>
        <v>-0.13999999999987267</v>
      </c>
      <c r="AB212" s="23">
        <f t="shared" si="26"/>
        <v>2499.7200000000003</v>
      </c>
      <c r="AC212" s="20" t="s">
        <v>297</v>
      </c>
      <c r="AD212" s="20" t="s">
        <v>235</v>
      </c>
      <c r="AE212" s="11" t="str">
        <f t="shared" si="27"/>
        <v>NEB156A14</v>
      </c>
    </row>
    <row r="213" spans="1:31" ht="12.75" hidden="1" customHeight="1" x14ac:dyDescent="0.3">
      <c r="A213" s="8">
        <v>14</v>
      </c>
      <c r="B213" s="20" t="s">
        <v>238</v>
      </c>
      <c r="C213" s="20" t="s">
        <v>20</v>
      </c>
      <c r="D213" s="20" t="s">
        <v>239</v>
      </c>
      <c r="E213" s="22" t="s">
        <v>232</v>
      </c>
      <c r="F213" s="20" t="s">
        <v>232</v>
      </c>
      <c r="G213" s="22" t="s">
        <v>234</v>
      </c>
      <c r="H213" s="23">
        <v>3556.6800000000007</v>
      </c>
      <c r="I213" s="23">
        <v>0</v>
      </c>
      <c r="J213" s="23">
        <v>0</v>
      </c>
      <c r="K213" s="23">
        <v>0</v>
      </c>
      <c r="L213" s="23">
        <v>-1499.03</v>
      </c>
      <c r="M213" s="23">
        <v>-71.133600000000015</v>
      </c>
      <c r="N213" s="23">
        <v>0</v>
      </c>
      <c r="O213" s="24">
        <f t="shared" si="21"/>
        <v>1986.5164000000004</v>
      </c>
      <c r="P213" s="23">
        <v>-2500</v>
      </c>
      <c r="Q213" s="23">
        <v>-262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23">
        <f t="shared" si="22"/>
        <v>-775.48359999999957</v>
      </c>
      <c r="X213" s="23">
        <f t="shared" si="23"/>
        <v>0</v>
      </c>
      <c r="Y213" s="23">
        <f t="shared" si="24"/>
        <v>-775.48359999999957</v>
      </c>
      <c r="Z213" s="23">
        <v>775</v>
      </c>
      <c r="AA213" s="23">
        <f t="shared" si="25"/>
        <v>-0.48359999999956926</v>
      </c>
      <c r="AB213" s="23">
        <f t="shared" si="26"/>
        <v>2761.0328000000009</v>
      </c>
      <c r="AC213" s="20" t="s">
        <v>297</v>
      </c>
      <c r="AD213" s="20" t="str">
        <f>VLOOKUP($C213,'[1]CTRL AUTOS'!$E:$AH,2,0)</f>
        <v>D40BKD</v>
      </c>
      <c r="AE213" s="11" t="str">
        <f t="shared" si="27"/>
        <v>D40BKD14</v>
      </c>
    </row>
    <row r="214" spans="1:31" ht="12.75" hidden="1" customHeight="1" x14ac:dyDescent="0.3">
      <c r="A214" s="8">
        <v>14</v>
      </c>
      <c r="B214" s="20" t="s">
        <v>23</v>
      </c>
      <c r="C214" s="20" t="s">
        <v>75</v>
      </c>
      <c r="D214" s="20" t="s">
        <v>237</v>
      </c>
      <c r="E214" s="22" t="s">
        <v>241</v>
      </c>
      <c r="F214" s="20" t="s">
        <v>232</v>
      </c>
      <c r="G214" s="22" t="s">
        <v>234</v>
      </c>
      <c r="H214" s="23">
        <v>6668.8500000000013</v>
      </c>
      <c r="I214" s="23">
        <v>0</v>
      </c>
      <c r="J214" s="23">
        <v>0</v>
      </c>
      <c r="K214" s="23">
        <v>0</v>
      </c>
      <c r="L214" s="23">
        <v>-4371.71</v>
      </c>
      <c r="M214" s="23">
        <v>0</v>
      </c>
      <c r="N214" s="23">
        <v>0</v>
      </c>
      <c r="O214" s="24">
        <f t="shared" si="21"/>
        <v>2297.1400000000012</v>
      </c>
      <c r="P214" s="23">
        <v>-2400</v>
      </c>
      <c r="Q214" s="23">
        <v>0</v>
      </c>
      <c r="R214" s="23">
        <v>0</v>
      </c>
      <c r="S214" s="23">
        <v>0</v>
      </c>
      <c r="T214" s="23">
        <v>0</v>
      </c>
      <c r="U214" s="23">
        <v>0</v>
      </c>
      <c r="V214" s="23">
        <v>0</v>
      </c>
      <c r="W214" s="23">
        <f t="shared" si="22"/>
        <v>-102.85999999999876</v>
      </c>
      <c r="X214" s="23">
        <f t="shared" si="23"/>
        <v>0</v>
      </c>
      <c r="Y214" s="23">
        <f t="shared" si="24"/>
        <v>-102.85999999999876</v>
      </c>
      <c r="Z214" s="23">
        <v>603</v>
      </c>
      <c r="AA214" s="23">
        <f t="shared" si="25"/>
        <v>500.14000000000124</v>
      </c>
      <c r="AB214" s="23">
        <f t="shared" si="26"/>
        <v>3400.2800000000025</v>
      </c>
      <c r="AC214" s="20" t="s">
        <v>297</v>
      </c>
      <c r="AD214" s="20" t="str">
        <f>VLOOKUP($C214,'[1]CTRL AUTOS'!$E:$AH,2,0)</f>
        <v>NFN014B</v>
      </c>
      <c r="AE214" s="11" t="str">
        <f t="shared" si="27"/>
        <v>NFN014B14</v>
      </c>
    </row>
    <row r="215" spans="1:31" ht="12.75" hidden="1" customHeight="1" x14ac:dyDescent="0.3">
      <c r="A215" s="8">
        <v>14</v>
      </c>
      <c r="B215" s="20" t="s">
        <v>258</v>
      </c>
      <c r="C215" s="20" t="s">
        <v>40</v>
      </c>
      <c r="D215" s="25" t="s">
        <v>259</v>
      </c>
      <c r="E215" s="22" t="s">
        <v>232</v>
      </c>
      <c r="F215" s="20" t="s">
        <v>232</v>
      </c>
      <c r="G215" s="22" t="s">
        <v>234</v>
      </c>
      <c r="H215" s="23">
        <v>0</v>
      </c>
      <c r="I215" s="23">
        <v>0</v>
      </c>
      <c r="J215" s="23">
        <v>0</v>
      </c>
      <c r="K215" s="23">
        <v>0</v>
      </c>
      <c r="L215" s="23">
        <v>0</v>
      </c>
      <c r="M215" s="23">
        <v>0</v>
      </c>
      <c r="N215" s="23">
        <v>0</v>
      </c>
      <c r="O215" s="24">
        <f t="shared" si="21"/>
        <v>0</v>
      </c>
      <c r="P215" s="23">
        <v>0</v>
      </c>
      <c r="Q215" s="23">
        <v>0</v>
      </c>
      <c r="R215" s="23">
        <v>0</v>
      </c>
      <c r="S215" s="23">
        <v>0</v>
      </c>
      <c r="T215" s="23">
        <v>0</v>
      </c>
      <c r="U215" s="23">
        <v>0</v>
      </c>
      <c r="V215" s="23">
        <v>0</v>
      </c>
      <c r="W215" s="23">
        <f t="shared" si="22"/>
        <v>0</v>
      </c>
      <c r="X215" s="23">
        <f t="shared" si="23"/>
        <v>0</v>
      </c>
      <c r="Y215" s="23">
        <f t="shared" si="24"/>
        <v>0</v>
      </c>
      <c r="Z215" s="23">
        <v>0</v>
      </c>
      <c r="AA215" s="23">
        <f t="shared" si="25"/>
        <v>0</v>
      </c>
      <c r="AB215" s="23">
        <f t="shared" si="26"/>
        <v>0</v>
      </c>
      <c r="AC215" s="20"/>
      <c r="AD215" s="20" t="str">
        <f>VLOOKUP($C215,'[1]CTRL AUTOS'!$E:$AH,2,0)</f>
        <v>NEL860A</v>
      </c>
      <c r="AE215" s="11" t="str">
        <f t="shared" si="27"/>
        <v>NEL860A14</v>
      </c>
    </row>
    <row r="216" spans="1:31" ht="12.75" hidden="1" customHeight="1" x14ac:dyDescent="0.3">
      <c r="A216" s="8">
        <v>14</v>
      </c>
      <c r="B216" s="20" t="s">
        <v>264</v>
      </c>
      <c r="C216" s="20" t="s">
        <v>46</v>
      </c>
      <c r="D216" s="20" t="s">
        <v>257</v>
      </c>
      <c r="E216" s="22" t="s">
        <v>232</v>
      </c>
      <c r="F216" s="20" t="s">
        <v>232</v>
      </c>
      <c r="G216" s="22" t="s">
        <v>234</v>
      </c>
      <c r="H216" s="23">
        <v>902.76</v>
      </c>
      <c r="I216" s="23">
        <v>0</v>
      </c>
      <c r="J216" s="23">
        <v>0</v>
      </c>
      <c r="K216" s="23">
        <v>0</v>
      </c>
      <c r="L216" s="23">
        <v>-175.97</v>
      </c>
      <c r="M216" s="23">
        <v>-18</v>
      </c>
      <c r="N216" s="23">
        <v>0</v>
      </c>
      <c r="O216" s="24">
        <f t="shared" si="21"/>
        <v>708.79</v>
      </c>
      <c r="P216" s="23">
        <v>-2500</v>
      </c>
      <c r="Q216" s="23">
        <v>3.999999999996362E-2</v>
      </c>
      <c r="R216" s="23">
        <v>0</v>
      </c>
      <c r="S216" s="23">
        <v>-827</v>
      </c>
      <c r="T216" s="23">
        <v>0</v>
      </c>
      <c r="U216" s="23">
        <v>0</v>
      </c>
      <c r="V216" s="23">
        <v>0</v>
      </c>
      <c r="W216" s="23">
        <f t="shared" si="22"/>
        <v>-2618.17</v>
      </c>
      <c r="X216" s="23">
        <f t="shared" si="23"/>
        <v>0</v>
      </c>
      <c r="Y216" s="23">
        <f t="shared" si="24"/>
        <v>-2618.17</v>
      </c>
      <c r="Z216" s="23">
        <v>2000</v>
      </c>
      <c r="AA216" s="23">
        <f t="shared" si="25"/>
        <v>-618.17000000000007</v>
      </c>
      <c r="AB216" s="23">
        <f t="shared" si="26"/>
        <v>2090.62</v>
      </c>
      <c r="AC216" s="20" t="s">
        <v>298</v>
      </c>
      <c r="AD216" s="20" t="str">
        <f>VLOOKUP($C216,'[1]CTRL AUTOS'!$E:$AH,2,0)</f>
        <v>R66BER</v>
      </c>
      <c r="AE216" s="11" t="str">
        <f t="shared" si="27"/>
        <v>R66BER14</v>
      </c>
    </row>
    <row r="217" spans="1:31" ht="12.75" hidden="1" customHeight="1" x14ac:dyDescent="0.3">
      <c r="A217" s="8">
        <v>14</v>
      </c>
      <c r="B217" s="20" t="s">
        <v>260</v>
      </c>
      <c r="C217" s="20" t="s">
        <v>81</v>
      </c>
      <c r="D217" s="20" t="s">
        <v>273</v>
      </c>
      <c r="E217" s="22" t="s">
        <v>232</v>
      </c>
      <c r="F217" s="20" t="s">
        <v>232</v>
      </c>
      <c r="G217" s="22" t="s">
        <v>234</v>
      </c>
      <c r="H217" s="23">
        <v>5763.2699999999986</v>
      </c>
      <c r="I217" s="23">
        <v>-58.68</v>
      </c>
      <c r="J217" s="23">
        <v>0</v>
      </c>
      <c r="K217" s="23">
        <v>0</v>
      </c>
      <c r="L217" s="23">
        <v>-1256.25</v>
      </c>
      <c r="M217" s="23">
        <v>-12</v>
      </c>
      <c r="N217" s="23">
        <v>0</v>
      </c>
      <c r="O217" s="24">
        <f t="shared" si="21"/>
        <v>4436.3399999999983</v>
      </c>
      <c r="P217" s="23">
        <v>-2500</v>
      </c>
      <c r="Q217" s="23">
        <v>0</v>
      </c>
      <c r="R217" s="23">
        <v>0</v>
      </c>
      <c r="S217" s="23">
        <v>0</v>
      </c>
      <c r="T217" s="23">
        <v>0</v>
      </c>
      <c r="U217" s="23">
        <v>0</v>
      </c>
      <c r="V217" s="23">
        <v>0</v>
      </c>
      <c r="W217" s="23">
        <f t="shared" si="22"/>
        <v>1936.3399999999983</v>
      </c>
      <c r="X217" s="23">
        <f t="shared" si="23"/>
        <v>1936.3399999999983</v>
      </c>
      <c r="Y217" s="23">
        <f t="shared" si="24"/>
        <v>0</v>
      </c>
      <c r="Z217" s="23">
        <v>0</v>
      </c>
      <c r="AA217" s="23">
        <f t="shared" si="25"/>
        <v>0</v>
      </c>
      <c r="AB217" s="23">
        <f t="shared" si="26"/>
        <v>2500</v>
      </c>
      <c r="AC217" s="20"/>
      <c r="AD217" s="20" t="str">
        <f>VLOOKUP($C217,'[1]CTRL AUTOS'!$E:$AH,2,0)</f>
        <v>NLP172B</v>
      </c>
      <c r="AE217" s="11" t="str">
        <f t="shared" si="27"/>
        <v>NLP172B14</v>
      </c>
    </row>
    <row r="218" spans="1:31" ht="12.75" hidden="1" customHeight="1" x14ac:dyDescent="0.3">
      <c r="A218" s="8">
        <v>14</v>
      </c>
      <c r="B218" s="20" t="s">
        <v>72</v>
      </c>
      <c r="C218" s="20" t="s">
        <v>28</v>
      </c>
      <c r="D218" s="20" t="s">
        <v>274</v>
      </c>
      <c r="E218" s="22" t="s">
        <v>232</v>
      </c>
      <c r="F218" s="20" t="s">
        <v>232</v>
      </c>
      <c r="G218" s="22" t="s">
        <v>234</v>
      </c>
      <c r="H218" s="23">
        <v>10037.310000000003</v>
      </c>
      <c r="I218" s="23">
        <v>-51.2</v>
      </c>
      <c r="J218" s="23">
        <v>0</v>
      </c>
      <c r="K218" s="23">
        <v>-98.15000000000002</v>
      </c>
      <c r="L218" s="23">
        <v>-4438.4400000000014</v>
      </c>
      <c r="M218" s="23">
        <v>-35</v>
      </c>
      <c r="N218" s="23">
        <v>-59.23</v>
      </c>
      <c r="O218" s="24">
        <f t="shared" si="21"/>
        <v>5355.2900000000018</v>
      </c>
      <c r="P218" s="23">
        <v>-2500</v>
      </c>
      <c r="Q218" s="23">
        <v>-600</v>
      </c>
      <c r="R218" s="23">
        <v>0</v>
      </c>
      <c r="S218" s="23">
        <v>0</v>
      </c>
      <c r="T218" s="23">
        <v>0</v>
      </c>
      <c r="U218" s="23">
        <v>0</v>
      </c>
      <c r="V218" s="23">
        <v>0</v>
      </c>
      <c r="W218" s="23">
        <f t="shared" si="22"/>
        <v>2255.2900000000018</v>
      </c>
      <c r="X218" s="23">
        <f t="shared" si="23"/>
        <v>2255.2900000000018</v>
      </c>
      <c r="Y218" s="23">
        <f t="shared" si="24"/>
        <v>0</v>
      </c>
      <c r="Z218" s="23">
        <v>0</v>
      </c>
      <c r="AA218" s="23">
        <f t="shared" si="25"/>
        <v>0</v>
      </c>
      <c r="AB218" s="23">
        <f t="shared" si="26"/>
        <v>3100</v>
      </c>
      <c r="AC218" s="20"/>
      <c r="AD218" s="20" t="str">
        <f>VLOOKUP($C218,'[1]CTRL AUTOS'!$E:$AH,2,0)</f>
        <v>NCT814A</v>
      </c>
      <c r="AE218" s="11" t="str">
        <f t="shared" si="27"/>
        <v>NCT814A14</v>
      </c>
    </row>
    <row r="219" spans="1:31" ht="12.75" hidden="1" customHeight="1" x14ac:dyDescent="0.3">
      <c r="A219" s="8">
        <v>14</v>
      </c>
      <c r="B219" s="20" t="s">
        <v>292</v>
      </c>
      <c r="C219" s="20" t="s">
        <v>52</v>
      </c>
      <c r="D219" s="20" t="s">
        <v>237</v>
      </c>
      <c r="E219" s="22" t="s">
        <v>232</v>
      </c>
      <c r="F219" s="20" t="s">
        <v>232</v>
      </c>
      <c r="G219" s="22" t="s">
        <v>234</v>
      </c>
      <c r="H219" s="23">
        <v>9800.25</v>
      </c>
      <c r="I219" s="23">
        <v>-64</v>
      </c>
      <c r="J219" s="23">
        <v>0</v>
      </c>
      <c r="K219" s="23">
        <v>0</v>
      </c>
      <c r="L219" s="23">
        <v>-3981.56</v>
      </c>
      <c r="M219" s="23">
        <v>-2.15</v>
      </c>
      <c r="N219" s="23">
        <v>0</v>
      </c>
      <c r="O219" s="24">
        <f t="shared" si="21"/>
        <v>5752.5400000000009</v>
      </c>
      <c r="P219" s="23">
        <v>-2500</v>
      </c>
      <c r="Q219" s="2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0</v>
      </c>
      <c r="W219" s="23">
        <f t="shared" si="22"/>
        <v>3252.5400000000009</v>
      </c>
      <c r="X219" s="23">
        <f t="shared" si="23"/>
        <v>3252.5400000000009</v>
      </c>
      <c r="Y219" s="23">
        <f t="shared" si="24"/>
        <v>0</v>
      </c>
      <c r="Z219" s="23">
        <v>0</v>
      </c>
      <c r="AA219" s="23">
        <f t="shared" si="25"/>
        <v>0</v>
      </c>
      <c r="AB219" s="23">
        <f t="shared" si="26"/>
        <v>2500</v>
      </c>
      <c r="AC219" s="20"/>
      <c r="AD219" s="20" t="str">
        <f>VLOOKUP($C219,'[1]CTRL AUTOS'!$E:$AH,2,0)</f>
        <v>A35BHD</v>
      </c>
      <c r="AE219" s="11" t="str">
        <f t="shared" si="27"/>
        <v>A35BHD14</v>
      </c>
    </row>
    <row r="220" spans="1:31" ht="12.75" hidden="1" customHeight="1" x14ac:dyDescent="0.3">
      <c r="A220" s="8">
        <v>14</v>
      </c>
      <c r="B220" s="20" t="s">
        <v>105</v>
      </c>
      <c r="C220" s="20" t="s">
        <v>54</v>
      </c>
      <c r="D220" s="20" t="s">
        <v>237</v>
      </c>
      <c r="E220" s="22" t="s">
        <v>232</v>
      </c>
      <c r="F220" s="20" t="s">
        <v>232</v>
      </c>
      <c r="G220" s="22" t="s">
        <v>234</v>
      </c>
      <c r="H220" s="23">
        <v>1529.2399999999998</v>
      </c>
      <c r="I220" s="23">
        <v>0</v>
      </c>
      <c r="J220" s="23">
        <v>0</v>
      </c>
      <c r="K220" s="23">
        <v>0</v>
      </c>
      <c r="L220" s="23">
        <v>-188.35999999999999</v>
      </c>
      <c r="M220" s="23">
        <v>0</v>
      </c>
      <c r="N220" s="23">
        <v>0</v>
      </c>
      <c r="O220" s="24">
        <f t="shared" si="21"/>
        <v>1340.8799999999999</v>
      </c>
      <c r="P220" s="23">
        <v>-1529.2399999999998</v>
      </c>
      <c r="Q220" s="23">
        <v>-16</v>
      </c>
      <c r="R220" s="23">
        <v>0</v>
      </c>
      <c r="S220" s="23">
        <v>0</v>
      </c>
      <c r="T220" s="23">
        <v>0</v>
      </c>
      <c r="U220" s="23">
        <v>0</v>
      </c>
      <c r="V220" s="23">
        <v>0</v>
      </c>
      <c r="W220" s="23">
        <f t="shared" si="22"/>
        <v>-204.3599999999999</v>
      </c>
      <c r="X220" s="23">
        <f t="shared" si="23"/>
        <v>0</v>
      </c>
      <c r="Y220" s="23">
        <f t="shared" si="24"/>
        <v>-204.3599999999999</v>
      </c>
      <c r="Z220" s="23">
        <v>202</v>
      </c>
      <c r="AA220" s="23">
        <f t="shared" si="25"/>
        <v>-2.3599999999999</v>
      </c>
      <c r="AB220" s="23">
        <f t="shared" si="26"/>
        <v>1540.52</v>
      </c>
      <c r="AC220" s="20" t="s">
        <v>297</v>
      </c>
      <c r="AD220" s="20" t="str">
        <f>VLOOKUP($C220,'[1]CTRL AUTOS'!$E:$AH,2,0)</f>
        <v>NZY685B</v>
      </c>
      <c r="AE220" s="11" t="str">
        <f t="shared" si="27"/>
        <v>NZY685B14</v>
      </c>
    </row>
    <row r="221" spans="1:31" ht="12.75" hidden="1" customHeight="1" x14ac:dyDescent="0.3">
      <c r="A221" s="8">
        <v>14</v>
      </c>
      <c r="B221" s="20" t="s">
        <v>288</v>
      </c>
      <c r="C221" s="20" t="s">
        <v>56</v>
      </c>
      <c r="D221" s="20" t="s">
        <v>289</v>
      </c>
      <c r="E221" s="22" t="s">
        <v>241</v>
      </c>
      <c r="F221" s="20" t="s">
        <v>232</v>
      </c>
      <c r="G221" s="22" t="s">
        <v>234</v>
      </c>
      <c r="H221" s="23">
        <v>8768.2800000000007</v>
      </c>
      <c r="I221" s="23">
        <v>-48</v>
      </c>
      <c r="J221" s="23">
        <v>36</v>
      </c>
      <c r="K221" s="23">
        <v>0</v>
      </c>
      <c r="L221" s="23">
        <v>-2405.0300000000002</v>
      </c>
      <c r="M221" s="23">
        <v>-52</v>
      </c>
      <c r="N221" s="23">
        <v>0</v>
      </c>
      <c r="O221" s="24">
        <f t="shared" si="21"/>
        <v>6299.25</v>
      </c>
      <c r="P221" s="23">
        <v>-2350</v>
      </c>
      <c r="Q221" s="23">
        <v>0</v>
      </c>
      <c r="R221" s="23">
        <v>0</v>
      </c>
      <c r="S221" s="23">
        <v>0</v>
      </c>
      <c r="T221" s="23">
        <v>0</v>
      </c>
      <c r="U221" s="23">
        <v>0</v>
      </c>
      <c r="V221" s="23">
        <v>0</v>
      </c>
      <c r="W221" s="23">
        <f t="shared" si="22"/>
        <v>3949.25</v>
      </c>
      <c r="X221" s="23">
        <f t="shared" si="23"/>
        <v>3949.25</v>
      </c>
      <c r="Y221" s="23">
        <f t="shared" si="24"/>
        <v>0</v>
      </c>
      <c r="Z221" s="23">
        <v>0</v>
      </c>
      <c r="AA221" s="23">
        <f t="shared" si="25"/>
        <v>0</v>
      </c>
      <c r="AB221" s="23">
        <f t="shared" si="26"/>
        <v>2350</v>
      </c>
      <c r="AC221" s="20"/>
      <c r="AD221" s="20" t="str">
        <f>VLOOKUP($C221,'[1]CTRL AUTOS'!$E:$AH,2,0)</f>
        <v>MYE912A</v>
      </c>
      <c r="AE221" s="11" t="str">
        <f t="shared" si="27"/>
        <v>MYE912A14</v>
      </c>
    </row>
    <row r="222" spans="1:31" ht="12.75" hidden="1" customHeight="1" x14ac:dyDescent="0.3">
      <c r="A222" s="8">
        <v>14</v>
      </c>
      <c r="B222" s="20" t="s">
        <v>244</v>
      </c>
      <c r="C222" s="20" t="s">
        <v>4</v>
      </c>
      <c r="D222" s="20" t="s">
        <v>245</v>
      </c>
      <c r="E222" s="22" t="s">
        <v>232</v>
      </c>
      <c r="F222" s="20" t="s">
        <v>232</v>
      </c>
      <c r="G222" s="22" t="s">
        <v>234</v>
      </c>
      <c r="H222" s="23">
        <v>4448.1200000000008</v>
      </c>
      <c r="I222" s="23">
        <v>0</v>
      </c>
      <c r="J222" s="23">
        <v>0</v>
      </c>
      <c r="K222" s="23">
        <v>0</v>
      </c>
      <c r="L222" s="23">
        <v>-1468.5000000000005</v>
      </c>
      <c r="M222" s="23">
        <v>-42</v>
      </c>
      <c r="N222" s="23">
        <v>0</v>
      </c>
      <c r="O222" s="24">
        <f t="shared" si="21"/>
        <v>2937.6200000000003</v>
      </c>
      <c r="P222" s="23">
        <v>-2500</v>
      </c>
      <c r="Q222" s="23">
        <v>0</v>
      </c>
      <c r="R222" s="23">
        <v>0</v>
      </c>
      <c r="S222" s="23">
        <v>0</v>
      </c>
      <c r="T222" s="23">
        <v>0</v>
      </c>
      <c r="U222" s="23">
        <v>0</v>
      </c>
      <c r="V222" s="23">
        <v>0</v>
      </c>
      <c r="W222" s="23">
        <f t="shared" si="22"/>
        <v>437.62000000000035</v>
      </c>
      <c r="X222" s="23">
        <f t="shared" si="23"/>
        <v>437.62000000000035</v>
      </c>
      <c r="Y222" s="23">
        <f t="shared" si="24"/>
        <v>0</v>
      </c>
      <c r="Z222" s="23">
        <v>0</v>
      </c>
      <c r="AA222" s="23">
        <f t="shared" si="25"/>
        <v>0</v>
      </c>
      <c r="AB222" s="23">
        <f t="shared" si="26"/>
        <v>2500</v>
      </c>
      <c r="AC222" s="20"/>
      <c r="AD222" s="20" t="str">
        <f>VLOOKUP($C222,'[1]CTRL AUTOS'!$E:$AH,2,0)</f>
        <v>N15BKD</v>
      </c>
      <c r="AE222" s="11" t="str">
        <f t="shared" si="27"/>
        <v>N15BKD14</v>
      </c>
    </row>
    <row r="223" spans="1:31" ht="12.75" hidden="1" customHeight="1" x14ac:dyDescent="0.3">
      <c r="A223" s="8">
        <v>14</v>
      </c>
      <c r="B223" s="20" t="s">
        <v>35</v>
      </c>
      <c r="C223" s="20" t="s">
        <v>34</v>
      </c>
      <c r="D223" s="20" t="s">
        <v>285</v>
      </c>
      <c r="E223" s="22" t="s">
        <v>232</v>
      </c>
      <c r="F223" s="20" t="s">
        <v>232</v>
      </c>
      <c r="G223" s="22" t="s">
        <v>234</v>
      </c>
      <c r="H223" s="23">
        <v>8772.5299999999988</v>
      </c>
      <c r="I223" s="23">
        <v>-141.6</v>
      </c>
      <c r="J223" s="23">
        <v>0</v>
      </c>
      <c r="K223" s="23">
        <v>0</v>
      </c>
      <c r="L223" s="23">
        <v>-5621.2399999999971</v>
      </c>
      <c r="M223" s="23">
        <v>0</v>
      </c>
      <c r="N223" s="23">
        <v>0</v>
      </c>
      <c r="O223" s="24">
        <f t="shared" si="21"/>
        <v>3009.6900000000014</v>
      </c>
      <c r="P223" s="23">
        <v>-2500</v>
      </c>
      <c r="Q223" s="23">
        <v>-200.89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23">
        <f t="shared" si="22"/>
        <v>308.80000000000155</v>
      </c>
      <c r="X223" s="23">
        <f t="shared" si="23"/>
        <v>308.80000000000155</v>
      </c>
      <c r="Y223" s="23">
        <f t="shared" si="24"/>
        <v>0</v>
      </c>
      <c r="Z223" s="23">
        <v>0</v>
      </c>
      <c r="AA223" s="23">
        <f t="shared" si="25"/>
        <v>0</v>
      </c>
      <c r="AB223" s="23">
        <f t="shared" si="26"/>
        <v>2700.89</v>
      </c>
      <c r="AC223" s="20"/>
      <c r="AD223" s="20" t="str">
        <f>VLOOKUP($C223,'[1]CTRL AUTOS'!$E:$AH,2,0)</f>
        <v>X59AWG</v>
      </c>
      <c r="AE223" s="11" t="str">
        <f t="shared" si="27"/>
        <v>X59AWG14</v>
      </c>
    </row>
    <row r="224" spans="1:31" ht="12.75" hidden="1" customHeight="1" x14ac:dyDescent="0.3">
      <c r="A224" s="8">
        <v>14</v>
      </c>
      <c r="B224" s="20" t="s">
        <v>37</v>
      </c>
      <c r="C224" s="20" t="s">
        <v>246</v>
      </c>
      <c r="D224" s="20" t="s">
        <v>247</v>
      </c>
      <c r="E224" s="22" t="s">
        <v>232</v>
      </c>
      <c r="F224" s="20" t="s">
        <v>232</v>
      </c>
      <c r="G224" s="22" t="s">
        <v>234</v>
      </c>
      <c r="H224" s="23">
        <v>4232.380000000001</v>
      </c>
      <c r="I224" s="23">
        <v>0</v>
      </c>
      <c r="J224" s="23">
        <v>0</v>
      </c>
      <c r="K224" s="23">
        <v>0</v>
      </c>
      <c r="L224" s="23">
        <v>-1533.19</v>
      </c>
      <c r="M224" s="23">
        <v>-71</v>
      </c>
      <c r="N224" s="23">
        <v>0</v>
      </c>
      <c r="O224" s="24">
        <f t="shared" si="21"/>
        <v>2628.190000000001</v>
      </c>
      <c r="P224" s="23">
        <v>-2500</v>
      </c>
      <c r="Q224" s="23">
        <v>79</v>
      </c>
      <c r="R224" s="23">
        <v>0</v>
      </c>
      <c r="S224" s="23">
        <v>0</v>
      </c>
      <c r="T224" s="23">
        <v>0</v>
      </c>
      <c r="U224" s="23">
        <v>0</v>
      </c>
      <c r="V224" s="23">
        <v>0</v>
      </c>
      <c r="W224" s="23">
        <f t="shared" si="22"/>
        <v>207.19000000000096</v>
      </c>
      <c r="X224" s="23">
        <f t="shared" si="23"/>
        <v>207.19000000000096</v>
      </c>
      <c r="Y224" s="23">
        <f t="shared" si="24"/>
        <v>0</v>
      </c>
      <c r="Z224" s="23">
        <v>0</v>
      </c>
      <c r="AA224" s="23">
        <f t="shared" si="25"/>
        <v>0</v>
      </c>
      <c r="AB224" s="23">
        <f t="shared" si="26"/>
        <v>2421</v>
      </c>
      <c r="AC224" s="20"/>
      <c r="AD224" s="20" t="s">
        <v>248</v>
      </c>
      <c r="AE224" s="11" t="str">
        <f t="shared" si="27"/>
        <v>X24APU14</v>
      </c>
    </row>
    <row r="225" spans="1:31" ht="12.75" hidden="1" customHeight="1" x14ac:dyDescent="0.3">
      <c r="A225" s="8">
        <v>14</v>
      </c>
      <c r="B225" s="20" t="s">
        <v>293</v>
      </c>
      <c r="C225" s="20" t="s">
        <v>63</v>
      </c>
      <c r="D225" s="20" t="s">
        <v>237</v>
      </c>
      <c r="E225" s="20" t="s">
        <v>291</v>
      </c>
      <c r="F225" s="20" t="s">
        <v>232</v>
      </c>
      <c r="G225" s="22" t="s">
        <v>234</v>
      </c>
      <c r="H225" s="23">
        <v>4355.68</v>
      </c>
      <c r="I225" s="23">
        <v>0</v>
      </c>
      <c r="J225" s="23">
        <v>0</v>
      </c>
      <c r="K225" s="23">
        <v>0</v>
      </c>
      <c r="L225" s="23">
        <v>-1416.09</v>
      </c>
      <c r="M225" s="23">
        <v>-65</v>
      </c>
      <c r="N225" s="23">
        <v>0</v>
      </c>
      <c r="O225" s="24">
        <f t="shared" si="21"/>
        <v>2874.59</v>
      </c>
      <c r="P225" s="23">
        <v>-2500</v>
      </c>
      <c r="Q225" s="23">
        <v>0</v>
      </c>
      <c r="R225" s="23">
        <v>0</v>
      </c>
      <c r="S225" s="23">
        <v>0</v>
      </c>
      <c r="T225" s="23">
        <v>0</v>
      </c>
      <c r="U225" s="23">
        <v>0</v>
      </c>
      <c r="V225" s="23">
        <v>0</v>
      </c>
      <c r="W225" s="23">
        <f t="shared" si="22"/>
        <v>374.59000000000015</v>
      </c>
      <c r="X225" s="23">
        <f t="shared" si="23"/>
        <v>374.59000000000015</v>
      </c>
      <c r="Y225" s="23">
        <f t="shared" si="24"/>
        <v>0</v>
      </c>
      <c r="Z225" s="23">
        <v>125</v>
      </c>
      <c r="AA225" s="23">
        <f t="shared" si="25"/>
        <v>125</v>
      </c>
      <c r="AB225" s="23">
        <f t="shared" si="26"/>
        <v>2750</v>
      </c>
      <c r="AC225" s="20" t="s">
        <v>297</v>
      </c>
      <c r="AD225" s="20" t="str">
        <f>VLOOKUP($C225,'[1]CTRL AUTOS'!$E:$AH,2,0)</f>
        <v>X89ALV</v>
      </c>
      <c r="AE225" s="11" t="str">
        <f t="shared" si="27"/>
        <v>X89ALV14</v>
      </c>
    </row>
    <row r="226" spans="1:31" ht="12.75" hidden="1" customHeight="1" x14ac:dyDescent="0.3">
      <c r="A226" s="8">
        <v>14</v>
      </c>
      <c r="B226" s="20" t="s">
        <v>45</v>
      </c>
      <c r="C226" s="20" t="s">
        <v>249</v>
      </c>
      <c r="D226" s="20" t="s">
        <v>250</v>
      </c>
      <c r="E226" s="22" t="s">
        <v>232</v>
      </c>
      <c r="F226" s="20" t="s">
        <v>232</v>
      </c>
      <c r="G226" s="22" t="s">
        <v>234</v>
      </c>
      <c r="H226" s="23">
        <v>3504.2899999999981</v>
      </c>
      <c r="I226" s="23">
        <v>-4.3499999999999996</v>
      </c>
      <c r="J226" s="23">
        <v>0</v>
      </c>
      <c r="K226" s="23">
        <v>0</v>
      </c>
      <c r="L226" s="23">
        <v>-1074.7900000000002</v>
      </c>
      <c r="M226" s="23">
        <v>-61.08</v>
      </c>
      <c r="N226" s="23">
        <v>0</v>
      </c>
      <c r="O226" s="24">
        <f t="shared" si="21"/>
        <v>2364.0699999999979</v>
      </c>
      <c r="P226" s="23">
        <v>-2300</v>
      </c>
      <c r="Q226" s="2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23">
        <f t="shared" si="22"/>
        <v>64.06999999999789</v>
      </c>
      <c r="X226" s="23">
        <f t="shared" si="23"/>
        <v>64.06999999999789</v>
      </c>
      <c r="Y226" s="23">
        <f t="shared" si="24"/>
        <v>0</v>
      </c>
      <c r="Z226" s="23">
        <v>0</v>
      </c>
      <c r="AA226" s="23">
        <f t="shared" si="25"/>
        <v>0</v>
      </c>
      <c r="AB226" s="23">
        <f t="shared" si="26"/>
        <v>2300</v>
      </c>
      <c r="AC226" s="20"/>
      <c r="AD226" s="20" t="s">
        <v>251</v>
      </c>
      <c r="AE226" s="11" t="str">
        <f t="shared" si="27"/>
        <v>BAJA DE PLACAS14</v>
      </c>
    </row>
    <row r="227" spans="1:31" ht="12.75" hidden="1" customHeight="1" x14ac:dyDescent="0.3">
      <c r="A227" s="8">
        <v>14</v>
      </c>
      <c r="B227" s="20" t="s">
        <v>5</v>
      </c>
      <c r="C227" s="20" t="s">
        <v>50</v>
      </c>
      <c r="D227" s="20" t="s">
        <v>267</v>
      </c>
      <c r="E227" s="22" t="s">
        <v>232</v>
      </c>
      <c r="F227" s="20" t="s">
        <v>232</v>
      </c>
      <c r="G227" s="22" t="s">
        <v>234</v>
      </c>
      <c r="H227" s="23">
        <v>6997.3300000000017</v>
      </c>
      <c r="I227" s="23">
        <v>0</v>
      </c>
      <c r="J227" s="23">
        <v>0</v>
      </c>
      <c r="K227" s="23">
        <v>0</v>
      </c>
      <c r="L227" s="23">
        <v>-3314.1399999999994</v>
      </c>
      <c r="M227" s="23">
        <v>-35</v>
      </c>
      <c r="N227" s="23">
        <v>-142</v>
      </c>
      <c r="O227" s="24">
        <f t="shared" si="21"/>
        <v>3506.1900000000023</v>
      </c>
      <c r="P227" s="23">
        <v>-2500</v>
      </c>
      <c r="Q227" s="23">
        <v>0</v>
      </c>
      <c r="R227" s="23">
        <v>0</v>
      </c>
      <c r="S227" s="23">
        <v>0</v>
      </c>
      <c r="T227" s="23">
        <v>0</v>
      </c>
      <c r="U227" s="23">
        <v>0</v>
      </c>
      <c r="V227" s="23">
        <v>0</v>
      </c>
      <c r="W227" s="23">
        <f t="shared" si="22"/>
        <v>1006.1900000000023</v>
      </c>
      <c r="X227" s="23">
        <f t="shared" si="23"/>
        <v>1006.1900000000023</v>
      </c>
      <c r="Y227" s="23">
        <f t="shared" si="24"/>
        <v>0</v>
      </c>
      <c r="Z227" s="23">
        <v>0</v>
      </c>
      <c r="AA227" s="23">
        <f t="shared" si="25"/>
        <v>0</v>
      </c>
      <c r="AB227" s="23">
        <f t="shared" si="26"/>
        <v>2500</v>
      </c>
      <c r="AC227" s="20"/>
      <c r="AD227" s="20" t="str">
        <f>VLOOKUP($C227,'[1]CTRL AUTOS'!$E:$AH,2,0)</f>
        <v>NBS225A</v>
      </c>
      <c r="AE227" s="11" t="str">
        <f t="shared" si="27"/>
        <v>NBS225A14</v>
      </c>
    </row>
    <row r="228" spans="1:31" ht="12.75" hidden="1" customHeight="1" x14ac:dyDescent="0.3">
      <c r="A228" s="8">
        <v>14</v>
      </c>
      <c r="B228" s="20" t="s">
        <v>294</v>
      </c>
      <c r="C228" s="20" t="s">
        <v>69</v>
      </c>
      <c r="D228" s="20" t="s">
        <v>262</v>
      </c>
      <c r="E228" s="22" t="s">
        <v>241</v>
      </c>
      <c r="F228" s="20" t="s">
        <v>232</v>
      </c>
      <c r="G228" s="22" t="s">
        <v>234</v>
      </c>
      <c r="H228" s="23">
        <v>8235.82</v>
      </c>
      <c r="I228" s="23">
        <v>0</v>
      </c>
      <c r="J228" s="23">
        <v>0</v>
      </c>
      <c r="K228" s="23">
        <v>0</v>
      </c>
      <c r="L228" s="23">
        <v>-3082.27</v>
      </c>
      <c r="M228" s="23">
        <v>0</v>
      </c>
      <c r="N228" s="23">
        <v>0</v>
      </c>
      <c r="O228" s="24">
        <f t="shared" si="21"/>
        <v>5153.5499999999993</v>
      </c>
      <c r="P228" s="23">
        <v>-2500</v>
      </c>
      <c r="Q228" s="23">
        <v>-300</v>
      </c>
      <c r="R228" s="23">
        <v>0</v>
      </c>
      <c r="S228" s="23">
        <v>0</v>
      </c>
      <c r="T228" s="23">
        <v>0</v>
      </c>
      <c r="U228" s="23">
        <v>0</v>
      </c>
      <c r="V228" s="23">
        <v>0</v>
      </c>
      <c r="W228" s="23">
        <f t="shared" si="22"/>
        <v>2353.5499999999993</v>
      </c>
      <c r="X228" s="23">
        <f t="shared" si="23"/>
        <v>2353.5499999999993</v>
      </c>
      <c r="Y228" s="23">
        <f t="shared" si="24"/>
        <v>0</v>
      </c>
      <c r="Z228" s="23">
        <v>0</v>
      </c>
      <c r="AA228" s="23">
        <f t="shared" si="25"/>
        <v>0</v>
      </c>
      <c r="AB228" s="23">
        <f t="shared" si="26"/>
        <v>2800</v>
      </c>
      <c r="AC228" s="20"/>
      <c r="AD228" s="20" t="str">
        <f>VLOOKUP($C228,'[1]CTRL AUTOS'!$E:$AH,2,0)</f>
        <v>R51BKD</v>
      </c>
      <c r="AE228" s="11" t="str">
        <f t="shared" si="27"/>
        <v>R51BKD14</v>
      </c>
    </row>
    <row r="229" spans="1:31" ht="12.75" hidden="1" customHeight="1" x14ac:dyDescent="0.3">
      <c r="A229" s="8">
        <v>15</v>
      </c>
      <c r="B229" s="20" t="s">
        <v>80</v>
      </c>
      <c r="C229" s="20" t="s">
        <v>230</v>
      </c>
      <c r="D229" s="20" t="s">
        <v>231</v>
      </c>
      <c r="E229" s="22" t="s">
        <v>232</v>
      </c>
      <c r="F229" s="20" t="s">
        <v>232</v>
      </c>
      <c r="G229" s="22" t="s">
        <v>234</v>
      </c>
      <c r="H229" s="23">
        <v>825</v>
      </c>
      <c r="I229" s="23">
        <v>-2</v>
      </c>
      <c r="J229" s="23">
        <v>0</v>
      </c>
      <c r="K229" s="23">
        <v>0</v>
      </c>
      <c r="L229" s="23">
        <v>0</v>
      </c>
      <c r="M229" s="23">
        <v>-32</v>
      </c>
      <c r="N229" s="23">
        <v>0</v>
      </c>
      <c r="O229" s="24">
        <f t="shared" si="21"/>
        <v>791</v>
      </c>
      <c r="P229" s="23">
        <v>-2500</v>
      </c>
      <c r="Q229" s="23">
        <v>0</v>
      </c>
      <c r="R229" s="23">
        <v>0</v>
      </c>
      <c r="S229" s="23">
        <v>0</v>
      </c>
      <c r="T229" s="23">
        <v>0</v>
      </c>
      <c r="U229" s="23">
        <v>0</v>
      </c>
      <c r="V229" s="23">
        <v>0</v>
      </c>
      <c r="W229" s="23">
        <f t="shared" si="22"/>
        <v>-1709</v>
      </c>
      <c r="X229" s="23">
        <f t="shared" si="23"/>
        <v>0</v>
      </c>
      <c r="Y229" s="23">
        <f t="shared" si="24"/>
        <v>-1709</v>
      </c>
      <c r="Z229" s="23">
        <v>1709</v>
      </c>
      <c r="AA229" s="23">
        <f t="shared" si="25"/>
        <v>0</v>
      </c>
      <c r="AB229" s="23">
        <f t="shared" si="26"/>
        <v>2500</v>
      </c>
      <c r="AC229" s="20" t="s">
        <v>297</v>
      </c>
      <c r="AD229" s="20" t="s">
        <v>235</v>
      </c>
      <c r="AE229" s="11" t="str">
        <f t="shared" si="27"/>
        <v>NEB156A15</v>
      </c>
    </row>
    <row r="230" spans="1:31" ht="12.75" hidden="1" customHeight="1" x14ac:dyDescent="0.3">
      <c r="A230" s="8">
        <v>15</v>
      </c>
      <c r="B230" s="20" t="s">
        <v>238</v>
      </c>
      <c r="C230" s="20" t="s">
        <v>20</v>
      </c>
      <c r="D230" s="20" t="s">
        <v>239</v>
      </c>
      <c r="E230" s="22" t="s">
        <v>232</v>
      </c>
      <c r="F230" s="20" t="s">
        <v>232</v>
      </c>
      <c r="G230" s="22" t="s">
        <v>234</v>
      </c>
      <c r="H230" s="23">
        <v>3907</v>
      </c>
      <c r="I230" s="23">
        <v>0</v>
      </c>
      <c r="J230" s="23">
        <v>0</v>
      </c>
      <c r="K230" s="23">
        <v>0</v>
      </c>
      <c r="L230" s="23">
        <v>-1573</v>
      </c>
      <c r="M230" s="23">
        <v>-38</v>
      </c>
      <c r="N230" s="23">
        <v>0</v>
      </c>
      <c r="O230" s="24">
        <f t="shared" si="21"/>
        <v>2296</v>
      </c>
      <c r="P230" s="23">
        <v>-2500</v>
      </c>
      <c r="Q230" s="23">
        <v>-75</v>
      </c>
      <c r="R230" s="23">
        <v>0</v>
      </c>
      <c r="S230" s="23">
        <v>0</v>
      </c>
      <c r="T230" s="23">
        <v>0</v>
      </c>
      <c r="U230" s="23">
        <v>0</v>
      </c>
      <c r="V230" s="23">
        <v>0</v>
      </c>
      <c r="W230" s="23">
        <f t="shared" si="22"/>
        <v>-279</v>
      </c>
      <c r="X230" s="23">
        <f t="shared" si="23"/>
        <v>0</v>
      </c>
      <c r="Y230" s="23">
        <f t="shared" si="24"/>
        <v>-279</v>
      </c>
      <c r="Z230" s="23">
        <v>276</v>
      </c>
      <c r="AA230" s="23">
        <f t="shared" si="25"/>
        <v>-3</v>
      </c>
      <c r="AB230" s="23">
        <f t="shared" si="26"/>
        <v>2569</v>
      </c>
      <c r="AC230" s="20" t="s">
        <v>297</v>
      </c>
      <c r="AD230" s="20" t="str">
        <f>VLOOKUP($C230,'[1]CTRL AUTOS'!$E:$AH,2,0)</f>
        <v>D40BKD</v>
      </c>
      <c r="AE230" s="11" t="str">
        <f t="shared" si="27"/>
        <v>D40BKD15</v>
      </c>
    </row>
    <row r="231" spans="1:31" ht="12.75" hidden="1" customHeight="1" x14ac:dyDescent="0.3">
      <c r="A231" s="8">
        <v>15</v>
      </c>
      <c r="B231" s="20" t="s">
        <v>23</v>
      </c>
      <c r="C231" s="20" t="s">
        <v>75</v>
      </c>
      <c r="D231" s="20" t="s">
        <v>237</v>
      </c>
      <c r="E231" s="22" t="s">
        <v>241</v>
      </c>
      <c r="F231" s="20" t="s">
        <v>232</v>
      </c>
      <c r="G231" s="22" t="s">
        <v>234</v>
      </c>
      <c r="H231" s="23">
        <v>6796</v>
      </c>
      <c r="I231" s="23">
        <v>-85</v>
      </c>
      <c r="J231" s="23">
        <v>0</v>
      </c>
      <c r="K231" s="23">
        <v>0</v>
      </c>
      <c r="L231" s="23">
        <v>-5416</v>
      </c>
      <c r="M231" s="23">
        <v>0</v>
      </c>
      <c r="N231" s="23">
        <v>0</v>
      </c>
      <c r="O231" s="24">
        <f t="shared" si="21"/>
        <v>1295</v>
      </c>
      <c r="P231" s="23">
        <v>-2500</v>
      </c>
      <c r="Q231" s="23">
        <v>0</v>
      </c>
      <c r="R231" s="23">
        <v>-500</v>
      </c>
      <c r="S231" s="23">
        <v>0</v>
      </c>
      <c r="T231" s="23">
        <v>0</v>
      </c>
      <c r="U231" s="23">
        <v>0</v>
      </c>
      <c r="V231" s="23">
        <v>0</v>
      </c>
      <c r="W231" s="23">
        <f t="shared" si="22"/>
        <v>-1705</v>
      </c>
      <c r="X231" s="23">
        <f t="shared" si="23"/>
        <v>0</v>
      </c>
      <c r="Y231" s="23">
        <f t="shared" si="24"/>
        <v>-1705</v>
      </c>
      <c r="Z231" s="23">
        <v>1700</v>
      </c>
      <c r="AA231" s="23">
        <f t="shared" si="25"/>
        <v>-5</v>
      </c>
      <c r="AB231" s="23">
        <f t="shared" si="26"/>
        <v>2990</v>
      </c>
      <c r="AC231" s="20" t="s">
        <v>297</v>
      </c>
      <c r="AD231" s="20" t="str">
        <f>VLOOKUP($C231,'[1]CTRL AUTOS'!$E:$AH,2,0)</f>
        <v>NFN014B</v>
      </c>
      <c r="AE231" s="11" t="str">
        <f t="shared" si="27"/>
        <v>NFN014B15</v>
      </c>
    </row>
    <row r="232" spans="1:31" ht="12.75" hidden="1" customHeight="1" x14ac:dyDescent="0.3">
      <c r="A232" s="8">
        <v>15</v>
      </c>
      <c r="B232" s="20" t="s">
        <v>299</v>
      </c>
      <c r="C232" s="20" t="s">
        <v>40</v>
      </c>
      <c r="D232" s="20" t="s">
        <v>237</v>
      </c>
      <c r="E232" s="22" t="s">
        <v>232</v>
      </c>
      <c r="F232" s="20" t="s">
        <v>232</v>
      </c>
      <c r="G232" s="22" t="s">
        <v>234</v>
      </c>
      <c r="H232" s="23">
        <v>1385</v>
      </c>
      <c r="I232" s="23">
        <v>0</v>
      </c>
      <c r="J232" s="23">
        <v>0</v>
      </c>
      <c r="K232" s="23">
        <v>0</v>
      </c>
      <c r="L232" s="23">
        <v>0</v>
      </c>
      <c r="M232" s="23">
        <v>-25</v>
      </c>
      <c r="N232" s="23">
        <v>0</v>
      </c>
      <c r="O232" s="24">
        <f t="shared" si="21"/>
        <v>1360</v>
      </c>
      <c r="P232" s="23">
        <v>-1249</v>
      </c>
      <c r="Q232" s="23">
        <v>0</v>
      </c>
      <c r="R232" s="23">
        <v>-2000</v>
      </c>
      <c r="S232" s="23">
        <v>0</v>
      </c>
      <c r="T232" s="23">
        <v>0</v>
      </c>
      <c r="U232" s="23">
        <v>0</v>
      </c>
      <c r="V232" s="23">
        <v>0</v>
      </c>
      <c r="W232" s="23">
        <f t="shared" si="22"/>
        <v>-1889</v>
      </c>
      <c r="X232" s="23">
        <f t="shared" si="23"/>
        <v>0</v>
      </c>
      <c r="Y232" s="23">
        <f t="shared" si="24"/>
        <v>-1889</v>
      </c>
      <c r="Z232" s="23">
        <v>2000</v>
      </c>
      <c r="AA232" s="23">
        <f t="shared" si="25"/>
        <v>111</v>
      </c>
      <c r="AB232" s="23">
        <f t="shared" si="26"/>
        <v>3471</v>
      </c>
      <c r="AC232" s="20" t="s">
        <v>300</v>
      </c>
      <c r="AD232" s="20" t="str">
        <f>VLOOKUP($C232,'[1]CTRL AUTOS'!$E:$AH,2,0)</f>
        <v>NEL860A</v>
      </c>
      <c r="AE232" s="11" t="str">
        <f t="shared" si="27"/>
        <v>NEL860A15</v>
      </c>
    </row>
    <row r="233" spans="1:31" ht="12.75" hidden="1" customHeight="1" x14ac:dyDescent="0.3">
      <c r="A233" s="8">
        <v>15</v>
      </c>
      <c r="B233" s="20" t="s">
        <v>258</v>
      </c>
      <c r="C233" s="20" t="s">
        <v>40</v>
      </c>
      <c r="D233" s="25" t="s">
        <v>259</v>
      </c>
      <c r="E233" s="22" t="s">
        <v>232</v>
      </c>
      <c r="F233" s="20" t="s">
        <v>232</v>
      </c>
      <c r="G233" s="22" t="s">
        <v>234</v>
      </c>
      <c r="H233" s="23">
        <v>0</v>
      </c>
      <c r="I233" s="23">
        <v>0</v>
      </c>
      <c r="J233" s="23">
        <v>0</v>
      </c>
      <c r="K233" s="23">
        <v>0</v>
      </c>
      <c r="L233" s="23">
        <v>0</v>
      </c>
      <c r="M233" s="23">
        <v>0</v>
      </c>
      <c r="N233" s="23">
        <v>0</v>
      </c>
      <c r="O233" s="24">
        <f t="shared" si="21"/>
        <v>0</v>
      </c>
      <c r="P233" s="23">
        <v>0</v>
      </c>
      <c r="Q233" s="2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0</v>
      </c>
      <c r="W233" s="23">
        <f t="shared" si="22"/>
        <v>0</v>
      </c>
      <c r="X233" s="23">
        <f t="shared" si="23"/>
        <v>0</v>
      </c>
      <c r="Y233" s="23">
        <f t="shared" si="24"/>
        <v>0</v>
      </c>
      <c r="Z233" s="23">
        <v>0</v>
      </c>
      <c r="AA233" s="23">
        <f t="shared" si="25"/>
        <v>0</v>
      </c>
      <c r="AB233" s="23">
        <f t="shared" si="26"/>
        <v>0</v>
      </c>
      <c r="AC233" s="20"/>
      <c r="AD233" s="20" t="str">
        <f>VLOOKUP($C233,'[1]CTRL AUTOS'!$E:$AH,2,0)</f>
        <v>NEL860A</v>
      </c>
      <c r="AE233" s="11" t="str">
        <f t="shared" si="27"/>
        <v>NEL860A15</v>
      </c>
    </row>
    <row r="234" spans="1:31" ht="12.75" hidden="1" customHeight="1" x14ac:dyDescent="0.3">
      <c r="A234" s="8">
        <v>15</v>
      </c>
      <c r="B234" s="20" t="s">
        <v>264</v>
      </c>
      <c r="C234" s="20" t="s">
        <v>46</v>
      </c>
      <c r="D234" s="20" t="s">
        <v>257</v>
      </c>
      <c r="E234" s="22" t="s">
        <v>232</v>
      </c>
      <c r="F234" s="20" t="s">
        <v>232</v>
      </c>
      <c r="G234" s="22" t="s">
        <v>234</v>
      </c>
      <c r="H234" s="23">
        <v>2577</v>
      </c>
      <c r="I234" s="23">
        <v>0</v>
      </c>
      <c r="J234" s="23">
        <v>0</v>
      </c>
      <c r="K234" s="23">
        <v>0</v>
      </c>
      <c r="L234" s="23">
        <v>-401</v>
      </c>
      <c r="M234" s="23">
        <v>0</v>
      </c>
      <c r="N234" s="23">
        <v>0</v>
      </c>
      <c r="O234" s="24">
        <f t="shared" si="21"/>
        <v>2176</v>
      </c>
      <c r="P234" s="23">
        <v>-2500</v>
      </c>
      <c r="Q234" s="23">
        <v>0</v>
      </c>
      <c r="R234" s="23">
        <v>-500</v>
      </c>
      <c r="S234" s="23">
        <v>-827</v>
      </c>
      <c r="T234" s="23">
        <v>0</v>
      </c>
      <c r="U234" s="23">
        <v>0</v>
      </c>
      <c r="V234" s="23">
        <v>0</v>
      </c>
      <c r="W234" s="23">
        <f t="shared" si="22"/>
        <v>-1651</v>
      </c>
      <c r="X234" s="23">
        <f t="shared" si="23"/>
        <v>0</v>
      </c>
      <c r="Y234" s="23">
        <f t="shared" si="24"/>
        <v>-1651</v>
      </c>
      <c r="Z234" s="23">
        <v>1600</v>
      </c>
      <c r="AA234" s="23">
        <f t="shared" si="25"/>
        <v>-51</v>
      </c>
      <c r="AB234" s="23">
        <f t="shared" si="26"/>
        <v>3725</v>
      </c>
      <c r="AC234" s="20" t="s">
        <v>297</v>
      </c>
      <c r="AD234" s="20" t="str">
        <f>VLOOKUP($C234,'[1]CTRL AUTOS'!$E:$AH,2,0)</f>
        <v>R66BER</v>
      </c>
      <c r="AE234" s="11" t="str">
        <f t="shared" si="27"/>
        <v>R66BER15</v>
      </c>
    </row>
    <row r="235" spans="1:31" ht="12.75" hidden="1" customHeight="1" x14ac:dyDescent="0.3">
      <c r="A235" s="8">
        <v>15</v>
      </c>
      <c r="B235" s="20" t="s">
        <v>260</v>
      </c>
      <c r="C235" s="20" t="s">
        <v>81</v>
      </c>
      <c r="D235" s="20" t="s">
        <v>273</v>
      </c>
      <c r="E235" s="22" t="s">
        <v>232</v>
      </c>
      <c r="F235" s="20" t="s">
        <v>232</v>
      </c>
      <c r="G235" s="22" t="s">
        <v>234</v>
      </c>
      <c r="H235" s="23">
        <v>5220</v>
      </c>
      <c r="I235" s="23">
        <v>-6</v>
      </c>
      <c r="J235" s="23">
        <v>0</v>
      </c>
      <c r="K235" s="23">
        <v>0</v>
      </c>
      <c r="L235" s="23">
        <v>-2022</v>
      </c>
      <c r="M235" s="23">
        <v>-28</v>
      </c>
      <c r="N235" s="23">
        <v>0</v>
      </c>
      <c r="O235" s="24">
        <f t="shared" si="21"/>
        <v>3164</v>
      </c>
      <c r="P235" s="23">
        <v>-2500</v>
      </c>
      <c r="Q235" s="2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0</v>
      </c>
      <c r="W235" s="23">
        <f t="shared" si="22"/>
        <v>664</v>
      </c>
      <c r="X235" s="23">
        <f t="shared" si="23"/>
        <v>664</v>
      </c>
      <c r="Y235" s="23">
        <f t="shared" si="24"/>
        <v>0</v>
      </c>
      <c r="Z235" s="23">
        <v>0</v>
      </c>
      <c r="AA235" s="23">
        <f t="shared" si="25"/>
        <v>0</v>
      </c>
      <c r="AB235" s="23">
        <f t="shared" si="26"/>
        <v>2500</v>
      </c>
      <c r="AC235" s="20"/>
      <c r="AD235" s="20" t="str">
        <f>VLOOKUP($C235,'[1]CTRL AUTOS'!$E:$AH,2,0)</f>
        <v>NLP172B</v>
      </c>
      <c r="AE235" s="11" t="str">
        <f t="shared" si="27"/>
        <v>NLP172B15</v>
      </c>
    </row>
    <row r="236" spans="1:31" ht="12.75" hidden="1" customHeight="1" x14ac:dyDescent="0.3">
      <c r="A236" s="8">
        <v>15</v>
      </c>
      <c r="B236" s="20" t="s">
        <v>72</v>
      </c>
      <c r="C236" s="20" t="s">
        <v>28</v>
      </c>
      <c r="D236" s="20" t="s">
        <v>274</v>
      </c>
      <c r="E236" s="22" t="s">
        <v>232</v>
      </c>
      <c r="F236" s="20" t="s">
        <v>232</v>
      </c>
      <c r="G236" s="22" t="s">
        <v>234</v>
      </c>
      <c r="H236" s="23">
        <v>9091</v>
      </c>
      <c r="I236" s="23">
        <v>-95</v>
      </c>
      <c r="J236" s="23">
        <v>0</v>
      </c>
      <c r="K236" s="23">
        <v>-100</v>
      </c>
      <c r="L236" s="23">
        <v>-4217</v>
      </c>
      <c r="M236" s="23">
        <v>-32</v>
      </c>
      <c r="N236" s="23">
        <v>0</v>
      </c>
      <c r="O236" s="24">
        <f t="shared" si="21"/>
        <v>4647</v>
      </c>
      <c r="P236" s="23">
        <v>-2500</v>
      </c>
      <c r="Q236" s="23">
        <v>-600</v>
      </c>
      <c r="R236" s="23">
        <v>0</v>
      </c>
      <c r="S236" s="23">
        <v>-554.25</v>
      </c>
      <c r="T236" s="23">
        <v>-1000</v>
      </c>
      <c r="U236" s="23">
        <v>0</v>
      </c>
      <c r="V236" s="23">
        <v>0</v>
      </c>
      <c r="W236" s="23">
        <f t="shared" si="22"/>
        <v>-7.25</v>
      </c>
      <c r="X236" s="23">
        <f t="shared" si="23"/>
        <v>0</v>
      </c>
      <c r="Y236" s="23">
        <f t="shared" si="24"/>
        <v>-7.25</v>
      </c>
      <c r="Z236" s="23">
        <v>0</v>
      </c>
      <c r="AA236" s="23">
        <f t="shared" si="25"/>
        <v>-7.25</v>
      </c>
      <c r="AB236" s="23">
        <f t="shared" si="26"/>
        <v>4639.75</v>
      </c>
      <c r="AC236" s="20"/>
      <c r="AD236" s="20" t="str">
        <f>VLOOKUP($C236,'[1]CTRL AUTOS'!$E:$AH,2,0)</f>
        <v>NCT814A</v>
      </c>
      <c r="AE236" s="11" t="str">
        <f t="shared" si="27"/>
        <v>NCT814A15</v>
      </c>
    </row>
    <row r="237" spans="1:31" ht="12.75" hidden="1" customHeight="1" x14ac:dyDescent="0.3">
      <c r="A237" s="8">
        <v>15</v>
      </c>
      <c r="B237" s="20" t="s">
        <v>292</v>
      </c>
      <c r="C237" s="20" t="s">
        <v>52</v>
      </c>
      <c r="D237" s="20" t="s">
        <v>237</v>
      </c>
      <c r="E237" s="22" t="s">
        <v>232</v>
      </c>
      <c r="F237" s="20" t="s">
        <v>232</v>
      </c>
      <c r="G237" s="22" t="s">
        <v>234</v>
      </c>
      <c r="H237" s="23">
        <v>10166</v>
      </c>
      <c r="I237" s="23">
        <v>-54</v>
      </c>
      <c r="J237" s="23">
        <v>0</v>
      </c>
      <c r="K237" s="23">
        <v>0</v>
      </c>
      <c r="L237" s="23">
        <v>-3816</v>
      </c>
      <c r="M237" s="23">
        <v>-20</v>
      </c>
      <c r="N237" s="23">
        <v>0</v>
      </c>
      <c r="O237" s="24">
        <f t="shared" si="21"/>
        <v>6276</v>
      </c>
      <c r="P237" s="23">
        <v>-2500</v>
      </c>
      <c r="Q237" s="23">
        <v>0</v>
      </c>
      <c r="R237" s="23">
        <v>-500</v>
      </c>
      <c r="S237" s="23">
        <v>0</v>
      </c>
      <c r="T237" s="23">
        <v>0</v>
      </c>
      <c r="U237" s="23">
        <v>0</v>
      </c>
      <c r="V237" s="23">
        <v>0</v>
      </c>
      <c r="W237" s="23">
        <f t="shared" si="22"/>
        <v>3276</v>
      </c>
      <c r="X237" s="23">
        <f t="shared" si="23"/>
        <v>3276</v>
      </c>
      <c r="Y237" s="23">
        <f t="shared" si="24"/>
        <v>0</v>
      </c>
      <c r="Z237" s="23">
        <v>0</v>
      </c>
      <c r="AA237" s="23">
        <f t="shared" si="25"/>
        <v>0</v>
      </c>
      <c r="AB237" s="23">
        <f t="shared" si="26"/>
        <v>3000</v>
      </c>
      <c r="AC237" s="20"/>
      <c r="AD237" s="20" t="str">
        <f>VLOOKUP($C237,'[1]CTRL AUTOS'!$E:$AH,2,0)</f>
        <v>A35BHD</v>
      </c>
      <c r="AE237" s="11" t="str">
        <f t="shared" si="27"/>
        <v>A35BHD15</v>
      </c>
    </row>
    <row r="238" spans="1:31" ht="12.75" hidden="1" customHeight="1" x14ac:dyDescent="0.3">
      <c r="A238" s="8">
        <v>15</v>
      </c>
      <c r="B238" s="20" t="s">
        <v>105</v>
      </c>
      <c r="C238" s="20" t="s">
        <v>54</v>
      </c>
      <c r="D238" s="20" t="s">
        <v>237</v>
      </c>
      <c r="E238" s="22" t="s">
        <v>232</v>
      </c>
      <c r="F238" s="20" t="s">
        <v>232</v>
      </c>
      <c r="G238" s="22" t="s">
        <v>234</v>
      </c>
      <c r="H238" s="23">
        <v>0</v>
      </c>
      <c r="I238" s="23">
        <v>0</v>
      </c>
      <c r="J238" s="23">
        <v>0</v>
      </c>
      <c r="K238" s="23">
        <v>0</v>
      </c>
      <c r="L238" s="23">
        <v>0</v>
      </c>
      <c r="M238" s="23">
        <v>0</v>
      </c>
      <c r="N238" s="23">
        <v>0</v>
      </c>
      <c r="O238" s="24">
        <f t="shared" si="21"/>
        <v>0</v>
      </c>
      <c r="P238" s="23">
        <v>-450</v>
      </c>
      <c r="Q238" s="23">
        <v>0</v>
      </c>
      <c r="R238" s="23">
        <v>0</v>
      </c>
      <c r="S238" s="23">
        <v>0</v>
      </c>
      <c r="T238" s="23">
        <v>0</v>
      </c>
      <c r="U238" s="23">
        <v>0</v>
      </c>
      <c r="V238" s="23">
        <v>0</v>
      </c>
      <c r="W238" s="23">
        <f t="shared" si="22"/>
        <v>-450</v>
      </c>
      <c r="X238" s="23">
        <f t="shared" si="23"/>
        <v>0</v>
      </c>
      <c r="Y238" s="23">
        <f t="shared" si="24"/>
        <v>-450</v>
      </c>
      <c r="Z238" s="23">
        <v>450</v>
      </c>
      <c r="AA238" s="23">
        <f t="shared" si="25"/>
        <v>0</v>
      </c>
      <c r="AB238" s="23">
        <f t="shared" si="26"/>
        <v>450</v>
      </c>
      <c r="AC238" s="20" t="s">
        <v>301</v>
      </c>
      <c r="AD238" s="20" t="str">
        <f>VLOOKUP($C238,'[1]CTRL AUTOS'!$E:$AH,2,0)</f>
        <v>NZY685B</v>
      </c>
      <c r="AE238" s="11" t="str">
        <f t="shared" si="27"/>
        <v>NZY685B15</v>
      </c>
    </row>
    <row r="239" spans="1:31" ht="12.75" hidden="1" customHeight="1" x14ac:dyDescent="0.3">
      <c r="A239" s="8">
        <v>15</v>
      </c>
      <c r="B239" s="20" t="s">
        <v>105</v>
      </c>
      <c r="C239" s="20" t="s">
        <v>54</v>
      </c>
      <c r="D239" s="20" t="s">
        <v>237</v>
      </c>
      <c r="E239" s="22" t="s">
        <v>232</v>
      </c>
      <c r="F239" s="20" t="s">
        <v>232</v>
      </c>
      <c r="G239" s="22" t="s">
        <v>234</v>
      </c>
      <c r="H239" s="23">
        <v>674</v>
      </c>
      <c r="I239" s="23">
        <v>0</v>
      </c>
      <c r="J239" s="23">
        <v>0</v>
      </c>
      <c r="K239" s="23">
        <v>0</v>
      </c>
      <c r="L239" s="23">
        <v>-346</v>
      </c>
      <c r="M239" s="23">
        <v>0</v>
      </c>
      <c r="N239" s="23">
        <v>0</v>
      </c>
      <c r="O239" s="24">
        <f t="shared" si="21"/>
        <v>328</v>
      </c>
      <c r="P239" s="23">
        <v>0</v>
      </c>
      <c r="Q239" s="23">
        <v>-2</v>
      </c>
      <c r="R239" s="23">
        <v>0</v>
      </c>
      <c r="S239" s="23">
        <v>0</v>
      </c>
      <c r="T239" s="23">
        <v>0</v>
      </c>
      <c r="U239" s="23">
        <v>0</v>
      </c>
      <c r="V239" s="23">
        <v>0</v>
      </c>
      <c r="W239" s="23">
        <f t="shared" si="22"/>
        <v>326</v>
      </c>
      <c r="X239" s="23">
        <f t="shared" si="23"/>
        <v>326</v>
      </c>
      <c r="Y239" s="23">
        <f t="shared" si="24"/>
        <v>0</v>
      </c>
      <c r="Z239" s="23">
        <v>0</v>
      </c>
      <c r="AA239" s="23">
        <f t="shared" si="25"/>
        <v>0</v>
      </c>
      <c r="AB239" s="23">
        <f t="shared" si="26"/>
        <v>2</v>
      </c>
      <c r="AC239" s="20"/>
      <c r="AD239" s="20" t="str">
        <f>VLOOKUP($C239,'[1]CTRL AUTOS'!$E:$AH,2,0)</f>
        <v>NZY685B</v>
      </c>
      <c r="AE239" s="11" t="str">
        <f t="shared" si="27"/>
        <v>NZY685B15</v>
      </c>
    </row>
    <row r="240" spans="1:31" ht="12.75" hidden="1" customHeight="1" x14ac:dyDescent="0.3">
      <c r="A240" s="8">
        <v>15</v>
      </c>
      <c r="B240" s="20" t="s">
        <v>288</v>
      </c>
      <c r="C240" s="20" t="s">
        <v>56</v>
      </c>
      <c r="D240" s="20" t="s">
        <v>289</v>
      </c>
      <c r="E240" s="22" t="s">
        <v>241</v>
      </c>
      <c r="F240" s="20" t="s">
        <v>232</v>
      </c>
      <c r="G240" s="22" t="s">
        <v>234</v>
      </c>
      <c r="H240" s="23">
        <v>5621</v>
      </c>
      <c r="I240" s="23">
        <v>0</v>
      </c>
      <c r="J240" s="23">
        <v>0</v>
      </c>
      <c r="K240" s="23">
        <v>0</v>
      </c>
      <c r="L240" s="23">
        <v>-2091</v>
      </c>
      <c r="M240" s="23">
        <v>-38</v>
      </c>
      <c r="N240" s="23">
        <v>-539.48</v>
      </c>
      <c r="O240" s="24">
        <f t="shared" si="21"/>
        <v>2952.52</v>
      </c>
      <c r="P240" s="23">
        <v>-2350</v>
      </c>
      <c r="Q240" s="23">
        <v>0</v>
      </c>
      <c r="R240" s="23">
        <v>0</v>
      </c>
      <c r="S240" s="23">
        <v>0</v>
      </c>
      <c r="T240" s="23">
        <v>0</v>
      </c>
      <c r="U240" s="23">
        <v>0</v>
      </c>
      <c r="V240" s="23">
        <v>0</v>
      </c>
      <c r="W240" s="23">
        <f t="shared" si="22"/>
        <v>602.52</v>
      </c>
      <c r="X240" s="23">
        <f t="shared" si="23"/>
        <v>602.52</v>
      </c>
      <c r="Y240" s="23">
        <f t="shared" si="24"/>
        <v>0</v>
      </c>
      <c r="Z240" s="23">
        <v>0</v>
      </c>
      <c r="AA240" s="23">
        <f t="shared" si="25"/>
        <v>0</v>
      </c>
      <c r="AB240" s="23">
        <f t="shared" si="26"/>
        <v>2350</v>
      </c>
      <c r="AC240" s="20"/>
      <c r="AD240" s="20" t="str">
        <f>VLOOKUP($C240,'[1]CTRL AUTOS'!$E:$AH,2,0)</f>
        <v>MYE912A</v>
      </c>
      <c r="AE240" s="11" t="str">
        <f t="shared" si="27"/>
        <v>MYE912A15</v>
      </c>
    </row>
    <row r="241" spans="1:31" ht="12.75" hidden="1" customHeight="1" x14ac:dyDescent="0.3">
      <c r="A241" s="8">
        <v>15</v>
      </c>
      <c r="B241" s="20" t="s">
        <v>244</v>
      </c>
      <c r="C241" s="20" t="s">
        <v>4</v>
      </c>
      <c r="D241" s="20" t="s">
        <v>245</v>
      </c>
      <c r="E241" s="22" t="s">
        <v>232</v>
      </c>
      <c r="F241" s="20" t="s">
        <v>232</v>
      </c>
      <c r="G241" s="22" t="s">
        <v>234</v>
      </c>
      <c r="H241" s="23">
        <v>2145</v>
      </c>
      <c r="I241" s="23">
        <v>0</v>
      </c>
      <c r="J241" s="23">
        <v>0</v>
      </c>
      <c r="K241" s="23">
        <v>0</v>
      </c>
      <c r="L241" s="23">
        <v>-1020</v>
      </c>
      <c r="M241" s="23">
        <v>-32</v>
      </c>
      <c r="N241" s="23">
        <v>0</v>
      </c>
      <c r="O241" s="24">
        <f t="shared" si="21"/>
        <v>1093</v>
      </c>
      <c r="P241" s="23">
        <v>-2500</v>
      </c>
      <c r="Q241" s="23">
        <v>0</v>
      </c>
      <c r="R241" s="23">
        <v>0</v>
      </c>
      <c r="S241" s="23">
        <v>0</v>
      </c>
      <c r="T241" s="23">
        <v>0</v>
      </c>
      <c r="U241" s="23">
        <v>0</v>
      </c>
      <c r="V241" s="23">
        <v>0</v>
      </c>
      <c r="W241" s="23">
        <f t="shared" si="22"/>
        <v>-1407</v>
      </c>
      <c r="X241" s="23">
        <f t="shared" si="23"/>
        <v>0</v>
      </c>
      <c r="Y241" s="23">
        <f t="shared" si="24"/>
        <v>-1407</v>
      </c>
      <c r="Z241" s="23">
        <v>0</v>
      </c>
      <c r="AA241" s="23">
        <f t="shared" si="25"/>
        <v>-1407</v>
      </c>
      <c r="AB241" s="23">
        <f t="shared" si="26"/>
        <v>-314</v>
      </c>
      <c r="AC241" s="20"/>
      <c r="AD241" s="20" t="str">
        <f>VLOOKUP($C241,'[1]CTRL AUTOS'!$E:$AH,2,0)</f>
        <v>N15BKD</v>
      </c>
      <c r="AE241" s="11" t="str">
        <f t="shared" si="27"/>
        <v>N15BKD15</v>
      </c>
    </row>
    <row r="242" spans="1:31" ht="12.75" hidden="1" customHeight="1" x14ac:dyDescent="0.3">
      <c r="A242" s="8">
        <v>15</v>
      </c>
      <c r="B242" s="20" t="s">
        <v>35</v>
      </c>
      <c r="C242" s="20" t="s">
        <v>34</v>
      </c>
      <c r="D242" s="20" t="s">
        <v>285</v>
      </c>
      <c r="E242" s="22" t="s">
        <v>232</v>
      </c>
      <c r="F242" s="20" t="s">
        <v>232</v>
      </c>
      <c r="G242" s="22" t="s">
        <v>234</v>
      </c>
      <c r="H242" s="23">
        <v>7720</v>
      </c>
      <c r="I242" s="23">
        <v>-122</v>
      </c>
      <c r="J242" s="23">
        <v>0</v>
      </c>
      <c r="K242" s="23">
        <v>0</v>
      </c>
      <c r="L242" s="23">
        <v>-5257</v>
      </c>
      <c r="M242" s="23">
        <v>-32</v>
      </c>
      <c r="N242" s="23">
        <v>0</v>
      </c>
      <c r="O242" s="24">
        <f t="shared" si="21"/>
        <v>2309</v>
      </c>
      <c r="P242" s="23">
        <v>-2500</v>
      </c>
      <c r="Q242" s="23">
        <v>0</v>
      </c>
      <c r="R242" s="23">
        <v>0</v>
      </c>
      <c r="S242" s="23">
        <v>0</v>
      </c>
      <c r="T242" s="23">
        <v>0</v>
      </c>
      <c r="U242" s="23">
        <v>0</v>
      </c>
      <c r="V242" s="23">
        <v>0</v>
      </c>
      <c r="W242" s="23">
        <f t="shared" si="22"/>
        <v>-191</v>
      </c>
      <c r="X242" s="23">
        <f t="shared" si="23"/>
        <v>0</v>
      </c>
      <c r="Y242" s="23">
        <f t="shared" si="24"/>
        <v>-191</v>
      </c>
      <c r="Z242" s="23">
        <v>0</v>
      </c>
      <c r="AA242" s="23">
        <f t="shared" si="25"/>
        <v>-191</v>
      </c>
      <c r="AB242" s="23">
        <f t="shared" si="26"/>
        <v>2118</v>
      </c>
      <c r="AC242" s="20"/>
      <c r="AD242" s="20" t="str">
        <f>VLOOKUP($C242,'[1]CTRL AUTOS'!$E:$AH,2,0)</f>
        <v>X59AWG</v>
      </c>
      <c r="AE242" s="11" t="str">
        <f t="shared" si="27"/>
        <v>X59AWG15</v>
      </c>
    </row>
    <row r="243" spans="1:31" ht="12.75" hidden="1" customHeight="1" x14ac:dyDescent="0.3">
      <c r="A243" s="8">
        <v>15</v>
      </c>
      <c r="B243" s="20" t="s">
        <v>37</v>
      </c>
      <c r="C243" s="20" t="s">
        <v>246</v>
      </c>
      <c r="D243" s="20" t="s">
        <v>247</v>
      </c>
      <c r="E243" s="22" t="s">
        <v>232</v>
      </c>
      <c r="F243" s="20" t="s">
        <v>232</v>
      </c>
      <c r="G243" s="22" t="s">
        <v>234</v>
      </c>
      <c r="H243" s="23">
        <v>3162</v>
      </c>
      <c r="I243" s="23">
        <v>0</v>
      </c>
      <c r="J243" s="23">
        <v>0</v>
      </c>
      <c r="K243" s="23">
        <v>0</v>
      </c>
      <c r="L243" s="23">
        <v>-1121</v>
      </c>
      <c r="M243" s="23">
        <v>-25</v>
      </c>
      <c r="N243" s="23">
        <v>0</v>
      </c>
      <c r="O243" s="24">
        <f t="shared" si="21"/>
        <v>2016</v>
      </c>
      <c r="P243" s="23">
        <v>-2500</v>
      </c>
      <c r="Q243" s="23">
        <v>0</v>
      </c>
      <c r="R243" s="23">
        <v>0</v>
      </c>
      <c r="S243" s="23">
        <v>0</v>
      </c>
      <c r="T243" s="23">
        <v>0</v>
      </c>
      <c r="U243" s="23">
        <v>0</v>
      </c>
      <c r="V243" s="23">
        <v>0</v>
      </c>
      <c r="W243" s="23">
        <f t="shared" si="22"/>
        <v>-484</v>
      </c>
      <c r="X243" s="23">
        <f t="shared" si="23"/>
        <v>0</v>
      </c>
      <c r="Y243" s="23">
        <f t="shared" si="24"/>
        <v>-484</v>
      </c>
      <c r="Z243" s="23">
        <v>484</v>
      </c>
      <c r="AA243" s="23">
        <f t="shared" si="25"/>
        <v>0</v>
      </c>
      <c r="AB243" s="23">
        <f t="shared" si="26"/>
        <v>2500</v>
      </c>
      <c r="AC243" s="20"/>
      <c r="AD243" s="20" t="s">
        <v>248</v>
      </c>
      <c r="AE243" s="11" t="str">
        <f t="shared" si="27"/>
        <v>X24APU15</v>
      </c>
    </row>
    <row r="244" spans="1:31" ht="12.75" hidden="1" customHeight="1" x14ac:dyDescent="0.3">
      <c r="A244" s="8">
        <v>15</v>
      </c>
      <c r="B244" s="20" t="s">
        <v>293</v>
      </c>
      <c r="C244" s="20" t="s">
        <v>63</v>
      </c>
      <c r="D244" s="20" t="s">
        <v>237</v>
      </c>
      <c r="E244" s="20" t="s">
        <v>291</v>
      </c>
      <c r="F244" s="20" t="s">
        <v>232</v>
      </c>
      <c r="G244" s="22" t="s">
        <v>234</v>
      </c>
      <c r="H244" s="23">
        <v>4224</v>
      </c>
      <c r="I244" s="23">
        <v>0</v>
      </c>
      <c r="J244" s="23">
        <v>0</v>
      </c>
      <c r="K244" s="23">
        <v>0</v>
      </c>
      <c r="L244" s="23">
        <v>-1606</v>
      </c>
      <c r="M244" s="23">
        <v>-35</v>
      </c>
      <c r="N244" s="23">
        <v>0</v>
      </c>
      <c r="O244" s="24">
        <f t="shared" si="21"/>
        <v>2583</v>
      </c>
      <c r="P244" s="23">
        <v>-2500</v>
      </c>
      <c r="Q244" s="23">
        <v>0</v>
      </c>
      <c r="R244" s="23">
        <v>-500</v>
      </c>
      <c r="S244" s="23">
        <v>0</v>
      </c>
      <c r="T244" s="23">
        <v>0</v>
      </c>
      <c r="U244" s="23">
        <v>0</v>
      </c>
      <c r="V244" s="23">
        <v>0</v>
      </c>
      <c r="W244" s="23">
        <f t="shared" si="22"/>
        <v>-417</v>
      </c>
      <c r="X244" s="23">
        <f t="shared" si="23"/>
        <v>0</v>
      </c>
      <c r="Y244" s="23">
        <f t="shared" si="24"/>
        <v>-417</v>
      </c>
      <c r="Z244" s="23">
        <v>417</v>
      </c>
      <c r="AA244" s="23">
        <f t="shared" si="25"/>
        <v>0</v>
      </c>
      <c r="AB244" s="23">
        <f t="shared" si="26"/>
        <v>3000</v>
      </c>
      <c r="AC244" s="20" t="s">
        <v>297</v>
      </c>
      <c r="AD244" s="20" t="str">
        <f>VLOOKUP($C244,'[1]CTRL AUTOS'!$E:$AH,2,0)</f>
        <v>X89ALV</v>
      </c>
      <c r="AE244" s="11" t="str">
        <f t="shared" si="27"/>
        <v>X89ALV15</v>
      </c>
    </row>
    <row r="245" spans="1:31" ht="12.75" hidden="1" customHeight="1" x14ac:dyDescent="0.3">
      <c r="A245" s="8">
        <v>15</v>
      </c>
      <c r="B245" s="20" t="s">
        <v>45</v>
      </c>
      <c r="C245" s="20" t="s">
        <v>249</v>
      </c>
      <c r="D245" s="20" t="s">
        <v>250</v>
      </c>
      <c r="E245" s="22" t="s">
        <v>232</v>
      </c>
      <c r="F245" s="20" t="s">
        <v>232</v>
      </c>
      <c r="G245" s="22" t="s">
        <v>234</v>
      </c>
      <c r="H245" s="23">
        <v>3060</v>
      </c>
      <c r="I245" s="23">
        <v>-29</v>
      </c>
      <c r="J245" s="23">
        <v>0</v>
      </c>
      <c r="K245" s="23">
        <v>0</v>
      </c>
      <c r="L245" s="23">
        <v>-1712</v>
      </c>
      <c r="M245" s="23">
        <v>-10</v>
      </c>
      <c r="N245" s="23">
        <v>0</v>
      </c>
      <c r="O245" s="24">
        <f t="shared" si="21"/>
        <v>1309</v>
      </c>
      <c r="P245" s="23">
        <v>-2300</v>
      </c>
      <c r="Q245" s="23">
        <v>0</v>
      </c>
      <c r="R245" s="23">
        <v>0</v>
      </c>
      <c r="S245" s="23">
        <v>0</v>
      </c>
      <c r="T245" s="23">
        <v>0</v>
      </c>
      <c r="U245" s="23">
        <v>0</v>
      </c>
      <c r="V245" s="23">
        <v>0</v>
      </c>
      <c r="W245" s="23">
        <f t="shared" si="22"/>
        <v>-991</v>
      </c>
      <c r="X245" s="23">
        <f t="shared" si="23"/>
        <v>0</v>
      </c>
      <c r="Y245" s="23">
        <f t="shared" si="24"/>
        <v>-991</v>
      </c>
      <c r="Z245" s="23">
        <v>991</v>
      </c>
      <c r="AA245" s="23">
        <f t="shared" si="25"/>
        <v>0</v>
      </c>
      <c r="AB245" s="23">
        <f t="shared" si="26"/>
        <v>2300</v>
      </c>
      <c r="AC245" s="23"/>
      <c r="AD245" s="20" t="s">
        <v>251</v>
      </c>
      <c r="AE245" s="11" t="str">
        <f t="shared" si="27"/>
        <v>BAJA DE PLACAS15</v>
      </c>
    </row>
    <row r="246" spans="1:31" ht="12.75" hidden="1" customHeight="1" x14ac:dyDescent="0.3">
      <c r="A246" s="8">
        <v>15</v>
      </c>
      <c r="B246" s="20" t="s">
        <v>5</v>
      </c>
      <c r="C246" s="20" t="s">
        <v>50</v>
      </c>
      <c r="D246" s="20" t="s">
        <v>267</v>
      </c>
      <c r="E246" s="22" t="s">
        <v>232</v>
      </c>
      <c r="F246" s="20" t="s">
        <v>232</v>
      </c>
      <c r="G246" s="22" t="s">
        <v>234</v>
      </c>
      <c r="H246" s="23">
        <v>7091</v>
      </c>
      <c r="I246" s="23">
        <v>-61</v>
      </c>
      <c r="J246" s="23">
        <v>21</v>
      </c>
      <c r="K246" s="23">
        <v>0</v>
      </c>
      <c r="L246" s="23">
        <v>-2102</v>
      </c>
      <c r="M246" s="23">
        <v>-20</v>
      </c>
      <c r="N246" s="23">
        <v>-71</v>
      </c>
      <c r="O246" s="24">
        <f t="shared" si="21"/>
        <v>4858</v>
      </c>
      <c r="P246" s="23">
        <v>-2500</v>
      </c>
      <c r="Q246" s="23">
        <v>0</v>
      </c>
      <c r="R246" s="23">
        <v>-500</v>
      </c>
      <c r="S246" s="23">
        <v>0</v>
      </c>
      <c r="T246" s="23">
        <v>0</v>
      </c>
      <c r="U246" s="23">
        <v>0</v>
      </c>
      <c r="V246" s="23">
        <v>0</v>
      </c>
      <c r="W246" s="23">
        <f t="shared" si="22"/>
        <v>1858</v>
      </c>
      <c r="X246" s="23">
        <f t="shared" si="23"/>
        <v>1858</v>
      </c>
      <c r="Y246" s="23">
        <f t="shared" si="24"/>
        <v>0</v>
      </c>
      <c r="Z246" s="23">
        <v>0</v>
      </c>
      <c r="AA246" s="23">
        <f t="shared" si="25"/>
        <v>0</v>
      </c>
      <c r="AB246" s="23">
        <f t="shared" si="26"/>
        <v>3000</v>
      </c>
      <c r="AC246" s="20"/>
      <c r="AD246" s="20" t="str">
        <f>VLOOKUP($C246,'[1]CTRL AUTOS'!$E:$AH,2,0)</f>
        <v>NBS225A</v>
      </c>
      <c r="AE246" s="11" t="str">
        <f t="shared" si="27"/>
        <v>NBS225A15</v>
      </c>
    </row>
    <row r="247" spans="1:31" ht="12.75" hidden="1" customHeight="1" x14ac:dyDescent="0.3">
      <c r="A247" s="8">
        <v>15</v>
      </c>
      <c r="B247" s="20" t="s">
        <v>294</v>
      </c>
      <c r="C247" s="20" t="s">
        <v>69</v>
      </c>
      <c r="D247" s="20" t="s">
        <v>262</v>
      </c>
      <c r="E247" s="22" t="s">
        <v>241</v>
      </c>
      <c r="F247" s="20" t="s">
        <v>232</v>
      </c>
      <c r="G247" s="22" t="s">
        <v>234</v>
      </c>
      <c r="H247" s="23">
        <v>3503</v>
      </c>
      <c r="I247" s="23">
        <v>0</v>
      </c>
      <c r="J247" s="23">
        <v>0</v>
      </c>
      <c r="K247" s="23">
        <v>0</v>
      </c>
      <c r="L247" s="23">
        <v>-1499</v>
      </c>
      <c r="M247" s="23">
        <v>-20</v>
      </c>
      <c r="N247" s="23">
        <v>-386</v>
      </c>
      <c r="O247" s="24">
        <f t="shared" si="21"/>
        <v>1598</v>
      </c>
      <c r="P247" s="23">
        <v>-2500</v>
      </c>
      <c r="Q247" s="23">
        <v>300</v>
      </c>
      <c r="R247" s="23">
        <v>-500</v>
      </c>
      <c r="S247" s="23">
        <v>0</v>
      </c>
      <c r="T247" s="23">
        <v>0</v>
      </c>
      <c r="U247" s="23">
        <v>0</v>
      </c>
      <c r="V247" s="23">
        <v>0</v>
      </c>
      <c r="W247" s="23">
        <f t="shared" si="22"/>
        <v>-1102</v>
      </c>
      <c r="X247" s="23">
        <f t="shared" si="23"/>
        <v>0</v>
      </c>
      <c r="Y247" s="23">
        <f t="shared" si="24"/>
        <v>-1102</v>
      </c>
      <c r="Z247" s="23">
        <v>1102</v>
      </c>
      <c r="AA247" s="23">
        <f t="shared" si="25"/>
        <v>0</v>
      </c>
      <c r="AB247" s="23">
        <f t="shared" si="26"/>
        <v>2700</v>
      </c>
      <c r="AC247" s="20" t="s">
        <v>297</v>
      </c>
      <c r="AD247" s="20" t="str">
        <f>VLOOKUP($C247,'[1]CTRL AUTOS'!$E:$AH,2,0)</f>
        <v>R51BKD</v>
      </c>
      <c r="AE247" s="11" t="str">
        <f t="shared" si="27"/>
        <v>R51BKD15</v>
      </c>
    </row>
    <row r="248" spans="1:31" ht="12.75" hidden="1" customHeight="1" x14ac:dyDescent="0.3">
      <c r="A248" s="8">
        <v>16</v>
      </c>
      <c r="B248" s="20" t="s">
        <v>80</v>
      </c>
      <c r="C248" s="20" t="s">
        <v>230</v>
      </c>
      <c r="D248" s="20" t="s">
        <v>231</v>
      </c>
      <c r="E248" s="22" t="s">
        <v>232</v>
      </c>
      <c r="F248" s="20" t="s">
        <v>232</v>
      </c>
      <c r="G248" s="22" t="s">
        <v>234</v>
      </c>
      <c r="H248" s="23">
        <v>0</v>
      </c>
      <c r="I248" s="23">
        <v>0</v>
      </c>
      <c r="J248" s="23">
        <v>0</v>
      </c>
      <c r="K248" s="23">
        <v>0</v>
      </c>
      <c r="L248" s="23">
        <v>0</v>
      </c>
      <c r="M248" s="24">
        <v>0</v>
      </c>
      <c r="N248" s="23">
        <v>0</v>
      </c>
      <c r="O248" s="24">
        <f t="shared" si="21"/>
        <v>0</v>
      </c>
      <c r="P248" s="23">
        <v>-2500</v>
      </c>
      <c r="Q248" s="23">
        <v>0</v>
      </c>
      <c r="R248" s="23">
        <v>0</v>
      </c>
      <c r="S248" s="23">
        <v>0</v>
      </c>
      <c r="T248" s="23">
        <v>0</v>
      </c>
      <c r="U248" s="23">
        <v>0</v>
      </c>
      <c r="V248" s="23">
        <v>0</v>
      </c>
      <c r="W248" s="23">
        <f t="shared" si="22"/>
        <v>-2500</v>
      </c>
      <c r="X248" s="23">
        <f t="shared" si="23"/>
        <v>0</v>
      </c>
      <c r="Y248" s="23">
        <f t="shared" si="24"/>
        <v>-2500</v>
      </c>
      <c r="Z248" s="23">
        <v>2500</v>
      </c>
      <c r="AA248" s="23">
        <f t="shared" si="25"/>
        <v>0</v>
      </c>
      <c r="AB248" s="23">
        <f t="shared" si="26"/>
        <v>2500</v>
      </c>
      <c r="AC248" s="20" t="s">
        <v>297</v>
      </c>
      <c r="AD248" s="20" t="s">
        <v>235</v>
      </c>
      <c r="AE248" s="11" t="str">
        <f t="shared" si="27"/>
        <v>NEB156A16</v>
      </c>
    </row>
    <row r="249" spans="1:31" ht="12.75" hidden="1" customHeight="1" x14ac:dyDescent="0.3">
      <c r="A249" s="8">
        <v>16</v>
      </c>
      <c r="B249" s="20" t="s">
        <v>238</v>
      </c>
      <c r="C249" s="20" t="s">
        <v>20</v>
      </c>
      <c r="D249" s="20" t="s">
        <v>239</v>
      </c>
      <c r="E249" s="22" t="s">
        <v>232</v>
      </c>
      <c r="F249" s="20" t="s">
        <v>232</v>
      </c>
      <c r="G249" s="22" t="s">
        <v>234</v>
      </c>
      <c r="H249" s="23">
        <v>4471</v>
      </c>
      <c r="I249" s="23">
        <v>-4</v>
      </c>
      <c r="J249" s="23">
        <v>0</v>
      </c>
      <c r="K249" s="23">
        <v>0</v>
      </c>
      <c r="L249" s="23">
        <v>-2866</v>
      </c>
      <c r="M249" s="24">
        <v>-25</v>
      </c>
      <c r="N249" s="23">
        <v>0</v>
      </c>
      <c r="O249" s="24">
        <f t="shared" si="21"/>
        <v>1576</v>
      </c>
      <c r="P249" s="23">
        <v>-2500</v>
      </c>
      <c r="Q249" s="23">
        <v>-3</v>
      </c>
      <c r="R249" s="23">
        <v>0</v>
      </c>
      <c r="S249" s="23">
        <v>0</v>
      </c>
      <c r="T249" s="23">
        <v>0</v>
      </c>
      <c r="U249" s="23">
        <v>0</v>
      </c>
      <c r="V249" s="23">
        <v>0</v>
      </c>
      <c r="W249" s="23">
        <f t="shared" si="22"/>
        <v>-927</v>
      </c>
      <c r="X249" s="23">
        <f t="shared" si="23"/>
        <v>0</v>
      </c>
      <c r="Y249" s="23">
        <f t="shared" si="24"/>
        <v>-927</v>
      </c>
      <c r="Z249" s="23">
        <v>900</v>
      </c>
      <c r="AA249" s="23">
        <f t="shared" si="25"/>
        <v>-27</v>
      </c>
      <c r="AB249" s="23">
        <f t="shared" si="26"/>
        <v>2449</v>
      </c>
      <c r="AC249" s="20" t="s">
        <v>297</v>
      </c>
      <c r="AD249" s="20" t="str">
        <f>VLOOKUP($C249,'[1]CTRL AUTOS'!$E:$AH,2,0)</f>
        <v>D40BKD</v>
      </c>
      <c r="AE249" s="11" t="str">
        <f t="shared" si="27"/>
        <v>D40BKD16</v>
      </c>
    </row>
    <row r="250" spans="1:31" ht="12.75" hidden="1" customHeight="1" x14ac:dyDescent="0.3">
      <c r="A250" s="8">
        <v>16</v>
      </c>
      <c r="B250" s="20" t="s">
        <v>23</v>
      </c>
      <c r="C250" s="20" t="s">
        <v>22</v>
      </c>
      <c r="D250" s="20" t="s">
        <v>237</v>
      </c>
      <c r="E250" s="22" t="s">
        <v>232</v>
      </c>
      <c r="F250" s="20" t="s">
        <v>232</v>
      </c>
      <c r="G250" s="22" t="s">
        <v>234</v>
      </c>
      <c r="H250" s="23">
        <v>3784</v>
      </c>
      <c r="I250" s="23">
        <v>0</v>
      </c>
      <c r="J250" s="23">
        <v>0</v>
      </c>
      <c r="K250" s="23">
        <v>0</v>
      </c>
      <c r="L250" s="23">
        <v>-3636</v>
      </c>
      <c r="M250" s="24">
        <v>0</v>
      </c>
      <c r="N250" s="23">
        <v>0</v>
      </c>
      <c r="O250" s="24">
        <f t="shared" si="21"/>
        <v>148</v>
      </c>
      <c r="P250" s="23">
        <v>-2500</v>
      </c>
      <c r="Q250" s="23">
        <v>-5</v>
      </c>
      <c r="R250" s="23">
        <v>-500</v>
      </c>
      <c r="S250" s="23">
        <v>0</v>
      </c>
      <c r="T250" s="23">
        <v>0</v>
      </c>
      <c r="U250" s="23">
        <v>0</v>
      </c>
      <c r="V250" s="23">
        <v>0</v>
      </c>
      <c r="W250" s="23">
        <f t="shared" si="22"/>
        <v>-2857</v>
      </c>
      <c r="X250" s="23">
        <f t="shared" si="23"/>
        <v>0</v>
      </c>
      <c r="Y250" s="23">
        <f t="shared" si="24"/>
        <v>-2857</v>
      </c>
      <c r="Z250" s="23">
        <v>2850</v>
      </c>
      <c r="AA250" s="23">
        <f t="shared" si="25"/>
        <v>-7</v>
      </c>
      <c r="AB250" s="23">
        <f t="shared" si="26"/>
        <v>2991</v>
      </c>
      <c r="AC250" s="20" t="s">
        <v>297</v>
      </c>
      <c r="AD250" s="20" t="str">
        <f>VLOOKUP($C250,'[1]CTRL AUTOS'!$E:$AH,2,0)</f>
        <v>NCK475B</v>
      </c>
      <c r="AE250" s="11" t="str">
        <f t="shared" si="27"/>
        <v>NCK475B16</v>
      </c>
    </row>
    <row r="251" spans="1:31" ht="12.75" hidden="1" customHeight="1" x14ac:dyDescent="0.3">
      <c r="A251" s="8">
        <v>16</v>
      </c>
      <c r="B251" s="20" t="s">
        <v>299</v>
      </c>
      <c r="C251" s="20" t="s">
        <v>40</v>
      </c>
      <c r="D251" s="20" t="s">
        <v>237</v>
      </c>
      <c r="E251" s="22" t="s">
        <v>232</v>
      </c>
      <c r="F251" s="20" t="s">
        <v>232</v>
      </c>
      <c r="G251" s="22" t="s">
        <v>234</v>
      </c>
      <c r="H251" s="23">
        <v>5086</v>
      </c>
      <c r="I251" s="23">
        <v>-138</v>
      </c>
      <c r="J251" s="23">
        <v>0</v>
      </c>
      <c r="K251" s="23">
        <v>0</v>
      </c>
      <c r="L251" s="23">
        <v>-2196</v>
      </c>
      <c r="M251" s="24">
        <v>-22</v>
      </c>
      <c r="N251" s="23">
        <v>0</v>
      </c>
      <c r="O251" s="24">
        <f t="shared" si="21"/>
        <v>2730</v>
      </c>
      <c r="P251" s="23">
        <v>-2500</v>
      </c>
      <c r="Q251" s="23">
        <v>-300</v>
      </c>
      <c r="R251" s="23">
        <v>-500</v>
      </c>
      <c r="S251" s="23">
        <v>0</v>
      </c>
      <c r="T251" s="23">
        <v>0</v>
      </c>
      <c r="U251" s="23">
        <v>0</v>
      </c>
      <c r="V251" s="23">
        <v>0</v>
      </c>
      <c r="W251" s="23">
        <f t="shared" si="22"/>
        <v>-570</v>
      </c>
      <c r="X251" s="23">
        <f t="shared" si="23"/>
        <v>0</v>
      </c>
      <c r="Y251" s="23">
        <f t="shared" si="24"/>
        <v>-570</v>
      </c>
      <c r="Z251" s="23">
        <v>570</v>
      </c>
      <c r="AA251" s="23">
        <f t="shared" si="25"/>
        <v>0</v>
      </c>
      <c r="AB251" s="23">
        <f t="shared" si="26"/>
        <v>3300</v>
      </c>
      <c r="AC251" s="20" t="s">
        <v>297</v>
      </c>
      <c r="AD251" s="20" t="str">
        <f>VLOOKUP($C251,'[1]CTRL AUTOS'!$E:$AH,2,0)</f>
        <v>NEL860A</v>
      </c>
      <c r="AE251" s="11" t="str">
        <f t="shared" si="27"/>
        <v>NEL860A16</v>
      </c>
    </row>
    <row r="252" spans="1:31" ht="12.75" hidden="1" customHeight="1" x14ac:dyDescent="0.3">
      <c r="A252" s="8">
        <v>16</v>
      </c>
      <c r="B252" s="20" t="s">
        <v>258</v>
      </c>
      <c r="C252" s="20" t="s">
        <v>40</v>
      </c>
      <c r="D252" s="25" t="s">
        <v>259</v>
      </c>
      <c r="E252" s="22" t="s">
        <v>232</v>
      </c>
      <c r="F252" s="20" t="s">
        <v>232</v>
      </c>
      <c r="G252" s="22" t="s">
        <v>234</v>
      </c>
      <c r="H252" s="23">
        <v>0</v>
      </c>
      <c r="I252" s="23">
        <v>0</v>
      </c>
      <c r="J252" s="23">
        <v>0</v>
      </c>
      <c r="K252" s="23">
        <v>0</v>
      </c>
      <c r="L252" s="23">
        <v>0</v>
      </c>
      <c r="M252" s="24">
        <v>0</v>
      </c>
      <c r="N252" s="23">
        <v>0</v>
      </c>
      <c r="O252" s="24">
        <f t="shared" si="21"/>
        <v>0</v>
      </c>
      <c r="P252" s="23">
        <v>0</v>
      </c>
      <c r="Q252" s="23">
        <v>0</v>
      </c>
      <c r="R252" s="23">
        <v>500</v>
      </c>
      <c r="S252" s="23">
        <v>0</v>
      </c>
      <c r="T252" s="23">
        <v>0</v>
      </c>
      <c r="U252" s="23">
        <v>0</v>
      </c>
      <c r="V252" s="23">
        <v>0</v>
      </c>
      <c r="W252" s="23">
        <f t="shared" si="22"/>
        <v>500</v>
      </c>
      <c r="X252" s="23">
        <f t="shared" si="23"/>
        <v>500</v>
      </c>
      <c r="Y252" s="23">
        <f t="shared" si="24"/>
        <v>0</v>
      </c>
      <c r="Z252" s="23">
        <v>0</v>
      </c>
      <c r="AA252" s="23">
        <f t="shared" si="25"/>
        <v>0</v>
      </c>
      <c r="AB252" s="23">
        <f t="shared" si="26"/>
        <v>-500</v>
      </c>
      <c r="AC252" s="20" t="s">
        <v>302</v>
      </c>
      <c r="AD252" s="20" t="str">
        <f>VLOOKUP($C252,'[1]CTRL AUTOS'!$E:$AH,2,0)</f>
        <v>NEL860A</v>
      </c>
      <c r="AE252" s="11" t="str">
        <f t="shared" si="27"/>
        <v>NEL860A16</v>
      </c>
    </row>
    <row r="253" spans="1:31" ht="12.75" hidden="1" customHeight="1" x14ac:dyDescent="0.3">
      <c r="A253" s="8">
        <v>16</v>
      </c>
      <c r="B253" s="20" t="s">
        <v>264</v>
      </c>
      <c r="C253" s="20" t="s">
        <v>46</v>
      </c>
      <c r="D253" s="20" t="s">
        <v>257</v>
      </c>
      <c r="E253" s="22" t="s">
        <v>232</v>
      </c>
      <c r="F253" s="20" t="s">
        <v>232</v>
      </c>
      <c r="G253" s="22" t="s">
        <v>234</v>
      </c>
      <c r="H253" s="23">
        <v>0</v>
      </c>
      <c r="I253" s="23">
        <v>0</v>
      </c>
      <c r="J253" s="23">
        <v>0</v>
      </c>
      <c r="K253" s="23">
        <v>0</v>
      </c>
      <c r="L253" s="23">
        <v>0</v>
      </c>
      <c r="M253" s="24">
        <v>0</v>
      </c>
      <c r="N253" s="23">
        <v>-24</v>
      </c>
      <c r="O253" s="24">
        <f t="shared" si="21"/>
        <v>-24</v>
      </c>
      <c r="P253" s="23">
        <v>-1071</v>
      </c>
      <c r="Q253" s="23">
        <v>-610</v>
      </c>
      <c r="R253" s="23">
        <v>0</v>
      </c>
      <c r="S253" s="23">
        <v>0</v>
      </c>
      <c r="T253" s="23">
        <v>0</v>
      </c>
      <c r="U253" s="23">
        <v>0</v>
      </c>
      <c r="V253" s="23">
        <v>0</v>
      </c>
      <c r="W253" s="23">
        <f t="shared" si="22"/>
        <v>-1705</v>
      </c>
      <c r="X253" s="23">
        <f t="shared" si="23"/>
        <v>0</v>
      </c>
      <c r="Y253" s="23">
        <f t="shared" si="24"/>
        <v>-1705</v>
      </c>
      <c r="Z253" s="23">
        <v>0</v>
      </c>
      <c r="AA253" s="23">
        <f t="shared" si="25"/>
        <v>-1705</v>
      </c>
      <c r="AB253" s="23">
        <f t="shared" si="26"/>
        <v>-1729</v>
      </c>
      <c r="AC253" s="20"/>
      <c r="AD253" s="20" t="str">
        <f>VLOOKUP($C253,'[1]CTRL AUTOS'!$E:$AH,2,0)</f>
        <v>R66BER</v>
      </c>
      <c r="AE253" s="11" t="str">
        <f t="shared" si="27"/>
        <v>R66BER16</v>
      </c>
    </row>
    <row r="254" spans="1:31" ht="12.75" hidden="1" customHeight="1" x14ac:dyDescent="0.3">
      <c r="A254" s="8">
        <v>16</v>
      </c>
      <c r="B254" s="20" t="s">
        <v>260</v>
      </c>
      <c r="C254" s="20" t="s">
        <v>81</v>
      </c>
      <c r="D254" s="20" t="s">
        <v>273</v>
      </c>
      <c r="E254" s="22" t="s">
        <v>232</v>
      </c>
      <c r="F254" s="20" t="s">
        <v>232</v>
      </c>
      <c r="G254" s="22" t="s">
        <v>234</v>
      </c>
      <c r="H254" s="23">
        <v>6063</v>
      </c>
      <c r="I254" s="23">
        <v>0</v>
      </c>
      <c r="J254" s="23">
        <v>0</v>
      </c>
      <c r="K254" s="23">
        <v>0</v>
      </c>
      <c r="L254" s="23">
        <v>-1593</v>
      </c>
      <c r="M254" s="24">
        <v>-22</v>
      </c>
      <c r="N254" s="23">
        <v>0</v>
      </c>
      <c r="O254" s="24">
        <f t="shared" si="21"/>
        <v>4448</v>
      </c>
      <c r="P254" s="23">
        <v>-2500</v>
      </c>
      <c r="Q254" s="23">
        <v>0</v>
      </c>
      <c r="R254" s="23">
        <v>0</v>
      </c>
      <c r="S254" s="23">
        <v>0</v>
      </c>
      <c r="T254" s="23">
        <v>0</v>
      </c>
      <c r="U254" s="23">
        <v>0</v>
      </c>
      <c r="V254" s="23">
        <v>0</v>
      </c>
      <c r="W254" s="23">
        <f t="shared" si="22"/>
        <v>1948</v>
      </c>
      <c r="X254" s="23">
        <f t="shared" si="23"/>
        <v>1948</v>
      </c>
      <c r="Y254" s="23">
        <f t="shared" si="24"/>
        <v>0</v>
      </c>
      <c r="Z254" s="23">
        <v>0</v>
      </c>
      <c r="AA254" s="23">
        <f t="shared" si="25"/>
        <v>0</v>
      </c>
      <c r="AB254" s="23">
        <f t="shared" si="26"/>
        <v>2500</v>
      </c>
      <c r="AC254" s="20" t="s">
        <v>303</v>
      </c>
      <c r="AD254" s="20" t="str">
        <f>VLOOKUP($C254,'[1]CTRL AUTOS'!$E:$AH,2,0)</f>
        <v>NLP172B</v>
      </c>
      <c r="AE254" s="11" t="str">
        <f t="shared" si="27"/>
        <v>NLP172B16</v>
      </c>
    </row>
    <row r="255" spans="1:31" ht="12.75" hidden="1" customHeight="1" x14ac:dyDescent="0.3">
      <c r="A255" s="8">
        <v>16</v>
      </c>
      <c r="B255" s="20" t="s">
        <v>72</v>
      </c>
      <c r="C255" s="20" t="s">
        <v>54</v>
      </c>
      <c r="D255" s="20" t="s">
        <v>274</v>
      </c>
      <c r="E255" s="22" t="s">
        <v>232</v>
      </c>
      <c r="F255" s="20" t="s">
        <v>232</v>
      </c>
      <c r="G255" s="22" t="s">
        <v>234</v>
      </c>
      <c r="H255" s="23">
        <v>10962</v>
      </c>
      <c r="I255" s="23">
        <v>-162</v>
      </c>
      <c r="J255" s="23">
        <v>0</v>
      </c>
      <c r="K255" s="23">
        <v>-120</v>
      </c>
      <c r="L255" s="23">
        <v>-4953</v>
      </c>
      <c r="M255" s="24">
        <v>-27</v>
      </c>
      <c r="N255" s="23">
        <v>0</v>
      </c>
      <c r="O255" s="24">
        <f t="shared" si="21"/>
        <v>5700</v>
      </c>
      <c r="P255" s="23">
        <v>-2500</v>
      </c>
      <c r="Q255" s="23">
        <v>-407</v>
      </c>
      <c r="R255" s="23">
        <v>0</v>
      </c>
      <c r="S255" s="23">
        <v>-554</v>
      </c>
      <c r="T255" s="23">
        <v>-1000</v>
      </c>
      <c r="U255" s="23">
        <v>0</v>
      </c>
      <c r="V255" s="23">
        <v>0</v>
      </c>
      <c r="W255" s="23">
        <f t="shared" si="22"/>
        <v>1239</v>
      </c>
      <c r="X255" s="23">
        <f t="shared" si="23"/>
        <v>1239</v>
      </c>
      <c r="Y255" s="23">
        <f t="shared" si="24"/>
        <v>0</v>
      </c>
      <c r="Z255" s="23">
        <v>0</v>
      </c>
      <c r="AA255" s="23">
        <f t="shared" si="25"/>
        <v>0</v>
      </c>
      <c r="AB255" s="23">
        <f t="shared" si="26"/>
        <v>4461</v>
      </c>
      <c r="AC255" s="20" t="s">
        <v>303</v>
      </c>
      <c r="AD255" s="20" t="str">
        <f>VLOOKUP($C255,'[1]CTRL AUTOS'!$E:$AH,2,0)</f>
        <v>NZY685B</v>
      </c>
      <c r="AE255" s="11" t="str">
        <f t="shared" si="27"/>
        <v>NZY685B16</v>
      </c>
    </row>
    <row r="256" spans="1:31" ht="12.75" hidden="1" customHeight="1" x14ac:dyDescent="0.3">
      <c r="A256" s="8">
        <v>16</v>
      </c>
      <c r="B256" s="20" t="s">
        <v>292</v>
      </c>
      <c r="C256" s="20" t="s">
        <v>52</v>
      </c>
      <c r="D256" s="20" t="s">
        <v>237</v>
      </c>
      <c r="E256" s="22" t="s">
        <v>232</v>
      </c>
      <c r="F256" s="20" t="s">
        <v>232</v>
      </c>
      <c r="G256" s="22" t="s">
        <v>234</v>
      </c>
      <c r="H256" s="23">
        <v>8962</v>
      </c>
      <c r="I256" s="23">
        <v>-110</v>
      </c>
      <c r="J256" s="23">
        <v>0</v>
      </c>
      <c r="K256" s="23">
        <v>0</v>
      </c>
      <c r="L256" s="23">
        <v>-2296</v>
      </c>
      <c r="M256" s="24">
        <v>-38</v>
      </c>
      <c r="N256" s="23">
        <v>0</v>
      </c>
      <c r="O256" s="24">
        <f t="shared" si="21"/>
        <v>6518</v>
      </c>
      <c r="P256" s="23">
        <v>-2500</v>
      </c>
      <c r="Q256" s="23">
        <v>65</v>
      </c>
      <c r="R256" s="23">
        <v>-500</v>
      </c>
      <c r="S256" s="23">
        <v>0</v>
      </c>
      <c r="T256" s="23">
        <v>0</v>
      </c>
      <c r="U256" s="23">
        <v>0</v>
      </c>
      <c r="V256" s="23">
        <v>0</v>
      </c>
      <c r="W256" s="23">
        <f t="shared" si="22"/>
        <v>3583</v>
      </c>
      <c r="X256" s="23">
        <f t="shared" si="23"/>
        <v>3583</v>
      </c>
      <c r="Y256" s="23">
        <f t="shared" si="24"/>
        <v>0</v>
      </c>
      <c r="Z256" s="23">
        <v>0</v>
      </c>
      <c r="AA256" s="23">
        <f t="shared" si="25"/>
        <v>0</v>
      </c>
      <c r="AB256" s="23">
        <f t="shared" si="26"/>
        <v>2935</v>
      </c>
      <c r="AC256" s="20" t="s">
        <v>304</v>
      </c>
      <c r="AD256" s="20" t="str">
        <f>VLOOKUP($C256,'[1]CTRL AUTOS'!$E:$AH,2,0)</f>
        <v>A35BHD</v>
      </c>
      <c r="AE256" s="11" t="str">
        <f t="shared" si="27"/>
        <v>A35BHD16</v>
      </c>
    </row>
    <row r="257" spans="1:31" ht="12.75" hidden="1" customHeight="1" x14ac:dyDescent="0.3">
      <c r="A257" s="8">
        <v>16</v>
      </c>
      <c r="B257" s="20" t="s">
        <v>105</v>
      </c>
      <c r="C257" s="20" t="s">
        <v>75</v>
      </c>
      <c r="D257" s="20" t="s">
        <v>237</v>
      </c>
      <c r="E257" s="22" t="s">
        <v>241</v>
      </c>
      <c r="F257" s="20" t="s">
        <v>232</v>
      </c>
      <c r="G257" s="22" t="s">
        <v>234</v>
      </c>
      <c r="H257" s="23">
        <v>0</v>
      </c>
      <c r="I257" s="23">
        <v>0</v>
      </c>
      <c r="J257" s="23">
        <v>0</v>
      </c>
      <c r="K257" s="23">
        <v>0</v>
      </c>
      <c r="L257" s="23">
        <v>0</v>
      </c>
      <c r="M257" s="24">
        <v>0</v>
      </c>
      <c r="N257" s="23">
        <v>0</v>
      </c>
      <c r="O257" s="24">
        <f t="shared" si="21"/>
        <v>0</v>
      </c>
      <c r="P257" s="23">
        <v>-4030</v>
      </c>
      <c r="Q257" s="23">
        <v>0</v>
      </c>
      <c r="R257" s="23">
        <v>0</v>
      </c>
      <c r="S257" s="23">
        <v>0</v>
      </c>
      <c r="T257" s="23">
        <v>0</v>
      </c>
      <c r="U257" s="23">
        <v>0</v>
      </c>
      <c r="V257" s="23">
        <v>0</v>
      </c>
      <c r="W257" s="23">
        <f t="shared" si="22"/>
        <v>-4030</v>
      </c>
      <c r="X257" s="23">
        <f t="shared" si="23"/>
        <v>0</v>
      </c>
      <c r="Y257" s="23">
        <f t="shared" si="24"/>
        <v>-4030</v>
      </c>
      <c r="Z257" s="23">
        <v>4030</v>
      </c>
      <c r="AA257" s="23">
        <f t="shared" si="25"/>
        <v>0</v>
      </c>
      <c r="AB257" s="23">
        <f t="shared" si="26"/>
        <v>4030</v>
      </c>
      <c r="AC257" s="20" t="s">
        <v>301</v>
      </c>
      <c r="AD257" s="20" t="str">
        <f>VLOOKUP($C257,'[1]CTRL AUTOS'!$E:$AH,2,0)</f>
        <v>NFN014B</v>
      </c>
      <c r="AE257" s="11" t="str">
        <f t="shared" si="27"/>
        <v>NFN014B16</v>
      </c>
    </row>
    <row r="258" spans="1:31" ht="12.75" hidden="1" customHeight="1" x14ac:dyDescent="0.3">
      <c r="A258" s="8">
        <v>16</v>
      </c>
      <c r="B258" s="20" t="s">
        <v>288</v>
      </c>
      <c r="C258" s="20" t="s">
        <v>56</v>
      </c>
      <c r="D258" s="20" t="s">
        <v>289</v>
      </c>
      <c r="E258" s="22" t="s">
        <v>241</v>
      </c>
      <c r="F258" s="20" t="s">
        <v>232</v>
      </c>
      <c r="G258" s="22" t="s">
        <v>234</v>
      </c>
      <c r="H258" s="23">
        <v>9382</v>
      </c>
      <c r="I258" s="23">
        <v>-98</v>
      </c>
      <c r="J258" s="23">
        <v>0</v>
      </c>
      <c r="K258" s="23">
        <v>0</v>
      </c>
      <c r="L258" s="23">
        <v>-3893</v>
      </c>
      <c r="M258" s="24">
        <v>-32</v>
      </c>
      <c r="N258" s="23">
        <v>0</v>
      </c>
      <c r="O258" s="24">
        <f t="shared" si="21"/>
        <v>5359</v>
      </c>
      <c r="P258" s="23">
        <v>-2350</v>
      </c>
      <c r="Q258" s="23">
        <v>0</v>
      </c>
      <c r="R258" s="23">
        <v>-500</v>
      </c>
      <c r="S258" s="23">
        <v>0</v>
      </c>
      <c r="T258" s="23">
        <v>0</v>
      </c>
      <c r="U258" s="23">
        <v>0</v>
      </c>
      <c r="V258" s="23">
        <v>0</v>
      </c>
      <c r="W258" s="23">
        <f t="shared" si="22"/>
        <v>2509</v>
      </c>
      <c r="X258" s="23">
        <f t="shared" si="23"/>
        <v>2509</v>
      </c>
      <c r="Y258" s="23">
        <f t="shared" si="24"/>
        <v>0</v>
      </c>
      <c r="Z258" s="23">
        <v>0</v>
      </c>
      <c r="AA258" s="23">
        <f t="shared" si="25"/>
        <v>0</v>
      </c>
      <c r="AB258" s="23">
        <f t="shared" si="26"/>
        <v>2850</v>
      </c>
      <c r="AC258" s="20" t="s">
        <v>304</v>
      </c>
      <c r="AD258" s="20" t="str">
        <f>VLOOKUP($C258,'[1]CTRL AUTOS'!$E:$AH,2,0)</f>
        <v>MYE912A</v>
      </c>
      <c r="AE258" s="11" t="str">
        <f t="shared" si="27"/>
        <v>MYE912A16</v>
      </c>
    </row>
    <row r="259" spans="1:31" ht="12.75" hidden="1" customHeight="1" x14ac:dyDescent="0.3">
      <c r="A259" s="8">
        <v>16</v>
      </c>
      <c r="B259" s="20" t="s">
        <v>244</v>
      </c>
      <c r="C259" s="20" t="s">
        <v>4</v>
      </c>
      <c r="D259" s="20" t="s">
        <v>245</v>
      </c>
      <c r="E259" s="22" t="s">
        <v>232</v>
      </c>
      <c r="F259" s="20" t="s">
        <v>232</v>
      </c>
      <c r="G259" s="22" t="s">
        <v>234</v>
      </c>
      <c r="H259" s="23">
        <v>3391</v>
      </c>
      <c r="I259" s="23">
        <v>0</v>
      </c>
      <c r="J259" s="23">
        <v>0</v>
      </c>
      <c r="K259" s="23">
        <v>0</v>
      </c>
      <c r="L259" s="23">
        <v>-1912</v>
      </c>
      <c r="M259" s="24">
        <v>-30</v>
      </c>
      <c r="N259" s="23">
        <v>0</v>
      </c>
      <c r="O259" s="24">
        <f t="shared" ref="O259:O322" si="28">SUM(H259:N259)</f>
        <v>1449</v>
      </c>
      <c r="P259" s="23">
        <v>-2500</v>
      </c>
      <c r="Q259" s="23">
        <v>-1407</v>
      </c>
      <c r="R259" s="23">
        <v>0</v>
      </c>
      <c r="S259" s="23">
        <v>0</v>
      </c>
      <c r="T259" s="23">
        <v>0</v>
      </c>
      <c r="U259" s="23">
        <v>0</v>
      </c>
      <c r="V259" s="23">
        <v>0</v>
      </c>
      <c r="W259" s="23">
        <f t="shared" ref="W259:W322" si="29">+O259+SUM(P259:V259)</f>
        <v>-2458</v>
      </c>
      <c r="X259" s="23">
        <f t="shared" ref="X259:X322" si="30">IF(W259&gt;=0,W259,0)</f>
        <v>0</v>
      </c>
      <c r="Y259" s="23">
        <f t="shared" ref="Y259:Y322" si="31">IF(W259&lt;=0,W259,0)</f>
        <v>-2458</v>
      </c>
      <c r="Z259" s="23">
        <v>0</v>
      </c>
      <c r="AA259" s="23">
        <f t="shared" ref="AA259:AA322" si="32">+Y259+Z259</f>
        <v>-2458</v>
      </c>
      <c r="AB259" s="23">
        <f t="shared" ref="AB259:AB322" si="33">+O259-X259+Z259+AA259</f>
        <v>-1009</v>
      </c>
      <c r="AC259" s="20"/>
      <c r="AD259" s="20" t="str">
        <f>VLOOKUP($C259,'[1]CTRL AUTOS'!$E:$AH,2,0)</f>
        <v>N15BKD</v>
      </c>
      <c r="AE259" s="11" t="str">
        <f t="shared" si="27"/>
        <v>N15BKD16</v>
      </c>
    </row>
    <row r="260" spans="1:31" ht="12.75" hidden="1" customHeight="1" x14ac:dyDescent="0.3">
      <c r="A260" s="8">
        <v>16</v>
      </c>
      <c r="B260" s="20" t="s">
        <v>35</v>
      </c>
      <c r="C260" s="20" t="s">
        <v>34</v>
      </c>
      <c r="D260" s="20" t="s">
        <v>285</v>
      </c>
      <c r="E260" s="22" t="s">
        <v>232</v>
      </c>
      <c r="F260" s="20" t="s">
        <v>232</v>
      </c>
      <c r="G260" s="22" t="s">
        <v>234</v>
      </c>
      <c r="H260" s="23">
        <v>7980</v>
      </c>
      <c r="I260" s="23">
        <v>-160</v>
      </c>
      <c r="J260" s="23">
        <v>0</v>
      </c>
      <c r="K260" s="23">
        <v>0</v>
      </c>
      <c r="L260" s="23">
        <v>-4870</v>
      </c>
      <c r="M260" s="24">
        <v>-20</v>
      </c>
      <c r="N260" s="23">
        <v>0</v>
      </c>
      <c r="O260" s="24">
        <f t="shared" si="28"/>
        <v>2930</v>
      </c>
      <c r="P260" s="23">
        <v>-2500</v>
      </c>
      <c r="Q260" s="23">
        <v>-191</v>
      </c>
      <c r="R260" s="23">
        <v>0</v>
      </c>
      <c r="S260" s="23">
        <v>0</v>
      </c>
      <c r="T260" s="23">
        <v>0</v>
      </c>
      <c r="U260" s="23">
        <v>0</v>
      </c>
      <c r="V260" s="23">
        <v>0</v>
      </c>
      <c r="W260" s="23">
        <f t="shared" si="29"/>
        <v>239</v>
      </c>
      <c r="X260" s="23">
        <f t="shared" si="30"/>
        <v>239</v>
      </c>
      <c r="Y260" s="23">
        <f t="shared" si="31"/>
        <v>0</v>
      </c>
      <c r="Z260" s="23">
        <v>0</v>
      </c>
      <c r="AA260" s="23">
        <f t="shared" si="32"/>
        <v>0</v>
      </c>
      <c r="AB260" s="23">
        <f t="shared" si="33"/>
        <v>2691</v>
      </c>
      <c r="AC260" s="20" t="s">
        <v>305</v>
      </c>
      <c r="AD260" s="20" t="str">
        <f>VLOOKUP($C260,'[1]CTRL AUTOS'!$E:$AH,2,0)</f>
        <v>X59AWG</v>
      </c>
      <c r="AE260" s="11" t="str">
        <f t="shared" ref="AE260:AE323" si="34">AD260&amp;A260</f>
        <v>X59AWG16</v>
      </c>
    </row>
    <row r="261" spans="1:31" ht="12.75" hidden="1" customHeight="1" x14ac:dyDescent="0.3">
      <c r="A261" s="8">
        <v>16</v>
      </c>
      <c r="B261" s="20" t="s">
        <v>37</v>
      </c>
      <c r="C261" s="20" t="s">
        <v>246</v>
      </c>
      <c r="D261" s="20" t="s">
        <v>247</v>
      </c>
      <c r="E261" s="22" t="s">
        <v>232</v>
      </c>
      <c r="F261" s="20" t="s">
        <v>232</v>
      </c>
      <c r="G261" s="22" t="s">
        <v>234</v>
      </c>
      <c r="H261" s="23">
        <v>6301</v>
      </c>
      <c r="I261" s="23">
        <v>-15</v>
      </c>
      <c r="J261" s="23">
        <v>0</v>
      </c>
      <c r="K261" s="23">
        <v>0</v>
      </c>
      <c r="L261" s="23">
        <v>-3369</v>
      </c>
      <c r="M261" s="24">
        <v>-28</v>
      </c>
      <c r="N261" s="23">
        <v>0</v>
      </c>
      <c r="O261" s="24">
        <f t="shared" si="28"/>
        <v>2889</v>
      </c>
      <c r="P261" s="23">
        <v>-2500</v>
      </c>
      <c r="Q261" s="23">
        <v>-484</v>
      </c>
      <c r="R261" s="23">
        <v>0</v>
      </c>
      <c r="S261" s="23">
        <v>0</v>
      </c>
      <c r="T261" s="23">
        <v>0</v>
      </c>
      <c r="U261" s="23">
        <v>0</v>
      </c>
      <c r="V261" s="23">
        <v>0</v>
      </c>
      <c r="W261" s="23">
        <f t="shared" si="29"/>
        <v>-95</v>
      </c>
      <c r="X261" s="23">
        <f t="shared" si="30"/>
        <v>0</v>
      </c>
      <c r="Y261" s="23">
        <f t="shared" si="31"/>
        <v>-95</v>
      </c>
      <c r="Z261" s="23">
        <v>100</v>
      </c>
      <c r="AA261" s="23">
        <f t="shared" si="32"/>
        <v>5</v>
      </c>
      <c r="AB261" s="23">
        <f t="shared" si="33"/>
        <v>2994</v>
      </c>
      <c r="AC261" s="20" t="s">
        <v>297</v>
      </c>
      <c r="AD261" s="20" t="s">
        <v>248</v>
      </c>
      <c r="AE261" s="11" t="str">
        <f t="shared" si="34"/>
        <v>X24APU16</v>
      </c>
    </row>
    <row r="262" spans="1:31" ht="12.75" hidden="1" customHeight="1" x14ac:dyDescent="0.3">
      <c r="A262" s="8">
        <v>16</v>
      </c>
      <c r="B262" s="20" t="s">
        <v>293</v>
      </c>
      <c r="C262" s="20" t="s">
        <v>63</v>
      </c>
      <c r="D262" s="20" t="s">
        <v>237</v>
      </c>
      <c r="E262" s="20" t="s">
        <v>291</v>
      </c>
      <c r="F262" s="20" t="s">
        <v>232</v>
      </c>
      <c r="G262" s="22" t="s">
        <v>234</v>
      </c>
      <c r="H262" s="23">
        <v>4399</v>
      </c>
      <c r="I262" s="23">
        <v>0</v>
      </c>
      <c r="J262" s="23">
        <v>0</v>
      </c>
      <c r="K262" s="23">
        <v>0</v>
      </c>
      <c r="L262" s="23">
        <v>-2733</v>
      </c>
      <c r="M262" s="24">
        <v>-28</v>
      </c>
      <c r="N262" s="23">
        <v>0</v>
      </c>
      <c r="O262" s="24">
        <f t="shared" si="28"/>
        <v>1638</v>
      </c>
      <c r="P262" s="23">
        <v>-2500</v>
      </c>
      <c r="Q262" s="23">
        <v>0</v>
      </c>
      <c r="R262" s="23">
        <v>-500</v>
      </c>
      <c r="S262" s="23">
        <v>0</v>
      </c>
      <c r="T262" s="23">
        <v>0</v>
      </c>
      <c r="U262" s="23">
        <v>0</v>
      </c>
      <c r="V262" s="23">
        <v>0</v>
      </c>
      <c r="W262" s="23">
        <f t="shared" si="29"/>
        <v>-1362</v>
      </c>
      <c r="X262" s="23">
        <f t="shared" si="30"/>
        <v>0</v>
      </c>
      <c r="Y262" s="23">
        <f t="shared" si="31"/>
        <v>-1362</v>
      </c>
      <c r="Z262" s="23">
        <v>1400</v>
      </c>
      <c r="AA262" s="23">
        <f t="shared" si="32"/>
        <v>38</v>
      </c>
      <c r="AB262" s="23">
        <f t="shared" si="33"/>
        <v>3076</v>
      </c>
      <c r="AC262" s="20" t="s">
        <v>297</v>
      </c>
      <c r="AD262" s="20" t="str">
        <f>VLOOKUP($C262,'[1]CTRL AUTOS'!$E:$AH,2,0)</f>
        <v>X89ALV</v>
      </c>
      <c r="AE262" s="11" t="str">
        <f t="shared" si="34"/>
        <v>X89ALV16</v>
      </c>
    </row>
    <row r="263" spans="1:31" ht="12.75" hidden="1" customHeight="1" x14ac:dyDescent="0.3">
      <c r="A263" s="8">
        <v>16</v>
      </c>
      <c r="B263" s="20" t="s">
        <v>45</v>
      </c>
      <c r="C263" s="20" t="s">
        <v>249</v>
      </c>
      <c r="D263" s="20" t="s">
        <v>250</v>
      </c>
      <c r="E263" s="22" t="s">
        <v>232</v>
      </c>
      <c r="F263" s="20" t="s">
        <v>232</v>
      </c>
      <c r="G263" s="22" t="s">
        <v>234</v>
      </c>
      <c r="H263" s="23">
        <v>5153</v>
      </c>
      <c r="I263" s="23">
        <v>-26</v>
      </c>
      <c r="J263" s="23">
        <v>0</v>
      </c>
      <c r="K263" s="23">
        <v>0</v>
      </c>
      <c r="L263" s="23">
        <v>-2048</v>
      </c>
      <c r="M263" s="24">
        <v>-30</v>
      </c>
      <c r="N263" s="23">
        <v>0</v>
      </c>
      <c r="O263" s="24">
        <f t="shared" si="28"/>
        <v>3049</v>
      </c>
      <c r="P263" s="23">
        <v>-2300</v>
      </c>
      <c r="Q263" s="23">
        <v>0</v>
      </c>
      <c r="R263" s="23">
        <v>0</v>
      </c>
      <c r="S263" s="23">
        <v>0</v>
      </c>
      <c r="T263" s="23">
        <v>0</v>
      </c>
      <c r="U263" s="23">
        <v>0</v>
      </c>
      <c r="V263" s="23">
        <v>0</v>
      </c>
      <c r="W263" s="23">
        <f t="shared" si="29"/>
        <v>749</v>
      </c>
      <c r="X263" s="23">
        <f t="shared" si="30"/>
        <v>749</v>
      </c>
      <c r="Y263" s="23">
        <f t="shared" si="31"/>
        <v>0</v>
      </c>
      <c r="Z263" s="23">
        <v>0</v>
      </c>
      <c r="AA263" s="23">
        <f t="shared" si="32"/>
        <v>0</v>
      </c>
      <c r="AB263" s="23">
        <f t="shared" si="33"/>
        <v>2300</v>
      </c>
      <c r="AC263" s="20" t="s">
        <v>304</v>
      </c>
      <c r="AD263" s="20" t="s">
        <v>251</v>
      </c>
      <c r="AE263" s="11" t="str">
        <f t="shared" si="34"/>
        <v>BAJA DE PLACAS16</v>
      </c>
    </row>
    <row r="264" spans="1:31" ht="12.75" hidden="1" customHeight="1" x14ac:dyDescent="0.3">
      <c r="A264" s="8">
        <v>16</v>
      </c>
      <c r="B264" s="20" t="s">
        <v>5</v>
      </c>
      <c r="C264" s="20" t="s">
        <v>50</v>
      </c>
      <c r="D264" s="20" t="s">
        <v>267</v>
      </c>
      <c r="E264" s="22" t="s">
        <v>232</v>
      </c>
      <c r="F264" s="20" t="s">
        <v>232</v>
      </c>
      <c r="G264" s="22" t="s">
        <v>234</v>
      </c>
      <c r="H264" s="23">
        <v>6192</v>
      </c>
      <c r="I264" s="23">
        <v>-54</v>
      </c>
      <c r="J264" s="23">
        <v>0</v>
      </c>
      <c r="K264" s="23">
        <v>0</v>
      </c>
      <c r="L264" s="23">
        <v>-2080</v>
      </c>
      <c r="M264" s="24">
        <v>-32</v>
      </c>
      <c r="N264" s="23">
        <v>0</v>
      </c>
      <c r="O264" s="24">
        <f t="shared" si="28"/>
        <v>4026</v>
      </c>
      <c r="P264" s="23">
        <v>-2500</v>
      </c>
      <c r="Q264" s="23">
        <v>0</v>
      </c>
      <c r="R264" s="23">
        <v>-500</v>
      </c>
      <c r="S264" s="23">
        <v>0</v>
      </c>
      <c r="T264" s="23">
        <v>0</v>
      </c>
      <c r="U264" s="23">
        <v>0</v>
      </c>
      <c r="V264" s="23">
        <v>0</v>
      </c>
      <c r="W264" s="23">
        <f t="shared" si="29"/>
        <v>1026</v>
      </c>
      <c r="X264" s="23">
        <f t="shared" si="30"/>
        <v>1026</v>
      </c>
      <c r="Y264" s="23">
        <f t="shared" si="31"/>
        <v>0</v>
      </c>
      <c r="Z264" s="23">
        <v>0</v>
      </c>
      <c r="AA264" s="23">
        <f t="shared" si="32"/>
        <v>0</v>
      </c>
      <c r="AB264" s="23">
        <f t="shared" si="33"/>
        <v>3000</v>
      </c>
      <c r="AC264" s="20" t="s">
        <v>303</v>
      </c>
      <c r="AD264" s="20" t="str">
        <f>VLOOKUP($C264,'[1]CTRL AUTOS'!$E:$AH,2,0)</f>
        <v>NBS225A</v>
      </c>
      <c r="AE264" s="11" t="str">
        <f t="shared" si="34"/>
        <v>NBS225A16</v>
      </c>
    </row>
    <row r="265" spans="1:31" ht="12.75" hidden="1" customHeight="1" x14ac:dyDescent="0.3">
      <c r="A265" s="8">
        <v>16</v>
      </c>
      <c r="B265" s="20" t="s">
        <v>294</v>
      </c>
      <c r="C265" s="20" t="s">
        <v>106</v>
      </c>
      <c r="D265" s="20" t="s">
        <v>262</v>
      </c>
      <c r="E265" s="22" t="s">
        <v>232</v>
      </c>
      <c r="F265" s="20" t="s">
        <v>232</v>
      </c>
      <c r="G265" s="22" t="s">
        <v>234</v>
      </c>
      <c r="H265" s="23">
        <v>1285</v>
      </c>
      <c r="I265" s="23">
        <v>0</v>
      </c>
      <c r="J265" s="23">
        <v>0</v>
      </c>
      <c r="K265" s="23">
        <v>0</v>
      </c>
      <c r="L265" s="23">
        <v>-413</v>
      </c>
      <c r="M265" s="24">
        <v>-32</v>
      </c>
      <c r="N265" s="23">
        <v>-411</v>
      </c>
      <c r="O265" s="24">
        <f t="shared" si="28"/>
        <v>429</v>
      </c>
      <c r="P265" s="23">
        <v>-2500</v>
      </c>
      <c r="Q265" s="23">
        <v>250</v>
      </c>
      <c r="R265" s="23">
        <v>0</v>
      </c>
      <c r="S265" s="23">
        <v>0</v>
      </c>
      <c r="T265" s="23">
        <v>0</v>
      </c>
      <c r="U265" s="23">
        <v>0</v>
      </c>
      <c r="V265" s="23">
        <v>0</v>
      </c>
      <c r="W265" s="23">
        <f t="shared" si="29"/>
        <v>-1821</v>
      </c>
      <c r="X265" s="23">
        <f t="shared" si="30"/>
        <v>0</v>
      </c>
      <c r="Y265" s="23">
        <f t="shared" si="31"/>
        <v>-1821</v>
      </c>
      <c r="Z265" s="23">
        <v>1821</v>
      </c>
      <c r="AA265" s="23">
        <f t="shared" si="32"/>
        <v>0</v>
      </c>
      <c r="AB265" s="23">
        <f t="shared" si="33"/>
        <v>2250</v>
      </c>
      <c r="AC265" s="20" t="s">
        <v>297</v>
      </c>
      <c r="AD265" s="20" t="str">
        <f>VLOOKUP($C265,'[1]CTRL AUTOS'!$E:$AH,2,0)</f>
        <v>NZU5163</v>
      </c>
      <c r="AE265" s="11" t="str">
        <f t="shared" si="34"/>
        <v>NZU516316</v>
      </c>
    </row>
    <row r="266" spans="1:31" ht="12.75" hidden="1" customHeight="1" x14ac:dyDescent="0.3">
      <c r="A266" s="8">
        <v>17</v>
      </c>
      <c r="B266" s="20" t="s">
        <v>80</v>
      </c>
      <c r="C266" s="20" t="s">
        <v>230</v>
      </c>
      <c r="D266" s="20" t="s">
        <v>231</v>
      </c>
      <c r="E266" s="22" t="s">
        <v>232</v>
      </c>
      <c r="F266" s="20" t="s">
        <v>232</v>
      </c>
      <c r="G266" s="22" t="s">
        <v>234</v>
      </c>
      <c r="H266" s="23">
        <v>0</v>
      </c>
      <c r="I266" s="23">
        <v>0</v>
      </c>
      <c r="J266" s="23">
        <v>0</v>
      </c>
      <c r="K266" s="23">
        <v>0</v>
      </c>
      <c r="L266" s="23">
        <v>0</v>
      </c>
      <c r="M266" s="24">
        <v>0</v>
      </c>
      <c r="N266" s="23">
        <v>0</v>
      </c>
      <c r="O266" s="24">
        <f t="shared" si="28"/>
        <v>0</v>
      </c>
      <c r="P266" s="23">
        <v>-2500</v>
      </c>
      <c r="Q266" s="23">
        <v>0</v>
      </c>
      <c r="R266" s="23">
        <v>0</v>
      </c>
      <c r="S266" s="23">
        <v>0</v>
      </c>
      <c r="T266" s="23">
        <v>0</v>
      </c>
      <c r="U266" s="23">
        <v>0</v>
      </c>
      <c r="V266" s="23">
        <v>0</v>
      </c>
      <c r="W266" s="23">
        <f t="shared" si="29"/>
        <v>-2500</v>
      </c>
      <c r="X266" s="23">
        <f t="shared" si="30"/>
        <v>0</v>
      </c>
      <c r="Y266" s="23">
        <f t="shared" si="31"/>
        <v>-2500</v>
      </c>
      <c r="Z266" s="23">
        <v>2500</v>
      </c>
      <c r="AA266" s="23">
        <f t="shared" si="32"/>
        <v>0</v>
      </c>
      <c r="AB266" s="23">
        <f t="shared" si="33"/>
        <v>2500</v>
      </c>
      <c r="AC266" s="20" t="s">
        <v>297</v>
      </c>
      <c r="AD266" s="20" t="s">
        <v>235</v>
      </c>
      <c r="AE266" s="11" t="str">
        <f t="shared" si="34"/>
        <v>NEB156A17</v>
      </c>
    </row>
    <row r="267" spans="1:31" ht="12.75" hidden="1" customHeight="1" x14ac:dyDescent="0.3">
      <c r="A267" s="8">
        <v>17</v>
      </c>
      <c r="B267" s="20" t="s">
        <v>238</v>
      </c>
      <c r="C267" s="20" t="s">
        <v>20</v>
      </c>
      <c r="D267" s="20" t="s">
        <v>239</v>
      </c>
      <c r="E267" s="22" t="s">
        <v>232</v>
      </c>
      <c r="F267" s="20" t="s">
        <v>232</v>
      </c>
      <c r="G267" s="22" t="s">
        <v>234</v>
      </c>
      <c r="H267" s="23">
        <v>3969</v>
      </c>
      <c r="I267" s="23">
        <v>0</v>
      </c>
      <c r="J267" s="23">
        <v>0</v>
      </c>
      <c r="K267" s="23">
        <v>0</v>
      </c>
      <c r="L267" s="23">
        <v>-2103</v>
      </c>
      <c r="M267" s="24">
        <v>-21</v>
      </c>
      <c r="N267" s="23">
        <v>0</v>
      </c>
      <c r="O267" s="24">
        <f t="shared" si="28"/>
        <v>1845</v>
      </c>
      <c r="P267" s="23">
        <v>-2500</v>
      </c>
      <c r="Q267" s="23">
        <v>-27</v>
      </c>
      <c r="R267" s="23">
        <v>0</v>
      </c>
      <c r="S267" s="23">
        <v>0</v>
      </c>
      <c r="T267" s="23">
        <v>0</v>
      </c>
      <c r="U267" s="23">
        <v>0</v>
      </c>
      <c r="V267" s="23">
        <v>0</v>
      </c>
      <c r="W267" s="23">
        <f t="shared" si="29"/>
        <v>-682</v>
      </c>
      <c r="X267" s="23">
        <f t="shared" si="30"/>
        <v>0</v>
      </c>
      <c r="Y267" s="23">
        <f t="shared" si="31"/>
        <v>-682</v>
      </c>
      <c r="Z267" s="23">
        <v>0</v>
      </c>
      <c r="AA267" s="23">
        <f t="shared" si="32"/>
        <v>-682</v>
      </c>
      <c r="AB267" s="23">
        <f t="shared" si="33"/>
        <v>1163</v>
      </c>
      <c r="AC267" s="20" t="s">
        <v>306</v>
      </c>
      <c r="AD267" s="20" t="str">
        <f>VLOOKUP($C267,'[1]CTRL AUTOS'!$E:$AH,2,0)</f>
        <v>D40BKD</v>
      </c>
      <c r="AE267" s="11" t="str">
        <f t="shared" si="34"/>
        <v>D40BKD17</v>
      </c>
    </row>
    <row r="268" spans="1:31" ht="12.75" hidden="1" customHeight="1" x14ac:dyDescent="0.3">
      <c r="A268" s="8">
        <v>17</v>
      </c>
      <c r="B268" s="20" t="s">
        <v>23</v>
      </c>
      <c r="C268" s="20" t="s">
        <v>22</v>
      </c>
      <c r="D268" s="20" t="s">
        <v>237</v>
      </c>
      <c r="E268" s="22" t="s">
        <v>232</v>
      </c>
      <c r="F268" s="20" t="s">
        <v>232</v>
      </c>
      <c r="G268" s="22" t="s">
        <v>234</v>
      </c>
      <c r="H268" s="23">
        <v>5984</v>
      </c>
      <c r="I268" s="23">
        <v>0</v>
      </c>
      <c r="J268" s="23">
        <v>0</v>
      </c>
      <c r="K268" s="23">
        <v>0</v>
      </c>
      <c r="L268" s="23">
        <v>-5946</v>
      </c>
      <c r="M268" s="24">
        <v>-28</v>
      </c>
      <c r="N268" s="23">
        <v>0</v>
      </c>
      <c r="O268" s="24">
        <f t="shared" si="28"/>
        <v>10</v>
      </c>
      <c r="P268" s="23">
        <v>-2500</v>
      </c>
      <c r="Q268" s="23">
        <v>-7</v>
      </c>
      <c r="R268" s="23">
        <v>0</v>
      </c>
      <c r="S268" s="23">
        <v>0</v>
      </c>
      <c r="T268" s="23">
        <v>0</v>
      </c>
      <c r="U268" s="23">
        <v>0</v>
      </c>
      <c r="V268" s="23">
        <v>0</v>
      </c>
      <c r="W268" s="23">
        <f t="shared" si="29"/>
        <v>-2497</v>
      </c>
      <c r="X268" s="23">
        <f t="shared" si="30"/>
        <v>0</v>
      </c>
      <c r="Y268" s="23">
        <f t="shared" si="31"/>
        <v>-2497</v>
      </c>
      <c r="Z268" s="23">
        <v>0</v>
      </c>
      <c r="AA268" s="23">
        <f t="shared" si="32"/>
        <v>-2497</v>
      </c>
      <c r="AB268" s="23">
        <f t="shared" si="33"/>
        <v>-2487</v>
      </c>
      <c r="AC268" s="20" t="s">
        <v>218</v>
      </c>
      <c r="AD268" s="20" t="str">
        <f>VLOOKUP($C268,'[1]CTRL AUTOS'!$E:$AH,2,0)</f>
        <v>NCK475B</v>
      </c>
      <c r="AE268" s="11" t="str">
        <f t="shared" si="34"/>
        <v>NCK475B17</v>
      </c>
    </row>
    <row r="269" spans="1:31" ht="12.75" hidden="1" customHeight="1" x14ac:dyDescent="0.3">
      <c r="A269" s="8">
        <v>17</v>
      </c>
      <c r="B269" s="20" t="s">
        <v>299</v>
      </c>
      <c r="C269" s="20" t="s">
        <v>40</v>
      </c>
      <c r="D269" s="20" t="s">
        <v>237</v>
      </c>
      <c r="E269" s="22" t="s">
        <v>232</v>
      </c>
      <c r="F269" s="20" t="s">
        <v>232</v>
      </c>
      <c r="G269" s="22" t="s">
        <v>234</v>
      </c>
      <c r="H269" s="23">
        <v>5148</v>
      </c>
      <c r="I269" s="23">
        <v>-216</v>
      </c>
      <c r="J269" s="23">
        <v>0</v>
      </c>
      <c r="K269" s="23">
        <v>0</v>
      </c>
      <c r="L269" s="23">
        <v>-2371</v>
      </c>
      <c r="M269" s="24">
        <v>-32</v>
      </c>
      <c r="N269" s="23">
        <v>0</v>
      </c>
      <c r="O269" s="24">
        <f t="shared" si="28"/>
        <v>2529</v>
      </c>
      <c r="P269" s="23">
        <v>-2500</v>
      </c>
      <c r="Q269" s="23">
        <v>0</v>
      </c>
      <c r="R269" s="23">
        <v>-500</v>
      </c>
      <c r="S269" s="23">
        <v>0</v>
      </c>
      <c r="T269" s="23">
        <v>0</v>
      </c>
      <c r="U269" s="23">
        <v>0</v>
      </c>
      <c r="V269" s="23">
        <v>0</v>
      </c>
      <c r="W269" s="23">
        <f t="shared" si="29"/>
        <v>-471</v>
      </c>
      <c r="X269" s="23">
        <f t="shared" si="30"/>
        <v>0</v>
      </c>
      <c r="Y269" s="23">
        <f t="shared" si="31"/>
        <v>-471</v>
      </c>
      <c r="Z269" s="23">
        <v>471</v>
      </c>
      <c r="AA269" s="23">
        <f t="shared" si="32"/>
        <v>0</v>
      </c>
      <c r="AB269" s="23">
        <f t="shared" si="33"/>
        <v>3000</v>
      </c>
      <c r="AC269" s="20" t="s">
        <v>297</v>
      </c>
      <c r="AD269" s="20" t="str">
        <f>VLOOKUP($C269,'[1]CTRL AUTOS'!$E:$AH,2,0)</f>
        <v>NEL860A</v>
      </c>
      <c r="AE269" s="11" t="str">
        <f t="shared" si="34"/>
        <v>NEL860A17</v>
      </c>
    </row>
    <row r="270" spans="1:31" ht="12.75" hidden="1" customHeight="1" x14ac:dyDescent="0.3">
      <c r="A270" s="8">
        <v>17</v>
      </c>
      <c r="B270" s="20" t="s">
        <v>258</v>
      </c>
      <c r="C270" s="20" t="s">
        <v>40</v>
      </c>
      <c r="D270" s="25" t="s">
        <v>259</v>
      </c>
      <c r="E270" s="22" t="s">
        <v>232</v>
      </c>
      <c r="F270" s="20" t="s">
        <v>232</v>
      </c>
      <c r="G270" s="22" t="s">
        <v>234</v>
      </c>
      <c r="H270" s="23">
        <v>0</v>
      </c>
      <c r="I270" s="23">
        <v>0</v>
      </c>
      <c r="J270" s="23">
        <v>0</v>
      </c>
      <c r="K270" s="23">
        <v>0</v>
      </c>
      <c r="L270" s="23">
        <v>0</v>
      </c>
      <c r="M270" s="24">
        <v>0</v>
      </c>
      <c r="N270" s="23">
        <v>0</v>
      </c>
      <c r="O270" s="24">
        <f t="shared" si="28"/>
        <v>0</v>
      </c>
      <c r="P270" s="23">
        <v>0</v>
      </c>
      <c r="Q270" s="23">
        <v>0</v>
      </c>
      <c r="R270" s="23">
        <v>0</v>
      </c>
      <c r="S270" s="23">
        <v>-1697</v>
      </c>
      <c r="T270" s="23">
        <v>0</v>
      </c>
      <c r="U270" s="23">
        <v>0</v>
      </c>
      <c r="V270" s="23">
        <v>0</v>
      </c>
      <c r="W270" s="23">
        <f t="shared" si="29"/>
        <v>-1697</v>
      </c>
      <c r="X270" s="23">
        <f t="shared" si="30"/>
        <v>0</v>
      </c>
      <c r="Y270" s="23">
        <f t="shared" si="31"/>
        <v>-1697</v>
      </c>
      <c r="Z270" s="23">
        <v>0</v>
      </c>
      <c r="AA270" s="23">
        <f t="shared" si="32"/>
        <v>-1697</v>
      </c>
      <c r="AB270" s="23">
        <f t="shared" si="33"/>
        <v>-1697</v>
      </c>
      <c r="AC270" s="20"/>
      <c r="AD270" s="20" t="str">
        <f>VLOOKUP($C270,'[1]CTRL AUTOS'!$E:$AH,2,0)</f>
        <v>NEL860A</v>
      </c>
      <c r="AE270" s="11" t="str">
        <f t="shared" si="34"/>
        <v>NEL860A17</v>
      </c>
    </row>
    <row r="271" spans="1:31" s="38" customFormat="1" ht="12.75" hidden="1" customHeight="1" x14ac:dyDescent="0.3">
      <c r="A271" s="33">
        <v>17</v>
      </c>
      <c r="B271" s="34" t="s">
        <v>264</v>
      </c>
      <c r="C271" s="34" t="s">
        <v>46</v>
      </c>
      <c r="D271" s="34" t="s">
        <v>257</v>
      </c>
      <c r="E271" s="35" t="s">
        <v>232</v>
      </c>
      <c r="F271" s="34" t="s">
        <v>232</v>
      </c>
      <c r="G271" s="35" t="s">
        <v>234</v>
      </c>
      <c r="H271" s="36">
        <v>0</v>
      </c>
      <c r="I271" s="36">
        <v>0</v>
      </c>
      <c r="J271" s="36">
        <v>0</v>
      </c>
      <c r="K271" s="36">
        <v>0</v>
      </c>
      <c r="L271" s="36">
        <v>0</v>
      </c>
      <c r="M271" s="37">
        <v>0</v>
      </c>
      <c r="N271" s="36">
        <v>0</v>
      </c>
      <c r="O271" s="37">
        <f t="shared" si="28"/>
        <v>0</v>
      </c>
      <c r="P271" s="36">
        <v>0</v>
      </c>
      <c r="Q271" s="36">
        <v>-1681</v>
      </c>
      <c r="R271" s="36">
        <v>0</v>
      </c>
      <c r="S271" s="36">
        <v>0</v>
      </c>
      <c r="T271" s="36">
        <v>0</v>
      </c>
      <c r="U271" s="36">
        <v>0</v>
      </c>
      <c r="V271" s="36">
        <v>0</v>
      </c>
      <c r="W271" s="36">
        <f t="shared" si="29"/>
        <v>-1681</v>
      </c>
      <c r="X271" s="36">
        <f t="shared" si="30"/>
        <v>0</v>
      </c>
      <c r="Y271" s="36">
        <f t="shared" si="31"/>
        <v>-1681</v>
      </c>
      <c r="Z271" s="36">
        <v>0</v>
      </c>
      <c r="AA271" s="36">
        <f t="shared" si="32"/>
        <v>-1681</v>
      </c>
      <c r="AB271" s="23">
        <f t="shared" si="33"/>
        <v>-1681</v>
      </c>
      <c r="AC271" s="34" t="s">
        <v>307</v>
      </c>
      <c r="AD271" s="20" t="str">
        <f>VLOOKUP($C271,'[1]CTRL AUTOS'!$E:$AH,2,0)</f>
        <v>R66BER</v>
      </c>
      <c r="AE271" s="11" t="str">
        <f t="shared" si="34"/>
        <v>R66BER17</v>
      </c>
    </row>
    <row r="272" spans="1:31" ht="12.75" hidden="1" customHeight="1" x14ac:dyDescent="0.3">
      <c r="A272" s="8">
        <v>17</v>
      </c>
      <c r="B272" s="20" t="s">
        <v>260</v>
      </c>
      <c r="C272" s="20" t="s">
        <v>81</v>
      </c>
      <c r="D272" s="20" t="s">
        <v>273</v>
      </c>
      <c r="E272" s="22" t="s">
        <v>232</v>
      </c>
      <c r="F272" s="20" t="s">
        <v>232</v>
      </c>
      <c r="G272" s="22" t="s">
        <v>234</v>
      </c>
      <c r="H272" s="23">
        <v>2912</v>
      </c>
      <c r="I272" s="23">
        <v>0</v>
      </c>
      <c r="J272" s="23">
        <v>0</v>
      </c>
      <c r="K272" s="23">
        <v>0</v>
      </c>
      <c r="L272" s="23">
        <v>-1158</v>
      </c>
      <c r="M272" s="24">
        <v>-25</v>
      </c>
      <c r="N272" s="23">
        <v>0</v>
      </c>
      <c r="O272" s="24">
        <f t="shared" si="28"/>
        <v>1729</v>
      </c>
      <c r="P272" s="23">
        <v>-2143</v>
      </c>
      <c r="Q272" s="23">
        <v>0</v>
      </c>
      <c r="R272" s="23">
        <v>0</v>
      </c>
      <c r="S272" s="23">
        <v>0</v>
      </c>
      <c r="T272" s="23">
        <v>0</v>
      </c>
      <c r="U272" s="23">
        <v>0</v>
      </c>
      <c r="V272" s="23">
        <v>0</v>
      </c>
      <c r="W272" s="23">
        <f t="shared" si="29"/>
        <v>-414</v>
      </c>
      <c r="X272" s="23">
        <f t="shared" si="30"/>
        <v>0</v>
      </c>
      <c r="Y272" s="23">
        <f t="shared" si="31"/>
        <v>-414</v>
      </c>
      <c r="Z272" s="23">
        <v>0</v>
      </c>
      <c r="AA272" s="23">
        <f t="shared" si="32"/>
        <v>-414</v>
      </c>
      <c r="AB272" s="23">
        <f t="shared" si="33"/>
        <v>1315</v>
      </c>
      <c r="AC272" s="20"/>
      <c r="AD272" s="20" t="str">
        <f>VLOOKUP($C272,'[1]CTRL AUTOS'!$E:$AH,2,0)</f>
        <v>NLP172B</v>
      </c>
      <c r="AE272" s="11" t="str">
        <f t="shared" si="34"/>
        <v>NLP172B17</v>
      </c>
    </row>
    <row r="273" spans="1:31" ht="12.75" hidden="1" customHeight="1" x14ac:dyDescent="0.3">
      <c r="A273" s="8">
        <v>17</v>
      </c>
      <c r="B273" s="20" t="s">
        <v>72</v>
      </c>
      <c r="C273" s="20" t="s">
        <v>54</v>
      </c>
      <c r="D273" s="20" t="s">
        <v>274</v>
      </c>
      <c r="E273" s="22" t="s">
        <v>232</v>
      </c>
      <c r="F273" s="20" t="s">
        <v>232</v>
      </c>
      <c r="G273" s="22" t="s">
        <v>234</v>
      </c>
      <c r="H273" s="23">
        <v>11587</v>
      </c>
      <c r="I273" s="23">
        <v>-150</v>
      </c>
      <c r="J273" s="23">
        <v>0</v>
      </c>
      <c r="K273" s="23">
        <v>-102</v>
      </c>
      <c r="L273" s="23">
        <v>-4212</v>
      </c>
      <c r="M273" s="24">
        <v>-35</v>
      </c>
      <c r="N273" s="23">
        <v>0</v>
      </c>
      <c r="O273" s="24">
        <f t="shared" si="28"/>
        <v>7088</v>
      </c>
      <c r="P273" s="23">
        <v>-2500</v>
      </c>
      <c r="Q273" s="23">
        <v>-709</v>
      </c>
      <c r="R273" s="23">
        <v>0</v>
      </c>
      <c r="S273" s="23">
        <v>-554</v>
      </c>
      <c r="T273" s="23">
        <v>-1000</v>
      </c>
      <c r="U273" s="23">
        <v>0</v>
      </c>
      <c r="V273" s="23">
        <v>0</v>
      </c>
      <c r="W273" s="23">
        <f t="shared" si="29"/>
        <v>2325</v>
      </c>
      <c r="X273" s="23">
        <f t="shared" si="30"/>
        <v>2325</v>
      </c>
      <c r="Y273" s="23">
        <f t="shared" si="31"/>
        <v>0</v>
      </c>
      <c r="Z273" s="23">
        <v>0</v>
      </c>
      <c r="AA273" s="23">
        <f t="shared" si="32"/>
        <v>0</v>
      </c>
      <c r="AB273" s="23">
        <f t="shared" si="33"/>
        <v>4763</v>
      </c>
      <c r="AC273" s="20" t="s">
        <v>226</v>
      </c>
      <c r="AD273" s="20" t="str">
        <f>VLOOKUP($C273,'[1]CTRL AUTOS'!$E:$AH,2,0)</f>
        <v>NZY685B</v>
      </c>
      <c r="AE273" s="11" t="str">
        <f t="shared" si="34"/>
        <v>NZY685B17</v>
      </c>
    </row>
    <row r="274" spans="1:31" ht="12.75" hidden="1" customHeight="1" x14ac:dyDescent="0.3">
      <c r="A274" s="8">
        <v>17</v>
      </c>
      <c r="B274" s="20" t="s">
        <v>292</v>
      </c>
      <c r="C274" s="20" t="s">
        <v>52</v>
      </c>
      <c r="D274" s="20" t="s">
        <v>237</v>
      </c>
      <c r="E274" s="22" t="s">
        <v>232</v>
      </c>
      <c r="F274" s="20" t="s">
        <v>232</v>
      </c>
      <c r="G274" s="22" t="s">
        <v>234</v>
      </c>
      <c r="H274" s="23">
        <v>9418</v>
      </c>
      <c r="I274" s="23">
        <v>-53</v>
      </c>
      <c r="J274" s="23">
        <v>0</v>
      </c>
      <c r="K274" s="23">
        <v>0</v>
      </c>
      <c r="L274" s="23">
        <v>-2505</v>
      </c>
      <c r="M274" s="24">
        <v>-17</v>
      </c>
      <c r="N274" s="23">
        <v>0</v>
      </c>
      <c r="O274" s="24">
        <f t="shared" si="28"/>
        <v>6843</v>
      </c>
      <c r="P274" s="23">
        <v>-2143</v>
      </c>
      <c r="Q274" s="23">
        <v>0</v>
      </c>
      <c r="R274" s="23">
        <v>-500</v>
      </c>
      <c r="S274" s="23">
        <v>0</v>
      </c>
      <c r="T274" s="23">
        <v>0</v>
      </c>
      <c r="U274" s="23">
        <v>0</v>
      </c>
      <c r="V274" s="23">
        <v>0</v>
      </c>
      <c r="W274" s="23">
        <f t="shared" si="29"/>
        <v>4200</v>
      </c>
      <c r="X274" s="23">
        <f t="shared" si="30"/>
        <v>4200</v>
      </c>
      <c r="Y274" s="23">
        <f t="shared" si="31"/>
        <v>0</v>
      </c>
      <c r="Z274" s="23">
        <v>0</v>
      </c>
      <c r="AA274" s="23">
        <f t="shared" si="32"/>
        <v>0</v>
      </c>
      <c r="AB274" s="23">
        <f t="shared" si="33"/>
        <v>2643</v>
      </c>
      <c r="AC274" s="20" t="s">
        <v>226</v>
      </c>
      <c r="AD274" s="20" t="str">
        <f>VLOOKUP($C274,'[1]CTRL AUTOS'!$E:$AH,2,0)</f>
        <v>A35BHD</v>
      </c>
      <c r="AE274" s="11" t="str">
        <f t="shared" si="34"/>
        <v>A35BHD17</v>
      </c>
    </row>
    <row r="275" spans="1:31" ht="12.75" hidden="1" customHeight="1" x14ac:dyDescent="0.3">
      <c r="A275" s="8">
        <v>17</v>
      </c>
      <c r="B275" s="20" t="s">
        <v>105</v>
      </c>
      <c r="C275" s="20" t="s">
        <v>75</v>
      </c>
      <c r="D275" s="20" t="s">
        <v>237</v>
      </c>
      <c r="E275" s="22" t="s">
        <v>241</v>
      </c>
      <c r="F275" s="20" t="s">
        <v>232</v>
      </c>
      <c r="G275" s="22" t="s">
        <v>234</v>
      </c>
      <c r="H275" s="23">
        <v>0</v>
      </c>
      <c r="I275" s="23">
        <v>0</v>
      </c>
      <c r="J275" s="23">
        <v>0</v>
      </c>
      <c r="K275" s="23">
        <v>0</v>
      </c>
      <c r="L275" s="23">
        <v>0</v>
      </c>
      <c r="M275" s="24">
        <v>0</v>
      </c>
      <c r="N275" s="23">
        <v>0</v>
      </c>
      <c r="O275" s="24">
        <f t="shared" si="28"/>
        <v>0</v>
      </c>
      <c r="P275" s="23">
        <v>-6525</v>
      </c>
      <c r="Q275" s="23">
        <v>0</v>
      </c>
      <c r="R275" s="23">
        <v>0</v>
      </c>
      <c r="S275" s="23">
        <v>0</v>
      </c>
      <c r="T275" s="23">
        <v>0</v>
      </c>
      <c r="U275" s="23">
        <v>0</v>
      </c>
      <c r="V275" s="23">
        <v>0</v>
      </c>
      <c r="W275" s="23">
        <f t="shared" si="29"/>
        <v>-6525</v>
      </c>
      <c r="X275" s="23">
        <f t="shared" si="30"/>
        <v>0</v>
      </c>
      <c r="Y275" s="23">
        <f t="shared" si="31"/>
        <v>-6525</v>
      </c>
      <c r="Z275" s="23">
        <v>6525</v>
      </c>
      <c r="AA275" s="23">
        <f t="shared" si="32"/>
        <v>0</v>
      </c>
      <c r="AB275" s="23">
        <f t="shared" si="33"/>
        <v>6525</v>
      </c>
      <c r="AC275" s="20" t="s">
        <v>226</v>
      </c>
      <c r="AD275" s="20" t="str">
        <f>VLOOKUP($C275,'[1]CTRL AUTOS'!$E:$AH,2,0)</f>
        <v>NFN014B</v>
      </c>
      <c r="AE275" s="11" t="str">
        <f t="shared" si="34"/>
        <v>NFN014B17</v>
      </c>
    </row>
    <row r="276" spans="1:31" ht="12.75" hidden="1" customHeight="1" x14ac:dyDescent="0.3">
      <c r="A276" s="8">
        <v>17</v>
      </c>
      <c r="B276" s="20" t="s">
        <v>288</v>
      </c>
      <c r="C276" s="20" t="s">
        <v>56</v>
      </c>
      <c r="D276" s="20" t="s">
        <v>289</v>
      </c>
      <c r="E276" s="22" t="s">
        <v>241</v>
      </c>
      <c r="F276" s="20" t="s">
        <v>232</v>
      </c>
      <c r="G276" s="22" t="s">
        <v>234</v>
      </c>
      <c r="H276" s="23">
        <v>8707</v>
      </c>
      <c r="I276" s="23">
        <v>-36</v>
      </c>
      <c r="J276" s="23">
        <v>0</v>
      </c>
      <c r="K276" s="23">
        <v>0</v>
      </c>
      <c r="L276" s="23">
        <v>-1856</v>
      </c>
      <c r="M276" s="24">
        <v>-25</v>
      </c>
      <c r="N276" s="23">
        <v>0</v>
      </c>
      <c r="O276" s="24">
        <f t="shared" si="28"/>
        <v>6790</v>
      </c>
      <c r="P276" s="23">
        <v>-2350</v>
      </c>
      <c r="Q276" s="23">
        <v>0</v>
      </c>
      <c r="R276" s="23">
        <v>-500</v>
      </c>
      <c r="S276" s="23">
        <v>0</v>
      </c>
      <c r="T276" s="23">
        <v>0</v>
      </c>
      <c r="U276" s="23">
        <v>0</v>
      </c>
      <c r="V276" s="23">
        <v>0</v>
      </c>
      <c r="W276" s="23">
        <f t="shared" si="29"/>
        <v>3940</v>
      </c>
      <c r="X276" s="23">
        <f t="shared" si="30"/>
        <v>3940</v>
      </c>
      <c r="Y276" s="23">
        <f t="shared" si="31"/>
        <v>0</v>
      </c>
      <c r="Z276" s="23">
        <v>0</v>
      </c>
      <c r="AA276" s="23">
        <f t="shared" si="32"/>
        <v>0</v>
      </c>
      <c r="AB276" s="23">
        <f t="shared" si="33"/>
        <v>2850</v>
      </c>
      <c r="AC276" s="20" t="s">
        <v>226</v>
      </c>
      <c r="AD276" s="20" t="str">
        <f>VLOOKUP($C276,'[1]CTRL AUTOS'!$E:$AH,2,0)</f>
        <v>MYE912A</v>
      </c>
      <c r="AE276" s="11" t="str">
        <f t="shared" si="34"/>
        <v>MYE912A17</v>
      </c>
    </row>
    <row r="277" spans="1:31" ht="12.75" hidden="1" customHeight="1" x14ac:dyDescent="0.3">
      <c r="A277" s="8">
        <v>17</v>
      </c>
      <c r="B277" s="20" t="s">
        <v>244</v>
      </c>
      <c r="C277" s="20" t="s">
        <v>4</v>
      </c>
      <c r="D277" s="20" t="s">
        <v>245</v>
      </c>
      <c r="E277" s="22" t="s">
        <v>232</v>
      </c>
      <c r="F277" s="20" t="s">
        <v>232</v>
      </c>
      <c r="G277" s="22" t="s">
        <v>234</v>
      </c>
      <c r="H277" s="23">
        <v>6230</v>
      </c>
      <c r="I277" s="23">
        <v>0</v>
      </c>
      <c r="J277" s="23">
        <v>0</v>
      </c>
      <c r="K277" s="23">
        <v>0</v>
      </c>
      <c r="L277" s="23">
        <v>-2436</v>
      </c>
      <c r="M277" s="24">
        <v>-35</v>
      </c>
      <c r="N277" s="23">
        <v>0</v>
      </c>
      <c r="O277" s="24">
        <f t="shared" si="28"/>
        <v>3759</v>
      </c>
      <c r="P277" s="23">
        <v>-2500</v>
      </c>
      <c r="Q277" s="23">
        <v>-2458</v>
      </c>
      <c r="R277" s="23">
        <v>0</v>
      </c>
      <c r="S277" s="23">
        <v>0</v>
      </c>
      <c r="T277" s="23">
        <v>0</v>
      </c>
      <c r="U277" s="23">
        <v>0</v>
      </c>
      <c r="V277" s="23">
        <v>0</v>
      </c>
      <c r="W277" s="23">
        <f t="shared" si="29"/>
        <v>-1199</v>
      </c>
      <c r="X277" s="23">
        <f t="shared" si="30"/>
        <v>0</v>
      </c>
      <c r="Y277" s="23">
        <f t="shared" si="31"/>
        <v>-1199</v>
      </c>
      <c r="Z277" s="23">
        <v>0</v>
      </c>
      <c r="AA277" s="23">
        <f t="shared" si="32"/>
        <v>-1199</v>
      </c>
      <c r="AB277" s="23">
        <f t="shared" si="33"/>
        <v>2560</v>
      </c>
      <c r="AC277" s="20"/>
      <c r="AD277" s="20" t="str">
        <f>VLOOKUP($C277,'[1]CTRL AUTOS'!$E:$AH,2,0)</f>
        <v>N15BKD</v>
      </c>
      <c r="AE277" s="11" t="str">
        <f t="shared" si="34"/>
        <v>N15BKD17</v>
      </c>
    </row>
    <row r="278" spans="1:31" ht="12.75" hidden="1" customHeight="1" x14ac:dyDescent="0.3">
      <c r="A278" s="8">
        <v>17</v>
      </c>
      <c r="B278" s="20" t="s">
        <v>35</v>
      </c>
      <c r="C278" s="20" t="s">
        <v>34</v>
      </c>
      <c r="D278" s="20" t="s">
        <v>285</v>
      </c>
      <c r="E278" s="22" t="s">
        <v>232</v>
      </c>
      <c r="F278" s="20" t="s">
        <v>232</v>
      </c>
      <c r="G278" s="22" t="s">
        <v>234</v>
      </c>
      <c r="H278" s="23">
        <v>8524</v>
      </c>
      <c r="I278" s="23">
        <v>-130</v>
      </c>
      <c r="J278" s="23">
        <v>0</v>
      </c>
      <c r="K278" s="23">
        <v>0</v>
      </c>
      <c r="L278" s="23">
        <v>-4572</v>
      </c>
      <c r="M278" s="24">
        <v>-21</v>
      </c>
      <c r="N278" s="23">
        <v>0</v>
      </c>
      <c r="O278" s="24">
        <f t="shared" si="28"/>
        <v>3801</v>
      </c>
      <c r="P278" s="23">
        <v>-2500</v>
      </c>
      <c r="Q278" s="23">
        <v>-61</v>
      </c>
      <c r="R278" s="23">
        <v>0</v>
      </c>
      <c r="S278" s="23">
        <v>0</v>
      </c>
      <c r="T278" s="23">
        <v>0</v>
      </c>
      <c r="U278" s="23">
        <v>0</v>
      </c>
      <c r="V278" s="23">
        <v>0</v>
      </c>
      <c r="W278" s="23">
        <f t="shared" si="29"/>
        <v>1240</v>
      </c>
      <c r="X278" s="23">
        <f t="shared" si="30"/>
        <v>1240</v>
      </c>
      <c r="Y278" s="23">
        <f t="shared" si="31"/>
        <v>0</v>
      </c>
      <c r="Z278" s="23">
        <v>0</v>
      </c>
      <c r="AA278" s="23">
        <f t="shared" si="32"/>
        <v>0</v>
      </c>
      <c r="AB278" s="23">
        <f t="shared" si="33"/>
        <v>2561</v>
      </c>
      <c r="AC278" s="23" t="s">
        <v>308</v>
      </c>
      <c r="AD278" s="20" t="str">
        <f>VLOOKUP($C278,'[1]CTRL AUTOS'!$E:$AH,2,0)</f>
        <v>X59AWG</v>
      </c>
      <c r="AE278" s="11" t="str">
        <f t="shared" si="34"/>
        <v>X59AWG17</v>
      </c>
    </row>
    <row r="279" spans="1:31" ht="12.75" hidden="1" customHeight="1" x14ac:dyDescent="0.3">
      <c r="A279" s="8">
        <v>17</v>
      </c>
      <c r="B279" s="20" t="s">
        <v>37</v>
      </c>
      <c r="C279" s="20" t="s">
        <v>246</v>
      </c>
      <c r="D279" s="20" t="s">
        <v>247</v>
      </c>
      <c r="E279" s="22" t="s">
        <v>232</v>
      </c>
      <c r="F279" s="20" t="s">
        <v>232</v>
      </c>
      <c r="G279" s="22" t="s">
        <v>234</v>
      </c>
      <c r="H279" s="23">
        <v>5891</v>
      </c>
      <c r="I279" s="23">
        <v>0</v>
      </c>
      <c r="J279" s="23">
        <v>0</v>
      </c>
      <c r="K279" s="23">
        <v>0</v>
      </c>
      <c r="L279" s="23">
        <v>-2895</v>
      </c>
      <c r="M279" s="24">
        <v>-32</v>
      </c>
      <c r="N279" s="23">
        <v>0</v>
      </c>
      <c r="O279" s="24">
        <f t="shared" si="28"/>
        <v>2964</v>
      </c>
      <c r="P279" s="23">
        <v>-2500</v>
      </c>
      <c r="Q279" s="23">
        <v>5</v>
      </c>
      <c r="R279" s="23">
        <v>0</v>
      </c>
      <c r="S279" s="23">
        <v>0</v>
      </c>
      <c r="T279" s="23">
        <v>0</v>
      </c>
      <c r="U279" s="23">
        <v>0</v>
      </c>
      <c r="V279" s="23">
        <v>0</v>
      </c>
      <c r="W279" s="23">
        <f t="shared" si="29"/>
        <v>469</v>
      </c>
      <c r="X279" s="23">
        <f t="shared" si="30"/>
        <v>469</v>
      </c>
      <c r="Y279" s="23">
        <f t="shared" si="31"/>
        <v>0</v>
      </c>
      <c r="Z279" s="23">
        <v>0</v>
      </c>
      <c r="AA279" s="23">
        <f t="shared" si="32"/>
        <v>0</v>
      </c>
      <c r="AB279" s="23">
        <f t="shared" si="33"/>
        <v>2495</v>
      </c>
      <c r="AC279" s="20" t="s">
        <v>226</v>
      </c>
      <c r="AD279" s="20" t="s">
        <v>248</v>
      </c>
      <c r="AE279" s="11" t="str">
        <f t="shared" si="34"/>
        <v>X24APU17</v>
      </c>
    </row>
    <row r="280" spans="1:31" ht="12.75" hidden="1" customHeight="1" x14ac:dyDescent="0.3">
      <c r="A280" s="8">
        <v>17</v>
      </c>
      <c r="B280" s="20" t="s">
        <v>293</v>
      </c>
      <c r="C280" s="20" t="s">
        <v>63</v>
      </c>
      <c r="D280" s="20" t="s">
        <v>237</v>
      </c>
      <c r="E280" s="20" t="s">
        <v>291</v>
      </c>
      <c r="F280" s="20" t="s">
        <v>232</v>
      </c>
      <c r="G280" s="22" t="s">
        <v>234</v>
      </c>
      <c r="H280" s="23">
        <v>4312</v>
      </c>
      <c r="I280" s="23">
        <v>0</v>
      </c>
      <c r="J280" s="23">
        <v>0</v>
      </c>
      <c r="K280" s="23">
        <v>0</v>
      </c>
      <c r="L280" s="23">
        <v>-1676</v>
      </c>
      <c r="M280" s="24">
        <v>-28</v>
      </c>
      <c r="N280" s="23">
        <v>0</v>
      </c>
      <c r="O280" s="24">
        <f t="shared" si="28"/>
        <v>2608</v>
      </c>
      <c r="P280" s="23">
        <v>-2500</v>
      </c>
      <c r="Q280" s="23">
        <v>38</v>
      </c>
      <c r="R280" s="23">
        <v>-500</v>
      </c>
      <c r="S280" s="23">
        <v>0</v>
      </c>
      <c r="T280" s="23">
        <v>0</v>
      </c>
      <c r="U280" s="23">
        <v>0</v>
      </c>
      <c r="V280" s="23">
        <v>0</v>
      </c>
      <c r="W280" s="23">
        <f t="shared" si="29"/>
        <v>-354</v>
      </c>
      <c r="X280" s="23">
        <f t="shared" si="30"/>
        <v>0</v>
      </c>
      <c r="Y280" s="23">
        <f t="shared" si="31"/>
        <v>-354</v>
      </c>
      <c r="Z280" s="23">
        <v>354</v>
      </c>
      <c r="AA280" s="23">
        <f t="shared" si="32"/>
        <v>0</v>
      </c>
      <c r="AB280" s="23">
        <f t="shared" si="33"/>
        <v>2962</v>
      </c>
      <c r="AC280" s="20" t="s">
        <v>297</v>
      </c>
      <c r="AD280" s="20" t="str">
        <f>VLOOKUP($C280,'[1]CTRL AUTOS'!$E:$AH,2,0)</f>
        <v>X89ALV</v>
      </c>
      <c r="AE280" s="11" t="str">
        <f t="shared" si="34"/>
        <v>X89ALV17</v>
      </c>
    </row>
    <row r="281" spans="1:31" ht="12.75" hidden="1" customHeight="1" x14ac:dyDescent="0.3">
      <c r="A281" s="8">
        <v>17</v>
      </c>
      <c r="B281" s="20" t="s">
        <v>45</v>
      </c>
      <c r="C281" s="20" t="s">
        <v>249</v>
      </c>
      <c r="D281" s="20" t="s">
        <v>250</v>
      </c>
      <c r="E281" s="22" t="s">
        <v>232</v>
      </c>
      <c r="F281" s="20" t="s">
        <v>232</v>
      </c>
      <c r="G281" s="22" t="s">
        <v>234</v>
      </c>
      <c r="H281" s="23">
        <v>5216</v>
      </c>
      <c r="I281" s="23">
        <v>-47</v>
      </c>
      <c r="J281" s="23">
        <v>0</v>
      </c>
      <c r="K281" s="23">
        <v>0</v>
      </c>
      <c r="L281" s="23">
        <v>-1967</v>
      </c>
      <c r="M281" s="24">
        <v>-32</v>
      </c>
      <c r="N281" s="23">
        <v>0</v>
      </c>
      <c r="O281" s="24">
        <f t="shared" si="28"/>
        <v>3170</v>
      </c>
      <c r="P281" s="23">
        <v>-2300</v>
      </c>
      <c r="Q281" s="23">
        <v>0</v>
      </c>
      <c r="R281" s="23">
        <v>0</v>
      </c>
      <c r="S281" s="23">
        <v>0</v>
      </c>
      <c r="T281" s="23">
        <v>0</v>
      </c>
      <c r="U281" s="23">
        <v>0</v>
      </c>
      <c r="V281" s="23">
        <v>0</v>
      </c>
      <c r="W281" s="23">
        <f t="shared" si="29"/>
        <v>870</v>
      </c>
      <c r="X281" s="23">
        <f t="shared" si="30"/>
        <v>870</v>
      </c>
      <c r="Y281" s="23">
        <f t="shared" si="31"/>
        <v>0</v>
      </c>
      <c r="Z281" s="23">
        <v>0</v>
      </c>
      <c r="AA281" s="23">
        <f t="shared" si="32"/>
        <v>0</v>
      </c>
      <c r="AB281" s="23">
        <f t="shared" si="33"/>
        <v>2300</v>
      </c>
      <c r="AC281" s="20" t="s">
        <v>226</v>
      </c>
      <c r="AD281" s="20" t="s">
        <v>251</v>
      </c>
      <c r="AE281" s="11" t="str">
        <f t="shared" si="34"/>
        <v>BAJA DE PLACAS17</v>
      </c>
    </row>
    <row r="282" spans="1:31" ht="12.75" hidden="1" customHeight="1" x14ac:dyDescent="0.3">
      <c r="A282" s="8">
        <v>17</v>
      </c>
      <c r="B282" s="20" t="s">
        <v>5</v>
      </c>
      <c r="C282" s="20" t="s">
        <v>50</v>
      </c>
      <c r="D282" s="20" t="s">
        <v>267</v>
      </c>
      <c r="E282" s="22" t="s">
        <v>232</v>
      </c>
      <c r="F282" s="20" t="s">
        <v>232</v>
      </c>
      <c r="G282" s="22" t="s">
        <v>234</v>
      </c>
      <c r="H282" s="23">
        <v>7110</v>
      </c>
      <c r="I282" s="23">
        <v>-54</v>
      </c>
      <c r="J282" s="23">
        <v>0</v>
      </c>
      <c r="K282" s="23">
        <v>0</v>
      </c>
      <c r="L282" s="23">
        <v>-2367</v>
      </c>
      <c r="M282" s="24">
        <v>-28</v>
      </c>
      <c r="N282" s="23">
        <v>-173</v>
      </c>
      <c r="O282" s="24">
        <f t="shared" si="28"/>
        <v>4488</v>
      </c>
      <c r="P282" s="23">
        <v>-2500</v>
      </c>
      <c r="Q282" s="23">
        <v>0</v>
      </c>
      <c r="R282" s="23">
        <v>0</v>
      </c>
      <c r="S282" s="23">
        <v>0</v>
      </c>
      <c r="T282" s="23">
        <v>0</v>
      </c>
      <c r="U282" s="23">
        <v>0</v>
      </c>
      <c r="V282" s="23">
        <v>0</v>
      </c>
      <c r="W282" s="23">
        <f t="shared" si="29"/>
        <v>1988</v>
      </c>
      <c r="X282" s="23">
        <f t="shared" si="30"/>
        <v>1988</v>
      </c>
      <c r="Y282" s="23">
        <f t="shared" si="31"/>
        <v>0</v>
      </c>
      <c r="Z282" s="23">
        <v>0</v>
      </c>
      <c r="AA282" s="23">
        <f t="shared" si="32"/>
        <v>0</v>
      </c>
      <c r="AB282" s="23">
        <f t="shared" si="33"/>
        <v>2500</v>
      </c>
      <c r="AC282" s="20" t="s">
        <v>226</v>
      </c>
      <c r="AD282" s="20" t="str">
        <f>VLOOKUP($C282,'[1]CTRL AUTOS'!$E:$AH,2,0)</f>
        <v>NBS225A</v>
      </c>
      <c r="AE282" s="11" t="str">
        <f t="shared" si="34"/>
        <v>NBS225A17</v>
      </c>
    </row>
    <row r="283" spans="1:31" ht="12.75" hidden="1" customHeight="1" x14ac:dyDescent="0.3">
      <c r="A283" s="8">
        <v>17</v>
      </c>
      <c r="B283" s="20" t="s">
        <v>294</v>
      </c>
      <c r="C283" s="20" t="s">
        <v>106</v>
      </c>
      <c r="D283" s="20" t="s">
        <v>262</v>
      </c>
      <c r="E283" s="22" t="s">
        <v>232</v>
      </c>
      <c r="F283" s="20" t="s">
        <v>232</v>
      </c>
      <c r="G283" s="22" t="s">
        <v>234</v>
      </c>
      <c r="H283" s="23">
        <v>2121</v>
      </c>
      <c r="I283" s="23">
        <v>0</v>
      </c>
      <c r="J283" s="23">
        <v>0</v>
      </c>
      <c r="K283" s="23">
        <v>0</v>
      </c>
      <c r="L283" s="23">
        <v>-1513</v>
      </c>
      <c r="M283" s="24">
        <v>-35</v>
      </c>
      <c r="N283" s="23">
        <v>-189</v>
      </c>
      <c r="O283" s="24">
        <f t="shared" si="28"/>
        <v>384</v>
      </c>
      <c r="P283" s="23">
        <v>-2500</v>
      </c>
      <c r="Q283" s="23">
        <v>480</v>
      </c>
      <c r="R283" s="23">
        <v>-1000</v>
      </c>
      <c r="S283" s="23">
        <v>0</v>
      </c>
      <c r="T283" s="23">
        <v>0</v>
      </c>
      <c r="U283" s="23">
        <v>0</v>
      </c>
      <c r="V283" s="23">
        <v>0</v>
      </c>
      <c r="W283" s="23">
        <f t="shared" si="29"/>
        <v>-2636</v>
      </c>
      <c r="X283" s="23">
        <f t="shared" si="30"/>
        <v>0</v>
      </c>
      <c r="Y283" s="23">
        <f t="shared" si="31"/>
        <v>-2636</v>
      </c>
      <c r="Z283" s="23">
        <v>2000</v>
      </c>
      <c r="AA283" s="23">
        <f t="shared" si="32"/>
        <v>-636</v>
      </c>
      <c r="AB283" s="23">
        <f t="shared" si="33"/>
        <v>1748</v>
      </c>
      <c r="AC283" s="20" t="s">
        <v>297</v>
      </c>
      <c r="AD283" s="20" t="str">
        <f>VLOOKUP($C283,'[1]CTRL AUTOS'!$E:$AH,2,0)</f>
        <v>NZU5163</v>
      </c>
      <c r="AE283" s="11" t="str">
        <f t="shared" si="34"/>
        <v>NZU516317</v>
      </c>
    </row>
    <row r="284" spans="1:31" ht="12.75" hidden="1" customHeight="1" x14ac:dyDescent="0.3">
      <c r="A284" s="8">
        <v>18</v>
      </c>
      <c r="B284" s="20" t="s">
        <v>80</v>
      </c>
      <c r="C284" s="22" t="s">
        <v>52</v>
      </c>
      <c r="D284" s="20" t="s">
        <v>231</v>
      </c>
      <c r="E284" s="22" t="s">
        <v>232</v>
      </c>
      <c r="F284" s="20" t="s">
        <v>232</v>
      </c>
      <c r="G284" s="22" t="s">
        <v>234</v>
      </c>
      <c r="H284" s="23">
        <v>1144</v>
      </c>
      <c r="I284" s="23">
        <v>-12</v>
      </c>
      <c r="J284" s="23">
        <v>0</v>
      </c>
      <c r="K284" s="23">
        <v>0</v>
      </c>
      <c r="L284" s="23">
        <v>-495</v>
      </c>
      <c r="M284" s="24">
        <v>-23</v>
      </c>
      <c r="N284" s="23">
        <v>0</v>
      </c>
      <c r="O284" s="24">
        <f t="shared" si="28"/>
        <v>614</v>
      </c>
      <c r="P284" s="23">
        <v>-2500</v>
      </c>
      <c r="Q284" s="23">
        <v>0</v>
      </c>
      <c r="R284" s="23">
        <v>0</v>
      </c>
      <c r="S284" s="23">
        <v>0</v>
      </c>
      <c r="T284" s="23">
        <v>0</v>
      </c>
      <c r="U284" s="23">
        <v>0</v>
      </c>
      <c r="V284" s="23">
        <v>0</v>
      </c>
      <c r="W284" s="23">
        <f t="shared" si="29"/>
        <v>-1886</v>
      </c>
      <c r="X284" s="23">
        <f t="shared" si="30"/>
        <v>0</v>
      </c>
      <c r="Y284" s="23">
        <f t="shared" si="31"/>
        <v>-1886</v>
      </c>
      <c r="Z284" s="23">
        <v>1886</v>
      </c>
      <c r="AA284" s="23">
        <f t="shared" si="32"/>
        <v>0</v>
      </c>
      <c r="AB284" s="23">
        <f t="shared" si="33"/>
        <v>2500</v>
      </c>
      <c r="AC284" s="20"/>
      <c r="AD284" s="20" t="str">
        <f>VLOOKUP($C284,'[1]CTRL AUTOS'!$E:$AH,2,0)</f>
        <v>A35BHD</v>
      </c>
      <c r="AE284" s="11" t="str">
        <f t="shared" si="34"/>
        <v>A35BHD18</v>
      </c>
    </row>
    <row r="285" spans="1:31" ht="12.75" hidden="1" customHeight="1" x14ac:dyDescent="0.3">
      <c r="A285" s="8">
        <v>18</v>
      </c>
      <c r="B285" s="20" t="s">
        <v>23</v>
      </c>
      <c r="C285" s="20" t="s">
        <v>22</v>
      </c>
      <c r="D285" s="20" t="s">
        <v>237</v>
      </c>
      <c r="E285" s="22" t="s">
        <v>232</v>
      </c>
      <c r="F285" s="20" t="s">
        <v>232</v>
      </c>
      <c r="G285" s="22" t="s">
        <v>234</v>
      </c>
      <c r="H285" s="23">
        <v>0</v>
      </c>
      <c r="I285" s="23">
        <v>0</v>
      </c>
      <c r="J285" s="23">
        <v>0</v>
      </c>
      <c r="K285" s="23">
        <v>0</v>
      </c>
      <c r="L285" s="23">
        <v>0</v>
      </c>
      <c r="M285" s="24">
        <v>0</v>
      </c>
      <c r="N285" s="23">
        <v>0</v>
      </c>
      <c r="O285" s="24">
        <f t="shared" si="28"/>
        <v>0</v>
      </c>
      <c r="P285" s="23">
        <v>0</v>
      </c>
      <c r="Q285" s="23">
        <v>0</v>
      </c>
      <c r="R285" s="23">
        <v>500</v>
      </c>
      <c r="S285" s="23">
        <v>0</v>
      </c>
      <c r="T285" s="23">
        <v>0</v>
      </c>
      <c r="U285" s="23">
        <v>0</v>
      </c>
      <c r="V285" s="23">
        <v>0</v>
      </c>
      <c r="W285" s="23">
        <f t="shared" si="29"/>
        <v>500</v>
      </c>
      <c r="X285" s="23">
        <f t="shared" si="30"/>
        <v>500</v>
      </c>
      <c r="Y285" s="23">
        <f t="shared" si="31"/>
        <v>0</v>
      </c>
      <c r="Z285" s="23">
        <v>0</v>
      </c>
      <c r="AA285" s="23">
        <f t="shared" si="32"/>
        <v>0</v>
      </c>
      <c r="AB285" s="23">
        <f t="shared" si="33"/>
        <v>-500</v>
      </c>
      <c r="AC285" s="20" t="s">
        <v>226</v>
      </c>
      <c r="AD285" s="20" t="str">
        <f>VLOOKUP($C285,'[1]CTRL AUTOS'!$E:$AH,2,0)</f>
        <v>NCK475B</v>
      </c>
      <c r="AE285" s="11" t="str">
        <f t="shared" si="34"/>
        <v>NCK475B18</v>
      </c>
    </row>
    <row r="286" spans="1:31" ht="12.75" hidden="1" customHeight="1" x14ac:dyDescent="0.3">
      <c r="A286" s="8">
        <v>18</v>
      </c>
      <c r="B286" s="20" t="s">
        <v>299</v>
      </c>
      <c r="C286" s="22" t="s">
        <v>40</v>
      </c>
      <c r="D286" s="20" t="s">
        <v>237</v>
      </c>
      <c r="E286" s="22" t="s">
        <v>232</v>
      </c>
      <c r="F286" s="20" t="s">
        <v>232</v>
      </c>
      <c r="G286" s="22" t="s">
        <v>234</v>
      </c>
      <c r="H286" s="23">
        <v>3473</v>
      </c>
      <c r="I286" s="23">
        <v>0</v>
      </c>
      <c r="J286" s="23">
        <v>0</v>
      </c>
      <c r="K286" s="23">
        <v>0</v>
      </c>
      <c r="L286" s="23">
        <v>-1864</v>
      </c>
      <c r="M286" s="24">
        <v>-25</v>
      </c>
      <c r="N286" s="23">
        <v>0</v>
      </c>
      <c r="O286" s="24">
        <f t="shared" si="28"/>
        <v>1584</v>
      </c>
      <c r="P286" s="23">
        <v>-2500</v>
      </c>
      <c r="Q286" s="23">
        <v>0</v>
      </c>
      <c r="R286" s="23">
        <v>0</v>
      </c>
      <c r="S286" s="23">
        <v>0</v>
      </c>
      <c r="T286" s="23">
        <v>0</v>
      </c>
      <c r="U286" s="23">
        <v>0</v>
      </c>
      <c r="V286" s="23">
        <v>0</v>
      </c>
      <c r="W286" s="23">
        <f t="shared" si="29"/>
        <v>-916</v>
      </c>
      <c r="X286" s="23">
        <f t="shared" si="30"/>
        <v>0</v>
      </c>
      <c r="Y286" s="23">
        <f t="shared" si="31"/>
        <v>-916</v>
      </c>
      <c r="Z286" s="23">
        <v>0</v>
      </c>
      <c r="AA286" s="23">
        <f t="shared" si="32"/>
        <v>-916</v>
      </c>
      <c r="AB286" s="23">
        <f t="shared" si="33"/>
        <v>668</v>
      </c>
      <c r="AC286" s="20"/>
      <c r="AD286" s="20" t="str">
        <f>VLOOKUP($C286,'[1]CTRL AUTOS'!$E:$AH,2,0)</f>
        <v>NEL860A</v>
      </c>
      <c r="AE286" s="11" t="str">
        <f t="shared" si="34"/>
        <v>NEL860A18</v>
      </c>
    </row>
    <row r="287" spans="1:31" ht="12.75" hidden="1" customHeight="1" x14ac:dyDescent="0.3">
      <c r="A287" s="8">
        <v>18</v>
      </c>
      <c r="B287" s="20" t="s">
        <v>258</v>
      </c>
      <c r="C287" s="20" t="s">
        <v>40</v>
      </c>
      <c r="D287" s="25" t="s">
        <v>259</v>
      </c>
      <c r="E287" s="22" t="s">
        <v>232</v>
      </c>
      <c r="F287" s="20" t="s">
        <v>232</v>
      </c>
      <c r="G287" s="22" t="s">
        <v>234</v>
      </c>
      <c r="H287" s="23">
        <v>0</v>
      </c>
      <c r="I287" s="23">
        <v>0</v>
      </c>
      <c r="J287" s="23">
        <v>0</v>
      </c>
      <c r="K287" s="23">
        <v>0</v>
      </c>
      <c r="L287" s="23">
        <v>0</v>
      </c>
      <c r="M287" s="24">
        <v>0</v>
      </c>
      <c r="N287" s="23">
        <v>0</v>
      </c>
      <c r="O287" s="24">
        <f t="shared" si="28"/>
        <v>0</v>
      </c>
      <c r="P287" s="23">
        <v>0</v>
      </c>
      <c r="Q287" s="23">
        <v>0</v>
      </c>
      <c r="R287" s="23">
        <v>0</v>
      </c>
      <c r="S287" s="23">
        <v>-1697</v>
      </c>
      <c r="T287" s="23">
        <v>0</v>
      </c>
      <c r="U287" s="23">
        <v>0</v>
      </c>
      <c r="V287" s="23">
        <v>0</v>
      </c>
      <c r="W287" s="23">
        <f t="shared" si="29"/>
        <v>-1697</v>
      </c>
      <c r="X287" s="23">
        <f t="shared" si="30"/>
        <v>0</v>
      </c>
      <c r="Y287" s="23">
        <f t="shared" si="31"/>
        <v>-1697</v>
      </c>
      <c r="Z287" s="23">
        <v>0</v>
      </c>
      <c r="AA287" s="23">
        <f t="shared" si="32"/>
        <v>-1697</v>
      </c>
      <c r="AB287" s="23">
        <f t="shared" si="33"/>
        <v>-1697</v>
      </c>
      <c r="AC287" s="20"/>
      <c r="AD287" s="20" t="str">
        <f>VLOOKUP($C287,'[1]CTRL AUTOS'!$E:$AH,2,0)</f>
        <v>NEL860A</v>
      </c>
      <c r="AE287" s="11" t="str">
        <f t="shared" si="34"/>
        <v>NEL860A18</v>
      </c>
    </row>
    <row r="288" spans="1:31" ht="12.75" hidden="1" customHeight="1" x14ac:dyDescent="0.3">
      <c r="A288" s="8">
        <v>18</v>
      </c>
      <c r="B288" s="20" t="s">
        <v>25</v>
      </c>
      <c r="C288" s="22" t="s">
        <v>46</v>
      </c>
      <c r="D288" s="39" t="s">
        <v>257</v>
      </c>
      <c r="E288" s="22" t="s">
        <v>232</v>
      </c>
      <c r="F288" s="20" t="s">
        <v>232</v>
      </c>
      <c r="G288" s="22" t="s">
        <v>234</v>
      </c>
      <c r="H288" s="23">
        <v>4774</v>
      </c>
      <c r="I288" s="23">
        <v>0</v>
      </c>
      <c r="J288" s="23">
        <v>0</v>
      </c>
      <c r="K288" s="23">
        <v>0</v>
      </c>
      <c r="L288" s="23">
        <v>-2241</v>
      </c>
      <c r="M288" s="24">
        <v>-25</v>
      </c>
      <c r="N288" s="23">
        <v>0</v>
      </c>
      <c r="O288" s="24">
        <f t="shared" si="28"/>
        <v>2508</v>
      </c>
      <c r="P288" s="23">
        <v>-1611</v>
      </c>
      <c r="Q288" s="23">
        <v>0</v>
      </c>
      <c r="R288" s="23">
        <v>0</v>
      </c>
      <c r="S288" s="23">
        <v>0</v>
      </c>
      <c r="T288" s="23">
        <v>0</v>
      </c>
      <c r="U288" s="23">
        <v>0</v>
      </c>
      <c r="V288" s="23">
        <v>0</v>
      </c>
      <c r="W288" s="23">
        <f t="shared" si="29"/>
        <v>897</v>
      </c>
      <c r="X288" s="23">
        <f t="shared" si="30"/>
        <v>897</v>
      </c>
      <c r="Y288" s="23">
        <f t="shared" si="31"/>
        <v>0</v>
      </c>
      <c r="Z288" s="23">
        <v>0</v>
      </c>
      <c r="AA288" s="23">
        <f t="shared" si="32"/>
        <v>0</v>
      </c>
      <c r="AB288" s="23">
        <f t="shared" si="33"/>
        <v>1611</v>
      </c>
      <c r="AC288" s="20" t="s">
        <v>309</v>
      </c>
      <c r="AD288" s="20" t="str">
        <f>VLOOKUP($C288,'[1]CTRL AUTOS'!$E:$AH,2,0)</f>
        <v>R66BER</v>
      </c>
      <c r="AE288" s="11" t="str">
        <f t="shared" si="34"/>
        <v>R66BER18</v>
      </c>
    </row>
    <row r="289" spans="1:31" ht="12.75" hidden="1" customHeight="1" x14ac:dyDescent="0.3">
      <c r="A289" s="8">
        <v>18</v>
      </c>
      <c r="B289" s="20" t="s">
        <v>260</v>
      </c>
      <c r="C289" s="22" t="s">
        <v>81</v>
      </c>
      <c r="D289" s="20" t="s">
        <v>273</v>
      </c>
      <c r="E289" s="22" t="s">
        <v>232</v>
      </c>
      <c r="F289" s="20" t="s">
        <v>232</v>
      </c>
      <c r="G289" s="22" t="s">
        <v>234</v>
      </c>
      <c r="H289" s="23">
        <v>4983</v>
      </c>
      <c r="I289" s="23">
        <v>0</v>
      </c>
      <c r="J289" s="23">
        <v>0</v>
      </c>
      <c r="K289" s="23">
        <v>0</v>
      </c>
      <c r="L289" s="23">
        <v>-1332</v>
      </c>
      <c r="M289" s="24">
        <v>-25</v>
      </c>
      <c r="N289" s="23">
        <v>0</v>
      </c>
      <c r="O289" s="24">
        <f t="shared" si="28"/>
        <v>3626</v>
      </c>
      <c r="P289" s="23">
        <v>-2500</v>
      </c>
      <c r="Q289" s="23">
        <v>-414</v>
      </c>
      <c r="R289" s="23">
        <v>0</v>
      </c>
      <c r="S289" s="23">
        <v>0</v>
      </c>
      <c r="T289" s="23">
        <v>0</v>
      </c>
      <c r="U289" s="23">
        <v>0</v>
      </c>
      <c r="V289" s="23">
        <v>0</v>
      </c>
      <c r="W289" s="23">
        <f t="shared" si="29"/>
        <v>712</v>
      </c>
      <c r="X289" s="23">
        <f t="shared" si="30"/>
        <v>712</v>
      </c>
      <c r="Y289" s="23">
        <f t="shared" si="31"/>
        <v>0</v>
      </c>
      <c r="Z289" s="23">
        <v>0</v>
      </c>
      <c r="AA289" s="23">
        <f t="shared" si="32"/>
        <v>0</v>
      </c>
      <c r="AB289" s="23">
        <f t="shared" si="33"/>
        <v>2914</v>
      </c>
      <c r="AC289" s="23" t="s">
        <v>226</v>
      </c>
      <c r="AD289" s="20" t="str">
        <f>VLOOKUP($C289,'[1]CTRL AUTOS'!$E:$AH,2,0)</f>
        <v>NLP172B</v>
      </c>
      <c r="AE289" s="11" t="str">
        <f t="shared" si="34"/>
        <v>NLP172B18</v>
      </c>
    </row>
    <row r="290" spans="1:31" ht="12.75" hidden="1" customHeight="1" x14ac:dyDescent="0.3">
      <c r="A290" s="8">
        <v>18</v>
      </c>
      <c r="B290" s="20" t="s">
        <v>72</v>
      </c>
      <c r="C290" s="22" t="s">
        <v>54</v>
      </c>
      <c r="D290" s="20" t="s">
        <v>274</v>
      </c>
      <c r="E290" s="22" t="s">
        <v>232</v>
      </c>
      <c r="F290" s="20" t="s">
        <v>232</v>
      </c>
      <c r="G290" s="22" t="s">
        <v>234</v>
      </c>
      <c r="H290" s="23">
        <v>8910</v>
      </c>
      <c r="I290" s="23">
        <v>-151</v>
      </c>
      <c r="J290" s="23">
        <v>0</v>
      </c>
      <c r="K290" s="23">
        <v>-83</v>
      </c>
      <c r="L290" s="23">
        <v>-3125</v>
      </c>
      <c r="M290" s="24">
        <v>-25</v>
      </c>
      <c r="N290" s="23">
        <v>-83</v>
      </c>
      <c r="O290" s="24">
        <f t="shared" si="28"/>
        <v>5443</v>
      </c>
      <c r="P290" s="23">
        <v>-2500</v>
      </c>
      <c r="Q290" s="23">
        <v>-700</v>
      </c>
      <c r="R290" s="23">
        <v>0</v>
      </c>
      <c r="S290" s="23">
        <v>0</v>
      </c>
      <c r="T290" s="23">
        <v>-1000</v>
      </c>
      <c r="U290" s="23">
        <v>0</v>
      </c>
      <c r="V290" s="23">
        <v>0</v>
      </c>
      <c r="W290" s="23">
        <f t="shared" si="29"/>
        <v>1243</v>
      </c>
      <c r="X290" s="23">
        <f t="shared" si="30"/>
        <v>1243</v>
      </c>
      <c r="Y290" s="23">
        <f t="shared" si="31"/>
        <v>0</v>
      </c>
      <c r="Z290" s="23">
        <v>0</v>
      </c>
      <c r="AA290" s="23">
        <f t="shared" si="32"/>
        <v>0</v>
      </c>
      <c r="AB290" s="23">
        <f t="shared" si="33"/>
        <v>4200</v>
      </c>
      <c r="AC290" s="20" t="s">
        <v>226</v>
      </c>
      <c r="AD290" s="20" t="str">
        <f>VLOOKUP($C290,'[1]CTRL AUTOS'!$E:$AH,2,0)</f>
        <v>NZY685B</v>
      </c>
      <c r="AE290" s="11" t="str">
        <f t="shared" si="34"/>
        <v>NZY685B18</v>
      </c>
    </row>
    <row r="291" spans="1:31" ht="12.75" hidden="1" customHeight="1" x14ac:dyDescent="0.3">
      <c r="A291" s="8">
        <v>18</v>
      </c>
      <c r="B291" s="20" t="s">
        <v>292</v>
      </c>
      <c r="C291" s="40" t="s">
        <v>168</v>
      </c>
      <c r="D291" s="22" t="s">
        <v>265</v>
      </c>
      <c r="E291" s="22" t="s">
        <v>232</v>
      </c>
      <c r="F291" s="20" t="s">
        <v>232</v>
      </c>
      <c r="G291" s="22" t="s">
        <v>234</v>
      </c>
      <c r="H291" s="23">
        <v>9538</v>
      </c>
      <c r="I291" s="23">
        <v>-49</v>
      </c>
      <c r="J291" s="23">
        <v>0</v>
      </c>
      <c r="K291" s="23">
        <v>0</v>
      </c>
      <c r="L291" s="23">
        <v>-954</v>
      </c>
      <c r="M291" s="24">
        <v>-25</v>
      </c>
      <c r="N291" s="23">
        <v>0</v>
      </c>
      <c r="O291" s="24">
        <f t="shared" si="28"/>
        <v>8510</v>
      </c>
      <c r="P291" s="23">
        <v>-2500</v>
      </c>
      <c r="Q291" s="23">
        <v>0</v>
      </c>
      <c r="R291" s="23">
        <v>0</v>
      </c>
      <c r="S291" s="23">
        <v>0</v>
      </c>
      <c r="T291" s="23">
        <v>0</v>
      </c>
      <c r="U291" s="23">
        <v>0</v>
      </c>
      <c r="V291" s="23">
        <v>0</v>
      </c>
      <c r="W291" s="23">
        <f t="shared" si="29"/>
        <v>6010</v>
      </c>
      <c r="X291" s="23">
        <f t="shared" si="30"/>
        <v>6010</v>
      </c>
      <c r="Y291" s="23">
        <f t="shared" si="31"/>
        <v>0</v>
      </c>
      <c r="Z291" s="23">
        <v>0</v>
      </c>
      <c r="AA291" s="23">
        <f t="shared" si="32"/>
        <v>0</v>
      </c>
      <c r="AB291" s="23">
        <f t="shared" si="33"/>
        <v>2500</v>
      </c>
      <c r="AC291" s="20" t="s">
        <v>226</v>
      </c>
      <c r="AD291" s="20" t="e">
        <f>VLOOKUP($C291,'[1]CTRL AUTOS'!$E:$AH,2,0)</f>
        <v>#N/A</v>
      </c>
      <c r="AE291" s="11" t="e">
        <f t="shared" si="34"/>
        <v>#N/A</v>
      </c>
    </row>
    <row r="292" spans="1:31" ht="12.75" hidden="1" customHeight="1" x14ac:dyDescent="0.3">
      <c r="A292" s="8">
        <v>18</v>
      </c>
      <c r="B292" s="20" t="s">
        <v>105</v>
      </c>
      <c r="C292" s="22" t="s">
        <v>75</v>
      </c>
      <c r="D292" s="20" t="s">
        <v>237</v>
      </c>
      <c r="E292" s="22" t="s">
        <v>241</v>
      </c>
      <c r="F292" s="20" t="s">
        <v>232</v>
      </c>
      <c r="G292" s="22" t="s">
        <v>234</v>
      </c>
      <c r="H292" s="23">
        <v>0</v>
      </c>
      <c r="I292" s="23">
        <v>0</v>
      </c>
      <c r="J292" s="23">
        <v>0</v>
      </c>
      <c r="K292" s="23">
        <v>0</v>
      </c>
      <c r="L292" s="23">
        <v>0</v>
      </c>
      <c r="M292" s="24">
        <v>0</v>
      </c>
      <c r="N292" s="23">
        <v>0</v>
      </c>
      <c r="O292" s="24">
        <f t="shared" si="28"/>
        <v>0</v>
      </c>
      <c r="P292" s="23">
        <v>-7431</v>
      </c>
      <c r="Q292" s="23">
        <v>0</v>
      </c>
      <c r="R292" s="23">
        <v>0</v>
      </c>
      <c r="S292" s="23">
        <v>0</v>
      </c>
      <c r="T292" s="23">
        <v>0</v>
      </c>
      <c r="U292" s="23">
        <v>0</v>
      </c>
      <c r="V292" s="23">
        <v>0</v>
      </c>
      <c r="W292" s="23">
        <f t="shared" si="29"/>
        <v>-7431</v>
      </c>
      <c r="X292" s="23">
        <f t="shared" si="30"/>
        <v>0</v>
      </c>
      <c r="Y292" s="23">
        <f t="shared" si="31"/>
        <v>-7431</v>
      </c>
      <c r="Z292" s="23">
        <v>7431</v>
      </c>
      <c r="AA292" s="23">
        <f t="shared" si="32"/>
        <v>0</v>
      </c>
      <c r="AB292" s="23">
        <f t="shared" si="33"/>
        <v>7431</v>
      </c>
      <c r="AC292" s="20" t="s">
        <v>310</v>
      </c>
      <c r="AD292" s="20" t="str">
        <f>VLOOKUP($C292,'[1]CTRL AUTOS'!$E:$AH,2,0)</f>
        <v>NFN014B</v>
      </c>
      <c r="AE292" s="11" t="str">
        <f t="shared" si="34"/>
        <v>NFN014B18</v>
      </c>
    </row>
    <row r="293" spans="1:31" ht="12.75" hidden="1" customHeight="1" x14ac:dyDescent="0.3">
      <c r="A293" s="8">
        <v>18</v>
      </c>
      <c r="B293" s="20" t="s">
        <v>288</v>
      </c>
      <c r="C293" s="22" t="s">
        <v>56</v>
      </c>
      <c r="D293" s="20" t="s">
        <v>289</v>
      </c>
      <c r="E293" s="22" t="s">
        <v>241</v>
      </c>
      <c r="F293" s="20" t="s">
        <v>232</v>
      </c>
      <c r="G293" s="22" t="s">
        <v>234</v>
      </c>
      <c r="H293" s="23">
        <v>6407</v>
      </c>
      <c r="I293" s="23">
        <v>0</v>
      </c>
      <c r="J293" s="23">
        <v>0</v>
      </c>
      <c r="K293" s="23">
        <v>0</v>
      </c>
      <c r="L293" s="23">
        <v>-2190</v>
      </c>
      <c r="M293" s="24">
        <v>-25</v>
      </c>
      <c r="N293" s="23">
        <v>0</v>
      </c>
      <c r="O293" s="24">
        <f t="shared" si="28"/>
        <v>4192</v>
      </c>
      <c r="P293" s="23">
        <v>-2350</v>
      </c>
      <c r="Q293" s="23">
        <v>0</v>
      </c>
      <c r="R293" s="23">
        <v>0</v>
      </c>
      <c r="S293" s="23">
        <v>0</v>
      </c>
      <c r="T293" s="23">
        <v>0</v>
      </c>
      <c r="U293" s="23">
        <v>0</v>
      </c>
      <c r="V293" s="23">
        <v>0</v>
      </c>
      <c r="W293" s="23">
        <f t="shared" si="29"/>
        <v>1842</v>
      </c>
      <c r="X293" s="23">
        <f t="shared" si="30"/>
        <v>1842</v>
      </c>
      <c r="Y293" s="23">
        <f t="shared" si="31"/>
        <v>0</v>
      </c>
      <c r="Z293" s="23">
        <v>0</v>
      </c>
      <c r="AA293" s="23">
        <f t="shared" si="32"/>
        <v>0</v>
      </c>
      <c r="AB293" s="23">
        <f t="shared" si="33"/>
        <v>2350</v>
      </c>
      <c r="AC293" s="20" t="s">
        <v>226</v>
      </c>
      <c r="AD293" s="20" t="str">
        <f>VLOOKUP($C293,'[1]CTRL AUTOS'!$E:$AH,2,0)</f>
        <v>MYE912A</v>
      </c>
      <c r="AE293" s="11" t="str">
        <f t="shared" si="34"/>
        <v>MYE912A18</v>
      </c>
    </row>
    <row r="294" spans="1:31" ht="12.75" hidden="1" customHeight="1" x14ac:dyDescent="0.3">
      <c r="A294" s="8">
        <v>18</v>
      </c>
      <c r="B294" s="20" t="s">
        <v>244</v>
      </c>
      <c r="C294" s="20" t="s">
        <v>4</v>
      </c>
      <c r="D294" s="20" t="s">
        <v>245</v>
      </c>
      <c r="E294" s="22" t="s">
        <v>232</v>
      </c>
      <c r="F294" s="20" t="s">
        <v>232</v>
      </c>
      <c r="G294" s="22" t="s">
        <v>234</v>
      </c>
      <c r="H294" s="23">
        <v>3947</v>
      </c>
      <c r="I294" s="23">
        <v>0</v>
      </c>
      <c r="J294" s="23">
        <v>0</v>
      </c>
      <c r="K294" s="23">
        <v>0</v>
      </c>
      <c r="L294" s="23">
        <v>-1322</v>
      </c>
      <c r="M294" s="24">
        <v>-25</v>
      </c>
      <c r="N294" s="23">
        <v>0</v>
      </c>
      <c r="O294" s="24">
        <f t="shared" si="28"/>
        <v>2600</v>
      </c>
      <c r="P294" s="23">
        <v>-2500</v>
      </c>
      <c r="Q294" s="23">
        <v>-1199</v>
      </c>
      <c r="R294" s="23">
        <v>0</v>
      </c>
      <c r="S294" s="23">
        <v>0</v>
      </c>
      <c r="T294" s="23">
        <v>0</v>
      </c>
      <c r="U294" s="23">
        <v>0</v>
      </c>
      <c r="V294" s="23">
        <v>0</v>
      </c>
      <c r="W294" s="23">
        <f t="shared" si="29"/>
        <v>-1099</v>
      </c>
      <c r="X294" s="23">
        <f t="shared" si="30"/>
        <v>0</v>
      </c>
      <c r="Y294" s="23">
        <f t="shared" si="31"/>
        <v>-1099</v>
      </c>
      <c r="Z294" s="23">
        <v>0</v>
      </c>
      <c r="AA294" s="23">
        <f t="shared" si="32"/>
        <v>-1099</v>
      </c>
      <c r="AB294" s="23">
        <f t="shared" si="33"/>
        <v>1501</v>
      </c>
      <c r="AC294" s="20"/>
      <c r="AD294" s="20" t="str">
        <f>VLOOKUP($C294,'[1]CTRL AUTOS'!$E:$AH,2,0)</f>
        <v>N15BKD</v>
      </c>
      <c r="AE294" s="11" t="str">
        <f t="shared" si="34"/>
        <v>N15BKD18</v>
      </c>
    </row>
    <row r="295" spans="1:31" ht="12.75" hidden="1" customHeight="1" x14ac:dyDescent="0.3">
      <c r="A295" s="8">
        <v>18</v>
      </c>
      <c r="B295" s="20" t="s">
        <v>35</v>
      </c>
      <c r="C295" s="22" t="s">
        <v>34</v>
      </c>
      <c r="D295" s="20" t="s">
        <v>285</v>
      </c>
      <c r="E295" s="22" t="s">
        <v>232</v>
      </c>
      <c r="F295" s="20" t="s">
        <v>232</v>
      </c>
      <c r="G295" s="22" t="s">
        <v>234</v>
      </c>
      <c r="H295" s="23">
        <v>8572</v>
      </c>
      <c r="I295" s="23">
        <v>-151</v>
      </c>
      <c r="J295" s="23">
        <v>0</v>
      </c>
      <c r="K295" s="23">
        <v>0</v>
      </c>
      <c r="L295" s="23">
        <v>-4598</v>
      </c>
      <c r="M295" s="24">
        <v>-25</v>
      </c>
      <c r="N295" s="23">
        <v>0</v>
      </c>
      <c r="O295" s="24">
        <f t="shared" si="28"/>
        <v>3798</v>
      </c>
      <c r="P295" s="23">
        <v>-2500</v>
      </c>
      <c r="Q295" s="23">
        <v>40</v>
      </c>
      <c r="R295" s="23">
        <v>0</v>
      </c>
      <c r="S295" s="23">
        <v>0</v>
      </c>
      <c r="T295" s="23">
        <v>0</v>
      </c>
      <c r="U295" s="23">
        <v>0</v>
      </c>
      <c r="V295" s="23">
        <v>0</v>
      </c>
      <c r="W295" s="23">
        <f t="shared" si="29"/>
        <v>1338</v>
      </c>
      <c r="X295" s="23">
        <f t="shared" si="30"/>
        <v>1338</v>
      </c>
      <c r="Y295" s="23">
        <f t="shared" si="31"/>
        <v>0</v>
      </c>
      <c r="Z295" s="23">
        <v>0</v>
      </c>
      <c r="AA295" s="23">
        <f t="shared" si="32"/>
        <v>0</v>
      </c>
      <c r="AB295" s="23">
        <f t="shared" si="33"/>
        <v>2460</v>
      </c>
      <c r="AC295" s="20" t="s">
        <v>311</v>
      </c>
      <c r="AD295" s="20" t="str">
        <f>VLOOKUP($C295,'[1]CTRL AUTOS'!$E:$AH,2,0)</f>
        <v>X59AWG</v>
      </c>
      <c r="AE295" s="11" t="str">
        <f t="shared" si="34"/>
        <v>X59AWG18</v>
      </c>
    </row>
    <row r="296" spans="1:31" ht="12.75" hidden="1" customHeight="1" x14ac:dyDescent="0.3">
      <c r="A296" s="8">
        <v>18</v>
      </c>
      <c r="B296" s="20" t="s">
        <v>37</v>
      </c>
      <c r="C296" s="22" t="s">
        <v>246</v>
      </c>
      <c r="D296" s="20" t="s">
        <v>247</v>
      </c>
      <c r="E296" s="22" t="s">
        <v>232</v>
      </c>
      <c r="F296" s="20" t="s">
        <v>232</v>
      </c>
      <c r="G296" s="22" t="s">
        <v>234</v>
      </c>
      <c r="H296" s="23">
        <v>3695</v>
      </c>
      <c r="I296" s="23">
        <v>-18</v>
      </c>
      <c r="J296" s="23">
        <v>0</v>
      </c>
      <c r="K296" s="23">
        <v>0</v>
      </c>
      <c r="L296" s="23">
        <v>-954</v>
      </c>
      <c r="M296" s="24">
        <v>-25</v>
      </c>
      <c r="N296" s="23">
        <v>-212.5</v>
      </c>
      <c r="O296" s="24">
        <f t="shared" si="28"/>
        <v>2485.5</v>
      </c>
      <c r="P296" s="23">
        <v>-2500</v>
      </c>
      <c r="Q296" s="23">
        <v>0</v>
      </c>
      <c r="R296" s="23">
        <v>0</v>
      </c>
      <c r="S296" s="23">
        <v>0</v>
      </c>
      <c r="T296" s="23">
        <v>0</v>
      </c>
      <c r="U296" s="23">
        <v>0</v>
      </c>
      <c r="V296" s="23">
        <v>0</v>
      </c>
      <c r="W296" s="23">
        <f t="shared" si="29"/>
        <v>-14.5</v>
      </c>
      <c r="X296" s="23">
        <f t="shared" si="30"/>
        <v>0</v>
      </c>
      <c r="Y296" s="23">
        <f t="shared" si="31"/>
        <v>-14.5</v>
      </c>
      <c r="Z296" s="23">
        <v>0</v>
      </c>
      <c r="AA296" s="23">
        <f t="shared" si="32"/>
        <v>-14.5</v>
      </c>
      <c r="AB296" s="23">
        <f t="shared" si="33"/>
        <v>2471</v>
      </c>
      <c r="AC296" s="20"/>
      <c r="AD296" s="20" t="s">
        <v>248</v>
      </c>
      <c r="AE296" s="11" t="str">
        <f t="shared" si="34"/>
        <v>X24APU18</v>
      </c>
    </row>
    <row r="297" spans="1:31" ht="12.75" hidden="1" customHeight="1" x14ac:dyDescent="0.3">
      <c r="A297" s="8">
        <v>18</v>
      </c>
      <c r="B297" s="20" t="s">
        <v>293</v>
      </c>
      <c r="C297" s="20" t="s">
        <v>63</v>
      </c>
      <c r="D297" s="20" t="s">
        <v>237</v>
      </c>
      <c r="E297" s="20" t="s">
        <v>291</v>
      </c>
      <c r="F297" s="20" t="s">
        <v>232</v>
      </c>
      <c r="G297" s="22" t="s">
        <v>234</v>
      </c>
      <c r="H297" s="23">
        <v>4134</v>
      </c>
      <c r="I297" s="23">
        <v>-2</v>
      </c>
      <c r="J297" s="23">
        <v>0</v>
      </c>
      <c r="K297" s="23">
        <v>0</v>
      </c>
      <c r="L297" s="23">
        <v>-1583</v>
      </c>
      <c r="M297" s="24">
        <v>-25</v>
      </c>
      <c r="N297" s="23">
        <v>0</v>
      </c>
      <c r="O297" s="24">
        <f t="shared" si="28"/>
        <v>2524</v>
      </c>
      <c r="P297" s="23">
        <v>-2500</v>
      </c>
      <c r="Q297" s="23">
        <v>0</v>
      </c>
      <c r="R297" s="23">
        <v>-500</v>
      </c>
      <c r="S297" s="23">
        <v>0</v>
      </c>
      <c r="T297" s="23">
        <v>0</v>
      </c>
      <c r="U297" s="23">
        <v>0</v>
      </c>
      <c r="V297" s="23">
        <v>0</v>
      </c>
      <c r="W297" s="23">
        <f t="shared" si="29"/>
        <v>-476</v>
      </c>
      <c r="X297" s="23">
        <f t="shared" si="30"/>
        <v>0</v>
      </c>
      <c r="Y297" s="23">
        <f t="shared" si="31"/>
        <v>-476</v>
      </c>
      <c r="Z297" s="23">
        <v>476</v>
      </c>
      <c r="AA297" s="23">
        <f t="shared" si="32"/>
        <v>0</v>
      </c>
      <c r="AB297" s="23">
        <f t="shared" si="33"/>
        <v>3000</v>
      </c>
      <c r="AC297" s="20"/>
      <c r="AD297" s="20" t="str">
        <f>VLOOKUP($C297,'[1]CTRL AUTOS'!$E:$AH,2,0)</f>
        <v>X89ALV</v>
      </c>
      <c r="AE297" s="11" t="str">
        <f t="shared" si="34"/>
        <v>X89ALV18</v>
      </c>
    </row>
    <row r="298" spans="1:31" ht="12.75" hidden="1" customHeight="1" x14ac:dyDescent="0.3">
      <c r="A298" s="8">
        <v>18</v>
      </c>
      <c r="B298" s="20" t="s">
        <v>45</v>
      </c>
      <c r="C298" s="22" t="s">
        <v>249</v>
      </c>
      <c r="D298" s="20" t="s">
        <v>250</v>
      </c>
      <c r="E298" s="22" t="s">
        <v>232</v>
      </c>
      <c r="F298" s="20" t="s">
        <v>232</v>
      </c>
      <c r="G298" s="22" t="s">
        <v>234</v>
      </c>
      <c r="H298" s="23">
        <v>5136</v>
      </c>
      <c r="I298" s="23">
        <v>-38</v>
      </c>
      <c r="J298" s="23">
        <v>0</v>
      </c>
      <c r="K298" s="23">
        <v>0</v>
      </c>
      <c r="L298" s="23">
        <v>-2176</v>
      </c>
      <c r="M298" s="24">
        <v>-25</v>
      </c>
      <c r="N298" s="23">
        <v>0</v>
      </c>
      <c r="O298" s="24">
        <f t="shared" si="28"/>
        <v>2897</v>
      </c>
      <c r="P298" s="23">
        <v>-2300</v>
      </c>
      <c r="Q298" s="23">
        <v>0</v>
      </c>
      <c r="R298" s="23">
        <v>0</v>
      </c>
      <c r="S298" s="23">
        <v>0</v>
      </c>
      <c r="T298" s="23">
        <v>0</v>
      </c>
      <c r="U298" s="23">
        <v>0</v>
      </c>
      <c r="V298" s="23">
        <v>0</v>
      </c>
      <c r="W298" s="23">
        <f t="shared" si="29"/>
        <v>597</v>
      </c>
      <c r="X298" s="23">
        <f t="shared" si="30"/>
        <v>597</v>
      </c>
      <c r="Y298" s="23">
        <f t="shared" si="31"/>
        <v>0</v>
      </c>
      <c r="Z298" s="23">
        <v>0</v>
      </c>
      <c r="AA298" s="23">
        <f t="shared" si="32"/>
        <v>0</v>
      </c>
      <c r="AB298" s="23">
        <f t="shared" si="33"/>
        <v>2300</v>
      </c>
      <c r="AC298" s="20" t="s">
        <v>226</v>
      </c>
      <c r="AD298" s="20" t="s">
        <v>251</v>
      </c>
      <c r="AE298" s="11" t="str">
        <f t="shared" si="34"/>
        <v>BAJA DE PLACAS18</v>
      </c>
    </row>
    <row r="299" spans="1:31" ht="12.75" hidden="1" customHeight="1" x14ac:dyDescent="0.3">
      <c r="A299" s="8">
        <v>18</v>
      </c>
      <c r="B299" s="20" t="s">
        <v>5</v>
      </c>
      <c r="C299" s="20" t="s">
        <v>50</v>
      </c>
      <c r="D299" s="20" t="s">
        <v>267</v>
      </c>
      <c r="E299" s="22" t="s">
        <v>232</v>
      </c>
      <c r="F299" s="20" t="s">
        <v>232</v>
      </c>
      <c r="G299" s="22" t="s">
        <v>234</v>
      </c>
      <c r="H299" s="23">
        <v>7845</v>
      </c>
      <c r="I299" s="23">
        <v>-48</v>
      </c>
      <c r="J299" s="23">
        <v>0</v>
      </c>
      <c r="K299" s="23">
        <v>0</v>
      </c>
      <c r="L299" s="23">
        <v>-3039</v>
      </c>
      <c r="M299" s="24">
        <v>-25</v>
      </c>
      <c r="N299" s="23">
        <v>0</v>
      </c>
      <c r="O299" s="24">
        <f t="shared" si="28"/>
        <v>4733</v>
      </c>
      <c r="P299" s="23">
        <v>-2500</v>
      </c>
      <c r="Q299" s="23">
        <v>-300</v>
      </c>
      <c r="R299" s="23">
        <v>0</v>
      </c>
      <c r="S299" s="23">
        <v>0</v>
      </c>
      <c r="T299" s="23">
        <v>0</v>
      </c>
      <c r="U299" s="23">
        <v>0</v>
      </c>
      <c r="V299" s="23">
        <v>0</v>
      </c>
      <c r="W299" s="23">
        <f t="shared" si="29"/>
        <v>1933</v>
      </c>
      <c r="X299" s="23">
        <f t="shared" si="30"/>
        <v>1933</v>
      </c>
      <c r="Y299" s="23">
        <f t="shared" si="31"/>
        <v>0</v>
      </c>
      <c r="Z299" s="23">
        <v>0</v>
      </c>
      <c r="AA299" s="23">
        <f t="shared" si="32"/>
        <v>0</v>
      </c>
      <c r="AB299" s="23">
        <f t="shared" si="33"/>
        <v>2800</v>
      </c>
      <c r="AC299" s="20" t="s">
        <v>226</v>
      </c>
      <c r="AD299" s="20" t="str">
        <f>VLOOKUP($C299,'[1]CTRL AUTOS'!$E:$AH,2,0)</f>
        <v>NBS225A</v>
      </c>
      <c r="AE299" s="11" t="str">
        <f t="shared" si="34"/>
        <v>NBS225A18</v>
      </c>
    </row>
    <row r="300" spans="1:31" ht="12.75" hidden="1" customHeight="1" x14ac:dyDescent="0.3">
      <c r="A300" s="8">
        <v>18</v>
      </c>
      <c r="B300" s="20" t="s">
        <v>294</v>
      </c>
      <c r="C300" s="20" t="s">
        <v>106</v>
      </c>
      <c r="D300" s="20" t="s">
        <v>262</v>
      </c>
      <c r="E300" s="22" t="s">
        <v>232</v>
      </c>
      <c r="F300" s="20" t="s">
        <v>232</v>
      </c>
      <c r="G300" s="22" t="s">
        <v>234</v>
      </c>
      <c r="H300" s="23">
        <v>212</v>
      </c>
      <c r="I300" s="23">
        <v>0</v>
      </c>
      <c r="J300" s="23">
        <v>0</v>
      </c>
      <c r="K300" s="23">
        <v>0</v>
      </c>
      <c r="L300" s="23">
        <v>-54</v>
      </c>
      <c r="M300" s="24">
        <v>-25</v>
      </c>
      <c r="N300" s="23">
        <v>-53</v>
      </c>
      <c r="O300" s="24">
        <f t="shared" si="28"/>
        <v>80</v>
      </c>
      <c r="P300" s="23">
        <v>-2500</v>
      </c>
      <c r="Q300" s="23">
        <v>-636</v>
      </c>
      <c r="R300" s="23">
        <v>0</v>
      </c>
      <c r="S300" s="23">
        <v>0</v>
      </c>
      <c r="T300" s="23">
        <v>0</v>
      </c>
      <c r="U300" s="23">
        <v>0</v>
      </c>
      <c r="V300" s="23">
        <v>0</v>
      </c>
      <c r="W300" s="23">
        <f t="shared" si="29"/>
        <v>-3056</v>
      </c>
      <c r="X300" s="23">
        <f t="shared" si="30"/>
        <v>0</v>
      </c>
      <c r="Y300" s="23">
        <f t="shared" si="31"/>
        <v>-3056</v>
      </c>
      <c r="Z300" s="23">
        <v>2400</v>
      </c>
      <c r="AA300" s="23">
        <f t="shared" si="32"/>
        <v>-656</v>
      </c>
      <c r="AB300" s="23">
        <f t="shared" si="33"/>
        <v>1824</v>
      </c>
      <c r="AC300" s="20" t="s">
        <v>312</v>
      </c>
      <c r="AD300" s="20" t="str">
        <f>VLOOKUP($C300,'[1]CTRL AUTOS'!$E:$AH,2,0)</f>
        <v>NZU5163</v>
      </c>
      <c r="AE300" s="11" t="str">
        <f t="shared" si="34"/>
        <v>NZU516318</v>
      </c>
    </row>
    <row r="301" spans="1:31" ht="12.75" hidden="1" customHeight="1" x14ac:dyDescent="0.3">
      <c r="A301" s="8">
        <v>19</v>
      </c>
      <c r="B301" s="20" t="s">
        <v>80</v>
      </c>
      <c r="C301" s="22" t="s">
        <v>52</v>
      </c>
      <c r="D301" s="22" t="s">
        <v>313</v>
      </c>
      <c r="E301" s="22" t="s">
        <v>232</v>
      </c>
      <c r="F301" s="20" t="s">
        <v>232</v>
      </c>
      <c r="G301" s="22" t="s">
        <v>234</v>
      </c>
      <c r="H301" s="23">
        <v>379</v>
      </c>
      <c r="I301" s="23">
        <v>-5</v>
      </c>
      <c r="J301" s="23">
        <v>0</v>
      </c>
      <c r="K301" s="23">
        <v>0</v>
      </c>
      <c r="L301" s="23">
        <v>0</v>
      </c>
      <c r="M301" s="24">
        <v>-30</v>
      </c>
      <c r="N301" s="23">
        <v>0</v>
      </c>
      <c r="O301" s="24">
        <f t="shared" si="28"/>
        <v>344</v>
      </c>
      <c r="P301" s="23">
        <v>-2500</v>
      </c>
      <c r="Q301" s="23">
        <v>0</v>
      </c>
      <c r="R301" s="23">
        <v>0</v>
      </c>
      <c r="S301" s="23">
        <v>0</v>
      </c>
      <c r="T301" s="23">
        <v>-500</v>
      </c>
      <c r="U301" s="23">
        <v>0</v>
      </c>
      <c r="V301" s="23">
        <v>0</v>
      </c>
      <c r="W301" s="23">
        <f t="shared" si="29"/>
        <v>-2656</v>
      </c>
      <c r="X301" s="23">
        <f t="shared" si="30"/>
        <v>0</v>
      </c>
      <c r="Y301" s="23">
        <f t="shared" si="31"/>
        <v>-2656</v>
      </c>
      <c r="Z301" s="23">
        <v>2656</v>
      </c>
      <c r="AA301" s="23">
        <f t="shared" si="32"/>
        <v>0</v>
      </c>
      <c r="AB301" s="23">
        <f t="shared" si="33"/>
        <v>3000</v>
      </c>
      <c r="AC301" s="20"/>
      <c r="AD301" s="20" t="str">
        <f>VLOOKUP($C301,'[1]CTRL AUTOS'!$E:$AH,2,0)</f>
        <v>A35BHD</v>
      </c>
      <c r="AE301" s="11" t="str">
        <f t="shared" si="34"/>
        <v>A35BHD19</v>
      </c>
    </row>
    <row r="302" spans="1:31" ht="12.75" hidden="1" customHeight="1" x14ac:dyDescent="0.3">
      <c r="A302" s="8">
        <v>19</v>
      </c>
      <c r="B302" s="20" t="s">
        <v>111</v>
      </c>
      <c r="C302" s="22" t="s">
        <v>16</v>
      </c>
      <c r="D302" s="22" t="s">
        <v>314</v>
      </c>
      <c r="E302" s="22" t="s">
        <v>232</v>
      </c>
      <c r="F302" s="20" t="s">
        <v>232</v>
      </c>
      <c r="G302" s="22" t="s">
        <v>234</v>
      </c>
      <c r="H302" s="23">
        <v>3721</v>
      </c>
      <c r="I302" s="23">
        <v>-54</v>
      </c>
      <c r="J302" s="23">
        <v>0</v>
      </c>
      <c r="K302" s="23">
        <v>0</v>
      </c>
      <c r="L302" s="23">
        <v>-638</v>
      </c>
      <c r="M302" s="24">
        <v>-30</v>
      </c>
      <c r="N302" s="23">
        <v>0</v>
      </c>
      <c r="O302" s="24">
        <f t="shared" si="28"/>
        <v>2999</v>
      </c>
      <c r="P302" s="23">
        <v>-1432</v>
      </c>
      <c r="Q302" s="23">
        <v>0</v>
      </c>
      <c r="R302" s="23">
        <v>-500</v>
      </c>
      <c r="S302" s="23">
        <v>0</v>
      </c>
      <c r="T302" s="23">
        <v>0</v>
      </c>
      <c r="U302" s="23">
        <v>0</v>
      </c>
      <c r="V302" s="23">
        <v>0</v>
      </c>
      <c r="W302" s="23">
        <f t="shared" si="29"/>
        <v>1067</v>
      </c>
      <c r="X302" s="23">
        <f t="shared" si="30"/>
        <v>1067</v>
      </c>
      <c r="Y302" s="23">
        <f t="shared" si="31"/>
        <v>0</v>
      </c>
      <c r="Z302" s="23">
        <v>0</v>
      </c>
      <c r="AA302" s="23">
        <f t="shared" si="32"/>
        <v>0</v>
      </c>
      <c r="AB302" s="23">
        <f t="shared" si="33"/>
        <v>1932</v>
      </c>
      <c r="AC302" s="20"/>
      <c r="AD302" s="20" t="str">
        <f>VLOOKUP($C302,'[1]CTRL AUTOS'!$E:$AH,2,0)</f>
        <v>D28BET</v>
      </c>
      <c r="AE302" s="11" t="str">
        <f t="shared" si="34"/>
        <v>D28BET19</v>
      </c>
    </row>
    <row r="303" spans="1:31" ht="12.75" hidden="1" customHeight="1" x14ac:dyDescent="0.3">
      <c r="A303" s="8">
        <v>19</v>
      </c>
      <c r="B303" s="20" t="s">
        <v>23</v>
      </c>
      <c r="C303" s="20" t="s">
        <v>22</v>
      </c>
      <c r="D303" s="20" t="s">
        <v>237</v>
      </c>
      <c r="E303" s="22" t="s">
        <v>232</v>
      </c>
      <c r="F303" s="20" t="s">
        <v>232</v>
      </c>
      <c r="G303" s="22" t="s">
        <v>234</v>
      </c>
      <c r="H303" s="23">
        <v>0</v>
      </c>
      <c r="I303" s="23">
        <v>0</v>
      </c>
      <c r="J303" s="23">
        <v>0</v>
      </c>
      <c r="K303" s="23">
        <v>0</v>
      </c>
      <c r="L303" s="23">
        <v>0</v>
      </c>
      <c r="M303" s="24">
        <v>0</v>
      </c>
      <c r="N303" s="23">
        <v>0</v>
      </c>
      <c r="O303" s="24">
        <f t="shared" si="28"/>
        <v>0</v>
      </c>
      <c r="P303" s="23">
        <v>0</v>
      </c>
      <c r="Q303" s="23">
        <v>0</v>
      </c>
      <c r="R303" s="23">
        <v>500</v>
      </c>
      <c r="S303" s="23">
        <v>0</v>
      </c>
      <c r="T303" s="23">
        <v>0</v>
      </c>
      <c r="U303" s="23">
        <v>0</v>
      </c>
      <c r="V303" s="23">
        <v>0</v>
      </c>
      <c r="W303" s="23">
        <f t="shared" si="29"/>
        <v>500</v>
      </c>
      <c r="X303" s="23">
        <f t="shared" si="30"/>
        <v>500</v>
      </c>
      <c r="Y303" s="23">
        <f t="shared" si="31"/>
        <v>0</v>
      </c>
      <c r="Z303" s="23">
        <v>0</v>
      </c>
      <c r="AA303" s="23">
        <f t="shared" si="32"/>
        <v>0</v>
      </c>
      <c r="AB303" s="23">
        <f t="shared" si="33"/>
        <v>-500</v>
      </c>
      <c r="AC303" s="20"/>
      <c r="AD303" s="20" t="str">
        <f>VLOOKUP($C303,'[1]CTRL AUTOS'!$E:$AH,2,0)</f>
        <v>NCK475B</v>
      </c>
      <c r="AE303" s="11" t="str">
        <f t="shared" si="34"/>
        <v>NCK475B19</v>
      </c>
    </row>
    <row r="304" spans="1:31" ht="12.75" hidden="1" customHeight="1" x14ac:dyDescent="0.3">
      <c r="A304" s="8">
        <v>19</v>
      </c>
      <c r="B304" s="20" t="s">
        <v>299</v>
      </c>
      <c r="C304" s="22" t="s">
        <v>40</v>
      </c>
      <c r="D304" s="22" t="s">
        <v>315</v>
      </c>
      <c r="E304" s="22" t="s">
        <v>232</v>
      </c>
      <c r="F304" s="20" t="s">
        <v>232</v>
      </c>
      <c r="G304" s="22" t="s">
        <v>234</v>
      </c>
      <c r="H304" s="23">
        <v>5517</v>
      </c>
      <c r="I304" s="23">
        <v>0</v>
      </c>
      <c r="J304" s="23">
        <v>0</v>
      </c>
      <c r="K304" s="23">
        <v>0</v>
      </c>
      <c r="L304" s="23">
        <v>-2528</v>
      </c>
      <c r="M304" s="24">
        <v>-30</v>
      </c>
      <c r="N304" s="23">
        <v>0</v>
      </c>
      <c r="O304" s="24">
        <f t="shared" si="28"/>
        <v>2959</v>
      </c>
      <c r="P304" s="23">
        <v>-2500</v>
      </c>
      <c r="Q304" s="23">
        <v>-916</v>
      </c>
      <c r="R304" s="23">
        <v>0</v>
      </c>
      <c r="S304" s="23">
        <v>0</v>
      </c>
      <c r="T304" s="23">
        <v>0</v>
      </c>
      <c r="U304" s="23">
        <v>0</v>
      </c>
      <c r="V304" s="23">
        <v>0</v>
      </c>
      <c r="W304" s="23">
        <f t="shared" si="29"/>
        <v>-457</v>
      </c>
      <c r="X304" s="23">
        <f t="shared" si="30"/>
        <v>0</v>
      </c>
      <c r="Y304" s="23">
        <f t="shared" si="31"/>
        <v>-457</v>
      </c>
      <c r="Z304" s="23">
        <v>0</v>
      </c>
      <c r="AA304" s="23">
        <f t="shared" si="32"/>
        <v>-457</v>
      </c>
      <c r="AB304" s="23">
        <f t="shared" si="33"/>
        <v>2502</v>
      </c>
      <c r="AC304" s="20"/>
      <c r="AD304" s="20" t="str">
        <f>VLOOKUP($C304,'[1]CTRL AUTOS'!$E:$AH,2,0)</f>
        <v>NEL860A</v>
      </c>
      <c r="AE304" s="11" t="str">
        <f t="shared" si="34"/>
        <v>NEL860A19</v>
      </c>
    </row>
    <row r="305" spans="1:31" ht="12.75" hidden="1" customHeight="1" x14ac:dyDescent="0.3">
      <c r="A305" s="8">
        <v>19</v>
      </c>
      <c r="B305" s="20" t="s">
        <v>258</v>
      </c>
      <c r="C305" s="20" t="s">
        <v>40</v>
      </c>
      <c r="D305" s="25" t="s">
        <v>259</v>
      </c>
      <c r="E305" s="22" t="s">
        <v>232</v>
      </c>
      <c r="F305" s="20" t="s">
        <v>232</v>
      </c>
      <c r="G305" s="22" t="s">
        <v>234</v>
      </c>
      <c r="H305" s="23">
        <v>0</v>
      </c>
      <c r="I305" s="23">
        <v>0</v>
      </c>
      <c r="J305" s="23">
        <v>0</v>
      </c>
      <c r="K305" s="23">
        <v>0</v>
      </c>
      <c r="L305" s="23">
        <v>0</v>
      </c>
      <c r="M305" s="24">
        <v>0</v>
      </c>
      <c r="N305" s="23">
        <v>0</v>
      </c>
      <c r="O305" s="24">
        <f t="shared" si="28"/>
        <v>0</v>
      </c>
      <c r="P305" s="23">
        <v>0</v>
      </c>
      <c r="Q305" s="23">
        <v>0</v>
      </c>
      <c r="R305" s="23">
        <v>0</v>
      </c>
      <c r="S305" s="23">
        <v>-1697</v>
      </c>
      <c r="T305" s="23">
        <v>0</v>
      </c>
      <c r="U305" s="23">
        <v>0</v>
      </c>
      <c r="V305" s="23">
        <v>0</v>
      </c>
      <c r="W305" s="23">
        <f t="shared" si="29"/>
        <v>-1697</v>
      </c>
      <c r="X305" s="23">
        <f t="shared" si="30"/>
        <v>0</v>
      </c>
      <c r="Y305" s="23">
        <f t="shared" si="31"/>
        <v>-1697</v>
      </c>
      <c r="Z305" s="23">
        <v>0</v>
      </c>
      <c r="AA305" s="23">
        <f t="shared" si="32"/>
        <v>-1697</v>
      </c>
      <c r="AB305" s="23">
        <f t="shared" si="33"/>
        <v>-1697</v>
      </c>
      <c r="AC305" s="20" t="s">
        <v>316</v>
      </c>
      <c r="AD305" s="20" t="str">
        <f>VLOOKUP($C305,'[1]CTRL AUTOS'!$E:$AH,2,0)</f>
        <v>NEL860A</v>
      </c>
      <c r="AE305" s="11" t="str">
        <f t="shared" si="34"/>
        <v>NEL860A19</v>
      </c>
    </row>
    <row r="306" spans="1:31" ht="12.75" hidden="1" customHeight="1" x14ac:dyDescent="0.3">
      <c r="A306" s="8">
        <v>19</v>
      </c>
      <c r="B306" s="20" t="s">
        <v>25</v>
      </c>
      <c r="C306" s="22" t="s">
        <v>46</v>
      </c>
      <c r="D306" s="22" t="s">
        <v>257</v>
      </c>
      <c r="E306" s="22" t="s">
        <v>232</v>
      </c>
      <c r="F306" s="20" t="s">
        <v>232</v>
      </c>
      <c r="G306" s="22" t="s">
        <v>234</v>
      </c>
      <c r="H306" s="23">
        <v>3903</v>
      </c>
      <c r="I306" s="23">
        <v>-7</v>
      </c>
      <c r="J306" s="23">
        <v>0</v>
      </c>
      <c r="K306" s="23">
        <v>0</v>
      </c>
      <c r="L306" s="23">
        <v>-1427</v>
      </c>
      <c r="M306" s="24">
        <v>-30</v>
      </c>
      <c r="N306" s="23">
        <v>0</v>
      </c>
      <c r="O306" s="24">
        <f t="shared" si="28"/>
        <v>2439</v>
      </c>
      <c r="P306" s="23">
        <v>-2500</v>
      </c>
      <c r="Q306" s="23">
        <v>1177</v>
      </c>
      <c r="R306" s="23">
        <v>-500</v>
      </c>
      <c r="S306" s="23">
        <v>0</v>
      </c>
      <c r="T306" s="23">
        <v>0</v>
      </c>
      <c r="U306" s="23">
        <v>0</v>
      </c>
      <c r="V306" s="23">
        <v>0</v>
      </c>
      <c r="W306" s="23">
        <f t="shared" si="29"/>
        <v>616</v>
      </c>
      <c r="X306" s="23">
        <f t="shared" si="30"/>
        <v>616</v>
      </c>
      <c r="Y306" s="23">
        <f t="shared" si="31"/>
        <v>0</v>
      </c>
      <c r="Z306" s="23">
        <v>0</v>
      </c>
      <c r="AA306" s="23">
        <f t="shared" si="32"/>
        <v>0</v>
      </c>
      <c r="AB306" s="23">
        <f t="shared" si="33"/>
        <v>1823</v>
      </c>
      <c r="AC306" s="20"/>
      <c r="AD306" s="20" t="str">
        <f>VLOOKUP($C306,'[1]CTRL AUTOS'!$E:$AH,2,0)</f>
        <v>R66BER</v>
      </c>
      <c r="AE306" s="11" t="str">
        <f t="shared" si="34"/>
        <v>R66BER19</v>
      </c>
    </row>
    <row r="307" spans="1:31" ht="12.75" hidden="1" customHeight="1" x14ac:dyDescent="0.3">
      <c r="A307" s="8">
        <v>19</v>
      </c>
      <c r="B307" s="20" t="s">
        <v>260</v>
      </c>
      <c r="C307" s="22" t="s">
        <v>81</v>
      </c>
      <c r="D307" s="22" t="s">
        <v>317</v>
      </c>
      <c r="E307" s="22" t="s">
        <v>232</v>
      </c>
      <c r="F307" s="20" t="s">
        <v>232</v>
      </c>
      <c r="G307" s="22" t="s">
        <v>234</v>
      </c>
      <c r="H307" s="23">
        <v>4829</v>
      </c>
      <c r="I307" s="23">
        <v>-3</v>
      </c>
      <c r="J307" s="23">
        <v>0</v>
      </c>
      <c r="K307" s="23">
        <v>0</v>
      </c>
      <c r="L307" s="23">
        <v>-2115</v>
      </c>
      <c r="M307" s="24">
        <v>-30</v>
      </c>
      <c r="N307" s="23">
        <v>0</v>
      </c>
      <c r="O307" s="24">
        <f t="shared" si="28"/>
        <v>2681</v>
      </c>
      <c r="P307" s="23">
        <v>-2500</v>
      </c>
      <c r="Q307" s="23">
        <v>0</v>
      </c>
      <c r="R307" s="23">
        <v>0</v>
      </c>
      <c r="S307" s="23">
        <v>0</v>
      </c>
      <c r="T307" s="23">
        <v>0</v>
      </c>
      <c r="U307" s="23">
        <v>0</v>
      </c>
      <c r="V307" s="23">
        <v>0</v>
      </c>
      <c r="W307" s="23">
        <f t="shared" si="29"/>
        <v>181</v>
      </c>
      <c r="X307" s="23">
        <f t="shared" si="30"/>
        <v>181</v>
      </c>
      <c r="Y307" s="23">
        <f t="shared" si="31"/>
        <v>0</v>
      </c>
      <c r="Z307" s="23">
        <v>0</v>
      </c>
      <c r="AA307" s="23">
        <f t="shared" si="32"/>
        <v>0</v>
      </c>
      <c r="AB307" s="23">
        <f t="shared" si="33"/>
        <v>2500</v>
      </c>
      <c r="AC307" s="20"/>
      <c r="AD307" s="20" t="str">
        <f>VLOOKUP($C307,'[1]CTRL AUTOS'!$E:$AH,2,0)</f>
        <v>NLP172B</v>
      </c>
      <c r="AE307" s="11" t="str">
        <f t="shared" si="34"/>
        <v>NLP172B19</v>
      </c>
    </row>
    <row r="308" spans="1:31" ht="12.75" hidden="1" customHeight="1" x14ac:dyDescent="0.3">
      <c r="A308" s="8">
        <v>19</v>
      </c>
      <c r="B308" s="20" t="s">
        <v>72</v>
      </c>
      <c r="C308" s="22" t="s">
        <v>54</v>
      </c>
      <c r="D308" s="22" t="s">
        <v>318</v>
      </c>
      <c r="E308" s="22" t="s">
        <v>232</v>
      </c>
      <c r="F308" s="20" t="s">
        <v>232</v>
      </c>
      <c r="G308" s="22" t="s">
        <v>234</v>
      </c>
      <c r="H308" s="23">
        <v>10032</v>
      </c>
      <c r="I308" s="23">
        <v>-120</v>
      </c>
      <c r="J308" s="23">
        <v>0</v>
      </c>
      <c r="K308" s="23">
        <v>-101</v>
      </c>
      <c r="L308" s="23">
        <v>-4313</v>
      </c>
      <c r="M308" s="24">
        <v>-30</v>
      </c>
      <c r="N308" s="23">
        <v>0</v>
      </c>
      <c r="O308" s="24">
        <f t="shared" si="28"/>
        <v>5468</v>
      </c>
      <c r="P308" s="23">
        <v>-2500</v>
      </c>
      <c r="Q308" s="23">
        <v>-1500</v>
      </c>
      <c r="R308" s="23">
        <v>0</v>
      </c>
      <c r="S308" s="23">
        <v>0</v>
      </c>
      <c r="T308" s="23">
        <v>0</v>
      </c>
      <c r="U308" s="23">
        <v>0</v>
      </c>
      <c r="V308" s="23">
        <v>0</v>
      </c>
      <c r="W308" s="23">
        <f t="shared" si="29"/>
        <v>1468</v>
      </c>
      <c r="X308" s="23">
        <f t="shared" si="30"/>
        <v>1468</v>
      </c>
      <c r="Y308" s="23">
        <f t="shared" si="31"/>
        <v>0</v>
      </c>
      <c r="Z308" s="23">
        <v>0</v>
      </c>
      <c r="AA308" s="23">
        <f t="shared" si="32"/>
        <v>0</v>
      </c>
      <c r="AB308" s="23">
        <f t="shared" si="33"/>
        <v>4000</v>
      </c>
      <c r="AC308" s="20"/>
      <c r="AD308" s="20" t="str">
        <f>VLOOKUP($C308,'[1]CTRL AUTOS'!$E:$AH,2,0)</f>
        <v>NZY685B</v>
      </c>
      <c r="AE308" s="11" t="str">
        <f t="shared" si="34"/>
        <v>NZY685B19</v>
      </c>
    </row>
    <row r="309" spans="1:31" ht="12.75" hidden="1" customHeight="1" x14ac:dyDescent="0.3">
      <c r="A309" s="8">
        <v>19</v>
      </c>
      <c r="B309" s="20" t="s">
        <v>292</v>
      </c>
      <c r="C309" s="40" t="s">
        <v>168</v>
      </c>
      <c r="D309" s="22" t="s">
        <v>265</v>
      </c>
      <c r="E309" s="22" t="s">
        <v>232</v>
      </c>
      <c r="F309" s="20" t="s">
        <v>232</v>
      </c>
      <c r="G309" s="22" t="s">
        <v>234</v>
      </c>
      <c r="H309" s="23">
        <v>11121</v>
      </c>
      <c r="I309" s="23">
        <v>-145</v>
      </c>
      <c r="J309" s="23">
        <v>0</v>
      </c>
      <c r="K309" s="23">
        <v>0</v>
      </c>
      <c r="L309" s="23">
        <v>-5091</v>
      </c>
      <c r="M309" s="24">
        <v>-30</v>
      </c>
      <c r="N309" s="23">
        <v>0</v>
      </c>
      <c r="O309" s="24">
        <f t="shared" si="28"/>
        <v>5855</v>
      </c>
      <c r="P309" s="23">
        <v>-2500</v>
      </c>
      <c r="Q309" s="23">
        <v>0</v>
      </c>
      <c r="R309" s="23">
        <v>0</v>
      </c>
      <c r="S309" s="23">
        <v>0</v>
      </c>
      <c r="T309" s="23">
        <v>0</v>
      </c>
      <c r="U309" s="23">
        <v>0</v>
      </c>
      <c r="V309" s="23">
        <v>0</v>
      </c>
      <c r="W309" s="23">
        <f t="shared" si="29"/>
        <v>3355</v>
      </c>
      <c r="X309" s="23">
        <f t="shared" si="30"/>
        <v>3355</v>
      </c>
      <c r="Y309" s="23">
        <f t="shared" si="31"/>
        <v>0</v>
      </c>
      <c r="Z309" s="23">
        <v>0</v>
      </c>
      <c r="AA309" s="23">
        <f t="shared" si="32"/>
        <v>0</v>
      </c>
      <c r="AB309" s="23">
        <f t="shared" si="33"/>
        <v>2500</v>
      </c>
      <c r="AC309" s="20"/>
      <c r="AD309" s="20" t="e">
        <f>VLOOKUP($C309,'[1]CTRL AUTOS'!$E:$AH,2,0)</f>
        <v>#N/A</v>
      </c>
      <c r="AE309" s="11" t="e">
        <f t="shared" si="34"/>
        <v>#N/A</v>
      </c>
    </row>
    <row r="310" spans="1:31" ht="12.75" hidden="1" customHeight="1" x14ac:dyDescent="0.3">
      <c r="A310" s="8">
        <v>19</v>
      </c>
      <c r="B310" s="20" t="s">
        <v>105</v>
      </c>
      <c r="C310" s="22" t="s">
        <v>75</v>
      </c>
      <c r="D310" s="20" t="s">
        <v>237</v>
      </c>
      <c r="E310" s="22" t="s">
        <v>241</v>
      </c>
      <c r="F310" s="20" t="s">
        <v>232</v>
      </c>
      <c r="G310" s="22" t="s">
        <v>234</v>
      </c>
      <c r="H310" s="23">
        <v>0</v>
      </c>
      <c r="I310" s="23">
        <v>0</v>
      </c>
      <c r="J310" s="23">
        <v>0</v>
      </c>
      <c r="K310" s="23">
        <v>0</v>
      </c>
      <c r="L310" s="23">
        <v>0</v>
      </c>
      <c r="M310" s="24">
        <v>0</v>
      </c>
      <c r="N310" s="23">
        <v>0</v>
      </c>
      <c r="O310" s="24">
        <f t="shared" si="28"/>
        <v>0</v>
      </c>
      <c r="P310" s="23">
        <v>-4361</v>
      </c>
      <c r="Q310" s="23">
        <v>0</v>
      </c>
      <c r="R310" s="23">
        <v>0</v>
      </c>
      <c r="S310" s="23">
        <v>0</v>
      </c>
      <c r="T310" s="23">
        <v>0</v>
      </c>
      <c r="U310" s="23">
        <v>0</v>
      </c>
      <c r="V310" s="23">
        <v>0</v>
      </c>
      <c r="W310" s="23">
        <f t="shared" si="29"/>
        <v>-4361</v>
      </c>
      <c r="X310" s="23">
        <f t="shared" si="30"/>
        <v>0</v>
      </c>
      <c r="Y310" s="23">
        <f t="shared" si="31"/>
        <v>-4361</v>
      </c>
      <c r="Z310" s="23">
        <v>4361</v>
      </c>
      <c r="AA310" s="23">
        <f t="shared" si="32"/>
        <v>0</v>
      </c>
      <c r="AB310" s="23">
        <f t="shared" si="33"/>
        <v>4361</v>
      </c>
      <c r="AC310" s="20"/>
      <c r="AD310" s="20" t="str">
        <f>VLOOKUP($C310,'[1]CTRL AUTOS'!$E:$AH,2,0)</f>
        <v>NFN014B</v>
      </c>
      <c r="AE310" s="11" t="str">
        <f t="shared" si="34"/>
        <v>NFN014B19</v>
      </c>
    </row>
    <row r="311" spans="1:31" ht="12.75" hidden="1" customHeight="1" x14ac:dyDescent="0.3">
      <c r="A311" s="8">
        <v>19</v>
      </c>
      <c r="B311" s="20" t="s">
        <v>288</v>
      </c>
      <c r="C311" s="40" t="s">
        <v>22</v>
      </c>
      <c r="D311" s="22" t="s">
        <v>319</v>
      </c>
      <c r="E311" s="20" t="s">
        <v>232</v>
      </c>
      <c r="F311" s="20" t="s">
        <v>232</v>
      </c>
      <c r="G311" s="22" t="s">
        <v>234</v>
      </c>
      <c r="H311" s="23">
        <v>0</v>
      </c>
      <c r="I311" s="23">
        <v>0</v>
      </c>
      <c r="J311" s="23">
        <v>0</v>
      </c>
      <c r="K311" s="23">
        <v>0</v>
      </c>
      <c r="L311" s="23">
        <v>0</v>
      </c>
      <c r="M311" s="24">
        <v>0</v>
      </c>
      <c r="N311" s="23"/>
      <c r="O311" s="24">
        <f t="shared" si="28"/>
        <v>0</v>
      </c>
      <c r="P311" s="23">
        <v>0</v>
      </c>
      <c r="Q311" s="23">
        <v>0</v>
      </c>
      <c r="R311" s="23">
        <v>0</v>
      </c>
      <c r="S311" s="23">
        <v>0</v>
      </c>
      <c r="T311" s="23">
        <v>0</v>
      </c>
      <c r="U311" s="23">
        <v>0</v>
      </c>
      <c r="V311" s="23">
        <v>0</v>
      </c>
      <c r="W311" s="23">
        <f t="shared" si="29"/>
        <v>0</v>
      </c>
      <c r="X311" s="23">
        <f t="shared" si="30"/>
        <v>0</v>
      </c>
      <c r="Y311" s="23">
        <f t="shared" si="31"/>
        <v>0</v>
      </c>
      <c r="Z311" s="23">
        <v>0</v>
      </c>
      <c r="AA311" s="23">
        <f t="shared" si="32"/>
        <v>0</v>
      </c>
      <c r="AB311" s="23">
        <f t="shared" si="33"/>
        <v>0</v>
      </c>
      <c r="AC311" s="20"/>
      <c r="AD311" s="20" t="str">
        <f>VLOOKUP($C311,'[1]CTRL AUTOS'!$E:$AH,2,0)</f>
        <v>NCK475B</v>
      </c>
      <c r="AE311" s="11" t="str">
        <f t="shared" si="34"/>
        <v>NCK475B19</v>
      </c>
    </row>
    <row r="312" spans="1:31" ht="12.75" hidden="1" customHeight="1" x14ac:dyDescent="0.3">
      <c r="A312" s="8">
        <v>19</v>
      </c>
      <c r="B312" s="20" t="s">
        <v>244</v>
      </c>
      <c r="C312" s="20" t="s">
        <v>4</v>
      </c>
      <c r="D312" s="22" t="s">
        <v>245</v>
      </c>
      <c r="E312" s="22" t="s">
        <v>232</v>
      </c>
      <c r="F312" s="20" t="s">
        <v>232</v>
      </c>
      <c r="G312" s="22" t="s">
        <v>234</v>
      </c>
      <c r="H312" s="23">
        <v>3616</v>
      </c>
      <c r="I312" s="23">
        <v>0</v>
      </c>
      <c r="J312" s="23">
        <v>0</v>
      </c>
      <c r="K312" s="23">
        <v>0</v>
      </c>
      <c r="L312" s="23">
        <v>-405</v>
      </c>
      <c r="M312" s="24">
        <v>-30</v>
      </c>
      <c r="N312" s="23">
        <v>0</v>
      </c>
      <c r="O312" s="24">
        <f t="shared" si="28"/>
        <v>3181</v>
      </c>
      <c r="P312" s="23">
        <v>-2500</v>
      </c>
      <c r="Q312" s="23">
        <v>-1099</v>
      </c>
      <c r="R312" s="23">
        <v>0</v>
      </c>
      <c r="S312" s="23">
        <v>0</v>
      </c>
      <c r="T312" s="23">
        <v>0</v>
      </c>
      <c r="U312" s="23">
        <v>0</v>
      </c>
      <c r="V312" s="23">
        <v>0</v>
      </c>
      <c r="W312" s="23">
        <f t="shared" si="29"/>
        <v>-418</v>
      </c>
      <c r="X312" s="23">
        <f t="shared" si="30"/>
        <v>0</v>
      </c>
      <c r="Y312" s="23">
        <f t="shared" si="31"/>
        <v>-418</v>
      </c>
      <c r="Z312" s="23">
        <v>0</v>
      </c>
      <c r="AA312" s="23">
        <f t="shared" si="32"/>
        <v>-418</v>
      </c>
      <c r="AB312" s="23">
        <f t="shared" si="33"/>
        <v>2763</v>
      </c>
      <c r="AC312" s="20"/>
      <c r="AD312" s="20" t="str">
        <f>VLOOKUP($C312,'[1]CTRL AUTOS'!$E:$AH,2,0)</f>
        <v>N15BKD</v>
      </c>
      <c r="AE312" s="11" t="str">
        <f t="shared" si="34"/>
        <v>N15BKD19</v>
      </c>
    </row>
    <row r="313" spans="1:31" ht="12.75" hidden="1" customHeight="1" x14ac:dyDescent="0.3">
      <c r="A313" s="8">
        <v>19</v>
      </c>
      <c r="B313" s="20" t="s">
        <v>35</v>
      </c>
      <c r="C313" s="22" t="s">
        <v>97</v>
      </c>
      <c r="D313" s="22" t="s">
        <v>273</v>
      </c>
      <c r="E313" s="22" t="s">
        <v>232</v>
      </c>
      <c r="F313" s="20" t="s">
        <v>232</v>
      </c>
      <c r="G313" s="22" t="s">
        <v>234</v>
      </c>
      <c r="H313" s="23">
        <v>8118</v>
      </c>
      <c r="I313" s="23">
        <v>-121</v>
      </c>
      <c r="J313" s="23">
        <v>0</v>
      </c>
      <c r="K313" s="23">
        <v>0</v>
      </c>
      <c r="L313" s="23">
        <v>-4482</v>
      </c>
      <c r="M313" s="24">
        <v>-30</v>
      </c>
      <c r="N313" s="23">
        <v>0</v>
      </c>
      <c r="O313" s="24">
        <f t="shared" si="28"/>
        <v>3485</v>
      </c>
      <c r="P313" s="23">
        <v>-2142</v>
      </c>
      <c r="Q313" s="23">
        <v>38</v>
      </c>
      <c r="R313" s="23">
        <v>0</v>
      </c>
      <c r="S313" s="23">
        <v>0</v>
      </c>
      <c r="T313" s="23">
        <v>0</v>
      </c>
      <c r="U313" s="23">
        <v>0</v>
      </c>
      <c r="V313" s="23">
        <v>0</v>
      </c>
      <c r="W313" s="23">
        <f t="shared" si="29"/>
        <v>1381</v>
      </c>
      <c r="X313" s="23">
        <f t="shared" si="30"/>
        <v>1381</v>
      </c>
      <c r="Y313" s="23">
        <f t="shared" si="31"/>
        <v>0</v>
      </c>
      <c r="Z313" s="23">
        <v>0</v>
      </c>
      <c r="AA313" s="23">
        <f t="shared" si="32"/>
        <v>0</v>
      </c>
      <c r="AB313" s="23">
        <f t="shared" si="33"/>
        <v>2104</v>
      </c>
      <c r="AC313" s="20" t="s">
        <v>320</v>
      </c>
      <c r="AD313" s="20" t="str">
        <f>VLOOKUP($C313,'[1]CTRL AUTOS'!$E:$AH,2,0)</f>
        <v>MUF515A</v>
      </c>
      <c r="AE313" s="11" t="str">
        <f t="shared" si="34"/>
        <v>MUF515A19</v>
      </c>
    </row>
    <row r="314" spans="1:31" ht="12.75" hidden="1" customHeight="1" x14ac:dyDescent="0.3">
      <c r="A314" s="8">
        <v>19</v>
      </c>
      <c r="B314" s="20" t="s">
        <v>37</v>
      </c>
      <c r="C314" s="22" t="s">
        <v>246</v>
      </c>
      <c r="D314" s="20" t="s">
        <v>237</v>
      </c>
      <c r="E314" s="22" t="s">
        <v>232</v>
      </c>
      <c r="F314" s="20" t="s">
        <v>291</v>
      </c>
      <c r="G314" s="22" t="s">
        <v>234</v>
      </c>
      <c r="H314" s="23">
        <v>2212</v>
      </c>
      <c r="I314" s="23">
        <v>0</v>
      </c>
      <c r="J314" s="23">
        <v>0</v>
      </c>
      <c r="K314" s="23">
        <v>0</v>
      </c>
      <c r="L314" s="23">
        <v>-995</v>
      </c>
      <c r="M314" s="24">
        <v>-30</v>
      </c>
      <c r="N314" s="23">
        <v>0</v>
      </c>
      <c r="O314" s="24">
        <f t="shared" si="28"/>
        <v>1187</v>
      </c>
      <c r="P314" s="23">
        <v>-2500</v>
      </c>
      <c r="Q314" s="23">
        <v>-15</v>
      </c>
      <c r="R314" s="23">
        <v>0</v>
      </c>
      <c r="S314" s="23">
        <v>0</v>
      </c>
      <c r="T314" s="23">
        <v>0</v>
      </c>
      <c r="U314" s="23">
        <v>0</v>
      </c>
      <c r="V314" s="23">
        <v>0</v>
      </c>
      <c r="W314" s="23">
        <f t="shared" si="29"/>
        <v>-1328</v>
      </c>
      <c r="X314" s="23">
        <f t="shared" si="30"/>
        <v>0</v>
      </c>
      <c r="Y314" s="23">
        <f t="shared" si="31"/>
        <v>-1328</v>
      </c>
      <c r="Z314" s="23">
        <v>1320</v>
      </c>
      <c r="AA314" s="23">
        <f t="shared" si="32"/>
        <v>-8</v>
      </c>
      <c r="AB314" s="23">
        <f t="shared" si="33"/>
        <v>2499</v>
      </c>
      <c r="AC314" s="20"/>
      <c r="AD314" s="20" t="s">
        <v>248</v>
      </c>
      <c r="AE314" s="11" t="str">
        <f t="shared" si="34"/>
        <v>X24APU19</v>
      </c>
    </row>
    <row r="315" spans="1:31" ht="12.75" hidden="1" customHeight="1" x14ac:dyDescent="0.3">
      <c r="A315" s="8">
        <v>19</v>
      </c>
      <c r="B315" s="20" t="s">
        <v>293</v>
      </c>
      <c r="C315" s="22" t="s">
        <v>34</v>
      </c>
      <c r="D315" s="22" t="s">
        <v>285</v>
      </c>
      <c r="E315" s="22" t="s">
        <v>232</v>
      </c>
      <c r="F315" s="20" t="s">
        <v>232</v>
      </c>
      <c r="G315" s="22" t="s">
        <v>234</v>
      </c>
      <c r="H315" s="23">
        <v>4048</v>
      </c>
      <c r="I315" s="23">
        <v>0</v>
      </c>
      <c r="J315" s="23">
        <v>0</v>
      </c>
      <c r="K315" s="23">
        <v>0</v>
      </c>
      <c r="L315" s="23">
        <v>-1137</v>
      </c>
      <c r="M315" s="24">
        <v>-30</v>
      </c>
      <c r="N315" s="23">
        <v>0</v>
      </c>
      <c r="O315" s="24">
        <f t="shared" si="28"/>
        <v>2881</v>
      </c>
      <c r="P315" s="23">
        <v>-2500</v>
      </c>
      <c r="Q315" s="23">
        <v>-491</v>
      </c>
      <c r="R315" s="23">
        <v>-500</v>
      </c>
      <c r="S315" s="23">
        <v>0</v>
      </c>
      <c r="T315" s="23">
        <v>-500</v>
      </c>
      <c r="U315" s="23">
        <v>0</v>
      </c>
      <c r="V315" s="23">
        <v>0</v>
      </c>
      <c r="W315" s="23">
        <f t="shared" si="29"/>
        <v>-1110</v>
      </c>
      <c r="X315" s="23">
        <f t="shared" si="30"/>
        <v>0</v>
      </c>
      <c r="Y315" s="23">
        <f t="shared" si="31"/>
        <v>-1110</v>
      </c>
      <c r="Z315" s="23">
        <v>1110</v>
      </c>
      <c r="AA315" s="23">
        <f t="shared" si="32"/>
        <v>0</v>
      </c>
      <c r="AB315" s="23">
        <f t="shared" si="33"/>
        <v>3991</v>
      </c>
      <c r="AC315" s="20"/>
      <c r="AD315" s="20" t="str">
        <f>VLOOKUP($C315,'[1]CTRL AUTOS'!$E:$AH,2,0)</f>
        <v>X59AWG</v>
      </c>
      <c r="AE315" s="11" t="str">
        <f t="shared" si="34"/>
        <v>X59AWG19</v>
      </c>
    </row>
    <row r="316" spans="1:31" ht="12.75" hidden="1" customHeight="1" x14ac:dyDescent="0.3">
      <c r="A316" s="8">
        <v>19</v>
      </c>
      <c r="B316" s="20" t="s">
        <v>321</v>
      </c>
      <c r="C316" s="22" t="s">
        <v>69</v>
      </c>
      <c r="D316" s="20" t="s">
        <v>237</v>
      </c>
      <c r="E316" s="22" t="s">
        <v>241</v>
      </c>
      <c r="F316" s="20" t="s">
        <v>232</v>
      </c>
      <c r="G316" s="22" t="s">
        <v>234</v>
      </c>
      <c r="H316" s="23">
        <v>202</v>
      </c>
      <c r="I316" s="23">
        <v>-2</v>
      </c>
      <c r="J316" s="23">
        <v>0</v>
      </c>
      <c r="K316" s="23">
        <v>0</v>
      </c>
      <c r="L316" s="23">
        <v>0</v>
      </c>
      <c r="M316" s="24">
        <v>0</v>
      </c>
      <c r="N316" s="23">
        <v>0</v>
      </c>
      <c r="O316" s="24">
        <f t="shared" si="28"/>
        <v>200</v>
      </c>
      <c r="P316" s="23">
        <v>-179</v>
      </c>
      <c r="Q316" s="23">
        <v>0</v>
      </c>
      <c r="R316" s="23">
        <v>-72</v>
      </c>
      <c r="S316" s="23">
        <v>0</v>
      </c>
      <c r="T316" s="23">
        <v>0</v>
      </c>
      <c r="U316" s="23">
        <v>0</v>
      </c>
      <c r="V316" s="23">
        <v>0</v>
      </c>
      <c r="W316" s="23">
        <f t="shared" si="29"/>
        <v>-51</v>
      </c>
      <c r="X316" s="23">
        <f t="shared" si="30"/>
        <v>0</v>
      </c>
      <c r="Y316" s="23">
        <f t="shared" si="31"/>
        <v>-51</v>
      </c>
      <c r="Z316" s="23">
        <v>51</v>
      </c>
      <c r="AA316" s="23">
        <f t="shared" si="32"/>
        <v>0</v>
      </c>
      <c r="AB316" s="23">
        <f t="shared" si="33"/>
        <v>251</v>
      </c>
      <c r="AC316" s="20"/>
      <c r="AD316" s="20" t="str">
        <f>VLOOKUP($C316,'[1]CTRL AUTOS'!$E:$AH,2,0)</f>
        <v>R51BKD</v>
      </c>
      <c r="AE316" s="11" t="str">
        <f t="shared" si="34"/>
        <v>R51BKD19</v>
      </c>
    </row>
    <row r="317" spans="1:31" ht="12.75" hidden="1" customHeight="1" x14ac:dyDescent="0.3">
      <c r="A317" s="8">
        <v>19</v>
      </c>
      <c r="B317" s="20" t="s">
        <v>321</v>
      </c>
      <c r="C317" s="22" t="s">
        <v>69</v>
      </c>
      <c r="D317" s="20" t="s">
        <v>237</v>
      </c>
      <c r="E317" s="22" t="s">
        <v>241</v>
      </c>
      <c r="F317" s="20" t="s">
        <v>291</v>
      </c>
      <c r="G317" s="22" t="s">
        <v>234</v>
      </c>
      <c r="H317" s="23">
        <v>1415</v>
      </c>
      <c r="I317" s="23">
        <v>-8</v>
      </c>
      <c r="J317" s="23">
        <v>0</v>
      </c>
      <c r="K317" s="23">
        <v>0</v>
      </c>
      <c r="L317" s="23">
        <v>-499</v>
      </c>
      <c r="M317" s="24">
        <v>-30</v>
      </c>
      <c r="N317" s="23">
        <v>0</v>
      </c>
      <c r="O317" s="24">
        <f t="shared" si="28"/>
        <v>878</v>
      </c>
      <c r="P317" s="23">
        <v>-1074</v>
      </c>
      <c r="Q317" s="23">
        <v>0</v>
      </c>
      <c r="R317" s="23">
        <v>-178</v>
      </c>
      <c r="S317" s="23">
        <v>0</v>
      </c>
      <c r="T317" s="23">
        <v>0</v>
      </c>
      <c r="U317" s="23">
        <v>0</v>
      </c>
      <c r="V317" s="23">
        <v>0</v>
      </c>
      <c r="W317" s="23">
        <f t="shared" si="29"/>
        <v>-374</v>
      </c>
      <c r="X317" s="23">
        <f t="shared" si="30"/>
        <v>0</v>
      </c>
      <c r="Y317" s="23">
        <f t="shared" si="31"/>
        <v>-374</v>
      </c>
      <c r="Z317" s="23">
        <v>374</v>
      </c>
      <c r="AA317" s="23">
        <f t="shared" si="32"/>
        <v>0</v>
      </c>
      <c r="AB317" s="23">
        <f t="shared" si="33"/>
        <v>1252</v>
      </c>
      <c r="AC317" s="20"/>
      <c r="AD317" s="20" t="str">
        <f>VLOOKUP($C317,'[1]CTRL AUTOS'!$E:$AH,2,0)</f>
        <v>R51BKD</v>
      </c>
      <c r="AE317" s="11" t="str">
        <f t="shared" si="34"/>
        <v>R51BKD19</v>
      </c>
    </row>
    <row r="318" spans="1:31" ht="12.75" hidden="1" customHeight="1" x14ac:dyDescent="0.3">
      <c r="A318" s="8">
        <v>19</v>
      </c>
      <c r="B318" s="20" t="s">
        <v>45</v>
      </c>
      <c r="C318" s="22" t="s">
        <v>249</v>
      </c>
      <c r="D318" s="22" t="s">
        <v>250</v>
      </c>
      <c r="E318" s="22" t="s">
        <v>232</v>
      </c>
      <c r="F318" s="20" t="s">
        <v>232</v>
      </c>
      <c r="G318" s="22" t="s">
        <v>234</v>
      </c>
      <c r="H318" s="23">
        <v>2704</v>
      </c>
      <c r="I318" s="23">
        <v>0</v>
      </c>
      <c r="J318" s="23">
        <v>0</v>
      </c>
      <c r="K318" s="23">
        <v>0</v>
      </c>
      <c r="L318" s="23">
        <v>-1495</v>
      </c>
      <c r="M318" s="24">
        <v>-30</v>
      </c>
      <c r="N318" s="23">
        <v>0</v>
      </c>
      <c r="O318" s="24">
        <f t="shared" si="28"/>
        <v>1179</v>
      </c>
      <c r="P318" s="23">
        <v>-2300</v>
      </c>
      <c r="Q318" s="23">
        <v>0</v>
      </c>
      <c r="R318" s="23">
        <v>0</v>
      </c>
      <c r="S318" s="23">
        <v>0</v>
      </c>
      <c r="T318" s="23">
        <v>0</v>
      </c>
      <c r="U318" s="23">
        <v>0</v>
      </c>
      <c r="V318" s="23">
        <v>0</v>
      </c>
      <c r="W318" s="23">
        <f t="shared" si="29"/>
        <v>-1121</v>
      </c>
      <c r="X318" s="23">
        <f t="shared" si="30"/>
        <v>0</v>
      </c>
      <c r="Y318" s="23">
        <f t="shared" si="31"/>
        <v>-1121</v>
      </c>
      <c r="Z318" s="23">
        <v>1121</v>
      </c>
      <c r="AA318" s="23">
        <f t="shared" si="32"/>
        <v>0</v>
      </c>
      <c r="AB318" s="23">
        <f t="shared" si="33"/>
        <v>2300</v>
      </c>
      <c r="AC318" s="20"/>
      <c r="AD318" s="20" t="s">
        <v>251</v>
      </c>
      <c r="AE318" s="11" t="str">
        <f t="shared" si="34"/>
        <v>BAJA DE PLACAS19</v>
      </c>
    </row>
    <row r="319" spans="1:31" ht="12.75" hidden="1" customHeight="1" x14ac:dyDescent="0.3">
      <c r="A319" s="8">
        <v>19</v>
      </c>
      <c r="B319" s="20" t="s">
        <v>5</v>
      </c>
      <c r="C319" s="20" t="s">
        <v>50</v>
      </c>
      <c r="D319" s="22" t="s">
        <v>267</v>
      </c>
      <c r="E319" s="22" t="s">
        <v>232</v>
      </c>
      <c r="F319" s="20" t="s">
        <v>232</v>
      </c>
      <c r="G319" s="22" t="s">
        <v>234</v>
      </c>
      <c r="H319" s="23">
        <v>6558</v>
      </c>
      <c r="I319" s="23">
        <v>-54</v>
      </c>
      <c r="J319" s="23">
        <v>0</v>
      </c>
      <c r="K319" s="23">
        <v>0</v>
      </c>
      <c r="L319" s="23">
        <v>-1686</v>
      </c>
      <c r="M319" s="24">
        <v>-30</v>
      </c>
      <c r="N319" s="23">
        <v>-173</v>
      </c>
      <c r="O319" s="24">
        <f t="shared" si="28"/>
        <v>4615</v>
      </c>
      <c r="P319" s="23">
        <v>-2500</v>
      </c>
      <c r="Q319" s="23">
        <v>0</v>
      </c>
      <c r="R319" s="23">
        <v>0</v>
      </c>
      <c r="S319" s="23">
        <v>0</v>
      </c>
      <c r="T319" s="23">
        <v>0</v>
      </c>
      <c r="U319" s="23">
        <v>0</v>
      </c>
      <c r="V319" s="23">
        <v>0</v>
      </c>
      <c r="W319" s="23">
        <f t="shared" si="29"/>
        <v>2115</v>
      </c>
      <c r="X319" s="23">
        <f t="shared" si="30"/>
        <v>2115</v>
      </c>
      <c r="Y319" s="23">
        <f t="shared" si="31"/>
        <v>0</v>
      </c>
      <c r="Z319" s="23">
        <v>0</v>
      </c>
      <c r="AA319" s="23">
        <f t="shared" si="32"/>
        <v>0</v>
      </c>
      <c r="AB319" s="23">
        <f t="shared" si="33"/>
        <v>2500</v>
      </c>
      <c r="AC319" s="20"/>
      <c r="AD319" s="20" t="str">
        <f>VLOOKUP($C319,'[1]CTRL AUTOS'!$E:$AH,2,0)</f>
        <v>NBS225A</v>
      </c>
      <c r="AE319" s="11" t="str">
        <f t="shared" si="34"/>
        <v>NBS225A19</v>
      </c>
    </row>
    <row r="320" spans="1:31" ht="12.75" hidden="1" customHeight="1" x14ac:dyDescent="0.3">
      <c r="A320" s="8">
        <v>19</v>
      </c>
      <c r="B320" s="20" t="s">
        <v>294</v>
      </c>
      <c r="C320" s="20" t="s">
        <v>106</v>
      </c>
      <c r="D320" s="22" t="s">
        <v>322</v>
      </c>
      <c r="E320" s="22" t="s">
        <v>232</v>
      </c>
      <c r="F320" s="20" t="s">
        <v>232</v>
      </c>
      <c r="G320" s="22" t="s">
        <v>234</v>
      </c>
      <c r="H320" s="23">
        <v>1645</v>
      </c>
      <c r="I320" s="23">
        <v>0</v>
      </c>
      <c r="J320" s="23">
        <v>0</v>
      </c>
      <c r="K320" s="23">
        <v>0</v>
      </c>
      <c r="L320" s="23">
        <v>-581</v>
      </c>
      <c r="M320" s="24">
        <v>-30</v>
      </c>
      <c r="N320" s="23">
        <v>0</v>
      </c>
      <c r="O320" s="24">
        <f t="shared" si="28"/>
        <v>1034</v>
      </c>
      <c r="P320" s="23">
        <v>-2142.8571428571431</v>
      </c>
      <c r="Q320" s="23">
        <v>-656</v>
      </c>
      <c r="R320" s="23">
        <v>0</v>
      </c>
      <c r="S320" s="23">
        <v>0</v>
      </c>
      <c r="T320" s="23">
        <v>0</v>
      </c>
      <c r="U320" s="23">
        <v>0</v>
      </c>
      <c r="V320" s="23">
        <v>0</v>
      </c>
      <c r="W320" s="23">
        <f t="shared" si="29"/>
        <v>-1764.8571428571431</v>
      </c>
      <c r="X320" s="23">
        <f t="shared" si="30"/>
        <v>0</v>
      </c>
      <c r="Y320" s="23">
        <f t="shared" si="31"/>
        <v>-1764.8571428571431</v>
      </c>
      <c r="Z320" s="23">
        <v>1300</v>
      </c>
      <c r="AA320" s="23">
        <f t="shared" si="32"/>
        <v>-464.85714285714312</v>
      </c>
      <c r="AB320" s="23">
        <f t="shared" si="33"/>
        <v>1869.1428571428569</v>
      </c>
      <c r="AC320" s="20"/>
      <c r="AD320" s="20" t="str">
        <f>VLOOKUP($C320,'[1]CTRL AUTOS'!$E:$AH,2,0)</f>
        <v>NZU5163</v>
      </c>
      <c r="AE320" s="11" t="str">
        <f t="shared" si="34"/>
        <v>NZU516319</v>
      </c>
    </row>
    <row r="321" spans="1:31" ht="12.75" hidden="1" customHeight="1" x14ac:dyDescent="0.3">
      <c r="A321" s="8">
        <v>20</v>
      </c>
      <c r="B321" s="20" t="s">
        <v>80</v>
      </c>
      <c r="C321" s="22" t="s">
        <v>52</v>
      </c>
      <c r="D321" s="22" t="s">
        <v>313</v>
      </c>
      <c r="E321" s="22" t="s">
        <v>232</v>
      </c>
      <c r="F321" s="20" t="s">
        <v>232</v>
      </c>
      <c r="G321" s="22" t="s">
        <v>234</v>
      </c>
      <c r="H321" s="23">
        <v>138</v>
      </c>
      <c r="I321" s="23">
        <v>-1</v>
      </c>
      <c r="J321" s="23">
        <v>0</v>
      </c>
      <c r="K321" s="23">
        <v>0</v>
      </c>
      <c r="L321" s="23">
        <v>0</v>
      </c>
      <c r="M321" s="24">
        <v>-30</v>
      </c>
      <c r="N321" s="23">
        <v>-108</v>
      </c>
      <c r="O321" s="24">
        <f t="shared" si="28"/>
        <v>-1</v>
      </c>
      <c r="P321" s="23">
        <v>-2500</v>
      </c>
      <c r="Q321" s="23">
        <v>0</v>
      </c>
      <c r="R321" s="23">
        <v>0</v>
      </c>
      <c r="S321" s="23">
        <v>0</v>
      </c>
      <c r="T321" s="23">
        <v>-500</v>
      </c>
      <c r="U321" s="23">
        <v>0</v>
      </c>
      <c r="V321" s="23">
        <v>0</v>
      </c>
      <c r="W321" s="23">
        <f t="shared" si="29"/>
        <v>-3001</v>
      </c>
      <c r="X321" s="23">
        <f t="shared" si="30"/>
        <v>0</v>
      </c>
      <c r="Y321" s="23">
        <f t="shared" si="31"/>
        <v>-3001</v>
      </c>
      <c r="Z321" s="23">
        <v>3001</v>
      </c>
      <c r="AA321" s="23">
        <f t="shared" si="32"/>
        <v>0</v>
      </c>
      <c r="AB321" s="23">
        <f t="shared" si="33"/>
        <v>3000</v>
      </c>
      <c r="AC321" s="20"/>
      <c r="AD321" s="20" t="str">
        <f>VLOOKUP($C321,'[1]CTRL AUTOS'!$E:$AH,2,0)</f>
        <v>A35BHD</v>
      </c>
      <c r="AE321" s="11" t="str">
        <f t="shared" si="34"/>
        <v>A35BHD20</v>
      </c>
    </row>
    <row r="322" spans="1:31" ht="12.75" hidden="1" customHeight="1" x14ac:dyDescent="0.3">
      <c r="A322" s="8">
        <v>20</v>
      </c>
      <c r="B322" s="20" t="s">
        <v>323</v>
      </c>
      <c r="C322" s="20" t="s">
        <v>20</v>
      </c>
      <c r="D322" s="20" t="s">
        <v>239</v>
      </c>
      <c r="E322" s="22" t="s">
        <v>232</v>
      </c>
      <c r="F322" s="20" t="s">
        <v>232</v>
      </c>
      <c r="G322" s="22" t="s">
        <v>234</v>
      </c>
      <c r="H322" s="23">
        <v>1394</v>
      </c>
      <c r="I322" s="23">
        <v>0</v>
      </c>
      <c r="J322" s="23">
        <v>0</v>
      </c>
      <c r="K322" s="23">
        <v>0</v>
      </c>
      <c r="L322" s="23">
        <v>-1157</v>
      </c>
      <c r="M322" s="24">
        <v>-30</v>
      </c>
      <c r="N322" s="23">
        <v>0</v>
      </c>
      <c r="O322" s="24">
        <f t="shared" si="28"/>
        <v>207</v>
      </c>
      <c r="P322" s="23">
        <v>-716</v>
      </c>
      <c r="Q322" s="23">
        <v>0</v>
      </c>
      <c r="R322" s="23">
        <v>0</v>
      </c>
      <c r="S322" s="23">
        <v>0</v>
      </c>
      <c r="T322" s="23">
        <v>0</v>
      </c>
      <c r="U322" s="23">
        <v>0</v>
      </c>
      <c r="V322" s="23">
        <v>0</v>
      </c>
      <c r="W322" s="23">
        <f t="shared" si="29"/>
        <v>-509</v>
      </c>
      <c r="X322" s="23">
        <f t="shared" si="30"/>
        <v>0</v>
      </c>
      <c r="Y322" s="23">
        <f t="shared" si="31"/>
        <v>-509</v>
      </c>
      <c r="Z322" s="23">
        <v>500</v>
      </c>
      <c r="AA322" s="23">
        <f t="shared" si="32"/>
        <v>-9</v>
      </c>
      <c r="AB322" s="23">
        <f t="shared" si="33"/>
        <v>698</v>
      </c>
      <c r="AC322" s="20"/>
      <c r="AD322" s="20" t="str">
        <f>VLOOKUP($C322,'[1]CTRL AUTOS'!$E:$AH,2,0)</f>
        <v>D40BKD</v>
      </c>
      <c r="AE322" s="11" t="str">
        <f t="shared" si="34"/>
        <v>D40BKD20</v>
      </c>
    </row>
    <row r="323" spans="1:31" ht="12.75" hidden="1" customHeight="1" x14ac:dyDescent="0.3">
      <c r="A323" s="8">
        <v>20</v>
      </c>
      <c r="B323" s="20" t="s">
        <v>111</v>
      </c>
      <c r="C323" s="22" t="s">
        <v>16</v>
      </c>
      <c r="D323" s="22" t="s">
        <v>314</v>
      </c>
      <c r="E323" s="22" t="s">
        <v>232</v>
      </c>
      <c r="F323" s="20" t="s">
        <v>232</v>
      </c>
      <c r="G323" s="22" t="s">
        <v>234</v>
      </c>
      <c r="H323" s="23">
        <v>7851</v>
      </c>
      <c r="I323" s="23">
        <v>-180</v>
      </c>
      <c r="J323" s="23">
        <v>0</v>
      </c>
      <c r="K323" s="23">
        <v>0</v>
      </c>
      <c r="L323" s="23">
        <v>-2340</v>
      </c>
      <c r="M323" s="24">
        <v>-30</v>
      </c>
      <c r="N323" s="23">
        <v>0</v>
      </c>
      <c r="O323" s="24">
        <f t="shared" ref="O323:O386" si="35">SUM(H323:N323)</f>
        <v>5301</v>
      </c>
      <c r="P323" s="23">
        <v>-2500</v>
      </c>
      <c r="Q323" s="23">
        <v>0</v>
      </c>
      <c r="R323" s="23">
        <v>-500</v>
      </c>
      <c r="S323" s="23">
        <v>0</v>
      </c>
      <c r="T323" s="23">
        <v>0</v>
      </c>
      <c r="U323" s="23">
        <v>0</v>
      </c>
      <c r="V323" s="23">
        <v>0</v>
      </c>
      <c r="W323" s="23">
        <f t="shared" ref="W323:W386" si="36">+O323+SUM(P323:V323)</f>
        <v>2301</v>
      </c>
      <c r="X323" s="23">
        <f t="shared" ref="X323:X386" si="37">IF(W323&gt;=0,W323,0)</f>
        <v>2301</v>
      </c>
      <c r="Y323" s="23">
        <f t="shared" ref="Y323:Y386" si="38">IF(W323&lt;=0,W323,0)</f>
        <v>0</v>
      </c>
      <c r="Z323" s="23">
        <v>0</v>
      </c>
      <c r="AA323" s="23">
        <f t="shared" ref="AA323:AA386" si="39">+Y323+Z323</f>
        <v>0</v>
      </c>
      <c r="AB323" s="23">
        <f t="shared" ref="AB323:AB386" si="40">+O323-X323+Z323+AA323</f>
        <v>3000</v>
      </c>
      <c r="AC323" s="20"/>
      <c r="AD323" s="20" t="str">
        <f>VLOOKUP($C323,'[1]CTRL AUTOS'!$E:$AH,2,0)</f>
        <v>D28BET</v>
      </c>
      <c r="AE323" s="11" t="str">
        <f t="shared" si="34"/>
        <v>D28BET20</v>
      </c>
    </row>
    <row r="324" spans="1:31" ht="12.75" hidden="1" customHeight="1" x14ac:dyDescent="0.3">
      <c r="A324" s="8">
        <v>20</v>
      </c>
      <c r="B324" s="20" t="s">
        <v>23</v>
      </c>
      <c r="C324" s="20" t="s">
        <v>22</v>
      </c>
      <c r="D324" s="20" t="s">
        <v>237</v>
      </c>
      <c r="E324" s="22" t="s">
        <v>232</v>
      </c>
      <c r="F324" s="20" t="s">
        <v>232</v>
      </c>
      <c r="G324" s="22" t="s">
        <v>234</v>
      </c>
      <c r="H324" s="23">
        <v>0</v>
      </c>
      <c r="I324" s="23">
        <v>0</v>
      </c>
      <c r="J324" s="23">
        <v>0</v>
      </c>
      <c r="K324" s="23">
        <v>0</v>
      </c>
      <c r="L324" s="23">
        <v>0</v>
      </c>
      <c r="M324" s="24">
        <v>0</v>
      </c>
      <c r="N324" s="23">
        <v>0</v>
      </c>
      <c r="O324" s="24">
        <f t="shared" si="35"/>
        <v>0</v>
      </c>
      <c r="P324" s="23">
        <v>0</v>
      </c>
      <c r="Q324" s="23">
        <v>0</v>
      </c>
      <c r="R324" s="23">
        <v>500</v>
      </c>
      <c r="S324" s="23">
        <v>0</v>
      </c>
      <c r="T324" s="23">
        <v>0</v>
      </c>
      <c r="U324" s="23">
        <v>0</v>
      </c>
      <c r="V324" s="23">
        <v>0</v>
      </c>
      <c r="W324" s="23">
        <f t="shared" si="36"/>
        <v>500</v>
      </c>
      <c r="X324" s="23">
        <f t="shared" si="37"/>
        <v>500</v>
      </c>
      <c r="Y324" s="23">
        <f t="shared" si="38"/>
        <v>0</v>
      </c>
      <c r="Z324" s="23">
        <v>0</v>
      </c>
      <c r="AA324" s="23">
        <f t="shared" si="39"/>
        <v>0</v>
      </c>
      <c r="AB324" s="23">
        <f t="shared" si="40"/>
        <v>-500</v>
      </c>
      <c r="AC324" s="20"/>
      <c r="AD324" s="20" t="str">
        <f>VLOOKUP($C324,'[1]CTRL AUTOS'!$E:$AH,2,0)</f>
        <v>NCK475B</v>
      </c>
      <c r="AE324" s="11" t="str">
        <f t="shared" ref="AE324:AE387" si="41">AD324&amp;A324</f>
        <v>NCK475B20</v>
      </c>
    </row>
    <row r="325" spans="1:31" ht="12.75" hidden="1" customHeight="1" x14ac:dyDescent="0.3">
      <c r="A325" s="8">
        <v>20</v>
      </c>
      <c r="B325" s="20" t="s">
        <v>299</v>
      </c>
      <c r="C325" s="22" t="s">
        <v>40</v>
      </c>
      <c r="D325" s="22" t="s">
        <v>315</v>
      </c>
      <c r="E325" s="22" t="s">
        <v>232</v>
      </c>
      <c r="F325" s="20" t="s">
        <v>232</v>
      </c>
      <c r="G325" s="22" t="s">
        <v>234</v>
      </c>
      <c r="H325" s="23">
        <v>4062</v>
      </c>
      <c r="I325" s="23">
        <v>0</v>
      </c>
      <c r="J325" s="23">
        <v>0</v>
      </c>
      <c r="K325" s="23">
        <v>0</v>
      </c>
      <c r="L325" s="23">
        <v>-1700</v>
      </c>
      <c r="M325" s="24">
        <v>-30</v>
      </c>
      <c r="N325" s="23">
        <v>0</v>
      </c>
      <c r="O325" s="24">
        <f t="shared" si="35"/>
        <v>2332</v>
      </c>
      <c r="P325" s="23">
        <v>-2500</v>
      </c>
      <c r="Q325" s="23">
        <v>-457</v>
      </c>
      <c r="R325" s="23">
        <v>0</v>
      </c>
      <c r="S325" s="23">
        <v>0</v>
      </c>
      <c r="T325" s="23">
        <v>-500</v>
      </c>
      <c r="U325" s="23">
        <v>0</v>
      </c>
      <c r="V325" s="23">
        <v>0</v>
      </c>
      <c r="W325" s="23">
        <f t="shared" si="36"/>
        <v>-1125</v>
      </c>
      <c r="X325" s="23">
        <f t="shared" si="37"/>
        <v>0</v>
      </c>
      <c r="Y325" s="23">
        <f t="shared" si="38"/>
        <v>-1125</v>
      </c>
      <c r="Z325" s="23">
        <v>0</v>
      </c>
      <c r="AA325" s="23">
        <f t="shared" si="39"/>
        <v>-1125</v>
      </c>
      <c r="AB325" s="23">
        <f t="shared" si="40"/>
        <v>1207</v>
      </c>
      <c r="AC325" s="20"/>
      <c r="AD325" s="20" t="str">
        <f>VLOOKUP($C325,'[1]CTRL AUTOS'!$E:$AH,2,0)</f>
        <v>NEL860A</v>
      </c>
      <c r="AE325" s="11" t="str">
        <f t="shared" si="41"/>
        <v>NEL860A20</v>
      </c>
    </row>
    <row r="326" spans="1:31" ht="12.75" hidden="1" customHeight="1" x14ac:dyDescent="0.3">
      <c r="A326" s="8">
        <v>20</v>
      </c>
      <c r="B326" s="20" t="s">
        <v>258</v>
      </c>
      <c r="C326" s="20" t="s">
        <v>40</v>
      </c>
      <c r="D326" s="25" t="s">
        <v>259</v>
      </c>
      <c r="E326" s="22" t="s">
        <v>232</v>
      </c>
      <c r="F326" s="20" t="s">
        <v>232</v>
      </c>
      <c r="G326" s="22" t="s">
        <v>234</v>
      </c>
      <c r="H326" s="23">
        <v>0</v>
      </c>
      <c r="I326" s="23">
        <v>0</v>
      </c>
      <c r="J326" s="23">
        <v>0</v>
      </c>
      <c r="K326" s="23">
        <v>0</v>
      </c>
      <c r="L326" s="23">
        <v>0</v>
      </c>
      <c r="M326" s="24">
        <v>0</v>
      </c>
      <c r="N326" s="23">
        <v>0</v>
      </c>
      <c r="O326" s="24">
        <f t="shared" si="35"/>
        <v>0</v>
      </c>
      <c r="P326" s="23">
        <v>0</v>
      </c>
      <c r="Q326" s="23">
        <v>0</v>
      </c>
      <c r="R326" s="23">
        <v>0</v>
      </c>
      <c r="S326" s="23">
        <v>-1697</v>
      </c>
      <c r="T326" s="23">
        <v>0</v>
      </c>
      <c r="U326" s="23">
        <v>0</v>
      </c>
      <c r="V326" s="23">
        <v>0</v>
      </c>
      <c r="W326" s="23">
        <f t="shared" si="36"/>
        <v>-1697</v>
      </c>
      <c r="X326" s="23">
        <f t="shared" si="37"/>
        <v>0</v>
      </c>
      <c r="Y326" s="23">
        <f t="shared" si="38"/>
        <v>-1697</v>
      </c>
      <c r="Z326" s="23">
        <v>0</v>
      </c>
      <c r="AA326" s="23">
        <f t="shared" si="39"/>
        <v>-1697</v>
      </c>
      <c r="AB326" s="23">
        <f t="shared" si="40"/>
        <v>-1697</v>
      </c>
      <c r="AC326" s="20" t="s">
        <v>316</v>
      </c>
      <c r="AD326" s="20" t="str">
        <f>VLOOKUP($C326,'[1]CTRL AUTOS'!$E:$AH,2,0)</f>
        <v>NEL860A</v>
      </c>
      <c r="AE326" s="11" t="str">
        <f t="shared" si="41"/>
        <v>NEL860A20</v>
      </c>
    </row>
    <row r="327" spans="1:31" ht="12.75" hidden="1" customHeight="1" x14ac:dyDescent="0.3">
      <c r="A327" s="8">
        <v>20</v>
      </c>
      <c r="B327" s="20" t="s">
        <v>25</v>
      </c>
      <c r="C327" s="22" t="s">
        <v>46</v>
      </c>
      <c r="D327" s="22" t="s">
        <v>257</v>
      </c>
      <c r="E327" s="22" t="s">
        <v>232</v>
      </c>
      <c r="F327" s="20" t="s">
        <v>232</v>
      </c>
      <c r="G327" s="22" t="s">
        <v>234</v>
      </c>
      <c r="H327" s="23">
        <v>3318</v>
      </c>
      <c r="I327" s="23">
        <v>-45</v>
      </c>
      <c r="J327" s="23">
        <v>0</v>
      </c>
      <c r="K327" s="23">
        <v>0</v>
      </c>
      <c r="L327" s="23">
        <v>-76</v>
      </c>
      <c r="M327" s="24">
        <v>-30</v>
      </c>
      <c r="N327" s="23">
        <v>0</v>
      </c>
      <c r="O327" s="24">
        <f t="shared" si="35"/>
        <v>3167</v>
      </c>
      <c r="P327" s="23">
        <v>-2500</v>
      </c>
      <c r="Q327" s="23">
        <v>0</v>
      </c>
      <c r="R327" s="23">
        <v>-500</v>
      </c>
      <c r="S327" s="23">
        <v>0</v>
      </c>
      <c r="T327" s="23">
        <v>0</v>
      </c>
      <c r="U327" s="23">
        <v>0</v>
      </c>
      <c r="V327" s="23">
        <v>0</v>
      </c>
      <c r="W327" s="23">
        <f t="shared" si="36"/>
        <v>167</v>
      </c>
      <c r="X327" s="23">
        <f t="shared" si="37"/>
        <v>167</v>
      </c>
      <c r="Y327" s="23">
        <f t="shared" si="38"/>
        <v>0</v>
      </c>
      <c r="Z327" s="23">
        <v>0</v>
      </c>
      <c r="AA327" s="23">
        <f t="shared" si="39"/>
        <v>0</v>
      </c>
      <c r="AB327" s="23">
        <f t="shared" si="40"/>
        <v>3000</v>
      </c>
      <c r="AC327" s="20"/>
      <c r="AD327" s="20" t="str">
        <f>VLOOKUP($C327,'[1]CTRL AUTOS'!$E:$AH,2,0)</f>
        <v>R66BER</v>
      </c>
      <c r="AE327" s="11" t="str">
        <f t="shared" si="41"/>
        <v>R66BER20</v>
      </c>
    </row>
    <row r="328" spans="1:31" ht="12.75" hidden="1" customHeight="1" x14ac:dyDescent="0.3">
      <c r="A328" s="8">
        <v>20</v>
      </c>
      <c r="B328" s="20" t="s">
        <v>260</v>
      </c>
      <c r="C328" s="22" t="s">
        <v>81</v>
      </c>
      <c r="D328" s="22" t="s">
        <v>317</v>
      </c>
      <c r="E328" s="22" t="s">
        <v>232</v>
      </c>
      <c r="F328" s="20" t="s">
        <v>232</v>
      </c>
      <c r="G328" s="22" t="s">
        <v>234</v>
      </c>
      <c r="H328" s="23">
        <v>5318</v>
      </c>
      <c r="I328" s="23">
        <v>0</v>
      </c>
      <c r="J328" s="23">
        <v>0</v>
      </c>
      <c r="K328" s="23">
        <v>0</v>
      </c>
      <c r="L328" s="23">
        <v>-1721</v>
      </c>
      <c r="M328" s="24">
        <v>-30</v>
      </c>
      <c r="N328" s="23">
        <v>0</v>
      </c>
      <c r="O328" s="24">
        <f t="shared" si="35"/>
        <v>3567</v>
      </c>
      <c r="P328" s="23">
        <v>-2500</v>
      </c>
      <c r="Q328" s="23">
        <v>0</v>
      </c>
      <c r="R328" s="23">
        <v>0</v>
      </c>
      <c r="S328" s="23">
        <v>0</v>
      </c>
      <c r="T328" s="23">
        <v>0</v>
      </c>
      <c r="U328" s="23">
        <v>0</v>
      </c>
      <c r="V328" s="23">
        <v>0</v>
      </c>
      <c r="W328" s="23">
        <f t="shared" si="36"/>
        <v>1067</v>
      </c>
      <c r="X328" s="23">
        <f t="shared" si="37"/>
        <v>1067</v>
      </c>
      <c r="Y328" s="23">
        <f t="shared" si="38"/>
        <v>0</v>
      </c>
      <c r="Z328" s="23">
        <v>0</v>
      </c>
      <c r="AA328" s="23">
        <f t="shared" si="39"/>
        <v>0</v>
      </c>
      <c r="AB328" s="23">
        <f t="shared" si="40"/>
        <v>2500</v>
      </c>
      <c r="AC328" s="20"/>
      <c r="AD328" s="20" t="str">
        <f>VLOOKUP($C328,'[1]CTRL AUTOS'!$E:$AH,2,0)</f>
        <v>NLP172B</v>
      </c>
      <c r="AE328" s="11" t="str">
        <f t="shared" si="41"/>
        <v>NLP172B20</v>
      </c>
    </row>
    <row r="329" spans="1:31" ht="12.75" hidden="1" customHeight="1" x14ac:dyDescent="0.3">
      <c r="A329" s="8">
        <v>20</v>
      </c>
      <c r="B329" s="20" t="s">
        <v>72</v>
      </c>
      <c r="C329" s="22" t="s">
        <v>54</v>
      </c>
      <c r="D329" s="22" t="s">
        <v>318</v>
      </c>
      <c r="E329" s="22" t="s">
        <v>232</v>
      </c>
      <c r="F329" s="20" t="s">
        <v>232</v>
      </c>
      <c r="G329" s="22" t="s">
        <v>234</v>
      </c>
      <c r="H329" s="23">
        <v>10251</v>
      </c>
      <c r="I329" s="23">
        <v>-111</v>
      </c>
      <c r="J329" s="23">
        <v>0</v>
      </c>
      <c r="K329" s="23">
        <v>-104</v>
      </c>
      <c r="L329" s="23">
        <v>-5089</v>
      </c>
      <c r="M329" s="24">
        <v>-30</v>
      </c>
      <c r="N329" s="23">
        <v>0</v>
      </c>
      <c r="O329" s="24">
        <f t="shared" si="35"/>
        <v>4917</v>
      </c>
      <c r="P329" s="23">
        <v>-2500</v>
      </c>
      <c r="Q329" s="23">
        <v>-800</v>
      </c>
      <c r="R329" s="23">
        <v>0</v>
      </c>
      <c r="S329" s="23">
        <v>0</v>
      </c>
      <c r="T329" s="23">
        <v>0</v>
      </c>
      <c r="U329" s="23">
        <v>0</v>
      </c>
      <c r="V329" s="23">
        <v>0</v>
      </c>
      <c r="W329" s="23">
        <f t="shared" si="36"/>
        <v>1617</v>
      </c>
      <c r="X329" s="23">
        <f t="shared" si="37"/>
        <v>1617</v>
      </c>
      <c r="Y329" s="23">
        <f t="shared" si="38"/>
        <v>0</v>
      </c>
      <c r="Z329" s="23">
        <v>0</v>
      </c>
      <c r="AA329" s="23">
        <f t="shared" si="39"/>
        <v>0</v>
      </c>
      <c r="AB329" s="23">
        <f t="shared" si="40"/>
        <v>3300</v>
      </c>
      <c r="AC329" s="20"/>
      <c r="AD329" s="20" t="str">
        <f>VLOOKUP($C329,'[1]CTRL AUTOS'!$E:$AH,2,0)</f>
        <v>NZY685B</v>
      </c>
      <c r="AE329" s="11" t="str">
        <f t="shared" si="41"/>
        <v>NZY685B20</v>
      </c>
    </row>
    <row r="330" spans="1:31" ht="12.75" hidden="1" customHeight="1" x14ac:dyDescent="0.3">
      <c r="A330" s="8">
        <v>20</v>
      </c>
      <c r="B330" s="20" t="s">
        <v>292</v>
      </c>
      <c r="C330" s="40" t="s">
        <v>168</v>
      </c>
      <c r="D330" s="22" t="s">
        <v>265</v>
      </c>
      <c r="E330" s="22" t="s">
        <v>232</v>
      </c>
      <c r="F330" s="20" t="s">
        <v>232</v>
      </c>
      <c r="G330" s="22" t="s">
        <v>234</v>
      </c>
      <c r="H330" s="23">
        <v>1232</v>
      </c>
      <c r="I330" s="23">
        <v>0</v>
      </c>
      <c r="J330" s="23">
        <v>0</v>
      </c>
      <c r="K330" s="23">
        <v>0</v>
      </c>
      <c r="L330" s="23">
        <v>-735</v>
      </c>
      <c r="M330" s="24">
        <v>-30</v>
      </c>
      <c r="N330" s="23">
        <v>0</v>
      </c>
      <c r="O330" s="24">
        <f t="shared" si="35"/>
        <v>467</v>
      </c>
      <c r="P330" s="23">
        <v>-358</v>
      </c>
      <c r="Q330" s="23">
        <v>0</v>
      </c>
      <c r="R330" s="23">
        <v>0</v>
      </c>
      <c r="S330" s="23">
        <v>0</v>
      </c>
      <c r="T330" s="23">
        <v>0</v>
      </c>
      <c r="U330" s="23">
        <v>0</v>
      </c>
      <c r="V330" s="23">
        <v>0</v>
      </c>
      <c r="W330" s="23">
        <f t="shared" si="36"/>
        <v>109</v>
      </c>
      <c r="X330" s="23">
        <f t="shared" si="37"/>
        <v>109</v>
      </c>
      <c r="Y330" s="23">
        <f t="shared" si="38"/>
        <v>0</v>
      </c>
      <c r="Z330" s="23">
        <v>0</v>
      </c>
      <c r="AA330" s="23">
        <f t="shared" si="39"/>
        <v>0</v>
      </c>
      <c r="AB330" s="23">
        <f t="shared" si="40"/>
        <v>358</v>
      </c>
      <c r="AC330" s="20"/>
      <c r="AD330" s="20" t="e">
        <f>VLOOKUP($C330,'[1]CTRL AUTOS'!$E:$AH,2,0)</f>
        <v>#N/A</v>
      </c>
      <c r="AE330" s="11" t="e">
        <f t="shared" si="41"/>
        <v>#N/A</v>
      </c>
    </row>
    <row r="331" spans="1:31" ht="12.75" hidden="1" customHeight="1" x14ac:dyDescent="0.3">
      <c r="A331" s="8">
        <v>20</v>
      </c>
      <c r="B331" s="20" t="s">
        <v>105</v>
      </c>
      <c r="C331" s="22" t="s">
        <v>75</v>
      </c>
      <c r="D331" s="20" t="s">
        <v>237</v>
      </c>
      <c r="E331" s="22" t="s">
        <v>241</v>
      </c>
      <c r="F331" s="20" t="s">
        <v>232</v>
      </c>
      <c r="G331" s="22" t="s">
        <v>234</v>
      </c>
      <c r="H331" s="23">
        <v>4099.62</v>
      </c>
      <c r="I331" s="23">
        <v>0</v>
      </c>
      <c r="J331" s="23">
        <v>0</v>
      </c>
      <c r="K331" s="23">
        <v>0</v>
      </c>
      <c r="L331" s="23">
        <v>619.24</v>
      </c>
      <c r="M331" s="24">
        <v>0</v>
      </c>
      <c r="N331" s="23">
        <v>0</v>
      </c>
      <c r="O331" s="24">
        <f t="shared" si="35"/>
        <v>4718.8599999999997</v>
      </c>
      <c r="P331" s="23">
        <v>-9437.7199999999993</v>
      </c>
      <c r="Q331" s="23">
        <v>681</v>
      </c>
      <c r="R331" s="23">
        <v>0</v>
      </c>
      <c r="S331" s="23">
        <v>0</v>
      </c>
      <c r="T331" s="23">
        <v>0</v>
      </c>
      <c r="U331" s="23">
        <v>0</v>
      </c>
      <c r="V331" s="23">
        <v>0</v>
      </c>
      <c r="W331" s="23">
        <f t="shared" si="36"/>
        <v>-4037.8599999999997</v>
      </c>
      <c r="X331" s="23">
        <f t="shared" si="37"/>
        <v>0</v>
      </c>
      <c r="Y331" s="23">
        <f t="shared" si="38"/>
        <v>-4037.8599999999997</v>
      </c>
      <c r="Z331" s="23">
        <v>4038</v>
      </c>
      <c r="AA331" s="23">
        <f t="shared" si="39"/>
        <v>0.14000000000032742</v>
      </c>
      <c r="AB331" s="23">
        <f t="shared" si="40"/>
        <v>8757</v>
      </c>
      <c r="AC331" s="20"/>
      <c r="AD331" s="20" t="str">
        <f>VLOOKUP($C331,'[1]CTRL AUTOS'!$E:$AH,2,0)</f>
        <v>NFN014B</v>
      </c>
      <c r="AE331" s="11" t="str">
        <f t="shared" si="41"/>
        <v>NFN014B20</v>
      </c>
    </row>
    <row r="332" spans="1:31" ht="12.75" hidden="1" customHeight="1" x14ac:dyDescent="0.3">
      <c r="A332" s="8">
        <v>20</v>
      </c>
      <c r="B332" s="20" t="s">
        <v>288</v>
      </c>
      <c r="C332" s="40" t="s">
        <v>22</v>
      </c>
      <c r="D332" s="22" t="s">
        <v>319</v>
      </c>
      <c r="E332" s="20" t="s">
        <v>232</v>
      </c>
      <c r="F332" s="20" t="s">
        <v>232</v>
      </c>
      <c r="G332" s="22" t="s">
        <v>234</v>
      </c>
      <c r="H332" s="23">
        <v>4943</v>
      </c>
      <c r="I332" s="23">
        <v>0</v>
      </c>
      <c r="J332" s="23">
        <v>0</v>
      </c>
      <c r="K332" s="23">
        <v>0</v>
      </c>
      <c r="L332" s="23">
        <v>-1057</v>
      </c>
      <c r="M332" s="24">
        <v>-30</v>
      </c>
      <c r="N332" s="23">
        <v>-190</v>
      </c>
      <c r="O332" s="24">
        <f t="shared" si="35"/>
        <v>3666</v>
      </c>
      <c r="P332" s="23">
        <v>-1432</v>
      </c>
      <c r="Q332" s="23">
        <v>0</v>
      </c>
      <c r="R332" s="23">
        <v>0</v>
      </c>
      <c r="S332" s="23">
        <v>0</v>
      </c>
      <c r="T332" s="23">
        <v>0</v>
      </c>
      <c r="U332" s="23">
        <v>0</v>
      </c>
      <c r="V332" s="23">
        <v>0</v>
      </c>
      <c r="W332" s="23">
        <f t="shared" si="36"/>
        <v>2234</v>
      </c>
      <c r="X332" s="23">
        <f t="shared" si="37"/>
        <v>2234</v>
      </c>
      <c r="Y332" s="23">
        <f t="shared" si="38"/>
        <v>0</v>
      </c>
      <c r="Z332" s="23">
        <v>0</v>
      </c>
      <c r="AA332" s="23">
        <f t="shared" si="39"/>
        <v>0</v>
      </c>
      <c r="AB332" s="23">
        <f t="shared" si="40"/>
        <v>1432</v>
      </c>
      <c r="AC332" s="20"/>
      <c r="AD332" s="20" t="str">
        <f>VLOOKUP($C332,'[1]CTRL AUTOS'!$E:$AH,2,0)</f>
        <v>NCK475B</v>
      </c>
      <c r="AE332" s="11" t="str">
        <f t="shared" si="41"/>
        <v>NCK475B20</v>
      </c>
    </row>
    <row r="333" spans="1:31" ht="12.75" hidden="1" customHeight="1" x14ac:dyDescent="0.3">
      <c r="A333" s="8">
        <v>20</v>
      </c>
      <c r="B333" s="20" t="s">
        <v>324</v>
      </c>
      <c r="C333" s="40" t="s">
        <v>168</v>
      </c>
      <c r="D333" s="22" t="s">
        <v>265</v>
      </c>
      <c r="E333" s="39" t="s">
        <v>232</v>
      </c>
      <c r="F333" s="41" t="s">
        <v>232</v>
      </c>
      <c r="G333" s="22" t="s">
        <v>234</v>
      </c>
      <c r="H333" s="23">
        <v>3880</v>
      </c>
      <c r="I333" s="23">
        <v>0</v>
      </c>
      <c r="J333" s="23">
        <v>0</v>
      </c>
      <c r="K333" s="23">
        <v>0</v>
      </c>
      <c r="L333" s="23">
        <v>-2523</v>
      </c>
      <c r="M333" s="24">
        <v>-30</v>
      </c>
      <c r="N333" s="23">
        <v>0</v>
      </c>
      <c r="O333" s="24">
        <f t="shared" si="35"/>
        <v>1327</v>
      </c>
      <c r="P333" s="23">
        <v>-2500</v>
      </c>
      <c r="Q333" s="23">
        <v>0</v>
      </c>
      <c r="R333" s="23">
        <v>-500</v>
      </c>
      <c r="S333" s="23">
        <v>0</v>
      </c>
      <c r="T333" s="23">
        <v>0</v>
      </c>
      <c r="U333" s="23">
        <v>-435</v>
      </c>
      <c r="V333" s="23">
        <v>0</v>
      </c>
      <c r="W333" s="23">
        <f t="shared" si="36"/>
        <v>-2108</v>
      </c>
      <c r="X333" s="23">
        <f t="shared" si="37"/>
        <v>0</v>
      </c>
      <c r="Y333" s="23">
        <f t="shared" si="38"/>
        <v>-2108</v>
      </c>
      <c r="Z333" s="23">
        <v>0</v>
      </c>
      <c r="AA333" s="23">
        <f t="shared" si="39"/>
        <v>-2108</v>
      </c>
      <c r="AB333" s="23">
        <f t="shared" si="40"/>
        <v>-781</v>
      </c>
      <c r="AC333" s="20"/>
      <c r="AD333" s="20" t="e">
        <f>VLOOKUP($C333,'[1]CTRL AUTOS'!$E:$AH,2,0)</f>
        <v>#N/A</v>
      </c>
      <c r="AE333" s="11" t="e">
        <f t="shared" si="41"/>
        <v>#N/A</v>
      </c>
    </row>
    <row r="334" spans="1:31" ht="12.75" hidden="1" customHeight="1" x14ac:dyDescent="0.3">
      <c r="A334" s="8">
        <v>20</v>
      </c>
      <c r="B334" s="20" t="s">
        <v>244</v>
      </c>
      <c r="C334" s="20" t="s">
        <v>4</v>
      </c>
      <c r="D334" s="22" t="s">
        <v>245</v>
      </c>
      <c r="E334" s="22" t="s">
        <v>232</v>
      </c>
      <c r="F334" s="20" t="s">
        <v>232</v>
      </c>
      <c r="G334" s="22" t="s">
        <v>234</v>
      </c>
      <c r="H334" s="23">
        <v>1749</v>
      </c>
      <c r="I334" s="23">
        <v>0</v>
      </c>
      <c r="J334" s="23">
        <v>0</v>
      </c>
      <c r="K334" s="23">
        <v>0</v>
      </c>
      <c r="L334" s="23">
        <v>0</v>
      </c>
      <c r="M334" s="24">
        <v>-30</v>
      </c>
      <c r="N334" s="23">
        <v>-71</v>
      </c>
      <c r="O334" s="24">
        <f t="shared" si="35"/>
        <v>1648</v>
      </c>
      <c r="P334" s="23">
        <v>-1611</v>
      </c>
      <c r="Q334" s="23">
        <v>-418</v>
      </c>
      <c r="R334" s="23">
        <v>0</v>
      </c>
      <c r="S334" s="23">
        <v>0</v>
      </c>
      <c r="T334" s="23">
        <v>0</v>
      </c>
      <c r="U334" s="23">
        <v>0</v>
      </c>
      <c r="V334" s="23">
        <v>0</v>
      </c>
      <c r="W334" s="23">
        <f t="shared" si="36"/>
        <v>-381</v>
      </c>
      <c r="X334" s="23">
        <f t="shared" si="37"/>
        <v>0</v>
      </c>
      <c r="Y334" s="23">
        <f t="shared" si="38"/>
        <v>-381</v>
      </c>
      <c r="Z334" s="23">
        <v>0</v>
      </c>
      <c r="AA334" s="23">
        <f t="shared" si="39"/>
        <v>-381</v>
      </c>
      <c r="AB334" s="23">
        <f t="shared" si="40"/>
        <v>1267</v>
      </c>
      <c r="AC334" s="20"/>
      <c r="AD334" s="20" t="str">
        <f>VLOOKUP($C334,'[1]CTRL AUTOS'!$E:$AH,2,0)</f>
        <v>N15BKD</v>
      </c>
      <c r="AE334" s="11" t="str">
        <f t="shared" si="41"/>
        <v>N15BKD20</v>
      </c>
    </row>
    <row r="335" spans="1:31" ht="12.75" hidden="1" customHeight="1" x14ac:dyDescent="0.3">
      <c r="A335" s="8">
        <v>20</v>
      </c>
      <c r="B335" s="20" t="s">
        <v>35</v>
      </c>
      <c r="C335" s="22" t="s">
        <v>97</v>
      </c>
      <c r="D335" s="22" t="s">
        <v>273</v>
      </c>
      <c r="E335" s="22" t="s">
        <v>232</v>
      </c>
      <c r="F335" s="20" t="s">
        <v>232</v>
      </c>
      <c r="G335" s="22" t="s">
        <v>234</v>
      </c>
      <c r="H335" s="23">
        <v>8669</v>
      </c>
      <c r="I335" s="23">
        <v>-135</v>
      </c>
      <c r="J335" s="23">
        <v>0</v>
      </c>
      <c r="K335" s="23">
        <v>0</v>
      </c>
      <c r="L335" s="23">
        <v>-5349</v>
      </c>
      <c r="M335" s="24">
        <v>-30</v>
      </c>
      <c r="N335" s="23">
        <v>0</v>
      </c>
      <c r="O335" s="24">
        <f t="shared" si="35"/>
        <v>3155</v>
      </c>
      <c r="P335" s="23">
        <v>-2500</v>
      </c>
      <c r="Q335" s="23">
        <v>81</v>
      </c>
      <c r="R335" s="23">
        <v>0</v>
      </c>
      <c r="S335" s="23">
        <v>0</v>
      </c>
      <c r="T335" s="23">
        <v>0</v>
      </c>
      <c r="U335" s="23">
        <v>0</v>
      </c>
      <c r="V335" s="23">
        <v>0</v>
      </c>
      <c r="W335" s="23">
        <f t="shared" si="36"/>
        <v>736</v>
      </c>
      <c r="X335" s="23">
        <f t="shared" si="37"/>
        <v>736</v>
      </c>
      <c r="Y335" s="23">
        <f t="shared" si="38"/>
        <v>0</v>
      </c>
      <c r="Z335" s="23">
        <v>0</v>
      </c>
      <c r="AA335" s="23">
        <f t="shared" si="39"/>
        <v>0</v>
      </c>
      <c r="AB335" s="23">
        <f t="shared" si="40"/>
        <v>2419</v>
      </c>
      <c r="AC335" s="20" t="s">
        <v>325</v>
      </c>
      <c r="AD335" s="20" t="str">
        <f>VLOOKUP($C335,'[1]CTRL AUTOS'!$E:$AH,2,0)</f>
        <v>MUF515A</v>
      </c>
      <c r="AE335" s="11" t="str">
        <f t="shared" si="41"/>
        <v>MUF515A20</v>
      </c>
    </row>
    <row r="336" spans="1:31" ht="12.75" hidden="1" customHeight="1" x14ac:dyDescent="0.3">
      <c r="A336" s="8">
        <v>20</v>
      </c>
      <c r="B336" s="20" t="s">
        <v>37</v>
      </c>
      <c r="C336" s="22" t="s">
        <v>246</v>
      </c>
      <c r="D336" s="20" t="s">
        <v>237</v>
      </c>
      <c r="E336" s="22" t="s">
        <v>232</v>
      </c>
      <c r="F336" s="20" t="s">
        <v>291</v>
      </c>
      <c r="G336" s="22" t="s">
        <v>234</v>
      </c>
      <c r="H336" s="23">
        <v>0</v>
      </c>
      <c r="I336" s="23">
        <v>0</v>
      </c>
      <c r="J336" s="23">
        <v>0</v>
      </c>
      <c r="K336" s="23">
        <v>0</v>
      </c>
      <c r="L336" s="23">
        <v>0</v>
      </c>
      <c r="M336" s="24">
        <v>0</v>
      </c>
      <c r="N336" s="23">
        <v>0</v>
      </c>
      <c r="O336" s="24">
        <f t="shared" si="35"/>
        <v>0</v>
      </c>
      <c r="P336" s="23">
        <v>-2500</v>
      </c>
      <c r="Q336" s="23">
        <v>-8</v>
      </c>
      <c r="R336" s="23">
        <v>0</v>
      </c>
      <c r="S336" s="23">
        <v>0</v>
      </c>
      <c r="T336" s="23">
        <v>0</v>
      </c>
      <c r="U336" s="23">
        <v>0</v>
      </c>
      <c r="V336" s="23">
        <v>0</v>
      </c>
      <c r="W336" s="23">
        <f t="shared" si="36"/>
        <v>-2508</v>
      </c>
      <c r="X336" s="23">
        <f t="shared" si="37"/>
        <v>0</v>
      </c>
      <c r="Y336" s="23">
        <f t="shared" si="38"/>
        <v>-2508</v>
      </c>
      <c r="Z336" s="23">
        <v>1000</v>
      </c>
      <c r="AA336" s="23">
        <f t="shared" si="39"/>
        <v>-1508</v>
      </c>
      <c r="AB336" s="23">
        <f t="shared" si="40"/>
        <v>-508</v>
      </c>
      <c r="AC336" s="20"/>
      <c r="AD336" s="20" t="s">
        <v>248</v>
      </c>
      <c r="AE336" s="11" t="str">
        <f t="shared" si="41"/>
        <v>X24APU20</v>
      </c>
    </row>
    <row r="337" spans="1:31" ht="12.75" hidden="1" customHeight="1" x14ac:dyDescent="0.3">
      <c r="A337" s="8">
        <v>20</v>
      </c>
      <c r="B337" s="20" t="s">
        <v>293</v>
      </c>
      <c r="C337" s="22" t="s">
        <v>34</v>
      </c>
      <c r="D337" s="22" t="s">
        <v>285</v>
      </c>
      <c r="E337" s="22" t="s">
        <v>232</v>
      </c>
      <c r="F337" s="20" t="s">
        <v>232</v>
      </c>
      <c r="G337" s="22" t="s">
        <v>234</v>
      </c>
      <c r="H337" s="23">
        <v>860</v>
      </c>
      <c r="I337" s="23">
        <v>-23</v>
      </c>
      <c r="J337" s="23">
        <v>0</v>
      </c>
      <c r="K337" s="23">
        <v>0</v>
      </c>
      <c r="L337" s="23">
        <v>0</v>
      </c>
      <c r="M337" s="24">
        <v>-30</v>
      </c>
      <c r="N337" s="23">
        <v>-200</v>
      </c>
      <c r="O337" s="24">
        <f t="shared" si="35"/>
        <v>607</v>
      </c>
      <c r="P337" s="23">
        <v>-2500</v>
      </c>
      <c r="Q337" s="23">
        <v>-171</v>
      </c>
      <c r="R337" s="23">
        <v>-500</v>
      </c>
      <c r="S337" s="23">
        <v>0</v>
      </c>
      <c r="T337" s="23">
        <v>-500</v>
      </c>
      <c r="U337" s="23">
        <v>0</v>
      </c>
      <c r="V337" s="23">
        <v>0</v>
      </c>
      <c r="W337" s="23">
        <f t="shared" si="36"/>
        <v>-3064</v>
      </c>
      <c r="X337" s="23">
        <f t="shared" si="37"/>
        <v>0</v>
      </c>
      <c r="Y337" s="23">
        <f t="shared" si="38"/>
        <v>-3064</v>
      </c>
      <c r="Z337" s="23">
        <v>3000</v>
      </c>
      <c r="AA337" s="23">
        <f t="shared" si="39"/>
        <v>-64</v>
      </c>
      <c r="AB337" s="23">
        <f t="shared" si="40"/>
        <v>3543</v>
      </c>
      <c r="AC337" s="20"/>
      <c r="AD337" s="20" t="str">
        <f>VLOOKUP($C337,'[1]CTRL AUTOS'!$E:$AH,2,0)</f>
        <v>X59AWG</v>
      </c>
      <c r="AE337" s="11" t="str">
        <f t="shared" si="41"/>
        <v>X59AWG20</v>
      </c>
    </row>
    <row r="338" spans="1:31" ht="12.75" hidden="1" customHeight="1" x14ac:dyDescent="0.3">
      <c r="A338" s="8">
        <v>20</v>
      </c>
      <c r="B338" s="20" t="s">
        <v>321</v>
      </c>
      <c r="C338" s="22" t="s">
        <v>69</v>
      </c>
      <c r="D338" s="20" t="s">
        <v>237</v>
      </c>
      <c r="E338" s="22" t="s">
        <v>241</v>
      </c>
      <c r="F338" s="20" t="s">
        <v>232</v>
      </c>
      <c r="G338" s="22" t="s">
        <v>234</v>
      </c>
      <c r="H338" s="23">
        <v>265</v>
      </c>
      <c r="I338" s="23">
        <v>0</v>
      </c>
      <c r="J338" s="23">
        <v>0</v>
      </c>
      <c r="K338" s="23">
        <v>0</v>
      </c>
      <c r="L338" s="23">
        <v>0</v>
      </c>
      <c r="M338" s="24">
        <v>0</v>
      </c>
      <c r="N338" s="23">
        <v>0</v>
      </c>
      <c r="O338" s="24">
        <f t="shared" si="35"/>
        <v>265</v>
      </c>
      <c r="P338" s="23">
        <v>-182</v>
      </c>
      <c r="Q338" s="23">
        <v>0</v>
      </c>
      <c r="R338" s="23">
        <v>0</v>
      </c>
      <c r="S338" s="23">
        <v>0</v>
      </c>
      <c r="T338" s="23">
        <v>0</v>
      </c>
      <c r="U338" s="23">
        <v>0</v>
      </c>
      <c r="V338" s="23">
        <v>0</v>
      </c>
      <c r="W338" s="23">
        <f t="shared" si="36"/>
        <v>83</v>
      </c>
      <c r="X338" s="23">
        <f t="shared" si="37"/>
        <v>83</v>
      </c>
      <c r="Y338" s="23">
        <f t="shared" si="38"/>
        <v>0</v>
      </c>
      <c r="Z338" s="23">
        <v>0</v>
      </c>
      <c r="AA338" s="23">
        <f t="shared" si="39"/>
        <v>0</v>
      </c>
      <c r="AB338" s="23">
        <f t="shared" si="40"/>
        <v>182</v>
      </c>
      <c r="AC338" s="20"/>
      <c r="AD338" s="20" t="str">
        <f>VLOOKUP($C338,'[1]CTRL AUTOS'!$E:$AH,2,0)</f>
        <v>R51BKD</v>
      </c>
      <c r="AE338" s="11" t="str">
        <f t="shared" si="41"/>
        <v>R51BKD20</v>
      </c>
    </row>
    <row r="339" spans="1:31" ht="12.75" hidden="1" customHeight="1" x14ac:dyDescent="0.3">
      <c r="A339" s="8">
        <v>20</v>
      </c>
      <c r="B339" s="20" t="s">
        <v>321</v>
      </c>
      <c r="C339" s="22" t="s">
        <v>69</v>
      </c>
      <c r="D339" s="20" t="s">
        <v>237</v>
      </c>
      <c r="E339" s="22" t="s">
        <v>241</v>
      </c>
      <c r="F339" s="20" t="s">
        <v>291</v>
      </c>
      <c r="G339" s="22" t="s">
        <v>234</v>
      </c>
      <c r="H339" s="23">
        <v>2500</v>
      </c>
      <c r="I339" s="23">
        <v>-54</v>
      </c>
      <c r="J339" s="23">
        <v>0</v>
      </c>
      <c r="K339" s="23">
        <v>0</v>
      </c>
      <c r="L339" s="23">
        <v>-135</v>
      </c>
      <c r="M339" s="24">
        <v>-30</v>
      </c>
      <c r="N339" s="23">
        <v>0</v>
      </c>
      <c r="O339" s="24">
        <f t="shared" si="35"/>
        <v>2281</v>
      </c>
      <c r="P339" s="23">
        <v>-1781</v>
      </c>
      <c r="Q339" s="23">
        <v>0</v>
      </c>
      <c r="R339" s="23">
        <v>-500</v>
      </c>
      <c r="S339" s="23">
        <v>0</v>
      </c>
      <c r="T339" s="23">
        <v>0</v>
      </c>
      <c r="U339" s="23">
        <v>0</v>
      </c>
      <c r="V339" s="23">
        <v>0</v>
      </c>
      <c r="W339" s="23">
        <f t="shared" si="36"/>
        <v>0</v>
      </c>
      <c r="X339" s="23">
        <f t="shared" si="37"/>
        <v>0</v>
      </c>
      <c r="Y339" s="23">
        <f t="shared" si="38"/>
        <v>0</v>
      </c>
      <c r="Z339" s="23">
        <v>0</v>
      </c>
      <c r="AA339" s="23">
        <f t="shared" si="39"/>
        <v>0</v>
      </c>
      <c r="AB339" s="23">
        <f t="shared" si="40"/>
        <v>2281</v>
      </c>
      <c r="AC339" s="20"/>
      <c r="AD339" s="20" t="str">
        <f>VLOOKUP($C339,'[1]CTRL AUTOS'!$E:$AH,2,0)</f>
        <v>R51BKD</v>
      </c>
      <c r="AE339" s="11" t="str">
        <f t="shared" si="41"/>
        <v>R51BKD20</v>
      </c>
    </row>
    <row r="340" spans="1:31" ht="12.75" hidden="1" customHeight="1" x14ac:dyDescent="0.3">
      <c r="A340" s="8">
        <v>20</v>
      </c>
      <c r="B340" s="20" t="s">
        <v>45</v>
      </c>
      <c r="C340" s="22" t="s">
        <v>249</v>
      </c>
      <c r="D340" s="22" t="s">
        <v>250</v>
      </c>
      <c r="E340" s="22" t="s">
        <v>232</v>
      </c>
      <c r="F340" s="20" t="s">
        <v>232</v>
      </c>
      <c r="G340" s="22" t="s">
        <v>234</v>
      </c>
      <c r="H340" s="23">
        <v>5764</v>
      </c>
      <c r="I340" s="23">
        <v>-59</v>
      </c>
      <c r="J340" s="23">
        <v>0</v>
      </c>
      <c r="K340" s="23">
        <v>0</v>
      </c>
      <c r="L340" s="23">
        <v>-1395</v>
      </c>
      <c r="M340" s="24">
        <v>-30</v>
      </c>
      <c r="N340" s="23">
        <v>0</v>
      </c>
      <c r="O340" s="24">
        <f t="shared" si="35"/>
        <v>4280</v>
      </c>
      <c r="P340" s="23">
        <v>-2300</v>
      </c>
      <c r="Q340" s="23">
        <v>0</v>
      </c>
      <c r="R340" s="23">
        <v>0</v>
      </c>
      <c r="S340" s="23">
        <v>0</v>
      </c>
      <c r="T340" s="23">
        <v>0</v>
      </c>
      <c r="U340" s="23">
        <v>0</v>
      </c>
      <c r="V340" s="23">
        <v>0</v>
      </c>
      <c r="W340" s="23">
        <f t="shared" si="36"/>
        <v>1980</v>
      </c>
      <c r="X340" s="23">
        <f t="shared" si="37"/>
        <v>1980</v>
      </c>
      <c r="Y340" s="23">
        <f t="shared" si="38"/>
        <v>0</v>
      </c>
      <c r="Z340" s="23">
        <v>0</v>
      </c>
      <c r="AA340" s="23">
        <f t="shared" si="39"/>
        <v>0</v>
      </c>
      <c r="AB340" s="23">
        <f t="shared" si="40"/>
        <v>2300</v>
      </c>
      <c r="AC340" s="20"/>
      <c r="AD340" s="20" t="s">
        <v>251</v>
      </c>
      <c r="AE340" s="11" t="str">
        <f t="shared" si="41"/>
        <v>BAJA DE PLACAS20</v>
      </c>
    </row>
    <row r="341" spans="1:31" ht="12.75" hidden="1" customHeight="1" x14ac:dyDescent="0.3">
      <c r="A341" s="8">
        <v>20</v>
      </c>
      <c r="B341" s="20" t="s">
        <v>5</v>
      </c>
      <c r="C341" s="20" t="s">
        <v>50</v>
      </c>
      <c r="D341" s="22" t="s">
        <v>267</v>
      </c>
      <c r="E341" s="22" t="s">
        <v>232</v>
      </c>
      <c r="F341" s="20" t="s">
        <v>232</v>
      </c>
      <c r="G341" s="22" t="s">
        <v>234</v>
      </c>
      <c r="H341" s="23">
        <v>6185</v>
      </c>
      <c r="I341" s="23">
        <v>0</v>
      </c>
      <c r="J341" s="23">
        <v>0</v>
      </c>
      <c r="K341" s="23">
        <v>0</v>
      </c>
      <c r="L341" s="23">
        <v>-1892</v>
      </c>
      <c r="M341" s="24">
        <v>-30</v>
      </c>
      <c r="N341" s="23">
        <v>-8</v>
      </c>
      <c r="O341" s="24">
        <f t="shared" si="35"/>
        <v>4255</v>
      </c>
      <c r="P341" s="23">
        <v>-2500</v>
      </c>
      <c r="Q341" s="23">
        <v>-600</v>
      </c>
      <c r="R341" s="23">
        <v>0</v>
      </c>
      <c r="S341" s="23">
        <v>0</v>
      </c>
      <c r="T341" s="23">
        <v>0</v>
      </c>
      <c r="U341" s="23">
        <v>0</v>
      </c>
      <c r="V341" s="23">
        <v>0</v>
      </c>
      <c r="W341" s="23">
        <f t="shared" si="36"/>
        <v>1155</v>
      </c>
      <c r="X341" s="23">
        <f t="shared" si="37"/>
        <v>1155</v>
      </c>
      <c r="Y341" s="23">
        <f t="shared" si="38"/>
        <v>0</v>
      </c>
      <c r="Z341" s="23">
        <v>0</v>
      </c>
      <c r="AA341" s="23">
        <f t="shared" si="39"/>
        <v>0</v>
      </c>
      <c r="AB341" s="23">
        <f t="shared" si="40"/>
        <v>3100</v>
      </c>
      <c r="AC341" s="20" t="s">
        <v>326</v>
      </c>
      <c r="AD341" s="20" t="str">
        <f>VLOOKUP($C341,'[1]CTRL AUTOS'!$E:$AH,2,0)</f>
        <v>NBS225A</v>
      </c>
      <c r="AE341" s="11" t="str">
        <f t="shared" si="41"/>
        <v>NBS225A20</v>
      </c>
    </row>
    <row r="342" spans="1:31" ht="12.75" hidden="1" customHeight="1" x14ac:dyDescent="0.3">
      <c r="A342" s="8">
        <v>20</v>
      </c>
      <c r="B342" s="20" t="s">
        <v>294</v>
      </c>
      <c r="C342" s="20" t="s">
        <v>106</v>
      </c>
      <c r="D342" s="22" t="s">
        <v>322</v>
      </c>
      <c r="E342" s="22" t="s">
        <v>232</v>
      </c>
      <c r="F342" s="20" t="s">
        <v>232</v>
      </c>
      <c r="G342" s="22" t="s">
        <v>234</v>
      </c>
      <c r="H342" s="23">
        <v>687</v>
      </c>
      <c r="I342" s="23">
        <v>0</v>
      </c>
      <c r="J342" s="23">
        <v>0</v>
      </c>
      <c r="K342" s="23">
        <v>0</v>
      </c>
      <c r="L342" s="23">
        <v>0</v>
      </c>
      <c r="M342" s="24">
        <v>-30</v>
      </c>
      <c r="N342" s="23">
        <v>0</v>
      </c>
      <c r="O342" s="24">
        <f t="shared" si="35"/>
        <v>657</v>
      </c>
      <c r="P342" s="23">
        <v>-2500</v>
      </c>
      <c r="Q342" s="23">
        <v>-465</v>
      </c>
      <c r="R342" s="23">
        <v>0</v>
      </c>
      <c r="S342" s="23">
        <v>-1063</v>
      </c>
      <c r="T342" s="23">
        <v>0</v>
      </c>
      <c r="U342" s="23">
        <v>0</v>
      </c>
      <c r="V342" s="23">
        <v>0</v>
      </c>
      <c r="W342" s="23">
        <f t="shared" si="36"/>
        <v>-3371</v>
      </c>
      <c r="X342" s="23">
        <f t="shared" si="37"/>
        <v>0</v>
      </c>
      <c r="Y342" s="23">
        <f t="shared" si="38"/>
        <v>-3371</v>
      </c>
      <c r="Z342" s="23">
        <v>1500</v>
      </c>
      <c r="AA342" s="23">
        <f t="shared" si="39"/>
        <v>-1871</v>
      </c>
      <c r="AB342" s="23">
        <f t="shared" si="40"/>
        <v>286</v>
      </c>
      <c r="AC342" s="20"/>
      <c r="AD342" s="20" t="str">
        <f>VLOOKUP($C342,'[1]CTRL AUTOS'!$E:$AH,2,0)</f>
        <v>NZU5163</v>
      </c>
      <c r="AE342" s="11" t="str">
        <f t="shared" si="41"/>
        <v>NZU516320</v>
      </c>
    </row>
    <row r="343" spans="1:31" ht="12.75" hidden="1" customHeight="1" x14ac:dyDescent="0.3">
      <c r="A343" s="8">
        <v>21</v>
      </c>
      <c r="B343" s="20" t="s">
        <v>80</v>
      </c>
      <c r="C343" s="22" t="s">
        <v>54</v>
      </c>
      <c r="D343" s="22" t="s">
        <v>318</v>
      </c>
      <c r="E343" s="22" t="s">
        <v>232</v>
      </c>
      <c r="F343" s="20" t="s">
        <v>232</v>
      </c>
      <c r="G343" s="22" t="s">
        <v>234</v>
      </c>
      <c r="H343" s="23">
        <v>520.1</v>
      </c>
      <c r="I343" s="23">
        <v>0</v>
      </c>
      <c r="J343" s="23">
        <v>0</v>
      </c>
      <c r="K343" s="23">
        <v>0</v>
      </c>
      <c r="L343" s="23">
        <v>0</v>
      </c>
      <c r="M343" s="24">
        <v>-20</v>
      </c>
      <c r="N343" s="23">
        <v>0</v>
      </c>
      <c r="O343" s="24">
        <f t="shared" si="35"/>
        <v>500.1</v>
      </c>
      <c r="P343" s="23">
        <v>-2500</v>
      </c>
      <c r="Q343" s="23">
        <v>0</v>
      </c>
      <c r="R343" s="23">
        <v>0</v>
      </c>
      <c r="S343" s="23">
        <v>0</v>
      </c>
      <c r="T343" s="23">
        <v>-500</v>
      </c>
      <c r="U343" s="23">
        <v>0</v>
      </c>
      <c r="V343" s="23">
        <v>0</v>
      </c>
      <c r="W343" s="23">
        <f t="shared" si="36"/>
        <v>-2499.9</v>
      </c>
      <c r="X343" s="23">
        <f t="shared" si="37"/>
        <v>0</v>
      </c>
      <c r="Y343" s="23">
        <f t="shared" si="38"/>
        <v>-2499.9</v>
      </c>
      <c r="Z343" s="23">
        <v>2500</v>
      </c>
      <c r="AA343" s="23">
        <f t="shared" si="39"/>
        <v>9.9999999999909051E-2</v>
      </c>
      <c r="AB343" s="23">
        <f t="shared" si="40"/>
        <v>3000.2</v>
      </c>
      <c r="AC343" s="20"/>
      <c r="AD343" s="20" t="str">
        <f>VLOOKUP($C343,'[1]CTRL AUTOS'!$E:$AH,2,0)</f>
        <v>NZY685B</v>
      </c>
      <c r="AE343" s="11" t="str">
        <f t="shared" si="41"/>
        <v>NZY685B21</v>
      </c>
    </row>
    <row r="344" spans="1:31" ht="12.75" hidden="1" customHeight="1" x14ac:dyDescent="0.3">
      <c r="A344" s="8">
        <v>21</v>
      </c>
      <c r="B344" s="20" t="s">
        <v>323</v>
      </c>
      <c r="C344" s="20" t="s">
        <v>20</v>
      </c>
      <c r="D344" s="20" t="s">
        <v>239</v>
      </c>
      <c r="E344" s="22" t="s">
        <v>232</v>
      </c>
      <c r="F344" s="20" t="s">
        <v>232</v>
      </c>
      <c r="G344" s="22" t="s">
        <v>234</v>
      </c>
      <c r="H344" s="23">
        <v>2871.6</v>
      </c>
      <c r="I344" s="23">
        <v>0</v>
      </c>
      <c r="J344" s="23">
        <v>0</v>
      </c>
      <c r="K344" s="23">
        <v>0</v>
      </c>
      <c r="L344" s="23">
        <v>-149.84</v>
      </c>
      <c r="M344" s="24">
        <v>-35</v>
      </c>
      <c r="N344" s="23">
        <v>0</v>
      </c>
      <c r="O344" s="24">
        <f t="shared" si="35"/>
        <v>2686.7599999999998</v>
      </c>
      <c r="P344" s="23">
        <v>-2500</v>
      </c>
      <c r="Q344" s="23">
        <v>-9</v>
      </c>
      <c r="R344" s="23">
        <v>-500</v>
      </c>
      <c r="S344" s="23">
        <v>0</v>
      </c>
      <c r="T344" s="23">
        <v>0</v>
      </c>
      <c r="U344" s="23">
        <v>0</v>
      </c>
      <c r="V344" s="23">
        <v>0</v>
      </c>
      <c r="W344" s="23">
        <f t="shared" si="36"/>
        <v>-322.24000000000024</v>
      </c>
      <c r="X344" s="23">
        <f t="shared" si="37"/>
        <v>0</v>
      </c>
      <c r="Y344" s="23">
        <f t="shared" si="38"/>
        <v>-322.24000000000024</v>
      </c>
      <c r="Z344" s="23">
        <v>0</v>
      </c>
      <c r="AA344" s="23">
        <f t="shared" si="39"/>
        <v>-322.24000000000024</v>
      </c>
      <c r="AB344" s="23">
        <f t="shared" si="40"/>
        <v>2364.5199999999995</v>
      </c>
      <c r="AC344" s="20"/>
      <c r="AD344" s="20" t="str">
        <f>VLOOKUP($C344,'[1]CTRL AUTOS'!$E:$AH,2,0)</f>
        <v>D40BKD</v>
      </c>
      <c r="AE344" s="11" t="str">
        <f t="shared" si="41"/>
        <v>D40BKD21</v>
      </c>
    </row>
    <row r="345" spans="1:31" ht="12.75" hidden="1" customHeight="1" x14ac:dyDescent="0.3">
      <c r="A345" s="8">
        <v>21</v>
      </c>
      <c r="B345" s="20" t="s">
        <v>111</v>
      </c>
      <c r="C345" s="22" t="s">
        <v>16</v>
      </c>
      <c r="D345" s="22" t="s">
        <v>314</v>
      </c>
      <c r="E345" s="22" t="s">
        <v>232</v>
      </c>
      <c r="F345" s="20" t="s">
        <v>232</v>
      </c>
      <c r="G345" s="22" t="s">
        <v>234</v>
      </c>
      <c r="H345" s="23">
        <v>5711.99</v>
      </c>
      <c r="I345" s="23">
        <v>-24.6</v>
      </c>
      <c r="J345" s="23">
        <v>-150</v>
      </c>
      <c r="K345" s="23">
        <v>-139</v>
      </c>
      <c r="L345" s="23">
        <v>-1058.75</v>
      </c>
      <c r="M345" s="24">
        <v>-28</v>
      </c>
      <c r="N345" s="23">
        <v>0</v>
      </c>
      <c r="O345" s="24">
        <f t="shared" si="35"/>
        <v>4311.6399999999994</v>
      </c>
      <c r="P345" s="23">
        <v>-2500</v>
      </c>
      <c r="Q345" s="23">
        <v>0</v>
      </c>
      <c r="R345" s="23">
        <v>-500</v>
      </c>
      <c r="S345" s="23">
        <v>0</v>
      </c>
      <c r="T345" s="23">
        <v>0</v>
      </c>
      <c r="U345" s="23">
        <v>0</v>
      </c>
      <c r="V345" s="23">
        <v>0</v>
      </c>
      <c r="W345" s="23">
        <f t="shared" si="36"/>
        <v>1311.6399999999994</v>
      </c>
      <c r="X345" s="23">
        <f t="shared" si="37"/>
        <v>1311.6399999999994</v>
      </c>
      <c r="Y345" s="23">
        <f t="shared" si="38"/>
        <v>0</v>
      </c>
      <c r="Z345" s="23">
        <v>0</v>
      </c>
      <c r="AA345" s="23">
        <f t="shared" si="39"/>
        <v>0</v>
      </c>
      <c r="AB345" s="23">
        <f t="shared" si="40"/>
        <v>3000</v>
      </c>
      <c r="AC345" s="20" t="s">
        <v>226</v>
      </c>
      <c r="AD345" s="20" t="str">
        <f>VLOOKUP($C345,'[1]CTRL AUTOS'!$E:$AH,2,0)</f>
        <v>D28BET</v>
      </c>
      <c r="AE345" s="11" t="str">
        <f t="shared" si="41"/>
        <v>D28BET21</v>
      </c>
    </row>
    <row r="346" spans="1:31" ht="12.75" hidden="1" customHeight="1" x14ac:dyDescent="0.3">
      <c r="A346" s="8">
        <v>21</v>
      </c>
      <c r="B346" s="20" t="s">
        <v>23</v>
      </c>
      <c r="C346" s="22" t="s">
        <v>230</v>
      </c>
      <c r="D346" s="22" t="s">
        <v>231</v>
      </c>
      <c r="E346" s="22" t="s">
        <v>232</v>
      </c>
      <c r="F346" s="20" t="s">
        <v>232</v>
      </c>
      <c r="G346" s="22" t="s">
        <v>234</v>
      </c>
      <c r="H346" s="23">
        <v>5052.12</v>
      </c>
      <c r="I346" s="23">
        <v>0</v>
      </c>
      <c r="J346" s="23">
        <v>0</v>
      </c>
      <c r="K346" s="23">
        <v>0</v>
      </c>
      <c r="L346" s="23">
        <v>-2903.66</v>
      </c>
      <c r="M346" s="24">
        <v>-28</v>
      </c>
      <c r="N346" s="23">
        <v>0</v>
      </c>
      <c r="O346" s="24">
        <f t="shared" si="35"/>
        <v>2120.46</v>
      </c>
      <c r="P346" s="23">
        <v>-1963</v>
      </c>
      <c r="Q346" s="23">
        <v>0</v>
      </c>
      <c r="R346" s="23">
        <v>-500</v>
      </c>
      <c r="S346" s="23">
        <v>0</v>
      </c>
      <c r="T346" s="23">
        <v>0</v>
      </c>
      <c r="U346" s="23">
        <v>0</v>
      </c>
      <c r="V346" s="23">
        <v>0</v>
      </c>
      <c r="W346" s="23">
        <f t="shared" si="36"/>
        <v>-342.53999999999996</v>
      </c>
      <c r="X346" s="23">
        <f t="shared" si="37"/>
        <v>0</v>
      </c>
      <c r="Y346" s="23">
        <f t="shared" si="38"/>
        <v>-342.53999999999996</v>
      </c>
      <c r="Z346" s="23">
        <v>343</v>
      </c>
      <c r="AA346" s="23">
        <f t="shared" si="39"/>
        <v>0.46000000000003638</v>
      </c>
      <c r="AB346" s="23">
        <f t="shared" si="40"/>
        <v>2463.92</v>
      </c>
      <c r="AC346" s="20"/>
      <c r="AD346" s="20" t="s">
        <v>235</v>
      </c>
      <c r="AE346" s="11" t="str">
        <f t="shared" si="41"/>
        <v>NEB156A21</v>
      </c>
    </row>
    <row r="347" spans="1:31" ht="12.75" hidden="1" customHeight="1" x14ac:dyDescent="0.3">
      <c r="A347" s="8">
        <v>21</v>
      </c>
      <c r="B347" s="20" t="s">
        <v>299</v>
      </c>
      <c r="C347" s="22" t="s">
        <v>56</v>
      </c>
      <c r="D347" s="20" t="s">
        <v>237</v>
      </c>
      <c r="E347" s="22" t="s">
        <v>241</v>
      </c>
      <c r="F347" s="20" t="s">
        <v>291</v>
      </c>
      <c r="G347" s="22" t="s">
        <v>234</v>
      </c>
      <c r="H347" s="23">
        <v>3774.07</v>
      </c>
      <c r="I347" s="23">
        <v>0</v>
      </c>
      <c r="J347" s="23">
        <v>0</v>
      </c>
      <c r="K347" s="23">
        <v>0</v>
      </c>
      <c r="L347" s="23">
        <v>-1947.41</v>
      </c>
      <c r="M347" s="24">
        <v>0</v>
      </c>
      <c r="N347" s="23">
        <v>0</v>
      </c>
      <c r="O347" s="24">
        <f t="shared" si="35"/>
        <v>1826.66</v>
      </c>
      <c r="P347" s="23">
        <v>-2142</v>
      </c>
      <c r="Q347" s="23">
        <v>-1125</v>
      </c>
      <c r="R347" s="23">
        <v>0</v>
      </c>
      <c r="S347" s="23">
        <v>0</v>
      </c>
      <c r="T347" s="23">
        <v>-500</v>
      </c>
      <c r="U347" s="23">
        <v>0</v>
      </c>
      <c r="V347" s="23">
        <v>0</v>
      </c>
      <c r="W347" s="23">
        <f t="shared" si="36"/>
        <v>-1940.34</v>
      </c>
      <c r="X347" s="23">
        <f t="shared" si="37"/>
        <v>0</v>
      </c>
      <c r="Y347" s="23">
        <f t="shared" si="38"/>
        <v>-1940.34</v>
      </c>
      <c r="Z347" s="23">
        <v>0</v>
      </c>
      <c r="AA347" s="23">
        <f t="shared" si="39"/>
        <v>-1940.34</v>
      </c>
      <c r="AB347" s="23">
        <f t="shared" si="40"/>
        <v>-113.67999999999984</v>
      </c>
      <c r="AC347" s="20"/>
      <c r="AD347" s="20" t="str">
        <f>VLOOKUP($C347,'[1]CTRL AUTOS'!$E:$AH,2,0)</f>
        <v>MYE912A</v>
      </c>
      <c r="AE347" s="11" t="str">
        <f t="shared" si="41"/>
        <v>MYE912A21</v>
      </c>
    </row>
    <row r="348" spans="1:31" ht="12.75" hidden="1" customHeight="1" x14ac:dyDescent="0.3">
      <c r="A348" s="8">
        <v>21</v>
      </c>
      <c r="B348" s="20" t="s">
        <v>299</v>
      </c>
      <c r="C348" s="22" t="s">
        <v>56</v>
      </c>
      <c r="D348" s="20" t="s">
        <v>237</v>
      </c>
      <c r="E348" s="22" t="s">
        <v>241</v>
      </c>
      <c r="F348" s="20" t="s">
        <v>232</v>
      </c>
      <c r="G348" s="22" t="s">
        <v>234</v>
      </c>
      <c r="H348" s="23">
        <v>525.17999999999995</v>
      </c>
      <c r="I348" s="23">
        <v>0</v>
      </c>
      <c r="J348" s="23">
        <v>0</v>
      </c>
      <c r="K348" s="23">
        <v>0</v>
      </c>
      <c r="L348" s="23">
        <v>-49.98</v>
      </c>
      <c r="M348" s="24">
        <v>-25</v>
      </c>
      <c r="N348" s="23">
        <v>-140</v>
      </c>
      <c r="O348" s="24">
        <f t="shared" si="35"/>
        <v>310.19999999999993</v>
      </c>
      <c r="P348" s="23">
        <v>-358</v>
      </c>
      <c r="Q348" s="23">
        <v>-1940</v>
      </c>
      <c r="R348" s="23">
        <v>0</v>
      </c>
      <c r="S348" s="23">
        <v>0</v>
      </c>
      <c r="T348" s="23">
        <v>0</v>
      </c>
      <c r="U348" s="23">
        <v>0</v>
      </c>
      <c r="V348" s="23">
        <v>0</v>
      </c>
      <c r="W348" s="23">
        <f t="shared" si="36"/>
        <v>-1987.8000000000002</v>
      </c>
      <c r="X348" s="23">
        <f t="shared" si="37"/>
        <v>0</v>
      </c>
      <c r="Y348" s="23">
        <f t="shared" si="38"/>
        <v>-1987.8000000000002</v>
      </c>
      <c r="Z348" s="23">
        <v>0</v>
      </c>
      <c r="AA348" s="23">
        <f t="shared" si="39"/>
        <v>-1987.8000000000002</v>
      </c>
      <c r="AB348" s="23">
        <f t="shared" si="40"/>
        <v>-1677.6000000000004</v>
      </c>
      <c r="AC348" s="20"/>
      <c r="AD348" s="20" t="str">
        <f>VLOOKUP($C348,'[1]CTRL AUTOS'!$E:$AH,2,0)</f>
        <v>MYE912A</v>
      </c>
      <c r="AE348" s="11" t="str">
        <f t="shared" si="41"/>
        <v>MYE912A21</v>
      </c>
    </row>
    <row r="349" spans="1:31" ht="12.75" hidden="1" customHeight="1" x14ac:dyDescent="0.3">
      <c r="A349" s="8">
        <v>21</v>
      </c>
      <c r="B349" s="20" t="s">
        <v>258</v>
      </c>
      <c r="C349" s="20" t="s">
        <v>40</v>
      </c>
      <c r="D349" s="25" t="s">
        <v>259</v>
      </c>
      <c r="E349" s="22" t="s">
        <v>232</v>
      </c>
      <c r="F349" s="20" t="s">
        <v>232</v>
      </c>
      <c r="G349" s="22" t="s">
        <v>234</v>
      </c>
      <c r="H349" s="23">
        <v>0</v>
      </c>
      <c r="I349" s="23">
        <v>0</v>
      </c>
      <c r="J349" s="23">
        <v>0</v>
      </c>
      <c r="K349" s="23">
        <v>0</v>
      </c>
      <c r="L349" s="23">
        <v>0</v>
      </c>
      <c r="M349" s="24">
        <v>0</v>
      </c>
      <c r="N349" s="23">
        <v>0</v>
      </c>
      <c r="O349" s="24">
        <f t="shared" si="35"/>
        <v>0</v>
      </c>
      <c r="P349" s="23">
        <v>0</v>
      </c>
      <c r="Q349" s="23">
        <v>0</v>
      </c>
      <c r="R349" s="23">
        <v>0</v>
      </c>
      <c r="S349" s="23">
        <v>-1697</v>
      </c>
      <c r="T349" s="23">
        <v>0</v>
      </c>
      <c r="U349" s="23">
        <v>0</v>
      </c>
      <c r="V349" s="23">
        <v>0</v>
      </c>
      <c r="W349" s="23">
        <f t="shared" si="36"/>
        <v>-1697</v>
      </c>
      <c r="X349" s="23">
        <f t="shared" si="37"/>
        <v>0</v>
      </c>
      <c r="Y349" s="23">
        <f t="shared" si="38"/>
        <v>-1697</v>
      </c>
      <c r="Z349" s="23">
        <v>0</v>
      </c>
      <c r="AA349" s="23">
        <f t="shared" si="39"/>
        <v>-1697</v>
      </c>
      <c r="AB349" s="23">
        <f t="shared" si="40"/>
        <v>-1697</v>
      </c>
      <c r="AC349" s="20" t="s">
        <v>316</v>
      </c>
      <c r="AD349" s="20" t="str">
        <f>VLOOKUP($C349,'[1]CTRL AUTOS'!$E:$AH,2,0)</f>
        <v>NEL860A</v>
      </c>
      <c r="AE349" s="11" t="str">
        <f t="shared" si="41"/>
        <v>NEL860A21</v>
      </c>
    </row>
    <row r="350" spans="1:31" ht="12.75" hidden="1" customHeight="1" x14ac:dyDescent="0.3">
      <c r="A350" s="8">
        <v>21</v>
      </c>
      <c r="B350" s="20" t="s">
        <v>25</v>
      </c>
      <c r="C350" s="22" t="s">
        <v>46</v>
      </c>
      <c r="D350" s="22" t="s">
        <v>257</v>
      </c>
      <c r="E350" s="22" t="s">
        <v>232</v>
      </c>
      <c r="F350" s="20" t="s">
        <v>232</v>
      </c>
      <c r="G350" s="22" t="s">
        <v>234</v>
      </c>
      <c r="H350" s="23">
        <v>3893.88</v>
      </c>
      <c r="I350" s="23">
        <v>0</v>
      </c>
      <c r="J350" s="23">
        <v>0</v>
      </c>
      <c r="K350" s="23">
        <v>0</v>
      </c>
      <c r="L350" s="23">
        <v>-1041.33</v>
      </c>
      <c r="M350" s="24">
        <v>-25</v>
      </c>
      <c r="N350" s="23">
        <v>-29</v>
      </c>
      <c r="O350" s="24">
        <f t="shared" si="35"/>
        <v>2798.55</v>
      </c>
      <c r="P350" s="23">
        <v>-2500</v>
      </c>
      <c r="Q350" s="23">
        <v>0</v>
      </c>
      <c r="R350" s="23">
        <v>-500</v>
      </c>
      <c r="S350" s="23">
        <v>0</v>
      </c>
      <c r="T350" s="23">
        <v>0</v>
      </c>
      <c r="U350" s="23">
        <v>0</v>
      </c>
      <c r="V350" s="23">
        <v>0</v>
      </c>
      <c r="W350" s="23">
        <f t="shared" si="36"/>
        <v>-201.44999999999982</v>
      </c>
      <c r="X350" s="23">
        <f t="shared" si="37"/>
        <v>0</v>
      </c>
      <c r="Y350" s="23">
        <f t="shared" si="38"/>
        <v>-201.44999999999982</v>
      </c>
      <c r="Z350" s="23">
        <v>201</v>
      </c>
      <c r="AA350" s="23">
        <f t="shared" si="39"/>
        <v>-0.4499999999998181</v>
      </c>
      <c r="AB350" s="23">
        <f t="shared" si="40"/>
        <v>2999.1000000000004</v>
      </c>
      <c r="AC350" s="20"/>
      <c r="AD350" s="20" t="str">
        <f>VLOOKUP($C350,'[1]CTRL AUTOS'!$E:$AH,2,0)</f>
        <v>R66BER</v>
      </c>
      <c r="AE350" s="11" t="str">
        <f t="shared" si="41"/>
        <v>R66BER21</v>
      </c>
    </row>
    <row r="351" spans="1:31" ht="12.75" hidden="1" customHeight="1" x14ac:dyDescent="0.3">
      <c r="A351" s="8">
        <v>21</v>
      </c>
      <c r="B351" s="20" t="s">
        <v>260</v>
      </c>
      <c r="C351" s="22" t="s">
        <v>81</v>
      </c>
      <c r="D351" s="22" t="s">
        <v>317</v>
      </c>
      <c r="E351" s="22" t="s">
        <v>232</v>
      </c>
      <c r="F351" s="20" t="s">
        <v>232</v>
      </c>
      <c r="G351" s="22" t="s">
        <v>234</v>
      </c>
      <c r="H351" s="23">
        <v>5775.65</v>
      </c>
      <c r="I351" s="23">
        <v>0</v>
      </c>
      <c r="J351" s="23">
        <v>0</v>
      </c>
      <c r="K351" s="23">
        <v>0</v>
      </c>
      <c r="L351" s="23">
        <v>-1166.48</v>
      </c>
      <c r="M351" s="24">
        <v>-25</v>
      </c>
      <c r="N351" s="23">
        <v>0</v>
      </c>
      <c r="O351" s="24">
        <f t="shared" si="35"/>
        <v>4584.17</v>
      </c>
      <c r="P351" s="23">
        <v>-2500</v>
      </c>
      <c r="Q351" s="23">
        <v>0</v>
      </c>
      <c r="R351" s="23">
        <v>0</v>
      </c>
      <c r="S351" s="23">
        <v>-500</v>
      </c>
      <c r="T351" s="23">
        <v>0</v>
      </c>
      <c r="U351" s="23">
        <v>0</v>
      </c>
      <c r="V351" s="23">
        <v>0</v>
      </c>
      <c r="W351" s="23">
        <f t="shared" si="36"/>
        <v>1584.17</v>
      </c>
      <c r="X351" s="23">
        <f t="shared" si="37"/>
        <v>1584.17</v>
      </c>
      <c r="Y351" s="23">
        <f t="shared" si="38"/>
        <v>0</v>
      </c>
      <c r="Z351" s="23">
        <v>0</v>
      </c>
      <c r="AA351" s="23">
        <f t="shared" si="39"/>
        <v>0</v>
      </c>
      <c r="AB351" s="23">
        <f t="shared" si="40"/>
        <v>3000</v>
      </c>
      <c r="AC351" s="20" t="s">
        <v>226</v>
      </c>
      <c r="AD351" s="20" t="str">
        <f>VLOOKUP($C351,'[1]CTRL AUTOS'!$E:$AH,2,0)</f>
        <v>NLP172B</v>
      </c>
      <c r="AE351" s="11" t="str">
        <f t="shared" si="41"/>
        <v>NLP172B21</v>
      </c>
    </row>
    <row r="352" spans="1:31" ht="12.75" hidden="1" customHeight="1" x14ac:dyDescent="0.3">
      <c r="A352" s="8">
        <v>21</v>
      </c>
      <c r="B352" s="20" t="s">
        <v>72</v>
      </c>
      <c r="C352" s="22" t="s">
        <v>28</v>
      </c>
      <c r="D352" s="22" t="s">
        <v>274</v>
      </c>
      <c r="E352" s="22" t="s">
        <v>232</v>
      </c>
      <c r="F352" s="20" t="s">
        <v>232</v>
      </c>
      <c r="G352" s="22" t="s">
        <v>234</v>
      </c>
      <c r="H352" s="23">
        <v>10515.92</v>
      </c>
      <c r="I352" s="23">
        <v>-104</v>
      </c>
      <c r="J352" s="23">
        <v>0</v>
      </c>
      <c r="K352" s="23">
        <v>-104.41</v>
      </c>
      <c r="L352" s="23">
        <v>-4903.3500000000004</v>
      </c>
      <c r="M352" s="24">
        <v>-25</v>
      </c>
      <c r="N352" s="23">
        <v>-26</v>
      </c>
      <c r="O352" s="24">
        <f t="shared" si="35"/>
        <v>5353.16</v>
      </c>
      <c r="P352" s="23">
        <v>-2500</v>
      </c>
      <c r="Q352" s="23">
        <v>-200</v>
      </c>
      <c r="R352" s="23">
        <v>0</v>
      </c>
      <c r="S352" s="23">
        <v>-780</v>
      </c>
      <c r="T352" s="23">
        <v>0</v>
      </c>
      <c r="U352" s="23">
        <v>0</v>
      </c>
      <c r="V352" s="23">
        <v>0</v>
      </c>
      <c r="W352" s="23">
        <f t="shared" si="36"/>
        <v>1873.1599999999999</v>
      </c>
      <c r="X352" s="23">
        <f t="shared" si="37"/>
        <v>1873.1599999999999</v>
      </c>
      <c r="Y352" s="23">
        <f t="shared" si="38"/>
        <v>0</v>
      </c>
      <c r="Z352" s="23">
        <v>0</v>
      </c>
      <c r="AA352" s="23">
        <f t="shared" si="39"/>
        <v>0</v>
      </c>
      <c r="AB352" s="23">
        <f t="shared" si="40"/>
        <v>3480</v>
      </c>
      <c r="AC352" s="20" t="s">
        <v>327</v>
      </c>
      <c r="AD352" s="20" t="str">
        <f>VLOOKUP($C352,'[1]CTRL AUTOS'!$E:$AH,2,0)</f>
        <v>NCT814A</v>
      </c>
      <c r="AE352" s="11" t="str">
        <f t="shared" si="41"/>
        <v>NCT814A21</v>
      </c>
    </row>
    <row r="353" spans="1:31" ht="12.75" hidden="1" customHeight="1" x14ac:dyDescent="0.3">
      <c r="A353" s="8">
        <v>21</v>
      </c>
      <c r="B353" s="20" t="s">
        <v>292</v>
      </c>
      <c r="C353" s="22" t="s">
        <v>52</v>
      </c>
      <c r="D353" s="22" t="s">
        <v>313</v>
      </c>
      <c r="E353" s="22" t="s">
        <v>232</v>
      </c>
      <c r="F353" s="20" t="s">
        <v>232</v>
      </c>
      <c r="G353" s="22" t="s">
        <v>234</v>
      </c>
      <c r="H353" s="23">
        <v>10824.93</v>
      </c>
      <c r="I353" s="23">
        <v>-53.6</v>
      </c>
      <c r="J353" s="23">
        <v>0</v>
      </c>
      <c r="K353" s="23">
        <v>0</v>
      </c>
      <c r="L353" s="23">
        <v>-3730.53</v>
      </c>
      <c r="M353" s="24">
        <v>-25</v>
      </c>
      <c r="N353" s="23">
        <v>0</v>
      </c>
      <c r="O353" s="24">
        <f t="shared" si="35"/>
        <v>7015.7999999999993</v>
      </c>
      <c r="P353" s="23">
        <v>-2500</v>
      </c>
      <c r="Q353" s="23">
        <v>-1500</v>
      </c>
      <c r="R353" s="23">
        <v>0</v>
      </c>
      <c r="S353" s="23">
        <v>0</v>
      </c>
      <c r="T353" s="23">
        <v>0</v>
      </c>
      <c r="U353" s="23">
        <v>0</v>
      </c>
      <c r="V353" s="23">
        <v>0</v>
      </c>
      <c r="W353" s="23">
        <f t="shared" si="36"/>
        <v>3015.7999999999993</v>
      </c>
      <c r="X353" s="23">
        <f t="shared" si="37"/>
        <v>3015.7999999999993</v>
      </c>
      <c r="Y353" s="23">
        <f t="shared" si="38"/>
        <v>0</v>
      </c>
      <c r="Z353" s="23">
        <v>0</v>
      </c>
      <c r="AA353" s="23">
        <f t="shared" si="39"/>
        <v>0</v>
      </c>
      <c r="AB353" s="23">
        <f t="shared" si="40"/>
        <v>4000</v>
      </c>
      <c r="AC353" s="20" t="s">
        <v>328</v>
      </c>
      <c r="AD353" s="20" t="str">
        <f>VLOOKUP($C353,'[1]CTRL AUTOS'!$E:$AH,2,0)</f>
        <v>A35BHD</v>
      </c>
      <c r="AE353" s="11" t="str">
        <f t="shared" si="41"/>
        <v>A35BHD21</v>
      </c>
    </row>
    <row r="354" spans="1:31" ht="12.75" hidden="1" customHeight="1" x14ac:dyDescent="0.3">
      <c r="A354" s="8">
        <v>21</v>
      </c>
      <c r="B354" s="20" t="s">
        <v>105</v>
      </c>
      <c r="C354" s="22" t="s">
        <v>75</v>
      </c>
      <c r="D354" s="20" t="s">
        <v>237</v>
      </c>
      <c r="E354" s="22" t="s">
        <v>241</v>
      </c>
      <c r="F354" s="20" t="s">
        <v>291</v>
      </c>
      <c r="G354" s="22" t="s">
        <v>234</v>
      </c>
      <c r="H354" s="23">
        <v>0</v>
      </c>
      <c r="I354" s="23">
        <v>0</v>
      </c>
      <c r="J354" s="23">
        <v>0</v>
      </c>
      <c r="K354" s="23">
        <v>0</v>
      </c>
      <c r="L354" s="23">
        <v>0</v>
      </c>
      <c r="M354" s="24">
        <v>0</v>
      </c>
      <c r="N354" s="23">
        <v>0</v>
      </c>
      <c r="O354" s="24">
        <f t="shared" si="35"/>
        <v>0</v>
      </c>
      <c r="P354" s="23">
        <v>-2500</v>
      </c>
      <c r="Q354" s="23">
        <v>0</v>
      </c>
      <c r="R354" s="23">
        <v>0</v>
      </c>
      <c r="S354" s="23">
        <v>0</v>
      </c>
      <c r="T354" s="23">
        <v>0</v>
      </c>
      <c r="U354" s="23">
        <v>0</v>
      </c>
      <c r="V354" s="23">
        <v>0</v>
      </c>
      <c r="W354" s="23">
        <f t="shared" si="36"/>
        <v>-2500</v>
      </c>
      <c r="X354" s="23">
        <f t="shared" si="37"/>
        <v>0</v>
      </c>
      <c r="Y354" s="23">
        <f t="shared" si="38"/>
        <v>-2500</v>
      </c>
      <c r="Z354" s="23">
        <v>1000</v>
      </c>
      <c r="AA354" s="23">
        <f t="shared" si="39"/>
        <v>-1500</v>
      </c>
      <c r="AB354" s="23">
        <f t="shared" si="40"/>
        <v>-500</v>
      </c>
      <c r="AC354" s="20" t="s">
        <v>329</v>
      </c>
      <c r="AD354" s="20" t="str">
        <f>VLOOKUP($C354,'[1]CTRL AUTOS'!$E:$AH,2,0)</f>
        <v>NFN014B</v>
      </c>
      <c r="AE354" s="11" t="str">
        <f t="shared" si="41"/>
        <v>NFN014B21</v>
      </c>
    </row>
    <row r="355" spans="1:31" ht="12.75" hidden="1" customHeight="1" x14ac:dyDescent="0.3">
      <c r="A355" s="8">
        <v>21</v>
      </c>
      <c r="B355" s="20" t="s">
        <v>288</v>
      </c>
      <c r="C355" s="22" t="s">
        <v>22</v>
      </c>
      <c r="D355" s="22" t="s">
        <v>319</v>
      </c>
      <c r="E355" s="20" t="s">
        <v>232</v>
      </c>
      <c r="F355" s="20" t="s">
        <v>232</v>
      </c>
      <c r="G355" s="22" t="s">
        <v>234</v>
      </c>
      <c r="H355" s="23">
        <v>7203.84</v>
      </c>
      <c r="I355" s="23">
        <v>0</v>
      </c>
      <c r="J355" s="23">
        <v>0</v>
      </c>
      <c r="K355" s="23">
        <v>0</v>
      </c>
      <c r="L355" s="23">
        <v>-2154.85</v>
      </c>
      <c r="M355" s="24">
        <v>-25</v>
      </c>
      <c r="N355" s="23">
        <v>-254</v>
      </c>
      <c r="O355" s="24">
        <f t="shared" si="35"/>
        <v>4769.99</v>
      </c>
      <c r="P355" s="23">
        <v>-2500</v>
      </c>
      <c r="Q355" s="23">
        <v>0</v>
      </c>
      <c r="R355" s="23">
        <v>0</v>
      </c>
      <c r="S355" s="23">
        <v>0</v>
      </c>
      <c r="T355" s="23">
        <v>0</v>
      </c>
      <c r="U355" s="23">
        <v>0</v>
      </c>
      <c r="V355" s="23">
        <v>0</v>
      </c>
      <c r="W355" s="23">
        <f t="shared" si="36"/>
        <v>2269.9899999999998</v>
      </c>
      <c r="X355" s="23">
        <f t="shared" si="37"/>
        <v>2269.9899999999998</v>
      </c>
      <c r="Y355" s="23">
        <f t="shared" si="38"/>
        <v>0</v>
      </c>
      <c r="Z355" s="23">
        <v>0</v>
      </c>
      <c r="AA355" s="23">
        <f t="shared" si="39"/>
        <v>0</v>
      </c>
      <c r="AB355" s="23">
        <f t="shared" si="40"/>
        <v>2500</v>
      </c>
      <c r="AC355" s="20"/>
      <c r="AD355" s="20" t="str">
        <f>VLOOKUP($C355,'[1]CTRL AUTOS'!$E:$AH,2,0)</f>
        <v>NCK475B</v>
      </c>
      <c r="AE355" s="11" t="str">
        <f t="shared" si="41"/>
        <v>NCK475B21</v>
      </c>
    </row>
    <row r="356" spans="1:31" ht="12.75" hidden="1" customHeight="1" x14ac:dyDescent="0.3">
      <c r="A356" s="8">
        <v>21</v>
      </c>
      <c r="B356" s="20" t="s">
        <v>324</v>
      </c>
      <c r="C356" s="22" t="s">
        <v>168</v>
      </c>
      <c r="D356" s="22" t="s">
        <v>265</v>
      </c>
      <c r="E356" s="39" t="s">
        <v>232</v>
      </c>
      <c r="F356" s="41" t="s">
        <v>232</v>
      </c>
      <c r="G356" s="22" t="s">
        <v>234</v>
      </c>
      <c r="H356" s="23">
        <v>4986.0600000000004</v>
      </c>
      <c r="I356" s="23">
        <v>0</v>
      </c>
      <c r="J356" s="23">
        <v>0</v>
      </c>
      <c r="K356" s="23">
        <v>0</v>
      </c>
      <c r="L356" s="23">
        <v>-1421.56</v>
      </c>
      <c r="M356" s="24">
        <v>-38</v>
      </c>
      <c r="N356" s="23">
        <v>-293.56</v>
      </c>
      <c r="O356" s="24">
        <f t="shared" si="35"/>
        <v>3232.9400000000005</v>
      </c>
      <c r="P356" s="23">
        <v>-2142</v>
      </c>
      <c r="Q356" s="23">
        <v>-2108</v>
      </c>
      <c r="R356" s="23">
        <v>-500</v>
      </c>
      <c r="S356" s="23">
        <v>0</v>
      </c>
      <c r="T356" s="23">
        <v>0</v>
      </c>
      <c r="U356" s="23">
        <v>0</v>
      </c>
      <c r="V356" s="23">
        <v>0</v>
      </c>
      <c r="W356" s="23">
        <f t="shared" si="36"/>
        <v>-1517.0599999999995</v>
      </c>
      <c r="X356" s="23">
        <f t="shared" si="37"/>
        <v>0</v>
      </c>
      <c r="Y356" s="23">
        <f t="shared" si="38"/>
        <v>-1517.0599999999995</v>
      </c>
      <c r="Z356" s="23">
        <v>0</v>
      </c>
      <c r="AA356" s="23">
        <f t="shared" si="39"/>
        <v>-1517.0599999999995</v>
      </c>
      <c r="AB356" s="23">
        <f t="shared" si="40"/>
        <v>1715.880000000001</v>
      </c>
      <c r="AC356" s="20" t="s">
        <v>330</v>
      </c>
      <c r="AD356" s="20" t="e">
        <f>VLOOKUP($C356,'[1]CTRL AUTOS'!$E:$AH,2,0)</f>
        <v>#N/A</v>
      </c>
      <c r="AE356" s="11" t="e">
        <f t="shared" si="41"/>
        <v>#N/A</v>
      </c>
    </row>
    <row r="357" spans="1:31" ht="12.75" hidden="1" customHeight="1" x14ac:dyDescent="0.3">
      <c r="A357" s="8">
        <v>21</v>
      </c>
      <c r="B357" s="20" t="s">
        <v>244</v>
      </c>
      <c r="C357" s="20" t="s">
        <v>4</v>
      </c>
      <c r="D357" s="22" t="s">
        <v>245</v>
      </c>
      <c r="E357" s="22" t="s">
        <v>232</v>
      </c>
      <c r="F357" s="20" t="s">
        <v>232</v>
      </c>
      <c r="G357" s="22" t="s">
        <v>234</v>
      </c>
      <c r="H357" s="23">
        <v>3668.38</v>
      </c>
      <c r="I357" s="23">
        <v>0</v>
      </c>
      <c r="J357" s="23">
        <v>0</v>
      </c>
      <c r="K357" s="23">
        <v>0</v>
      </c>
      <c r="L357" s="23">
        <v>-490.76</v>
      </c>
      <c r="M357" s="24">
        <v>-38</v>
      </c>
      <c r="N357" s="23">
        <v>0</v>
      </c>
      <c r="O357" s="24">
        <f t="shared" si="35"/>
        <v>3139.62</v>
      </c>
      <c r="P357" s="23">
        <v>-2142</v>
      </c>
      <c r="Q357" s="23">
        <v>-381</v>
      </c>
      <c r="R357" s="23">
        <v>0</v>
      </c>
      <c r="S357" s="23">
        <v>0</v>
      </c>
      <c r="T357" s="23">
        <v>0</v>
      </c>
      <c r="U357" s="23">
        <v>0</v>
      </c>
      <c r="V357" s="23">
        <v>0</v>
      </c>
      <c r="W357" s="23">
        <f t="shared" si="36"/>
        <v>616.61999999999989</v>
      </c>
      <c r="X357" s="23">
        <f t="shared" si="37"/>
        <v>616.61999999999989</v>
      </c>
      <c r="Y357" s="23">
        <f t="shared" si="38"/>
        <v>0</v>
      </c>
      <c r="Z357" s="23">
        <v>0</v>
      </c>
      <c r="AA357" s="23">
        <f t="shared" si="39"/>
        <v>0</v>
      </c>
      <c r="AB357" s="23">
        <f t="shared" si="40"/>
        <v>2523</v>
      </c>
      <c r="AC357" s="20" t="s">
        <v>226</v>
      </c>
      <c r="AD357" s="20" t="str">
        <f>VLOOKUP($C357,'[1]CTRL AUTOS'!$E:$AH,2,0)</f>
        <v>N15BKD</v>
      </c>
      <c r="AE357" s="11" t="str">
        <f t="shared" si="41"/>
        <v>N15BKD21</v>
      </c>
    </row>
    <row r="358" spans="1:31" ht="12.75" hidden="1" customHeight="1" x14ac:dyDescent="0.3">
      <c r="A358" s="8">
        <v>21</v>
      </c>
      <c r="B358" s="20" t="s">
        <v>35</v>
      </c>
      <c r="C358" s="22" t="s">
        <v>97</v>
      </c>
      <c r="D358" s="22" t="s">
        <v>273</v>
      </c>
      <c r="E358" s="22" t="s">
        <v>232</v>
      </c>
      <c r="F358" s="20" t="s">
        <v>232</v>
      </c>
      <c r="G358" s="22" t="s">
        <v>234</v>
      </c>
      <c r="H358" s="23">
        <v>8662.4699999999993</v>
      </c>
      <c r="I358" s="23">
        <v>-130</v>
      </c>
      <c r="J358" s="23">
        <v>0</v>
      </c>
      <c r="K358" s="23">
        <v>0</v>
      </c>
      <c r="L358" s="23">
        <v>-4397.74</v>
      </c>
      <c r="M358" s="24">
        <v>-25</v>
      </c>
      <c r="N358" s="23">
        <v>0</v>
      </c>
      <c r="O358" s="24">
        <f t="shared" si="35"/>
        <v>4109.7299999999996</v>
      </c>
      <c r="P358" s="23">
        <v>-2500</v>
      </c>
      <c r="Q358" s="23">
        <v>0</v>
      </c>
      <c r="R358" s="23">
        <v>0</v>
      </c>
      <c r="S358" s="23">
        <v>0</v>
      </c>
      <c r="T358" s="23">
        <v>0</v>
      </c>
      <c r="U358" s="23">
        <v>0</v>
      </c>
      <c r="V358" s="23">
        <v>0</v>
      </c>
      <c r="W358" s="23">
        <f t="shared" si="36"/>
        <v>1609.7299999999996</v>
      </c>
      <c r="X358" s="23">
        <f t="shared" si="37"/>
        <v>1609.7299999999996</v>
      </c>
      <c r="Y358" s="23">
        <f t="shared" si="38"/>
        <v>0</v>
      </c>
      <c r="Z358" s="23">
        <v>0</v>
      </c>
      <c r="AA358" s="23">
        <f t="shared" si="39"/>
        <v>0</v>
      </c>
      <c r="AB358" s="23">
        <f t="shared" si="40"/>
        <v>2500</v>
      </c>
      <c r="AC358" s="20"/>
      <c r="AD358" s="20" t="str">
        <f>VLOOKUP($C358,'[1]CTRL AUTOS'!$E:$AH,2,0)</f>
        <v>MUF515A</v>
      </c>
      <c r="AE358" s="11" t="str">
        <f t="shared" si="41"/>
        <v>MUF515A21</v>
      </c>
    </row>
    <row r="359" spans="1:31" ht="12.75" hidden="1" customHeight="1" x14ac:dyDescent="0.3">
      <c r="A359" s="8">
        <v>21</v>
      </c>
      <c r="B359" s="20" t="s">
        <v>37</v>
      </c>
      <c r="C359" s="22" t="s">
        <v>246</v>
      </c>
      <c r="D359" s="20" t="s">
        <v>237</v>
      </c>
      <c r="E359" s="22" t="s">
        <v>232</v>
      </c>
      <c r="F359" s="20" t="s">
        <v>291</v>
      </c>
      <c r="G359" s="22" t="s">
        <v>234</v>
      </c>
      <c r="H359" s="23">
        <v>2096.92</v>
      </c>
      <c r="I359" s="23">
        <v>-8</v>
      </c>
      <c r="J359" s="23">
        <v>0</v>
      </c>
      <c r="K359" s="23">
        <v>0</v>
      </c>
      <c r="L359" s="23">
        <v>-389.96</v>
      </c>
      <c r="M359" s="24">
        <v>-38</v>
      </c>
      <c r="N359" s="23">
        <v>0</v>
      </c>
      <c r="O359" s="24">
        <f t="shared" si="35"/>
        <v>1660.96</v>
      </c>
      <c r="P359" s="23">
        <v>-2500</v>
      </c>
      <c r="Q359" s="23">
        <v>-1508</v>
      </c>
      <c r="R359" s="23">
        <v>0</v>
      </c>
      <c r="S359" s="23">
        <v>0</v>
      </c>
      <c r="T359" s="23">
        <v>0</v>
      </c>
      <c r="U359" s="23">
        <v>0</v>
      </c>
      <c r="V359" s="23">
        <v>0</v>
      </c>
      <c r="W359" s="23">
        <f t="shared" si="36"/>
        <v>-2347.04</v>
      </c>
      <c r="X359" s="23">
        <f t="shared" si="37"/>
        <v>0</v>
      </c>
      <c r="Y359" s="23">
        <f t="shared" si="38"/>
        <v>-2347.04</v>
      </c>
      <c r="Z359" s="23">
        <v>2000</v>
      </c>
      <c r="AA359" s="23">
        <f t="shared" si="39"/>
        <v>-347.03999999999996</v>
      </c>
      <c r="AB359" s="23">
        <f t="shared" si="40"/>
        <v>3313.92</v>
      </c>
      <c r="AC359" s="20"/>
      <c r="AD359" s="20" t="s">
        <v>248</v>
      </c>
      <c r="AE359" s="11" t="str">
        <f t="shared" si="41"/>
        <v>X24APU21</v>
      </c>
    </row>
    <row r="360" spans="1:31" ht="12.75" hidden="1" customHeight="1" x14ac:dyDescent="0.3">
      <c r="A360" s="8">
        <v>21</v>
      </c>
      <c r="B360" s="20" t="s">
        <v>331</v>
      </c>
      <c r="C360" s="22" t="s">
        <v>69</v>
      </c>
      <c r="D360" s="20" t="s">
        <v>237</v>
      </c>
      <c r="E360" s="22" t="s">
        <v>241</v>
      </c>
      <c r="F360" s="20" t="s">
        <v>291</v>
      </c>
      <c r="G360" s="22" t="s">
        <v>234</v>
      </c>
      <c r="H360" s="23">
        <v>3389.84</v>
      </c>
      <c r="I360" s="23">
        <v>0</v>
      </c>
      <c r="J360" s="23">
        <v>0</v>
      </c>
      <c r="K360" s="23">
        <v>0</v>
      </c>
      <c r="L360" s="23">
        <v>-1319.5</v>
      </c>
      <c r="M360" s="24">
        <v>-38</v>
      </c>
      <c r="N360" s="23">
        <v>0</v>
      </c>
      <c r="O360" s="24">
        <f t="shared" si="35"/>
        <v>2032.3400000000001</v>
      </c>
      <c r="P360" s="23">
        <v>-895</v>
      </c>
      <c r="Q360" s="23">
        <v>-100</v>
      </c>
      <c r="R360" s="23">
        <v>-500</v>
      </c>
      <c r="S360" s="23">
        <v>0</v>
      </c>
      <c r="T360" s="23">
        <v>0</v>
      </c>
      <c r="U360" s="23">
        <v>0</v>
      </c>
      <c r="V360" s="23">
        <v>0</v>
      </c>
      <c r="W360" s="23">
        <f t="shared" si="36"/>
        <v>537.34000000000015</v>
      </c>
      <c r="X360" s="23">
        <f t="shared" si="37"/>
        <v>537.34000000000015</v>
      </c>
      <c r="Y360" s="23">
        <f t="shared" si="38"/>
        <v>0</v>
      </c>
      <c r="Z360" s="23">
        <v>0</v>
      </c>
      <c r="AA360" s="23">
        <f t="shared" si="39"/>
        <v>0</v>
      </c>
      <c r="AB360" s="23">
        <f t="shared" si="40"/>
        <v>1495</v>
      </c>
      <c r="AC360" s="20" t="s">
        <v>332</v>
      </c>
      <c r="AD360" s="20" t="str">
        <f>VLOOKUP($C360,'[1]CTRL AUTOS'!$E:$AH,2,0)</f>
        <v>R51BKD</v>
      </c>
      <c r="AE360" s="11" t="str">
        <f t="shared" si="41"/>
        <v>R51BKD21</v>
      </c>
    </row>
    <row r="361" spans="1:31" ht="12.75" hidden="1" customHeight="1" x14ac:dyDescent="0.3">
      <c r="A361" s="8">
        <v>21</v>
      </c>
      <c r="B361" s="20" t="s">
        <v>293</v>
      </c>
      <c r="C361" s="22" t="s">
        <v>34</v>
      </c>
      <c r="D361" s="22" t="s">
        <v>285</v>
      </c>
      <c r="E361" s="22" t="s">
        <v>232</v>
      </c>
      <c r="F361" s="20" t="s">
        <v>232</v>
      </c>
      <c r="G361" s="22" t="s">
        <v>234</v>
      </c>
      <c r="H361" s="23">
        <v>264.88</v>
      </c>
      <c r="I361" s="23">
        <v>0</v>
      </c>
      <c r="J361" s="23">
        <v>0</v>
      </c>
      <c r="K361" s="23">
        <v>0</v>
      </c>
      <c r="L361" s="23">
        <v>-202.45</v>
      </c>
      <c r="M361" s="24">
        <v>-38</v>
      </c>
      <c r="N361" s="23">
        <v>-323</v>
      </c>
      <c r="O361" s="24">
        <f t="shared" si="35"/>
        <v>-298.57</v>
      </c>
      <c r="P361" s="23">
        <v>-2500</v>
      </c>
      <c r="Q361" s="23">
        <v>-235</v>
      </c>
      <c r="R361" s="23">
        <v>-143</v>
      </c>
      <c r="S361" s="23">
        <v>0</v>
      </c>
      <c r="T361" s="23">
        <v>-500</v>
      </c>
      <c r="U361" s="23">
        <v>0</v>
      </c>
      <c r="V361" s="23">
        <v>0</v>
      </c>
      <c r="W361" s="23">
        <f t="shared" si="36"/>
        <v>-3676.57</v>
      </c>
      <c r="X361" s="23">
        <f t="shared" si="37"/>
        <v>0</v>
      </c>
      <c r="Y361" s="23">
        <f t="shared" si="38"/>
        <v>-3676.57</v>
      </c>
      <c r="Z361" s="23">
        <v>3200</v>
      </c>
      <c r="AA361" s="23">
        <f t="shared" si="39"/>
        <v>-476.57000000000016</v>
      </c>
      <c r="AB361" s="23">
        <f t="shared" si="40"/>
        <v>2424.8599999999997</v>
      </c>
      <c r="AC361" s="20"/>
      <c r="AD361" s="20" t="str">
        <f>VLOOKUP($C361,'[1]CTRL AUTOS'!$E:$AH,2,0)</f>
        <v>X59AWG</v>
      </c>
      <c r="AE361" s="11" t="str">
        <f t="shared" si="41"/>
        <v>X59AWG21</v>
      </c>
    </row>
    <row r="362" spans="1:31" ht="12.75" hidden="1" customHeight="1" x14ac:dyDescent="0.3">
      <c r="A362" s="8">
        <v>21</v>
      </c>
      <c r="B362" s="20" t="s">
        <v>321</v>
      </c>
      <c r="C362" s="22" t="s">
        <v>40</v>
      </c>
      <c r="D362" s="22" t="s">
        <v>315</v>
      </c>
      <c r="E362" s="22" t="s">
        <v>232</v>
      </c>
      <c r="F362" s="20" t="s">
        <v>232</v>
      </c>
      <c r="G362" s="22" t="s">
        <v>234</v>
      </c>
      <c r="H362" s="23">
        <v>3898.48</v>
      </c>
      <c r="I362" s="23">
        <v>0</v>
      </c>
      <c r="J362" s="23">
        <v>0</v>
      </c>
      <c r="K362" s="23">
        <v>0</v>
      </c>
      <c r="L362" s="23">
        <v>-1569.93</v>
      </c>
      <c r="M362" s="24">
        <v>-25</v>
      </c>
      <c r="N362" s="23">
        <v>0</v>
      </c>
      <c r="O362" s="24">
        <f t="shared" si="35"/>
        <v>2303.5500000000002</v>
      </c>
      <c r="P362" s="23">
        <v>-2500</v>
      </c>
      <c r="Q362" s="23">
        <v>83</v>
      </c>
      <c r="R362" s="23">
        <v>-500</v>
      </c>
      <c r="S362" s="23">
        <v>0</v>
      </c>
      <c r="T362" s="23">
        <v>0</v>
      </c>
      <c r="U362" s="23">
        <v>0</v>
      </c>
      <c r="V362" s="23">
        <v>0</v>
      </c>
      <c r="W362" s="23">
        <f t="shared" si="36"/>
        <v>-613.44999999999982</v>
      </c>
      <c r="X362" s="23">
        <f t="shared" si="37"/>
        <v>0</v>
      </c>
      <c r="Y362" s="23">
        <f t="shared" si="38"/>
        <v>-613.44999999999982</v>
      </c>
      <c r="Z362" s="23">
        <v>0</v>
      </c>
      <c r="AA362" s="23">
        <f t="shared" si="39"/>
        <v>-613.44999999999982</v>
      </c>
      <c r="AB362" s="23">
        <f t="shared" si="40"/>
        <v>1690.1000000000004</v>
      </c>
      <c r="AC362" s="20"/>
      <c r="AD362" s="20" t="str">
        <f>VLOOKUP($C362,'[1]CTRL AUTOS'!$E:$AH,2,0)</f>
        <v>NEL860A</v>
      </c>
      <c r="AE362" s="11" t="str">
        <f t="shared" si="41"/>
        <v>NEL860A21</v>
      </c>
    </row>
    <row r="363" spans="1:31" ht="12.75" hidden="1" customHeight="1" x14ac:dyDescent="0.3">
      <c r="A363" s="8">
        <v>21</v>
      </c>
      <c r="B363" s="20" t="s">
        <v>45</v>
      </c>
      <c r="C363" s="22" t="s">
        <v>249</v>
      </c>
      <c r="D363" s="22" t="s">
        <v>250</v>
      </c>
      <c r="E363" s="22" t="s">
        <v>232</v>
      </c>
      <c r="F363" s="20" t="s">
        <v>232</v>
      </c>
      <c r="G363" s="22" t="s">
        <v>234</v>
      </c>
      <c r="H363" s="23">
        <v>4532.7299999999996</v>
      </c>
      <c r="I363" s="23">
        <v>-42.4</v>
      </c>
      <c r="J363" s="23">
        <v>0</v>
      </c>
      <c r="K363" s="23">
        <v>0</v>
      </c>
      <c r="L363" s="23">
        <v>-1945.65</v>
      </c>
      <c r="M363" s="24">
        <v>-25</v>
      </c>
      <c r="N363" s="23">
        <v>0</v>
      </c>
      <c r="O363" s="24">
        <f t="shared" si="35"/>
        <v>2519.6799999999998</v>
      </c>
      <c r="P363" s="23">
        <v>-2300</v>
      </c>
      <c r="Q363" s="23">
        <v>0</v>
      </c>
      <c r="R363" s="23">
        <v>0</v>
      </c>
      <c r="S363" s="23">
        <v>0</v>
      </c>
      <c r="T363" s="23">
        <v>0</v>
      </c>
      <c r="U363" s="23">
        <v>0</v>
      </c>
      <c r="V363" s="23">
        <v>0</v>
      </c>
      <c r="W363" s="23">
        <f t="shared" si="36"/>
        <v>219.67999999999984</v>
      </c>
      <c r="X363" s="23">
        <f t="shared" si="37"/>
        <v>219.67999999999984</v>
      </c>
      <c r="Y363" s="23">
        <f t="shared" si="38"/>
        <v>0</v>
      </c>
      <c r="Z363" s="23">
        <v>0</v>
      </c>
      <c r="AA363" s="23">
        <f t="shared" si="39"/>
        <v>0</v>
      </c>
      <c r="AB363" s="23">
        <f t="shared" si="40"/>
        <v>2300</v>
      </c>
      <c r="AC363" s="20" t="s">
        <v>226</v>
      </c>
      <c r="AD363" s="20" t="s">
        <v>251</v>
      </c>
      <c r="AE363" s="11" t="str">
        <f t="shared" si="41"/>
        <v>BAJA DE PLACAS21</v>
      </c>
    </row>
    <row r="364" spans="1:31" ht="12.75" hidden="1" customHeight="1" x14ac:dyDescent="0.3">
      <c r="A364" s="8">
        <v>21</v>
      </c>
      <c r="B364" s="20" t="s">
        <v>5</v>
      </c>
      <c r="C364" s="20" t="s">
        <v>50</v>
      </c>
      <c r="D364" s="22" t="s">
        <v>267</v>
      </c>
      <c r="E364" s="22" t="s">
        <v>232</v>
      </c>
      <c r="F364" s="20" t="s">
        <v>232</v>
      </c>
      <c r="G364" s="22" t="s">
        <v>234</v>
      </c>
      <c r="H364" s="23">
        <v>7466.89</v>
      </c>
      <c r="I364" s="23">
        <v>0</v>
      </c>
      <c r="J364" s="23">
        <v>0</v>
      </c>
      <c r="K364" s="23">
        <v>0</v>
      </c>
      <c r="L364" s="23">
        <v>-1962.38</v>
      </c>
      <c r="M364" s="24">
        <v>-38</v>
      </c>
      <c r="N364" s="23">
        <v>0</v>
      </c>
      <c r="O364" s="24">
        <f t="shared" si="35"/>
        <v>5466.51</v>
      </c>
      <c r="P364" s="23">
        <v>-2500</v>
      </c>
      <c r="Q364" s="23">
        <v>-1100</v>
      </c>
      <c r="R364" s="23">
        <v>0</v>
      </c>
      <c r="S364" s="23">
        <v>0</v>
      </c>
      <c r="T364" s="23">
        <v>0</v>
      </c>
      <c r="U364" s="23">
        <v>0</v>
      </c>
      <c r="V364" s="23">
        <v>0</v>
      </c>
      <c r="W364" s="23">
        <f t="shared" si="36"/>
        <v>1866.5100000000002</v>
      </c>
      <c r="X364" s="23">
        <f t="shared" si="37"/>
        <v>1866.5100000000002</v>
      </c>
      <c r="Y364" s="23">
        <f t="shared" si="38"/>
        <v>0</v>
      </c>
      <c r="Z364" s="23">
        <v>0</v>
      </c>
      <c r="AA364" s="23">
        <f t="shared" si="39"/>
        <v>0</v>
      </c>
      <c r="AB364" s="23">
        <f t="shared" si="40"/>
        <v>3600</v>
      </c>
      <c r="AC364" s="20" t="s">
        <v>226</v>
      </c>
      <c r="AD364" s="20" t="str">
        <f>VLOOKUP($C364,'[1]CTRL AUTOS'!$E:$AH,2,0)</f>
        <v>NBS225A</v>
      </c>
      <c r="AE364" s="11" t="str">
        <f t="shared" si="41"/>
        <v>NBS225A21</v>
      </c>
    </row>
    <row r="365" spans="1:31" ht="12.75" hidden="1" customHeight="1" x14ac:dyDescent="0.3">
      <c r="A365" s="8">
        <v>21</v>
      </c>
      <c r="B365" s="20" t="s">
        <v>294</v>
      </c>
      <c r="C365" s="20" t="s">
        <v>106</v>
      </c>
      <c r="D365" s="22" t="s">
        <v>322</v>
      </c>
      <c r="E365" s="22" t="s">
        <v>232</v>
      </c>
      <c r="F365" s="20" t="s">
        <v>232</v>
      </c>
      <c r="G365" s="22" t="s">
        <v>234</v>
      </c>
      <c r="H365" s="23">
        <v>0</v>
      </c>
      <c r="I365" s="23">
        <v>0</v>
      </c>
      <c r="J365" s="23">
        <v>0</v>
      </c>
      <c r="K365" s="23">
        <v>0</v>
      </c>
      <c r="L365" s="23">
        <v>0</v>
      </c>
      <c r="M365" s="24">
        <v>0</v>
      </c>
      <c r="N365" s="23">
        <v>0</v>
      </c>
      <c r="O365" s="24">
        <f t="shared" si="35"/>
        <v>0</v>
      </c>
      <c r="P365" s="23">
        <v>-2500</v>
      </c>
      <c r="Q365" s="23">
        <v>-1871</v>
      </c>
      <c r="R365" s="23">
        <v>0</v>
      </c>
      <c r="S365" s="23">
        <v>0</v>
      </c>
      <c r="T365" s="23">
        <v>0</v>
      </c>
      <c r="U365" s="23">
        <v>0</v>
      </c>
      <c r="V365" s="23">
        <v>0</v>
      </c>
      <c r="W365" s="23">
        <f t="shared" si="36"/>
        <v>-4371</v>
      </c>
      <c r="X365" s="23">
        <f t="shared" si="37"/>
        <v>0</v>
      </c>
      <c r="Y365" s="23">
        <f t="shared" si="38"/>
        <v>-4371</v>
      </c>
      <c r="Z365" s="23">
        <f>1563+1000</f>
        <v>2563</v>
      </c>
      <c r="AA365" s="23">
        <f t="shared" si="39"/>
        <v>-1808</v>
      </c>
      <c r="AB365" s="23">
        <f t="shared" si="40"/>
        <v>755</v>
      </c>
      <c r="AC365" s="20"/>
      <c r="AD365" s="20" t="str">
        <f>VLOOKUP($C365,'[1]CTRL AUTOS'!$E:$AH,2,0)</f>
        <v>NZU5163</v>
      </c>
      <c r="AE365" s="11" t="str">
        <f t="shared" si="41"/>
        <v>NZU516321</v>
      </c>
    </row>
    <row r="366" spans="1:31" ht="12.75" hidden="1" customHeight="1" x14ac:dyDescent="0.3">
      <c r="A366" s="8">
        <v>22</v>
      </c>
      <c r="B366" s="20" t="s">
        <v>80</v>
      </c>
      <c r="C366" s="20" t="s">
        <v>54</v>
      </c>
      <c r="D366" s="20" t="s">
        <v>318</v>
      </c>
      <c r="E366" s="22" t="s">
        <v>232</v>
      </c>
      <c r="F366" s="20" t="s">
        <v>232</v>
      </c>
      <c r="G366" s="22" t="s">
        <v>234</v>
      </c>
      <c r="H366" s="23">
        <v>0</v>
      </c>
      <c r="I366" s="23">
        <v>0</v>
      </c>
      <c r="J366" s="23">
        <v>0</v>
      </c>
      <c r="K366" s="23">
        <v>0</v>
      </c>
      <c r="L366" s="23">
        <v>0</v>
      </c>
      <c r="M366" s="23">
        <v>-30</v>
      </c>
      <c r="N366" s="23">
        <v>0</v>
      </c>
      <c r="O366" s="24">
        <f t="shared" si="35"/>
        <v>-30</v>
      </c>
      <c r="P366" s="23">
        <v>-2500</v>
      </c>
      <c r="Q366" s="23">
        <v>0</v>
      </c>
      <c r="R366" s="23">
        <v>0</v>
      </c>
      <c r="S366" s="23">
        <v>0</v>
      </c>
      <c r="T366" s="23">
        <v>-500</v>
      </c>
      <c r="U366" s="23">
        <v>0</v>
      </c>
      <c r="V366" s="23">
        <v>0</v>
      </c>
      <c r="W366" s="23">
        <f t="shared" si="36"/>
        <v>-3030</v>
      </c>
      <c r="X366" s="23">
        <f t="shared" si="37"/>
        <v>0</v>
      </c>
      <c r="Y366" s="23">
        <f t="shared" si="38"/>
        <v>-3030</v>
      </c>
      <c r="Z366" s="23">
        <v>3030</v>
      </c>
      <c r="AA366" s="23">
        <f t="shared" si="39"/>
        <v>0</v>
      </c>
      <c r="AB366" s="23">
        <f t="shared" si="40"/>
        <v>3000</v>
      </c>
      <c r="AC366" s="20"/>
      <c r="AD366" s="20" t="str">
        <f>VLOOKUP($C366,'[1]CTRL AUTOS'!$E:$AH,2,0)</f>
        <v>NZY685B</v>
      </c>
      <c r="AE366" s="11" t="str">
        <f t="shared" si="41"/>
        <v>NZY685B22</v>
      </c>
    </row>
    <row r="367" spans="1:31" ht="12.75" hidden="1" customHeight="1" x14ac:dyDescent="0.3">
      <c r="A367" s="8">
        <v>22</v>
      </c>
      <c r="B367" s="20" t="s">
        <v>323</v>
      </c>
      <c r="C367" s="20" t="s">
        <v>20</v>
      </c>
      <c r="D367" s="20" t="s">
        <v>239</v>
      </c>
      <c r="E367" s="22" t="s">
        <v>232</v>
      </c>
      <c r="F367" s="20" t="s">
        <v>232</v>
      </c>
      <c r="G367" s="22" t="s">
        <v>234</v>
      </c>
      <c r="H367" s="23">
        <v>2894.6399999999994</v>
      </c>
      <c r="I367" s="23">
        <v>0</v>
      </c>
      <c r="J367" s="23">
        <v>0</v>
      </c>
      <c r="K367" s="23">
        <v>0</v>
      </c>
      <c r="L367" s="23">
        <v>0</v>
      </c>
      <c r="M367" s="23">
        <v>-30</v>
      </c>
      <c r="N367" s="23">
        <v>-493.93000000000006</v>
      </c>
      <c r="O367" s="24">
        <f t="shared" si="35"/>
        <v>2370.7099999999991</v>
      </c>
      <c r="P367" s="23">
        <v>-2500</v>
      </c>
      <c r="Q367" s="23">
        <v>-322.24000000000024</v>
      </c>
      <c r="R367" s="23">
        <v>-500</v>
      </c>
      <c r="S367" s="23">
        <v>0</v>
      </c>
      <c r="T367" s="23">
        <v>0</v>
      </c>
      <c r="U367" s="23">
        <v>0</v>
      </c>
      <c r="V367" s="23">
        <v>0</v>
      </c>
      <c r="W367" s="23">
        <f t="shared" si="36"/>
        <v>-951.53000000000111</v>
      </c>
      <c r="X367" s="23">
        <f t="shared" si="37"/>
        <v>0</v>
      </c>
      <c r="Y367" s="23">
        <f t="shared" si="38"/>
        <v>-951.53000000000111</v>
      </c>
      <c r="Z367" s="23">
        <v>952</v>
      </c>
      <c r="AA367" s="23">
        <f t="shared" si="39"/>
        <v>0.46999999999889042</v>
      </c>
      <c r="AB367" s="23">
        <f t="shared" si="40"/>
        <v>3323.179999999998</v>
      </c>
      <c r="AC367" s="20"/>
      <c r="AD367" s="20" t="str">
        <f>VLOOKUP($C367,'[1]CTRL AUTOS'!$E:$AH,2,0)</f>
        <v>D40BKD</v>
      </c>
      <c r="AE367" s="11" t="str">
        <f t="shared" si="41"/>
        <v>D40BKD22</v>
      </c>
    </row>
    <row r="368" spans="1:31" ht="12.75" hidden="1" customHeight="1" x14ac:dyDescent="0.3">
      <c r="A368" s="8">
        <v>22</v>
      </c>
      <c r="B368" s="20" t="s">
        <v>111</v>
      </c>
      <c r="C368" s="20" t="s">
        <v>16</v>
      </c>
      <c r="D368" s="20" t="s">
        <v>314</v>
      </c>
      <c r="E368" s="22" t="s">
        <v>232</v>
      </c>
      <c r="F368" s="20" t="s">
        <v>232</v>
      </c>
      <c r="G368" s="22" t="s">
        <v>234</v>
      </c>
      <c r="H368" s="23">
        <v>6353.13</v>
      </c>
      <c r="I368" s="23">
        <v>0</v>
      </c>
      <c r="J368" s="23">
        <v>0</v>
      </c>
      <c r="K368" s="23">
        <v>0</v>
      </c>
      <c r="L368" s="23">
        <v>-893.27</v>
      </c>
      <c r="M368" s="23">
        <v>-30</v>
      </c>
      <c r="N368" s="23">
        <v>0</v>
      </c>
      <c r="O368" s="24">
        <f t="shared" si="35"/>
        <v>5429.8600000000006</v>
      </c>
      <c r="P368" s="23">
        <v>-2500</v>
      </c>
      <c r="Q368" s="23">
        <v>0</v>
      </c>
      <c r="R368" s="23">
        <v>-500</v>
      </c>
      <c r="S368" s="23">
        <v>0</v>
      </c>
      <c r="T368" s="23">
        <v>0</v>
      </c>
      <c r="U368" s="23">
        <v>0</v>
      </c>
      <c r="V368" s="23">
        <v>0</v>
      </c>
      <c r="W368" s="23">
        <f t="shared" si="36"/>
        <v>2429.8600000000006</v>
      </c>
      <c r="X368" s="23">
        <f t="shared" si="37"/>
        <v>2429.8600000000006</v>
      </c>
      <c r="Y368" s="23">
        <f t="shared" si="38"/>
        <v>0</v>
      </c>
      <c r="Z368" s="23">
        <v>0</v>
      </c>
      <c r="AA368" s="23">
        <f t="shared" si="39"/>
        <v>0</v>
      </c>
      <c r="AB368" s="23">
        <f t="shared" si="40"/>
        <v>3000</v>
      </c>
      <c r="AC368" s="20"/>
      <c r="AD368" s="20" t="str">
        <f>VLOOKUP($C368,'[1]CTRL AUTOS'!$E:$AH,2,0)</f>
        <v>D28BET</v>
      </c>
      <c r="AE368" s="11" t="str">
        <f t="shared" si="41"/>
        <v>D28BET22</v>
      </c>
    </row>
    <row r="369" spans="1:31" ht="12.75" hidden="1" customHeight="1" x14ac:dyDescent="0.3">
      <c r="A369" s="8">
        <v>22</v>
      </c>
      <c r="B369" s="20" t="s">
        <v>23</v>
      </c>
      <c r="C369" s="20" t="s">
        <v>230</v>
      </c>
      <c r="D369" s="20" t="s">
        <v>231</v>
      </c>
      <c r="E369" s="22" t="s">
        <v>232</v>
      </c>
      <c r="F369" s="20" t="s">
        <v>232</v>
      </c>
      <c r="G369" s="22" t="s">
        <v>234</v>
      </c>
      <c r="H369" s="23">
        <v>8647.1799999999985</v>
      </c>
      <c r="I369" s="23">
        <v>-86.399999999999991</v>
      </c>
      <c r="J369" s="23">
        <v>0</v>
      </c>
      <c r="K369" s="23">
        <v>0</v>
      </c>
      <c r="L369" s="23">
        <v>-5492.87</v>
      </c>
      <c r="M369" s="23">
        <v>0</v>
      </c>
      <c r="N369" s="23">
        <v>0</v>
      </c>
      <c r="O369" s="24">
        <f t="shared" si="35"/>
        <v>3067.9099999999989</v>
      </c>
      <c r="P369" s="23">
        <v>-2500</v>
      </c>
      <c r="Q369" s="23">
        <v>0</v>
      </c>
      <c r="R369" s="23">
        <v>-500</v>
      </c>
      <c r="S369" s="23">
        <v>0</v>
      </c>
      <c r="T369" s="23">
        <v>0</v>
      </c>
      <c r="U369" s="23">
        <v>0</v>
      </c>
      <c r="V369" s="23">
        <v>0</v>
      </c>
      <c r="W369" s="23">
        <f t="shared" si="36"/>
        <v>67.909999999998945</v>
      </c>
      <c r="X369" s="23">
        <f t="shared" si="37"/>
        <v>67.909999999998945</v>
      </c>
      <c r="Y369" s="23">
        <f t="shared" si="38"/>
        <v>0</v>
      </c>
      <c r="Z369" s="23">
        <v>0</v>
      </c>
      <c r="AA369" s="23">
        <f t="shared" si="39"/>
        <v>0</v>
      </c>
      <c r="AB369" s="23">
        <f t="shared" si="40"/>
        <v>3000</v>
      </c>
      <c r="AC369" s="20"/>
      <c r="AD369" s="20" t="s">
        <v>235</v>
      </c>
      <c r="AE369" s="11" t="str">
        <f t="shared" si="41"/>
        <v>NEB156A22</v>
      </c>
    </row>
    <row r="370" spans="1:31" ht="12.75" hidden="1" customHeight="1" x14ac:dyDescent="0.3">
      <c r="A370" s="8">
        <v>22</v>
      </c>
      <c r="B370" s="20" t="s">
        <v>299</v>
      </c>
      <c r="C370" s="20" t="s">
        <v>56</v>
      </c>
      <c r="D370" s="20" t="s">
        <v>283</v>
      </c>
      <c r="E370" s="22" t="s">
        <v>241</v>
      </c>
      <c r="F370" s="20" t="s">
        <v>291</v>
      </c>
      <c r="G370" s="22" t="s">
        <v>234</v>
      </c>
      <c r="H370" s="23">
        <v>3464.5799999999995</v>
      </c>
      <c r="I370" s="23">
        <v>-36.799999999999997</v>
      </c>
      <c r="J370" s="23">
        <v>0</v>
      </c>
      <c r="K370" s="23">
        <v>0</v>
      </c>
      <c r="L370" s="23">
        <v>-1147.9100000000005</v>
      </c>
      <c r="M370" s="23">
        <v>-30</v>
      </c>
      <c r="N370" s="23">
        <v>0</v>
      </c>
      <c r="O370" s="24">
        <f t="shared" si="35"/>
        <v>2249.869999999999</v>
      </c>
      <c r="P370" s="23">
        <v>-2500</v>
      </c>
      <c r="Q370" s="23">
        <v>-1988</v>
      </c>
      <c r="R370" s="23">
        <v>0</v>
      </c>
      <c r="S370" s="23">
        <v>0</v>
      </c>
      <c r="T370" s="23">
        <v>-500</v>
      </c>
      <c r="U370" s="23">
        <v>0</v>
      </c>
      <c r="V370" s="23">
        <v>0</v>
      </c>
      <c r="W370" s="23">
        <f t="shared" si="36"/>
        <v>-2738.130000000001</v>
      </c>
      <c r="X370" s="23">
        <f t="shared" si="37"/>
        <v>0</v>
      </c>
      <c r="Y370" s="23">
        <f t="shared" si="38"/>
        <v>-2738.130000000001</v>
      </c>
      <c r="Z370" s="23">
        <v>0</v>
      </c>
      <c r="AA370" s="23">
        <f t="shared" si="39"/>
        <v>-2738.130000000001</v>
      </c>
      <c r="AB370" s="23">
        <f t="shared" si="40"/>
        <v>-488.26000000000204</v>
      </c>
      <c r="AC370" s="20"/>
      <c r="AD370" s="20" t="str">
        <f>VLOOKUP($C370,'[1]CTRL AUTOS'!$E:$AH,2,0)</f>
        <v>MYE912A</v>
      </c>
      <c r="AE370" s="11" t="str">
        <f t="shared" si="41"/>
        <v>MYE912A22</v>
      </c>
    </row>
    <row r="371" spans="1:31" ht="12.75" hidden="1" customHeight="1" x14ac:dyDescent="0.3">
      <c r="A371" s="8">
        <v>22</v>
      </c>
      <c r="B371" s="20" t="s">
        <v>25</v>
      </c>
      <c r="C371" s="20" t="s">
        <v>46</v>
      </c>
      <c r="D371" s="20" t="s">
        <v>257</v>
      </c>
      <c r="E371" s="22" t="s">
        <v>232</v>
      </c>
      <c r="F371" s="20" t="s">
        <v>232</v>
      </c>
      <c r="G371" s="22" t="s">
        <v>234</v>
      </c>
      <c r="H371" s="23">
        <v>2659.4999999999991</v>
      </c>
      <c r="I371" s="23">
        <v>0</v>
      </c>
      <c r="J371" s="23">
        <v>0</v>
      </c>
      <c r="K371" s="23">
        <v>0</v>
      </c>
      <c r="L371" s="23">
        <v>-175.20999999999998</v>
      </c>
      <c r="M371" s="23">
        <v>-30</v>
      </c>
      <c r="N371" s="23">
        <v>0</v>
      </c>
      <c r="O371" s="24">
        <f t="shared" si="35"/>
        <v>2454.2899999999991</v>
      </c>
      <c r="P371" s="23">
        <v>-2500</v>
      </c>
      <c r="Q371" s="23">
        <v>0</v>
      </c>
      <c r="R371" s="23">
        <v>-500</v>
      </c>
      <c r="S371" s="23">
        <v>0</v>
      </c>
      <c r="T371" s="23">
        <v>0</v>
      </c>
      <c r="U371" s="23">
        <v>0</v>
      </c>
      <c r="V371" s="23">
        <v>0</v>
      </c>
      <c r="W371" s="23">
        <f t="shared" si="36"/>
        <v>-545.71000000000095</v>
      </c>
      <c r="X371" s="23">
        <f t="shared" si="37"/>
        <v>0</v>
      </c>
      <c r="Y371" s="23">
        <f t="shared" si="38"/>
        <v>-545.71000000000095</v>
      </c>
      <c r="Z371" s="23">
        <v>0</v>
      </c>
      <c r="AA371" s="23">
        <f t="shared" si="39"/>
        <v>-545.71000000000095</v>
      </c>
      <c r="AB371" s="23">
        <f t="shared" si="40"/>
        <v>1908.5799999999981</v>
      </c>
      <c r="AC371" s="20"/>
      <c r="AD371" s="20" t="str">
        <f>VLOOKUP($C371,'[1]CTRL AUTOS'!$E:$AH,2,0)</f>
        <v>R66BER</v>
      </c>
      <c r="AE371" s="11" t="str">
        <f t="shared" si="41"/>
        <v>R66BER22</v>
      </c>
    </row>
    <row r="372" spans="1:31" ht="12.75" hidden="1" customHeight="1" x14ac:dyDescent="0.3">
      <c r="A372" s="8">
        <v>22</v>
      </c>
      <c r="B372" s="20" t="s">
        <v>260</v>
      </c>
      <c r="C372" s="20" t="s">
        <v>81</v>
      </c>
      <c r="D372" s="20" t="s">
        <v>317</v>
      </c>
      <c r="E372" s="22" t="s">
        <v>232</v>
      </c>
      <c r="F372" s="20" t="s">
        <v>232</v>
      </c>
      <c r="G372" s="22" t="s">
        <v>234</v>
      </c>
      <c r="H372" s="23">
        <v>4761.05</v>
      </c>
      <c r="I372" s="23">
        <v>0</v>
      </c>
      <c r="J372" s="23">
        <v>0</v>
      </c>
      <c r="K372" s="23">
        <v>0</v>
      </c>
      <c r="L372" s="23">
        <v>-1260.6500000000001</v>
      </c>
      <c r="M372" s="23">
        <v>-31</v>
      </c>
      <c r="N372" s="23">
        <v>0</v>
      </c>
      <c r="O372" s="24">
        <f t="shared" si="35"/>
        <v>3469.4</v>
      </c>
      <c r="P372" s="23">
        <v>0</v>
      </c>
      <c r="Q372" s="23">
        <v>0</v>
      </c>
      <c r="R372" s="23">
        <v>0</v>
      </c>
      <c r="S372" s="23">
        <v>0</v>
      </c>
      <c r="T372" s="23">
        <v>0</v>
      </c>
      <c r="U372" s="23">
        <v>0</v>
      </c>
      <c r="V372" s="23">
        <v>0</v>
      </c>
      <c r="W372" s="23">
        <f t="shared" si="36"/>
        <v>3469.4</v>
      </c>
      <c r="X372" s="23">
        <f t="shared" si="37"/>
        <v>3469.4</v>
      </c>
      <c r="Y372" s="23">
        <f t="shared" si="38"/>
        <v>0</v>
      </c>
      <c r="Z372" s="23">
        <v>0</v>
      </c>
      <c r="AA372" s="23">
        <f t="shared" si="39"/>
        <v>0</v>
      </c>
      <c r="AB372" s="23">
        <f t="shared" si="40"/>
        <v>0</v>
      </c>
      <c r="AC372" s="20"/>
      <c r="AD372" s="20" t="str">
        <f>VLOOKUP($C372,'[1]CTRL AUTOS'!$E:$AH,2,0)</f>
        <v>NLP172B</v>
      </c>
      <c r="AE372" s="11" t="str">
        <f t="shared" si="41"/>
        <v>NLP172B22</v>
      </c>
    </row>
    <row r="373" spans="1:31" ht="12.75" hidden="1" customHeight="1" x14ac:dyDescent="0.3">
      <c r="A373" s="8">
        <v>22</v>
      </c>
      <c r="B373" s="20" t="s">
        <v>72</v>
      </c>
      <c r="C373" s="20" t="s">
        <v>28</v>
      </c>
      <c r="D373" s="20" t="s">
        <v>274</v>
      </c>
      <c r="E373" s="22" t="s">
        <v>232</v>
      </c>
      <c r="F373" s="20" t="s">
        <v>232</v>
      </c>
      <c r="G373" s="22" t="s">
        <v>234</v>
      </c>
      <c r="H373" s="23">
        <v>10131.520000000004</v>
      </c>
      <c r="I373" s="23">
        <v>-120.80000000000001</v>
      </c>
      <c r="J373" s="23">
        <v>0</v>
      </c>
      <c r="K373" s="23">
        <v>-90.02000000000001</v>
      </c>
      <c r="L373" s="23">
        <v>-3499.41</v>
      </c>
      <c r="M373" s="23">
        <v>-63.629999999999995</v>
      </c>
      <c r="N373" s="23">
        <v>-165.46000000000004</v>
      </c>
      <c r="O373" s="24">
        <f t="shared" si="35"/>
        <v>6192.2000000000044</v>
      </c>
      <c r="P373" s="23">
        <v>-2500</v>
      </c>
      <c r="Q373" s="23">
        <v>0</v>
      </c>
      <c r="R373" s="23">
        <v>0</v>
      </c>
      <c r="S373" s="23">
        <v>-780</v>
      </c>
      <c r="T373" s="23">
        <v>0</v>
      </c>
      <c r="U373" s="23">
        <v>0</v>
      </c>
      <c r="V373" s="23">
        <v>0</v>
      </c>
      <c r="W373" s="23">
        <f t="shared" si="36"/>
        <v>2912.2000000000044</v>
      </c>
      <c r="X373" s="23">
        <f t="shared" si="37"/>
        <v>2912.2000000000044</v>
      </c>
      <c r="Y373" s="23">
        <f t="shared" si="38"/>
        <v>0</v>
      </c>
      <c r="Z373" s="23">
        <v>0</v>
      </c>
      <c r="AA373" s="23">
        <f t="shared" si="39"/>
        <v>0</v>
      </c>
      <c r="AB373" s="23">
        <f t="shared" si="40"/>
        <v>3280</v>
      </c>
      <c r="AC373" s="20"/>
      <c r="AD373" s="20" t="str">
        <f>VLOOKUP($C373,'[1]CTRL AUTOS'!$E:$AH,2,0)</f>
        <v>NCT814A</v>
      </c>
      <c r="AE373" s="11" t="str">
        <f t="shared" si="41"/>
        <v>NCT814A22</v>
      </c>
    </row>
    <row r="374" spans="1:31" ht="12.75" hidden="1" customHeight="1" x14ac:dyDescent="0.3">
      <c r="A374" s="8">
        <v>22</v>
      </c>
      <c r="B374" s="20" t="s">
        <v>292</v>
      </c>
      <c r="C374" s="20" t="s">
        <v>52</v>
      </c>
      <c r="D374" s="20" t="s">
        <v>313</v>
      </c>
      <c r="E374" s="22" t="s">
        <v>232</v>
      </c>
      <c r="F374" s="20" t="s">
        <v>232</v>
      </c>
      <c r="G374" s="22" t="s">
        <v>234</v>
      </c>
      <c r="H374" s="23">
        <v>9408.1200000000008</v>
      </c>
      <c r="I374" s="23">
        <v>-138.4</v>
      </c>
      <c r="J374" s="23">
        <v>0</v>
      </c>
      <c r="K374" s="23">
        <v>0</v>
      </c>
      <c r="L374" s="23">
        <v>-4032.1100000000006</v>
      </c>
      <c r="M374" s="23">
        <v>-45.69</v>
      </c>
      <c r="N374" s="23">
        <v>-107</v>
      </c>
      <c r="O374" s="24">
        <f t="shared" si="35"/>
        <v>5084.920000000001</v>
      </c>
      <c r="P374" s="23">
        <v>-2500</v>
      </c>
      <c r="Q374" s="23">
        <v>-1500</v>
      </c>
      <c r="R374" s="23">
        <v>0</v>
      </c>
      <c r="S374" s="23">
        <v>0</v>
      </c>
      <c r="T374" s="23">
        <v>0</v>
      </c>
      <c r="U374" s="23">
        <v>0</v>
      </c>
      <c r="V374" s="23">
        <v>0</v>
      </c>
      <c r="W374" s="23">
        <f t="shared" si="36"/>
        <v>1084.920000000001</v>
      </c>
      <c r="X374" s="23">
        <f t="shared" si="37"/>
        <v>1084.920000000001</v>
      </c>
      <c r="Y374" s="23">
        <f t="shared" si="38"/>
        <v>0</v>
      </c>
      <c r="Z374" s="23">
        <v>0</v>
      </c>
      <c r="AA374" s="23">
        <f t="shared" si="39"/>
        <v>0</v>
      </c>
      <c r="AB374" s="23">
        <f t="shared" si="40"/>
        <v>4000</v>
      </c>
      <c r="AC374" s="20"/>
      <c r="AD374" s="20" t="str">
        <f>VLOOKUP($C374,'[1]CTRL AUTOS'!$E:$AH,2,0)</f>
        <v>A35BHD</v>
      </c>
      <c r="AE374" s="11" t="str">
        <f t="shared" si="41"/>
        <v>A35BHD22</v>
      </c>
    </row>
    <row r="375" spans="1:31" ht="12.75" hidden="1" customHeight="1" x14ac:dyDescent="0.3">
      <c r="A375" s="8">
        <v>22</v>
      </c>
      <c r="B375" s="20" t="s">
        <v>105</v>
      </c>
      <c r="C375" s="20" t="s">
        <v>75</v>
      </c>
      <c r="D375" s="20" t="s">
        <v>333</v>
      </c>
      <c r="E375" s="22" t="s">
        <v>241</v>
      </c>
      <c r="F375" s="20" t="s">
        <v>291</v>
      </c>
      <c r="G375" s="22" t="s">
        <v>234</v>
      </c>
      <c r="H375" s="23">
        <v>0</v>
      </c>
      <c r="I375" s="23">
        <v>0</v>
      </c>
      <c r="J375" s="23">
        <v>0</v>
      </c>
      <c r="K375" s="23">
        <v>0</v>
      </c>
      <c r="L375" s="23">
        <v>0</v>
      </c>
      <c r="M375" s="23">
        <v>0</v>
      </c>
      <c r="N375" s="23">
        <v>0</v>
      </c>
      <c r="O375" s="24">
        <f t="shared" si="35"/>
        <v>0</v>
      </c>
      <c r="P375" s="23">
        <v>-2500</v>
      </c>
      <c r="Q375" s="23">
        <v>0</v>
      </c>
      <c r="R375" s="23">
        <v>0</v>
      </c>
      <c r="S375" s="23">
        <v>0</v>
      </c>
      <c r="T375" s="23">
        <v>0</v>
      </c>
      <c r="U375" s="23">
        <v>0</v>
      </c>
      <c r="V375" s="23">
        <v>0</v>
      </c>
      <c r="W375" s="23">
        <f t="shared" si="36"/>
        <v>-2500</v>
      </c>
      <c r="X375" s="23">
        <f t="shared" si="37"/>
        <v>0</v>
      </c>
      <c r="Y375" s="23">
        <f t="shared" si="38"/>
        <v>-2500</v>
      </c>
      <c r="Z375" s="23">
        <v>2500</v>
      </c>
      <c r="AA375" s="23">
        <f t="shared" si="39"/>
        <v>0</v>
      </c>
      <c r="AB375" s="23">
        <f t="shared" si="40"/>
        <v>2500</v>
      </c>
      <c r="AC375" s="20"/>
      <c r="AD375" s="20" t="str">
        <f>VLOOKUP($C375,'[1]CTRL AUTOS'!$E:$AH,2,0)</f>
        <v>NFN014B</v>
      </c>
      <c r="AE375" s="11" t="str">
        <f t="shared" si="41"/>
        <v>NFN014B22</v>
      </c>
    </row>
    <row r="376" spans="1:31" ht="12.75" hidden="1" customHeight="1" x14ac:dyDescent="0.3">
      <c r="A376" s="8">
        <v>22</v>
      </c>
      <c r="B376" s="20" t="s">
        <v>288</v>
      </c>
      <c r="C376" s="20" t="s">
        <v>22</v>
      </c>
      <c r="D376" s="20" t="s">
        <v>319</v>
      </c>
      <c r="E376" s="20" t="s">
        <v>232</v>
      </c>
      <c r="F376" s="20" t="s">
        <v>232</v>
      </c>
      <c r="G376" s="22" t="s">
        <v>234</v>
      </c>
      <c r="H376" s="23">
        <v>8718.2899999999991</v>
      </c>
      <c r="I376" s="23">
        <v>-54.4</v>
      </c>
      <c r="J376" s="23">
        <v>0</v>
      </c>
      <c r="K376" s="23">
        <v>0</v>
      </c>
      <c r="L376" s="23">
        <v>-2748.8</v>
      </c>
      <c r="M376" s="23">
        <v>-31</v>
      </c>
      <c r="N376" s="23">
        <v>-58</v>
      </c>
      <c r="O376" s="24">
        <f t="shared" si="35"/>
        <v>5826.0899999999992</v>
      </c>
      <c r="P376" s="23">
        <v>-2500</v>
      </c>
      <c r="Q376" s="23">
        <v>0</v>
      </c>
      <c r="R376" s="23">
        <v>0</v>
      </c>
      <c r="S376" s="23">
        <v>0</v>
      </c>
      <c r="T376" s="23">
        <v>0</v>
      </c>
      <c r="U376" s="23">
        <v>0</v>
      </c>
      <c r="V376" s="23">
        <v>0</v>
      </c>
      <c r="W376" s="23">
        <f t="shared" si="36"/>
        <v>3326.0899999999992</v>
      </c>
      <c r="X376" s="23">
        <f t="shared" si="37"/>
        <v>3326.0899999999992</v>
      </c>
      <c r="Y376" s="23">
        <f t="shared" si="38"/>
        <v>0</v>
      </c>
      <c r="Z376" s="23">
        <v>0</v>
      </c>
      <c r="AA376" s="23">
        <f t="shared" si="39"/>
        <v>0</v>
      </c>
      <c r="AB376" s="23">
        <f t="shared" si="40"/>
        <v>2500</v>
      </c>
      <c r="AC376" s="20"/>
      <c r="AD376" s="20" t="str">
        <f>VLOOKUP($C376,'[1]CTRL AUTOS'!$E:$AH,2,0)</f>
        <v>NCK475B</v>
      </c>
      <c r="AE376" s="11" t="str">
        <f t="shared" si="41"/>
        <v>NCK475B22</v>
      </c>
    </row>
    <row r="377" spans="1:31" ht="12.75" hidden="1" customHeight="1" x14ac:dyDescent="0.3">
      <c r="A377" s="8">
        <v>22</v>
      </c>
      <c r="B377" s="20" t="s">
        <v>324</v>
      </c>
      <c r="C377" s="20" t="s">
        <v>168</v>
      </c>
      <c r="D377" s="20" t="s">
        <v>265</v>
      </c>
      <c r="E377" s="39" t="s">
        <v>232</v>
      </c>
      <c r="F377" s="41" t="s">
        <v>232</v>
      </c>
      <c r="G377" s="22" t="s">
        <v>234</v>
      </c>
      <c r="H377" s="23">
        <v>4709.2299999999996</v>
      </c>
      <c r="I377" s="23">
        <v>0</v>
      </c>
      <c r="J377" s="23">
        <v>0</v>
      </c>
      <c r="K377" s="23">
        <v>0</v>
      </c>
      <c r="L377" s="23">
        <v>-1662.8100000000004</v>
      </c>
      <c r="M377" s="23">
        <v>-30</v>
      </c>
      <c r="N377" s="23">
        <v>-75</v>
      </c>
      <c r="O377" s="24">
        <f t="shared" si="35"/>
        <v>2941.4199999999992</v>
      </c>
      <c r="P377" s="23">
        <v>-2500</v>
      </c>
      <c r="Q377" s="23">
        <v>-1517</v>
      </c>
      <c r="R377" s="23">
        <v>-500</v>
      </c>
      <c r="S377" s="23">
        <v>0</v>
      </c>
      <c r="T377" s="23">
        <v>0</v>
      </c>
      <c r="U377" s="23">
        <v>0</v>
      </c>
      <c r="V377" s="23">
        <v>0</v>
      </c>
      <c r="W377" s="23">
        <f t="shared" si="36"/>
        <v>-1575.5800000000008</v>
      </c>
      <c r="X377" s="23">
        <f t="shared" si="37"/>
        <v>0</v>
      </c>
      <c r="Y377" s="23">
        <f t="shared" si="38"/>
        <v>-1575.5800000000008</v>
      </c>
      <c r="Z377" s="23">
        <v>0</v>
      </c>
      <c r="AA377" s="23">
        <f t="shared" si="39"/>
        <v>-1575.5800000000008</v>
      </c>
      <c r="AB377" s="23">
        <f t="shared" si="40"/>
        <v>1365.8399999999983</v>
      </c>
      <c r="AC377" s="20"/>
      <c r="AD377" s="20" t="e">
        <f>VLOOKUP($C377,'[1]CTRL AUTOS'!$E:$AH,2,0)</f>
        <v>#N/A</v>
      </c>
      <c r="AE377" s="11" t="e">
        <f t="shared" si="41"/>
        <v>#N/A</v>
      </c>
    </row>
    <row r="378" spans="1:31" ht="12.75" hidden="1" customHeight="1" x14ac:dyDescent="0.3">
      <c r="A378" s="8">
        <v>22</v>
      </c>
      <c r="B378" s="20" t="s">
        <v>244</v>
      </c>
      <c r="C378" s="20" t="s">
        <v>4</v>
      </c>
      <c r="D378" s="20" t="s">
        <v>245</v>
      </c>
      <c r="E378" s="22" t="s">
        <v>232</v>
      </c>
      <c r="F378" s="20" t="s">
        <v>232</v>
      </c>
      <c r="G378" s="22" t="s">
        <v>234</v>
      </c>
      <c r="H378" s="23">
        <v>3332.45</v>
      </c>
      <c r="I378" s="23">
        <v>0</v>
      </c>
      <c r="J378" s="23">
        <v>0</v>
      </c>
      <c r="K378" s="23">
        <v>0</v>
      </c>
      <c r="L378" s="23">
        <v>-1348.8200000000004</v>
      </c>
      <c r="M378" s="23">
        <v>-30</v>
      </c>
      <c r="N378" s="23">
        <v>-61</v>
      </c>
      <c r="O378" s="24">
        <f t="shared" si="35"/>
        <v>1892.6299999999994</v>
      </c>
      <c r="P378" s="23">
        <v>-2500</v>
      </c>
      <c r="Q378" s="23">
        <v>0</v>
      </c>
      <c r="R378" s="23">
        <v>0</v>
      </c>
      <c r="S378" s="23">
        <v>0</v>
      </c>
      <c r="T378" s="23">
        <v>0</v>
      </c>
      <c r="U378" s="23">
        <v>0</v>
      </c>
      <c r="V378" s="23">
        <v>0</v>
      </c>
      <c r="W378" s="23">
        <f t="shared" si="36"/>
        <v>-607.37000000000057</v>
      </c>
      <c r="X378" s="23">
        <f t="shared" si="37"/>
        <v>0</v>
      </c>
      <c r="Y378" s="23">
        <f t="shared" si="38"/>
        <v>-607.37000000000057</v>
      </c>
      <c r="Z378" s="23">
        <v>0</v>
      </c>
      <c r="AA378" s="23">
        <f t="shared" si="39"/>
        <v>-607.37000000000057</v>
      </c>
      <c r="AB378" s="23">
        <f t="shared" si="40"/>
        <v>1285.2599999999989</v>
      </c>
      <c r="AC378" s="20"/>
      <c r="AD378" s="20" t="str">
        <f>VLOOKUP($C378,'[1]CTRL AUTOS'!$E:$AH,2,0)</f>
        <v>N15BKD</v>
      </c>
      <c r="AE378" s="11" t="str">
        <f t="shared" si="41"/>
        <v>N15BKD22</v>
      </c>
    </row>
    <row r="379" spans="1:31" ht="12.75" hidden="1" customHeight="1" x14ac:dyDescent="0.3">
      <c r="A379" s="8">
        <v>22</v>
      </c>
      <c r="B379" s="20" t="s">
        <v>35</v>
      </c>
      <c r="C379" s="20" t="s">
        <v>97</v>
      </c>
      <c r="D379" s="20" t="s">
        <v>273</v>
      </c>
      <c r="E379" s="22" t="s">
        <v>232</v>
      </c>
      <c r="F379" s="20" t="s">
        <v>232</v>
      </c>
      <c r="G379" s="22" t="s">
        <v>234</v>
      </c>
      <c r="H379" s="23">
        <v>9332.7899999999972</v>
      </c>
      <c r="I379" s="23">
        <v>-261.60000000000002</v>
      </c>
      <c r="J379" s="23">
        <v>0</v>
      </c>
      <c r="K379" s="23">
        <v>0</v>
      </c>
      <c r="L379" s="23">
        <v>-4569.6899999999978</v>
      </c>
      <c r="M379" s="23">
        <v>-31</v>
      </c>
      <c r="N379" s="23">
        <v>0</v>
      </c>
      <c r="O379" s="24">
        <f t="shared" si="35"/>
        <v>4470.4999999999991</v>
      </c>
      <c r="P379" s="23">
        <v>-2500</v>
      </c>
      <c r="Q379" s="23">
        <v>0</v>
      </c>
      <c r="R379" s="23">
        <v>0</v>
      </c>
      <c r="S379" s="23">
        <v>0</v>
      </c>
      <c r="T379" s="23">
        <v>0</v>
      </c>
      <c r="U379" s="23">
        <v>0</v>
      </c>
      <c r="V379" s="23">
        <v>0</v>
      </c>
      <c r="W379" s="23">
        <f t="shared" si="36"/>
        <v>1970.4999999999991</v>
      </c>
      <c r="X379" s="23">
        <f t="shared" si="37"/>
        <v>1970.4999999999991</v>
      </c>
      <c r="Y379" s="23">
        <f t="shared" si="38"/>
        <v>0</v>
      </c>
      <c r="Z379" s="23">
        <v>0</v>
      </c>
      <c r="AA379" s="23">
        <f t="shared" si="39"/>
        <v>0</v>
      </c>
      <c r="AB379" s="23">
        <f t="shared" si="40"/>
        <v>2500</v>
      </c>
      <c r="AC379" s="20"/>
      <c r="AD379" s="20" t="str">
        <f>VLOOKUP($C379,'[1]CTRL AUTOS'!$E:$AH,2,0)</f>
        <v>MUF515A</v>
      </c>
      <c r="AE379" s="11" t="str">
        <f t="shared" si="41"/>
        <v>MUF515A22</v>
      </c>
    </row>
    <row r="380" spans="1:31" ht="12.75" hidden="1" customHeight="1" x14ac:dyDescent="0.3">
      <c r="A380" s="8">
        <v>22</v>
      </c>
      <c r="B380" s="20" t="s">
        <v>37</v>
      </c>
      <c r="C380" s="20" t="s">
        <v>246</v>
      </c>
      <c r="D380" s="20" t="s">
        <v>283</v>
      </c>
      <c r="E380" s="22" t="s">
        <v>232</v>
      </c>
      <c r="F380" s="20" t="s">
        <v>291</v>
      </c>
      <c r="G380" s="22" t="s">
        <v>234</v>
      </c>
      <c r="H380" s="23">
        <v>1921.36</v>
      </c>
      <c r="I380" s="23">
        <v>-19.2</v>
      </c>
      <c r="J380" s="23">
        <v>0</v>
      </c>
      <c r="K380" s="23">
        <v>0</v>
      </c>
      <c r="L380" s="23">
        <v>-658.53</v>
      </c>
      <c r="M380" s="23">
        <v>-30</v>
      </c>
      <c r="N380" s="23">
        <v>0</v>
      </c>
      <c r="O380" s="24">
        <f t="shared" si="35"/>
        <v>1213.6299999999999</v>
      </c>
      <c r="P380" s="23">
        <v>-2500</v>
      </c>
      <c r="Q380" s="23">
        <v>-347.03999999999996</v>
      </c>
      <c r="R380" s="23">
        <v>0</v>
      </c>
      <c r="S380" s="23">
        <v>0</v>
      </c>
      <c r="T380" s="23">
        <v>0</v>
      </c>
      <c r="U380" s="23">
        <v>0</v>
      </c>
      <c r="V380" s="23">
        <v>0</v>
      </c>
      <c r="W380" s="23">
        <f t="shared" si="36"/>
        <v>-1633.41</v>
      </c>
      <c r="X380" s="23">
        <f t="shared" si="37"/>
        <v>0</v>
      </c>
      <c r="Y380" s="23">
        <f t="shared" si="38"/>
        <v>-1633.41</v>
      </c>
      <c r="Z380" s="23">
        <v>0</v>
      </c>
      <c r="AA380" s="23">
        <f t="shared" si="39"/>
        <v>-1633.41</v>
      </c>
      <c r="AB380" s="23">
        <f t="shared" si="40"/>
        <v>-419.7800000000002</v>
      </c>
      <c r="AC380" s="20"/>
      <c r="AD380" s="20" t="s">
        <v>248</v>
      </c>
      <c r="AE380" s="11" t="str">
        <f t="shared" si="41"/>
        <v>X24APU22</v>
      </c>
    </row>
    <row r="381" spans="1:31" ht="12.75" hidden="1" customHeight="1" x14ac:dyDescent="0.3">
      <c r="A381" s="8">
        <v>22</v>
      </c>
      <c r="B381" s="20" t="s">
        <v>331</v>
      </c>
      <c r="C381" s="22" t="s">
        <v>69</v>
      </c>
      <c r="D381" s="20" t="s">
        <v>237</v>
      </c>
      <c r="E381" s="22" t="s">
        <v>241</v>
      </c>
      <c r="F381" s="20" t="s">
        <v>291</v>
      </c>
      <c r="G381" s="22" t="s">
        <v>234</v>
      </c>
      <c r="H381" s="23">
        <v>2723.44</v>
      </c>
      <c r="I381" s="23">
        <v>0</v>
      </c>
      <c r="J381" s="23">
        <v>0</v>
      </c>
      <c r="K381" s="23">
        <v>0</v>
      </c>
      <c r="L381" s="23">
        <v>-738.2700000000001</v>
      </c>
      <c r="M381" s="23">
        <v>-30</v>
      </c>
      <c r="N381" s="23">
        <v>0</v>
      </c>
      <c r="O381" s="24">
        <f t="shared" si="35"/>
        <v>1955.17</v>
      </c>
      <c r="P381" s="23">
        <v>-2142</v>
      </c>
      <c r="Q381" s="23">
        <v>0</v>
      </c>
      <c r="R381" s="23">
        <v>-500</v>
      </c>
      <c r="S381" s="23">
        <v>0</v>
      </c>
      <c r="T381" s="23">
        <v>0</v>
      </c>
      <c r="U381" s="23">
        <v>0</v>
      </c>
      <c r="V381" s="23">
        <v>0</v>
      </c>
      <c r="W381" s="23">
        <f t="shared" si="36"/>
        <v>-686.82999999999993</v>
      </c>
      <c r="X381" s="23">
        <f t="shared" si="37"/>
        <v>0</v>
      </c>
      <c r="Y381" s="23">
        <f t="shared" si="38"/>
        <v>-686.82999999999993</v>
      </c>
      <c r="Z381" s="23">
        <v>700</v>
      </c>
      <c r="AA381" s="23">
        <f t="shared" si="39"/>
        <v>13.170000000000073</v>
      </c>
      <c r="AB381" s="23">
        <f t="shared" si="40"/>
        <v>2668.34</v>
      </c>
      <c r="AC381" s="20"/>
      <c r="AD381" s="20" t="str">
        <f>VLOOKUP($C381,'[1]CTRL AUTOS'!$E:$AH,2,0)</f>
        <v>R51BKD</v>
      </c>
      <c r="AE381" s="11" t="str">
        <f t="shared" si="41"/>
        <v>R51BKD22</v>
      </c>
    </row>
    <row r="382" spans="1:31" ht="12.75" hidden="1" customHeight="1" x14ac:dyDescent="0.3">
      <c r="A382" s="8">
        <v>22</v>
      </c>
      <c r="B382" s="20" t="s">
        <v>293</v>
      </c>
      <c r="C382" s="20" t="s">
        <v>34</v>
      </c>
      <c r="D382" s="20" t="s">
        <v>285</v>
      </c>
      <c r="E382" s="22" t="s">
        <v>232</v>
      </c>
      <c r="F382" s="20" t="s">
        <v>232</v>
      </c>
      <c r="G382" s="22" t="s">
        <v>234</v>
      </c>
      <c r="H382" s="23">
        <v>0</v>
      </c>
      <c r="I382" s="23">
        <v>0</v>
      </c>
      <c r="J382" s="23">
        <v>0</v>
      </c>
      <c r="K382" s="23">
        <v>0</v>
      </c>
      <c r="L382" s="23">
        <v>0</v>
      </c>
      <c r="M382" s="23">
        <v>0</v>
      </c>
      <c r="N382" s="23">
        <v>-200.23</v>
      </c>
      <c r="O382" s="24">
        <f t="shared" si="35"/>
        <v>-200.23</v>
      </c>
      <c r="P382" s="23">
        <v>-2500</v>
      </c>
      <c r="Q382" s="23">
        <v>-647.57000000000016</v>
      </c>
      <c r="R382" s="23">
        <v>0</v>
      </c>
      <c r="S382" s="23">
        <v>0</v>
      </c>
      <c r="T382" s="23">
        <v>-500</v>
      </c>
      <c r="U382" s="23">
        <v>0</v>
      </c>
      <c r="V382" s="23">
        <v>0</v>
      </c>
      <c r="W382" s="23">
        <f t="shared" si="36"/>
        <v>-3847.8</v>
      </c>
      <c r="X382" s="23">
        <f t="shared" si="37"/>
        <v>0</v>
      </c>
      <c r="Y382" s="23">
        <f t="shared" si="38"/>
        <v>-3847.8</v>
      </c>
      <c r="Z382" s="23">
        <v>2500</v>
      </c>
      <c r="AA382" s="23">
        <f t="shared" si="39"/>
        <v>-1347.8000000000002</v>
      </c>
      <c r="AB382" s="23">
        <f t="shared" si="40"/>
        <v>951.9699999999998</v>
      </c>
      <c r="AC382" s="20"/>
      <c r="AD382" s="20" t="str">
        <f>VLOOKUP($C382,'[1]CTRL AUTOS'!$E:$AH,2,0)</f>
        <v>X59AWG</v>
      </c>
      <c r="AE382" s="11" t="str">
        <f t="shared" si="41"/>
        <v>X59AWG22</v>
      </c>
    </row>
    <row r="383" spans="1:31" ht="12.75" hidden="1" customHeight="1" x14ac:dyDescent="0.3">
      <c r="A383" s="8">
        <v>22</v>
      </c>
      <c r="B383" s="20" t="s">
        <v>321</v>
      </c>
      <c r="C383" s="20" t="s">
        <v>40</v>
      </c>
      <c r="D383" s="20" t="s">
        <v>315</v>
      </c>
      <c r="E383" s="22" t="s">
        <v>232</v>
      </c>
      <c r="F383" s="20" t="s">
        <v>232</v>
      </c>
      <c r="G383" s="22" t="s">
        <v>234</v>
      </c>
      <c r="H383" s="23">
        <v>4052.3700000000008</v>
      </c>
      <c r="I383" s="23">
        <v>0</v>
      </c>
      <c r="J383" s="23">
        <v>0</v>
      </c>
      <c r="K383" s="23">
        <v>0</v>
      </c>
      <c r="L383" s="23">
        <v>-1042.6200000000001</v>
      </c>
      <c r="M383" s="23">
        <v>-30</v>
      </c>
      <c r="N383" s="23">
        <v>0</v>
      </c>
      <c r="O383" s="24">
        <f t="shared" si="35"/>
        <v>2979.7500000000009</v>
      </c>
      <c r="P383" s="23">
        <v>-2500</v>
      </c>
      <c r="Q383" s="23">
        <v>-613.44999999999982</v>
      </c>
      <c r="R383" s="23">
        <v>-500</v>
      </c>
      <c r="S383" s="23">
        <v>0</v>
      </c>
      <c r="T383" s="23">
        <v>0</v>
      </c>
      <c r="U383" s="23">
        <v>0</v>
      </c>
      <c r="V383" s="23">
        <v>0</v>
      </c>
      <c r="W383" s="23">
        <f t="shared" si="36"/>
        <v>-633.69999999999891</v>
      </c>
      <c r="X383" s="23">
        <f t="shared" si="37"/>
        <v>0</v>
      </c>
      <c r="Y383" s="23">
        <f t="shared" si="38"/>
        <v>-633.69999999999891</v>
      </c>
      <c r="Z383" s="23">
        <v>634</v>
      </c>
      <c r="AA383" s="23">
        <f t="shared" si="39"/>
        <v>0.30000000000109139</v>
      </c>
      <c r="AB383" s="23">
        <f t="shared" si="40"/>
        <v>3614.050000000002</v>
      </c>
      <c r="AC383" s="20"/>
      <c r="AD383" s="20" t="str">
        <f>VLOOKUP($C383,'[1]CTRL AUTOS'!$E:$AH,2,0)</f>
        <v>NEL860A</v>
      </c>
      <c r="AE383" s="11" t="str">
        <f t="shared" si="41"/>
        <v>NEL860A22</v>
      </c>
    </row>
    <row r="384" spans="1:31" ht="12.75" hidden="1" customHeight="1" x14ac:dyDescent="0.3">
      <c r="A384" s="8">
        <v>22</v>
      </c>
      <c r="B384" s="20" t="s">
        <v>45</v>
      </c>
      <c r="C384" s="20" t="s">
        <v>249</v>
      </c>
      <c r="D384" s="20" t="s">
        <v>250</v>
      </c>
      <c r="E384" s="22" t="s">
        <v>232</v>
      </c>
      <c r="F384" s="20" t="s">
        <v>232</v>
      </c>
      <c r="G384" s="22" t="s">
        <v>234</v>
      </c>
      <c r="H384" s="23">
        <v>4710.1500000000005</v>
      </c>
      <c r="I384" s="23">
        <v>-108</v>
      </c>
      <c r="J384" s="23">
        <v>0</v>
      </c>
      <c r="K384" s="23">
        <v>0</v>
      </c>
      <c r="L384" s="23">
        <v>-802.73000000000013</v>
      </c>
      <c r="M384" s="23">
        <v>-51.519999999999996</v>
      </c>
      <c r="N384" s="23">
        <v>0</v>
      </c>
      <c r="O384" s="24">
        <f t="shared" si="35"/>
        <v>3747.9000000000005</v>
      </c>
      <c r="P384" s="23">
        <v>-2500</v>
      </c>
      <c r="Q384" s="23">
        <v>0</v>
      </c>
      <c r="R384" s="23">
        <v>0</v>
      </c>
      <c r="S384" s="23">
        <v>0</v>
      </c>
      <c r="T384" s="23">
        <v>0</v>
      </c>
      <c r="U384" s="23">
        <v>0</v>
      </c>
      <c r="V384" s="23">
        <v>0</v>
      </c>
      <c r="W384" s="23">
        <f t="shared" si="36"/>
        <v>1247.9000000000005</v>
      </c>
      <c r="X384" s="23">
        <f t="shared" si="37"/>
        <v>1247.9000000000005</v>
      </c>
      <c r="Y384" s="23">
        <f t="shared" si="38"/>
        <v>0</v>
      </c>
      <c r="Z384" s="23">
        <v>0</v>
      </c>
      <c r="AA384" s="23">
        <f t="shared" si="39"/>
        <v>0</v>
      </c>
      <c r="AB384" s="23">
        <f t="shared" si="40"/>
        <v>2500</v>
      </c>
      <c r="AC384" s="20"/>
      <c r="AD384" s="20" t="s">
        <v>251</v>
      </c>
      <c r="AE384" s="11" t="str">
        <f t="shared" si="41"/>
        <v>BAJA DE PLACAS22</v>
      </c>
    </row>
    <row r="385" spans="1:31" ht="12.75" hidden="1" customHeight="1" x14ac:dyDescent="0.3">
      <c r="A385" s="8">
        <v>22</v>
      </c>
      <c r="B385" s="20" t="s">
        <v>5</v>
      </c>
      <c r="C385" s="20" t="s">
        <v>50</v>
      </c>
      <c r="D385" s="20" t="s">
        <v>267</v>
      </c>
      <c r="E385" s="22" t="s">
        <v>232</v>
      </c>
      <c r="F385" s="20" t="s">
        <v>232</v>
      </c>
      <c r="G385" s="22" t="s">
        <v>234</v>
      </c>
      <c r="H385" s="23">
        <v>7417.760000000002</v>
      </c>
      <c r="I385" s="23">
        <v>-47.2</v>
      </c>
      <c r="J385" s="23">
        <v>0</v>
      </c>
      <c r="K385" s="23">
        <v>0</v>
      </c>
      <c r="L385" s="23">
        <v>-2181.0500000000002</v>
      </c>
      <c r="M385" s="23">
        <v>-32</v>
      </c>
      <c r="N385" s="23">
        <v>-96.960000000000008</v>
      </c>
      <c r="O385" s="24">
        <f t="shared" si="35"/>
        <v>5060.550000000002</v>
      </c>
      <c r="P385" s="23">
        <v>0</v>
      </c>
      <c r="Q385" s="23">
        <v>0</v>
      </c>
      <c r="R385" s="23">
        <v>0</v>
      </c>
      <c r="S385" s="23">
        <v>0</v>
      </c>
      <c r="T385" s="23">
        <v>0</v>
      </c>
      <c r="U385" s="23">
        <v>0</v>
      </c>
      <c r="V385" s="23">
        <v>0</v>
      </c>
      <c r="W385" s="23">
        <f t="shared" si="36"/>
        <v>5060.550000000002</v>
      </c>
      <c r="X385" s="23">
        <f t="shared" si="37"/>
        <v>5060.550000000002</v>
      </c>
      <c r="Y385" s="23">
        <f t="shared" si="38"/>
        <v>0</v>
      </c>
      <c r="Z385" s="23">
        <v>0</v>
      </c>
      <c r="AA385" s="23">
        <f t="shared" si="39"/>
        <v>0</v>
      </c>
      <c r="AB385" s="23">
        <f t="shared" si="40"/>
        <v>0</v>
      </c>
      <c r="AC385" s="20"/>
      <c r="AD385" s="20" t="str">
        <f>VLOOKUP($C385,'[1]CTRL AUTOS'!$E:$AH,2,0)</f>
        <v>NBS225A</v>
      </c>
      <c r="AE385" s="11" t="str">
        <f t="shared" si="41"/>
        <v>NBS225A22</v>
      </c>
    </row>
    <row r="386" spans="1:31" ht="12.75" hidden="1" customHeight="1" x14ac:dyDescent="0.3">
      <c r="A386" s="8">
        <v>22</v>
      </c>
      <c r="B386" s="20" t="s">
        <v>294</v>
      </c>
      <c r="C386" s="20" t="s">
        <v>106</v>
      </c>
      <c r="D386" s="20" t="s">
        <v>322</v>
      </c>
      <c r="E386" s="22" t="s">
        <v>232</v>
      </c>
      <c r="F386" s="20" t="s">
        <v>232</v>
      </c>
      <c r="G386" s="22" t="s">
        <v>234</v>
      </c>
      <c r="H386" s="23">
        <v>0</v>
      </c>
      <c r="I386" s="23">
        <v>0</v>
      </c>
      <c r="J386" s="23">
        <v>0</v>
      </c>
      <c r="K386" s="23">
        <v>0</v>
      </c>
      <c r="L386" s="23">
        <v>0</v>
      </c>
      <c r="M386" s="23">
        <v>0</v>
      </c>
      <c r="N386" s="23">
        <v>0</v>
      </c>
      <c r="O386" s="24">
        <f t="shared" si="35"/>
        <v>0</v>
      </c>
      <c r="P386" s="23">
        <v>-2500</v>
      </c>
      <c r="Q386" s="23">
        <v>-1808</v>
      </c>
      <c r="R386" s="23">
        <v>0</v>
      </c>
      <c r="S386" s="23">
        <v>0</v>
      </c>
      <c r="T386" s="23">
        <v>0</v>
      </c>
      <c r="U386" s="23">
        <v>0</v>
      </c>
      <c r="V386" s="23">
        <v>0</v>
      </c>
      <c r="W386" s="23">
        <f t="shared" si="36"/>
        <v>-4308</v>
      </c>
      <c r="X386" s="23">
        <f t="shared" si="37"/>
        <v>0</v>
      </c>
      <c r="Y386" s="23">
        <f t="shared" si="38"/>
        <v>-4308</v>
      </c>
      <c r="Z386" s="23">
        <v>2500</v>
      </c>
      <c r="AA386" s="23">
        <f t="shared" si="39"/>
        <v>-1808</v>
      </c>
      <c r="AB386" s="23">
        <f t="shared" si="40"/>
        <v>692</v>
      </c>
      <c r="AC386" s="20"/>
      <c r="AD386" s="20" t="str">
        <f>VLOOKUP($C386,'[1]CTRL AUTOS'!$E:$AH,2,0)</f>
        <v>NZU5163</v>
      </c>
      <c r="AE386" s="11" t="str">
        <f t="shared" si="41"/>
        <v>NZU516322</v>
      </c>
    </row>
    <row r="387" spans="1:31" ht="12.75" hidden="1" customHeight="1" x14ac:dyDescent="0.3">
      <c r="A387" s="8">
        <v>23</v>
      </c>
      <c r="B387" s="20" t="s">
        <v>80</v>
      </c>
      <c r="C387" s="20" t="s">
        <v>54</v>
      </c>
      <c r="D387" s="20" t="s">
        <v>318</v>
      </c>
      <c r="E387" s="22" t="s">
        <v>232</v>
      </c>
      <c r="F387" s="20" t="s">
        <v>232</v>
      </c>
      <c r="G387" s="22" t="s">
        <v>234</v>
      </c>
      <c r="H387" s="23">
        <v>0</v>
      </c>
      <c r="I387" s="23">
        <v>0</v>
      </c>
      <c r="J387" s="23">
        <v>0</v>
      </c>
      <c r="K387" s="23">
        <v>0</v>
      </c>
      <c r="L387" s="23">
        <v>0</v>
      </c>
      <c r="M387" s="23">
        <v>-35</v>
      </c>
      <c r="N387" s="23">
        <v>0</v>
      </c>
      <c r="O387" s="24">
        <f t="shared" ref="O387:O450" si="42">SUM(H387:N387)</f>
        <v>-35</v>
      </c>
      <c r="P387" s="23">
        <v>-2500</v>
      </c>
      <c r="Q387" s="23">
        <v>0</v>
      </c>
      <c r="R387" s="23">
        <v>0</v>
      </c>
      <c r="S387" s="23">
        <v>0</v>
      </c>
      <c r="T387" s="23">
        <v>-500</v>
      </c>
      <c r="U387" s="23">
        <v>0</v>
      </c>
      <c r="V387" s="23">
        <v>0</v>
      </c>
      <c r="W387" s="23">
        <f t="shared" ref="W387:W450" si="43">+O387+SUM(P387:V387)</f>
        <v>-3035</v>
      </c>
      <c r="X387" s="23">
        <f t="shared" ref="X387:X450" si="44">IF(W387&gt;=0,W387,0)</f>
        <v>0</v>
      </c>
      <c r="Y387" s="23">
        <f t="shared" ref="Y387:Y450" si="45">IF(W387&lt;=0,W387,0)</f>
        <v>-3035</v>
      </c>
      <c r="Z387" s="23">
        <v>3035</v>
      </c>
      <c r="AA387" s="23">
        <f t="shared" ref="AA387:AA450" si="46">+Y387+Z387</f>
        <v>0</v>
      </c>
      <c r="AB387" s="23">
        <f t="shared" ref="AB387:AB450" si="47">+O387-X387+Z387+AA387</f>
        <v>3000</v>
      </c>
      <c r="AC387" s="20" t="s">
        <v>334</v>
      </c>
      <c r="AD387" s="20" t="str">
        <f>VLOOKUP($C387,'[1]CTRL AUTOS'!$E:$AH,2,0)</f>
        <v>NZY685B</v>
      </c>
      <c r="AE387" s="11" t="str">
        <f t="shared" si="41"/>
        <v>NZY685B23</v>
      </c>
    </row>
    <row r="388" spans="1:31" ht="12.75" hidden="1" customHeight="1" x14ac:dyDescent="0.3">
      <c r="A388" s="8">
        <v>23</v>
      </c>
      <c r="B388" s="20" t="s">
        <v>323</v>
      </c>
      <c r="C388" s="20" t="s">
        <v>20</v>
      </c>
      <c r="D388" s="20" t="s">
        <v>239</v>
      </c>
      <c r="E388" s="22" t="s">
        <v>232</v>
      </c>
      <c r="F388" s="20" t="s">
        <v>232</v>
      </c>
      <c r="G388" s="22" t="s">
        <v>234</v>
      </c>
      <c r="H388" s="23">
        <v>1892.21</v>
      </c>
      <c r="I388" s="23">
        <v>-7.24</v>
      </c>
      <c r="J388" s="23">
        <v>0</v>
      </c>
      <c r="K388" s="23">
        <v>0</v>
      </c>
      <c r="L388" s="23">
        <v>0</v>
      </c>
      <c r="M388" s="23">
        <v>-32</v>
      </c>
      <c r="N388" s="23">
        <v>-213</v>
      </c>
      <c r="O388" s="24">
        <f t="shared" si="42"/>
        <v>1639.97</v>
      </c>
      <c r="P388" s="23">
        <v>-2500</v>
      </c>
      <c r="Q388" s="23">
        <v>0</v>
      </c>
      <c r="R388" s="23">
        <v>-500</v>
      </c>
      <c r="S388" s="23">
        <v>0</v>
      </c>
      <c r="T388" s="23">
        <v>0</v>
      </c>
      <c r="U388" s="23">
        <v>0</v>
      </c>
      <c r="V388" s="23">
        <v>0</v>
      </c>
      <c r="W388" s="23">
        <f t="shared" si="43"/>
        <v>-1360.03</v>
      </c>
      <c r="X388" s="23">
        <f t="shared" si="44"/>
        <v>0</v>
      </c>
      <c r="Y388" s="23">
        <f t="shared" si="45"/>
        <v>-1360.03</v>
      </c>
      <c r="Z388" s="23">
        <v>1060</v>
      </c>
      <c r="AA388" s="23">
        <f t="shared" si="46"/>
        <v>-300.02999999999997</v>
      </c>
      <c r="AB388" s="23">
        <f t="shared" si="47"/>
        <v>2399.9400000000005</v>
      </c>
      <c r="AC388" s="20" t="s">
        <v>335</v>
      </c>
      <c r="AD388" s="20" t="str">
        <f>VLOOKUP($C388,'[1]CTRL AUTOS'!$E:$AH,2,0)</f>
        <v>D40BKD</v>
      </c>
      <c r="AE388" s="11" t="str">
        <f t="shared" ref="AE388:AE451" si="48">AD388&amp;A388</f>
        <v>D40BKD23</v>
      </c>
    </row>
    <row r="389" spans="1:31" ht="12.75" hidden="1" customHeight="1" x14ac:dyDescent="0.3">
      <c r="A389" s="8">
        <v>23</v>
      </c>
      <c r="B389" s="20" t="s">
        <v>111</v>
      </c>
      <c r="C389" s="20" t="s">
        <v>16</v>
      </c>
      <c r="D389" s="20" t="s">
        <v>314</v>
      </c>
      <c r="E389" s="22" t="s">
        <v>232</v>
      </c>
      <c r="F389" s="20" t="s">
        <v>232</v>
      </c>
      <c r="G389" s="22" t="s">
        <v>234</v>
      </c>
      <c r="H389" s="23">
        <v>2509.58</v>
      </c>
      <c r="I389" s="23">
        <v>0</v>
      </c>
      <c r="J389" s="23">
        <v>0</v>
      </c>
      <c r="K389" s="23">
        <v>0</v>
      </c>
      <c r="L389" s="23">
        <v>-132.9</v>
      </c>
      <c r="M389" s="23">
        <v>-32</v>
      </c>
      <c r="N389" s="23">
        <v>-92.04</v>
      </c>
      <c r="O389" s="24">
        <f t="shared" si="42"/>
        <v>2252.64</v>
      </c>
      <c r="P389" s="23">
        <v>-1250</v>
      </c>
      <c r="Q389" s="23">
        <v>0</v>
      </c>
      <c r="R389" s="23">
        <v>-500</v>
      </c>
      <c r="S389" s="23">
        <v>0</v>
      </c>
      <c r="T389" s="23">
        <v>0</v>
      </c>
      <c r="U389" s="23">
        <v>0</v>
      </c>
      <c r="V389" s="23">
        <v>0</v>
      </c>
      <c r="W389" s="23">
        <f t="shared" si="43"/>
        <v>502.63999999999987</v>
      </c>
      <c r="X389" s="23">
        <f t="shared" si="44"/>
        <v>502.63999999999987</v>
      </c>
      <c r="Y389" s="23">
        <f t="shared" si="45"/>
        <v>0</v>
      </c>
      <c r="Z389" s="23">
        <v>0</v>
      </c>
      <c r="AA389" s="23">
        <f t="shared" si="46"/>
        <v>0</v>
      </c>
      <c r="AB389" s="23">
        <f t="shared" si="47"/>
        <v>1750</v>
      </c>
      <c r="AC389" s="20"/>
      <c r="AD389" s="20" t="str">
        <f>VLOOKUP($C389,'[1]CTRL AUTOS'!$E:$AH,2,0)</f>
        <v>D28BET</v>
      </c>
      <c r="AE389" s="11" t="str">
        <f t="shared" si="48"/>
        <v>D28BET23</v>
      </c>
    </row>
    <row r="390" spans="1:31" ht="12.75" hidden="1" customHeight="1" x14ac:dyDescent="0.3">
      <c r="A390" s="8">
        <v>23</v>
      </c>
      <c r="B390" s="20" t="s">
        <v>111</v>
      </c>
      <c r="C390" s="20" t="s">
        <v>63</v>
      </c>
      <c r="D390" s="20" t="s">
        <v>237</v>
      </c>
      <c r="E390" s="20" t="s">
        <v>291</v>
      </c>
      <c r="F390" s="20" t="s">
        <v>291</v>
      </c>
      <c r="G390" s="22" t="s">
        <v>234</v>
      </c>
      <c r="H390" s="23">
        <v>2985.25</v>
      </c>
      <c r="I390" s="23">
        <v>-1.9</v>
      </c>
      <c r="J390" s="23">
        <v>0</v>
      </c>
      <c r="K390" s="23">
        <v>0</v>
      </c>
      <c r="L390" s="23">
        <v>-467.83</v>
      </c>
      <c r="M390" s="24">
        <v>0</v>
      </c>
      <c r="N390" s="23">
        <v>0</v>
      </c>
      <c r="O390" s="24">
        <f t="shared" si="42"/>
        <v>2515.52</v>
      </c>
      <c r="P390" s="24">
        <v>-1250</v>
      </c>
      <c r="Q390" s="24">
        <v>0</v>
      </c>
      <c r="R390" s="24">
        <v>0</v>
      </c>
      <c r="S390" s="24">
        <v>0</v>
      </c>
      <c r="T390" s="24">
        <v>0</v>
      </c>
      <c r="U390" s="23">
        <v>0</v>
      </c>
      <c r="V390" s="23">
        <v>0</v>
      </c>
      <c r="W390" s="23">
        <f t="shared" si="43"/>
        <v>1265.52</v>
      </c>
      <c r="X390" s="23">
        <f t="shared" si="44"/>
        <v>1265.52</v>
      </c>
      <c r="Y390" s="23">
        <f t="shared" si="45"/>
        <v>0</v>
      </c>
      <c r="Z390" s="23">
        <v>0</v>
      </c>
      <c r="AA390" s="23">
        <f t="shared" si="46"/>
        <v>0</v>
      </c>
      <c r="AB390" s="23">
        <f t="shared" si="47"/>
        <v>1250</v>
      </c>
      <c r="AC390" s="20"/>
      <c r="AD390" s="20" t="str">
        <f>VLOOKUP($C390,'[1]CTRL AUTOS'!$E:$AH,2,0)</f>
        <v>X89ALV</v>
      </c>
      <c r="AE390" s="11" t="str">
        <f t="shared" si="48"/>
        <v>X89ALV23</v>
      </c>
    </row>
    <row r="391" spans="1:31" ht="12.75" hidden="1" customHeight="1" x14ac:dyDescent="0.3">
      <c r="A391" s="8">
        <v>23</v>
      </c>
      <c r="B391" s="20" t="s">
        <v>23</v>
      </c>
      <c r="C391" s="20" t="s">
        <v>230</v>
      </c>
      <c r="D391" s="20" t="s">
        <v>231</v>
      </c>
      <c r="E391" s="22" t="s">
        <v>232</v>
      </c>
      <c r="F391" s="20" t="s">
        <v>232</v>
      </c>
      <c r="G391" s="22" t="s">
        <v>234</v>
      </c>
      <c r="H391" s="23">
        <v>3946.97</v>
      </c>
      <c r="I391" s="23">
        <v>0</v>
      </c>
      <c r="J391" s="23">
        <v>0</v>
      </c>
      <c r="K391" s="23">
        <v>0</v>
      </c>
      <c r="L391" s="23">
        <v>-2456.67</v>
      </c>
      <c r="M391" s="23">
        <v>-32</v>
      </c>
      <c r="N391" s="23">
        <v>0</v>
      </c>
      <c r="O391" s="24">
        <f t="shared" si="42"/>
        <v>1458.2999999999997</v>
      </c>
      <c r="P391" s="23">
        <v>-2500</v>
      </c>
      <c r="Q391" s="23">
        <v>0</v>
      </c>
      <c r="R391" s="23">
        <v>-500</v>
      </c>
      <c r="S391" s="23">
        <v>0</v>
      </c>
      <c r="T391" s="23">
        <v>0</v>
      </c>
      <c r="U391" s="23">
        <v>0</v>
      </c>
      <c r="V391" s="23">
        <v>0</v>
      </c>
      <c r="W391" s="23">
        <f t="shared" si="43"/>
        <v>-1541.7000000000003</v>
      </c>
      <c r="X391" s="23">
        <f t="shared" si="44"/>
        <v>0</v>
      </c>
      <c r="Y391" s="23">
        <f t="shared" si="45"/>
        <v>-1541.7000000000003</v>
      </c>
      <c r="Z391" s="23">
        <v>1542</v>
      </c>
      <c r="AA391" s="23">
        <f t="shared" si="46"/>
        <v>0.29999999999972715</v>
      </c>
      <c r="AB391" s="23">
        <f t="shared" si="47"/>
        <v>3000.5999999999995</v>
      </c>
      <c r="AC391" s="20" t="s">
        <v>335</v>
      </c>
      <c r="AD391" s="20" t="s">
        <v>235</v>
      </c>
      <c r="AE391" s="11" t="str">
        <f t="shared" si="48"/>
        <v>NEB156A23</v>
      </c>
    </row>
    <row r="392" spans="1:31" ht="12.75" hidden="1" customHeight="1" x14ac:dyDescent="0.3">
      <c r="A392" s="8">
        <v>23</v>
      </c>
      <c r="B392" s="20" t="s">
        <v>299</v>
      </c>
      <c r="C392" s="20" t="s">
        <v>56</v>
      </c>
      <c r="D392" s="20" t="s">
        <v>336</v>
      </c>
      <c r="E392" s="22" t="s">
        <v>241</v>
      </c>
      <c r="F392" s="20" t="s">
        <v>291</v>
      </c>
      <c r="G392" s="22" t="s">
        <v>234</v>
      </c>
      <c r="H392" s="23">
        <v>4581.7899999999991</v>
      </c>
      <c r="I392" s="23">
        <v>0</v>
      </c>
      <c r="J392" s="23">
        <v>0</v>
      </c>
      <c r="K392" s="23">
        <v>0</v>
      </c>
      <c r="L392" s="23">
        <v>-1634.0500000000004</v>
      </c>
      <c r="M392" s="24">
        <v>-34</v>
      </c>
      <c r="N392" s="23">
        <v>-47.48</v>
      </c>
      <c r="O392" s="24">
        <f t="shared" si="42"/>
        <v>2866.2599999999989</v>
      </c>
      <c r="P392" s="24">
        <v>-2500</v>
      </c>
      <c r="Q392" s="23">
        <v>-2738</v>
      </c>
      <c r="R392" s="24">
        <v>3000</v>
      </c>
      <c r="S392" s="24">
        <v>0</v>
      </c>
      <c r="T392" s="24">
        <v>-500</v>
      </c>
      <c r="U392" s="23">
        <v>0</v>
      </c>
      <c r="V392" s="23">
        <v>0</v>
      </c>
      <c r="W392" s="23">
        <f t="shared" si="43"/>
        <v>128.25999999999885</v>
      </c>
      <c r="X392" s="23">
        <f t="shared" si="44"/>
        <v>128.25999999999885</v>
      </c>
      <c r="Y392" s="23">
        <f t="shared" si="45"/>
        <v>0</v>
      </c>
      <c r="Z392" s="23">
        <v>0</v>
      </c>
      <c r="AA392" s="23">
        <f t="shared" si="46"/>
        <v>0</v>
      </c>
      <c r="AB392" s="23">
        <f t="shared" si="47"/>
        <v>2738</v>
      </c>
      <c r="AC392" s="20" t="s">
        <v>337</v>
      </c>
      <c r="AD392" s="20" t="str">
        <f>VLOOKUP($C392,'[1]CTRL AUTOS'!$E:$AH,2,0)</f>
        <v>MYE912A</v>
      </c>
      <c r="AE392" s="11" t="str">
        <f t="shared" si="48"/>
        <v>MYE912A23</v>
      </c>
    </row>
    <row r="393" spans="1:31" ht="12.75" hidden="1" customHeight="1" x14ac:dyDescent="0.3">
      <c r="A393" s="8">
        <v>23</v>
      </c>
      <c r="B393" s="20" t="s">
        <v>25</v>
      </c>
      <c r="C393" s="20" t="s">
        <v>46</v>
      </c>
      <c r="D393" s="20" t="s">
        <v>257</v>
      </c>
      <c r="E393" s="22" t="s">
        <v>232</v>
      </c>
      <c r="F393" s="20" t="s">
        <v>232</v>
      </c>
      <c r="G393" s="22" t="s">
        <v>234</v>
      </c>
      <c r="H393" s="23">
        <v>3419.56</v>
      </c>
      <c r="I393" s="23">
        <v>-8</v>
      </c>
      <c r="J393" s="23">
        <v>0</v>
      </c>
      <c r="K393" s="23">
        <v>0</v>
      </c>
      <c r="L393" s="23">
        <v>-2010.03</v>
      </c>
      <c r="M393" s="23">
        <v>-32</v>
      </c>
      <c r="N393" s="23">
        <v>0</v>
      </c>
      <c r="O393" s="24">
        <f t="shared" si="42"/>
        <v>1369.53</v>
      </c>
      <c r="P393" s="23">
        <v>-2500</v>
      </c>
      <c r="Q393" s="23">
        <v>-546</v>
      </c>
      <c r="R393" s="23">
        <v>-500</v>
      </c>
      <c r="S393" s="23">
        <v>0</v>
      </c>
      <c r="T393" s="23">
        <v>0</v>
      </c>
      <c r="U393" s="23">
        <v>0</v>
      </c>
      <c r="V393" s="23">
        <v>0</v>
      </c>
      <c r="W393" s="23">
        <f t="shared" si="43"/>
        <v>-2176.4700000000003</v>
      </c>
      <c r="X393" s="23">
        <f t="shared" si="44"/>
        <v>0</v>
      </c>
      <c r="Y393" s="23">
        <f t="shared" si="45"/>
        <v>-2176.4700000000003</v>
      </c>
      <c r="Z393" s="23">
        <v>1400</v>
      </c>
      <c r="AA393" s="23">
        <f t="shared" si="46"/>
        <v>-776.47000000000025</v>
      </c>
      <c r="AB393" s="23">
        <f t="shared" si="47"/>
        <v>1993.0599999999995</v>
      </c>
      <c r="AC393" s="20" t="s">
        <v>334</v>
      </c>
      <c r="AD393" s="20" t="str">
        <f>VLOOKUP($C393,'[1]CTRL AUTOS'!$E:$AH,2,0)</f>
        <v>R66BER</v>
      </c>
      <c r="AE393" s="11" t="str">
        <f t="shared" si="48"/>
        <v>R66BER23</v>
      </c>
    </row>
    <row r="394" spans="1:31" ht="12.75" hidden="1" customHeight="1" x14ac:dyDescent="0.3">
      <c r="A394" s="8">
        <v>23</v>
      </c>
      <c r="B394" s="20" t="s">
        <v>260</v>
      </c>
      <c r="C394" s="20" t="s">
        <v>81</v>
      </c>
      <c r="D394" s="20" t="s">
        <v>317</v>
      </c>
      <c r="E394" s="22" t="s">
        <v>232</v>
      </c>
      <c r="F394" s="20" t="s">
        <v>232</v>
      </c>
      <c r="G394" s="22" t="s">
        <v>234</v>
      </c>
      <c r="H394" s="23">
        <v>4393.32</v>
      </c>
      <c r="I394" s="23">
        <v>-4.8899999999999997</v>
      </c>
      <c r="J394" s="23">
        <v>0</v>
      </c>
      <c r="K394" s="23">
        <v>0</v>
      </c>
      <c r="L394" s="23">
        <v>-1327.86</v>
      </c>
      <c r="M394" s="23">
        <v>-28</v>
      </c>
      <c r="N394" s="23">
        <v>0</v>
      </c>
      <c r="O394" s="24">
        <f t="shared" si="42"/>
        <v>3032.5699999999997</v>
      </c>
      <c r="P394" s="23">
        <v>0</v>
      </c>
      <c r="Q394" s="23">
        <v>0</v>
      </c>
      <c r="R394" s="23">
        <v>0</v>
      </c>
      <c r="S394" s="23">
        <v>0</v>
      </c>
      <c r="T394" s="23">
        <v>0</v>
      </c>
      <c r="U394" s="23">
        <v>0</v>
      </c>
      <c r="V394" s="23">
        <v>0</v>
      </c>
      <c r="W394" s="23">
        <f t="shared" si="43"/>
        <v>3032.5699999999997</v>
      </c>
      <c r="X394" s="23">
        <f t="shared" si="44"/>
        <v>3032.5699999999997</v>
      </c>
      <c r="Y394" s="23">
        <f t="shared" si="45"/>
        <v>0</v>
      </c>
      <c r="Z394" s="23">
        <v>0</v>
      </c>
      <c r="AA394" s="23">
        <f t="shared" si="46"/>
        <v>0</v>
      </c>
      <c r="AB394" s="23">
        <f t="shared" si="47"/>
        <v>0</v>
      </c>
      <c r="AC394" s="20"/>
      <c r="AD394" s="20" t="str">
        <f>VLOOKUP($C394,'[1]CTRL AUTOS'!$E:$AH,2,0)</f>
        <v>NLP172B</v>
      </c>
      <c r="AE394" s="11" t="str">
        <f t="shared" si="48"/>
        <v>NLP172B23</v>
      </c>
    </row>
    <row r="395" spans="1:31" ht="12.75" hidden="1" customHeight="1" x14ac:dyDescent="0.3">
      <c r="A395" s="8">
        <v>23</v>
      </c>
      <c r="B395" s="20" t="s">
        <v>72</v>
      </c>
      <c r="C395" s="20" t="s">
        <v>28</v>
      </c>
      <c r="D395" s="20" t="s">
        <v>274</v>
      </c>
      <c r="E395" s="22" t="s">
        <v>232</v>
      </c>
      <c r="F395" s="20" t="s">
        <v>232</v>
      </c>
      <c r="G395" s="22" t="s">
        <v>234</v>
      </c>
      <c r="H395" s="23">
        <v>8338.65</v>
      </c>
      <c r="I395" s="23">
        <v>-88.8</v>
      </c>
      <c r="J395" s="23">
        <v>0</v>
      </c>
      <c r="K395" s="23">
        <v>-78.069999999999993</v>
      </c>
      <c r="L395" s="23">
        <v>-2203.7600000000002</v>
      </c>
      <c r="M395" s="23">
        <v>-28</v>
      </c>
      <c r="N395" s="23">
        <v>-59</v>
      </c>
      <c r="O395" s="24">
        <f t="shared" si="42"/>
        <v>5881.02</v>
      </c>
      <c r="P395" s="23">
        <v>-2142</v>
      </c>
      <c r="Q395" s="23">
        <v>-1100</v>
      </c>
      <c r="R395" s="23">
        <v>0</v>
      </c>
      <c r="S395" s="23">
        <v>-780</v>
      </c>
      <c r="T395" s="23">
        <v>0</v>
      </c>
      <c r="U395" s="23">
        <v>0</v>
      </c>
      <c r="V395" s="23">
        <v>0</v>
      </c>
      <c r="W395" s="23">
        <f t="shared" si="43"/>
        <v>1859.0200000000004</v>
      </c>
      <c r="X395" s="23">
        <f t="shared" si="44"/>
        <v>1859.0200000000004</v>
      </c>
      <c r="Y395" s="23">
        <f t="shared" si="45"/>
        <v>0</v>
      </c>
      <c r="Z395" s="23">
        <v>0</v>
      </c>
      <c r="AA395" s="23">
        <f t="shared" si="46"/>
        <v>0</v>
      </c>
      <c r="AB395" s="23">
        <f t="shared" si="47"/>
        <v>4022</v>
      </c>
      <c r="AC395" s="20"/>
      <c r="AD395" s="20" t="str">
        <f>VLOOKUP($C395,'[1]CTRL AUTOS'!$E:$AH,2,0)</f>
        <v>NCT814A</v>
      </c>
      <c r="AE395" s="11" t="str">
        <f t="shared" si="48"/>
        <v>NCT814A23</v>
      </c>
    </row>
    <row r="396" spans="1:31" ht="12.75" hidden="1" customHeight="1" x14ac:dyDescent="0.3">
      <c r="A396" s="8">
        <v>23</v>
      </c>
      <c r="B396" s="20" t="s">
        <v>72</v>
      </c>
      <c r="C396" s="20" t="s">
        <v>73</v>
      </c>
      <c r="D396" s="20" t="s">
        <v>283</v>
      </c>
      <c r="E396" s="22" t="s">
        <v>241</v>
      </c>
      <c r="F396" s="20" t="s">
        <v>291</v>
      </c>
      <c r="G396" s="22" t="s">
        <v>234</v>
      </c>
      <c r="H396" s="23">
        <v>2095.8000000000002</v>
      </c>
      <c r="I396" s="23">
        <v>-111.19999999999999</v>
      </c>
      <c r="J396" s="23">
        <v>0</v>
      </c>
      <c r="K396" s="23">
        <v>-17.270000000000003</v>
      </c>
      <c r="L396" s="23">
        <v>-625.57999999999993</v>
      </c>
      <c r="M396" s="24">
        <v>0</v>
      </c>
      <c r="N396" s="23">
        <v>0</v>
      </c>
      <c r="O396" s="24">
        <f t="shared" si="42"/>
        <v>1341.7500000000002</v>
      </c>
      <c r="P396" s="24">
        <v>-358</v>
      </c>
      <c r="Q396" s="24">
        <v>0</v>
      </c>
      <c r="R396" s="24">
        <v>0</v>
      </c>
      <c r="S396" s="24">
        <v>0</v>
      </c>
      <c r="T396" s="24">
        <v>0</v>
      </c>
      <c r="U396" s="23">
        <v>0</v>
      </c>
      <c r="V396" s="23">
        <v>0</v>
      </c>
      <c r="W396" s="23">
        <f t="shared" si="43"/>
        <v>983.75000000000023</v>
      </c>
      <c r="X396" s="23">
        <f t="shared" si="44"/>
        <v>983.75000000000023</v>
      </c>
      <c r="Y396" s="23">
        <f t="shared" si="45"/>
        <v>0</v>
      </c>
      <c r="Z396" s="23">
        <v>0</v>
      </c>
      <c r="AA396" s="23">
        <f t="shared" si="46"/>
        <v>0</v>
      </c>
      <c r="AB396" s="23">
        <f t="shared" si="47"/>
        <v>358</v>
      </c>
      <c r="AC396" s="20"/>
      <c r="AD396" s="20" t="str">
        <f>VLOOKUP($C396,'[1]CTRL AUTOS'!$E:$AH,2,0)</f>
        <v>H99BLC</v>
      </c>
      <c r="AE396" s="11" t="str">
        <f t="shared" si="48"/>
        <v>H99BLC23</v>
      </c>
    </row>
    <row r="397" spans="1:31" ht="12.75" hidden="1" customHeight="1" x14ac:dyDescent="0.3">
      <c r="A397" s="8">
        <v>23</v>
      </c>
      <c r="B397" s="20" t="s">
        <v>292</v>
      </c>
      <c r="C397" s="20" t="s">
        <v>52</v>
      </c>
      <c r="D397" s="20" t="s">
        <v>313</v>
      </c>
      <c r="E397" s="22" t="s">
        <v>232</v>
      </c>
      <c r="F397" s="20" t="s">
        <v>232</v>
      </c>
      <c r="G397" s="22" t="s">
        <v>234</v>
      </c>
      <c r="H397" s="23">
        <v>9948.7199999999993</v>
      </c>
      <c r="I397" s="23">
        <v>-235.2</v>
      </c>
      <c r="J397" s="23">
        <v>0</v>
      </c>
      <c r="K397" s="23">
        <v>0</v>
      </c>
      <c r="L397" s="23">
        <v>-5000.49</v>
      </c>
      <c r="M397" s="23">
        <v>-34.47</v>
      </c>
      <c r="N397" s="23">
        <v>-240</v>
      </c>
      <c r="O397" s="24">
        <f t="shared" si="42"/>
        <v>4438.5599999999986</v>
      </c>
      <c r="P397" s="23">
        <v>-2500</v>
      </c>
      <c r="Q397" s="23">
        <v>0</v>
      </c>
      <c r="R397" s="23">
        <v>0</v>
      </c>
      <c r="S397" s="23">
        <v>0</v>
      </c>
      <c r="T397" s="23">
        <v>0</v>
      </c>
      <c r="U397" s="23">
        <v>0</v>
      </c>
      <c r="V397" s="23">
        <v>0</v>
      </c>
      <c r="W397" s="23">
        <f t="shared" si="43"/>
        <v>1938.5599999999986</v>
      </c>
      <c r="X397" s="23">
        <f t="shared" si="44"/>
        <v>1938.5599999999986</v>
      </c>
      <c r="Y397" s="23">
        <f t="shared" si="45"/>
        <v>0</v>
      </c>
      <c r="Z397" s="23">
        <v>0</v>
      </c>
      <c r="AA397" s="23">
        <f t="shared" si="46"/>
        <v>0</v>
      </c>
      <c r="AB397" s="23">
        <f t="shared" si="47"/>
        <v>2500</v>
      </c>
      <c r="AC397" s="20" t="s">
        <v>338</v>
      </c>
      <c r="AD397" s="20" t="str">
        <f>VLOOKUP($C397,'[1]CTRL AUTOS'!$E:$AH,2,0)</f>
        <v>A35BHD</v>
      </c>
      <c r="AE397" s="11" t="str">
        <f t="shared" si="48"/>
        <v>A35BHD23</v>
      </c>
    </row>
    <row r="398" spans="1:31" ht="12.75" hidden="1" customHeight="1" x14ac:dyDescent="0.3">
      <c r="A398" s="8">
        <v>23</v>
      </c>
      <c r="B398" s="20" t="s">
        <v>105</v>
      </c>
      <c r="C398" s="20" t="s">
        <v>75</v>
      </c>
      <c r="D398" s="20" t="s">
        <v>333</v>
      </c>
      <c r="E398" s="22" t="s">
        <v>241</v>
      </c>
      <c r="F398" s="20" t="s">
        <v>291</v>
      </c>
      <c r="G398" s="22" t="s">
        <v>234</v>
      </c>
      <c r="H398" s="23">
        <v>0</v>
      </c>
      <c r="I398" s="23">
        <v>0</v>
      </c>
      <c r="J398" s="23">
        <v>0</v>
      </c>
      <c r="K398" s="23">
        <v>0</v>
      </c>
      <c r="L398" s="23">
        <v>0</v>
      </c>
      <c r="M398" s="23">
        <v>0</v>
      </c>
      <c r="N398" s="23">
        <v>0</v>
      </c>
      <c r="O398" s="24">
        <f t="shared" si="42"/>
        <v>0</v>
      </c>
      <c r="P398" s="23">
        <v>-2500</v>
      </c>
      <c r="Q398" s="23">
        <v>0</v>
      </c>
      <c r="R398" s="23">
        <v>0</v>
      </c>
      <c r="S398" s="23">
        <v>0</v>
      </c>
      <c r="T398" s="23">
        <v>0</v>
      </c>
      <c r="U398" s="23">
        <v>0</v>
      </c>
      <c r="V398" s="23">
        <v>0</v>
      </c>
      <c r="W398" s="23">
        <f t="shared" si="43"/>
        <v>-2500</v>
      </c>
      <c r="X398" s="23">
        <f t="shared" si="44"/>
        <v>0</v>
      </c>
      <c r="Y398" s="23">
        <f t="shared" si="45"/>
        <v>-2500</v>
      </c>
      <c r="Z398" s="23">
        <v>2500</v>
      </c>
      <c r="AA398" s="23">
        <f t="shared" si="46"/>
        <v>0</v>
      </c>
      <c r="AB398" s="23">
        <f t="shared" si="47"/>
        <v>2500</v>
      </c>
      <c r="AC398" s="20" t="s">
        <v>297</v>
      </c>
      <c r="AD398" s="20" t="str">
        <f>VLOOKUP($C398,'[1]CTRL AUTOS'!$E:$AH,2,0)</f>
        <v>NFN014B</v>
      </c>
      <c r="AE398" s="11" t="str">
        <f t="shared" si="48"/>
        <v>NFN014B23</v>
      </c>
    </row>
    <row r="399" spans="1:31" ht="12.75" hidden="1" customHeight="1" x14ac:dyDescent="0.3">
      <c r="A399" s="8">
        <v>23</v>
      </c>
      <c r="B399" s="20" t="s">
        <v>288</v>
      </c>
      <c r="C399" s="20" t="s">
        <v>22</v>
      </c>
      <c r="D399" s="20" t="s">
        <v>319</v>
      </c>
      <c r="E399" s="20" t="s">
        <v>232</v>
      </c>
      <c r="F399" s="20" t="s">
        <v>232</v>
      </c>
      <c r="G399" s="22" t="s">
        <v>234</v>
      </c>
      <c r="H399" s="23">
        <v>8219.51</v>
      </c>
      <c r="I399" s="23">
        <v>0</v>
      </c>
      <c r="J399" s="23">
        <v>0</v>
      </c>
      <c r="K399" s="23">
        <v>0</v>
      </c>
      <c r="L399" s="23">
        <v>-2745.73</v>
      </c>
      <c r="M399" s="23">
        <v>-25</v>
      </c>
      <c r="N399" s="42">
        <v>-61</v>
      </c>
      <c r="O399" s="24">
        <f t="shared" si="42"/>
        <v>5387.7800000000007</v>
      </c>
      <c r="P399" s="23">
        <v>-2500</v>
      </c>
      <c r="Q399" s="23">
        <v>0</v>
      </c>
      <c r="R399" s="23">
        <v>0</v>
      </c>
      <c r="S399" s="23">
        <v>0</v>
      </c>
      <c r="T399" s="23">
        <v>0</v>
      </c>
      <c r="U399" s="23">
        <v>0</v>
      </c>
      <c r="V399" s="23">
        <v>0</v>
      </c>
      <c r="W399" s="23">
        <f t="shared" si="43"/>
        <v>2887.7800000000007</v>
      </c>
      <c r="X399" s="23">
        <f t="shared" si="44"/>
        <v>2887.7800000000007</v>
      </c>
      <c r="Y399" s="23">
        <f t="shared" si="45"/>
        <v>0</v>
      </c>
      <c r="Z399" s="23">
        <v>0</v>
      </c>
      <c r="AA399" s="23">
        <f t="shared" si="46"/>
        <v>0</v>
      </c>
      <c r="AB399" s="23">
        <f t="shared" si="47"/>
        <v>2500</v>
      </c>
      <c r="AC399" s="20"/>
      <c r="AD399" s="20" t="str">
        <f>VLOOKUP($C399,'[1]CTRL AUTOS'!$E:$AH,2,0)</f>
        <v>NCK475B</v>
      </c>
      <c r="AE399" s="11" t="str">
        <f t="shared" si="48"/>
        <v>NCK475B23</v>
      </c>
    </row>
    <row r="400" spans="1:31" ht="12.75" hidden="1" customHeight="1" x14ac:dyDescent="0.3">
      <c r="A400" s="8">
        <v>23</v>
      </c>
      <c r="B400" s="20" t="s">
        <v>324</v>
      </c>
      <c r="C400" s="20" t="s">
        <v>168</v>
      </c>
      <c r="D400" s="20" t="s">
        <v>265</v>
      </c>
      <c r="E400" s="39" t="s">
        <v>232</v>
      </c>
      <c r="F400" s="41" t="s">
        <v>232</v>
      </c>
      <c r="G400" s="22" t="s">
        <v>234</v>
      </c>
      <c r="H400" s="23">
        <v>2375.36</v>
      </c>
      <c r="I400" s="23">
        <v>0</v>
      </c>
      <c r="J400" s="23">
        <v>0</v>
      </c>
      <c r="K400" s="23">
        <v>0</v>
      </c>
      <c r="L400" s="23">
        <v>-1171.76</v>
      </c>
      <c r="M400" s="23">
        <v>-34</v>
      </c>
      <c r="N400" s="23">
        <v>-60</v>
      </c>
      <c r="O400" s="24">
        <f t="shared" si="42"/>
        <v>1109.6000000000001</v>
      </c>
      <c r="P400" s="23">
        <v>-1785</v>
      </c>
      <c r="Q400" s="23">
        <v>-2311</v>
      </c>
      <c r="R400" s="23">
        <v>-500</v>
      </c>
      <c r="S400" s="23">
        <v>0</v>
      </c>
      <c r="T400" s="23">
        <v>-500</v>
      </c>
      <c r="U400" s="23">
        <v>0</v>
      </c>
      <c r="V400" s="23">
        <v>0</v>
      </c>
      <c r="W400" s="23">
        <f t="shared" si="43"/>
        <v>-3986.3999999999996</v>
      </c>
      <c r="X400" s="23">
        <f t="shared" si="44"/>
        <v>0</v>
      </c>
      <c r="Y400" s="23">
        <f t="shared" si="45"/>
        <v>-3986.3999999999996</v>
      </c>
      <c r="Z400" s="23">
        <v>4815</v>
      </c>
      <c r="AA400" s="23">
        <f t="shared" si="46"/>
        <v>828.60000000000036</v>
      </c>
      <c r="AB400" s="23">
        <f t="shared" si="47"/>
        <v>6753.2000000000007</v>
      </c>
      <c r="AC400" s="20" t="s">
        <v>339</v>
      </c>
      <c r="AD400" s="20" t="e">
        <f>VLOOKUP($C400,'[1]CTRL AUTOS'!$E:$AH,2,0)</f>
        <v>#N/A</v>
      </c>
      <c r="AE400" s="11" t="e">
        <f t="shared" si="48"/>
        <v>#N/A</v>
      </c>
    </row>
    <row r="401" spans="1:31" ht="12.75" hidden="1" customHeight="1" x14ac:dyDescent="0.3">
      <c r="A401" s="8">
        <v>23</v>
      </c>
      <c r="B401" s="20" t="s">
        <v>324</v>
      </c>
      <c r="C401" s="20" t="s">
        <v>63</v>
      </c>
      <c r="D401" s="20" t="s">
        <v>237</v>
      </c>
      <c r="E401" s="41" t="s">
        <v>291</v>
      </c>
      <c r="F401" s="41" t="s">
        <v>291</v>
      </c>
      <c r="G401" s="22" t="s">
        <v>234</v>
      </c>
      <c r="H401" s="23">
        <v>1529.6499999999996</v>
      </c>
      <c r="I401" s="23">
        <v>0</v>
      </c>
      <c r="J401" s="23">
        <v>0</v>
      </c>
      <c r="K401" s="23">
        <v>0</v>
      </c>
      <c r="L401" s="23">
        <v>0</v>
      </c>
      <c r="M401" s="24">
        <v>0</v>
      </c>
      <c r="N401" s="23">
        <v>0</v>
      </c>
      <c r="O401" s="24">
        <f t="shared" si="42"/>
        <v>1529.6499999999996</v>
      </c>
      <c r="P401" s="24">
        <v>-715</v>
      </c>
      <c r="Q401" s="24">
        <v>0</v>
      </c>
      <c r="R401" s="24">
        <v>0</v>
      </c>
      <c r="S401" s="24">
        <v>0</v>
      </c>
      <c r="T401" s="24">
        <v>0</v>
      </c>
      <c r="U401" s="23">
        <v>0</v>
      </c>
      <c r="V401" s="23">
        <v>0</v>
      </c>
      <c r="W401" s="23">
        <f t="shared" si="43"/>
        <v>814.64999999999964</v>
      </c>
      <c r="X401" s="23">
        <f t="shared" si="44"/>
        <v>814.64999999999964</v>
      </c>
      <c r="Y401" s="23">
        <f t="shared" si="45"/>
        <v>0</v>
      </c>
      <c r="Z401" s="23">
        <v>0</v>
      </c>
      <c r="AA401" s="23">
        <f t="shared" si="46"/>
        <v>0</v>
      </c>
      <c r="AB401" s="23">
        <f t="shared" si="47"/>
        <v>715</v>
      </c>
      <c r="AC401" s="20"/>
      <c r="AD401" s="20" t="str">
        <f>VLOOKUP($C401,'[1]CTRL AUTOS'!$E:$AH,2,0)</f>
        <v>X89ALV</v>
      </c>
      <c r="AE401" s="11" t="str">
        <f t="shared" si="48"/>
        <v>X89ALV23</v>
      </c>
    </row>
    <row r="402" spans="1:31" ht="12.75" hidden="1" customHeight="1" x14ac:dyDescent="0.3">
      <c r="A402" s="8">
        <v>23</v>
      </c>
      <c r="B402" s="20" t="s">
        <v>244</v>
      </c>
      <c r="C402" s="20" t="s">
        <v>4</v>
      </c>
      <c r="D402" s="22" t="s">
        <v>245</v>
      </c>
      <c r="E402" s="22" t="s">
        <v>232</v>
      </c>
      <c r="F402" s="20" t="s">
        <v>232</v>
      </c>
      <c r="G402" s="22" t="s">
        <v>234</v>
      </c>
      <c r="H402" s="23">
        <v>3123.55</v>
      </c>
      <c r="I402" s="23">
        <v>0</v>
      </c>
      <c r="J402" s="23">
        <v>0</v>
      </c>
      <c r="K402" s="23">
        <v>0</v>
      </c>
      <c r="L402" s="23">
        <v>0</v>
      </c>
      <c r="M402" s="23">
        <v>-35</v>
      </c>
      <c r="N402" s="23">
        <v>0</v>
      </c>
      <c r="O402" s="24">
        <f t="shared" si="42"/>
        <v>3088.55</v>
      </c>
      <c r="P402" s="23">
        <v>-2500</v>
      </c>
      <c r="Q402" s="23">
        <v>-607</v>
      </c>
      <c r="R402" s="23">
        <v>0</v>
      </c>
      <c r="S402" s="23">
        <v>0</v>
      </c>
      <c r="T402" s="23">
        <v>0</v>
      </c>
      <c r="U402" s="23">
        <v>0</v>
      </c>
      <c r="V402" s="23">
        <v>0</v>
      </c>
      <c r="W402" s="23">
        <f t="shared" si="43"/>
        <v>-18.449999999999818</v>
      </c>
      <c r="X402" s="23">
        <f t="shared" si="44"/>
        <v>0</v>
      </c>
      <c r="Y402" s="23">
        <f t="shared" si="45"/>
        <v>-18.449999999999818</v>
      </c>
      <c r="Z402" s="23">
        <v>0</v>
      </c>
      <c r="AA402" s="23">
        <f t="shared" si="46"/>
        <v>-18.449999999999818</v>
      </c>
      <c r="AB402" s="23">
        <f t="shared" si="47"/>
        <v>3070.1000000000004</v>
      </c>
      <c r="AC402" s="20"/>
      <c r="AD402" s="20" t="str">
        <f>VLOOKUP($C402,'[1]CTRL AUTOS'!$E:$AH,2,0)</f>
        <v>N15BKD</v>
      </c>
      <c r="AE402" s="11" t="str">
        <f t="shared" si="48"/>
        <v>N15BKD23</v>
      </c>
    </row>
    <row r="403" spans="1:31" ht="12.75" hidden="1" customHeight="1" x14ac:dyDescent="0.3">
      <c r="A403" s="8">
        <v>23</v>
      </c>
      <c r="B403" s="20" t="s">
        <v>35</v>
      </c>
      <c r="C403" s="20" t="s">
        <v>97</v>
      </c>
      <c r="D403" s="20" t="s">
        <v>273</v>
      </c>
      <c r="E403" s="22" t="s">
        <v>232</v>
      </c>
      <c r="F403" s="20" t="s">
        <v>232</v>
      </c>
      <c r="G403" s="22" t="s">
        <v>234</v>
      </c>
      <c r="H403" s="23">
        <v>10090.799999999999</v>
      </c>
      <c r="I403" s="23">
        <v>-422.4</v>
      </c>
      <c r="J403" s="23">
        <v>0</v>
      </c>
      <c r="K403" s="23">
        <v>0</v>
      </c>
      <c r="L403" s="23">
        <v>-3425.83</v>
      </c>
      <c r="M403" s="23">
        <v>-28</v>
      </c>
      <c r="N403" s="23">
        <v>0</v>
      </c>
      <c r="O403" s="24">
        <f t="shared" si="42"/>
        <v>6214.57</v>
      </c>
      <c r="P403" s="23">
        <v>-2500</v>
      </c>
      <c r="Q403" s="23">
        <v>0</v>
      </c>
      <c r="R403" s="23">
        <v>0</v>
      </c>
      <c r="S403" s="23">
        <v>0</v>
      </c>
      <c r="T403" s="23">
        <v>0</v>
      </c>
      <c r="U403" s="23">
        <v>0</v>
      </c>
      <c r="V403" s="23">
        <v>0</v>
      </c>
      <c r="W403" s="23">
        <f t="shared" si="43"/>
        <v>3714.5699999999997</v>
      </c>
      <c r="X403" s="23">
        <f t="shared" si="44"/>
        <v>3714.5699999999997</v>
      </c>
      <c r="Y403" s="23">
        <f t="shared" si="45"/>
        <v>0</v>
      </c>
      <c r="Z403" s="23">
        <v>0</v>
      </c>
      <c r="AA403" s="23">
        <f t="shared" si="46"/>
        <v>0</v>
      </c>
      <c r="AB403" s="23">
        <f t="shared" si="47"/>
        <v>2500</v>
      </c>
      <c r="AC403" s="20" t="s">
        <v>340</v>
      </c>
      <c r="AD403" s="20" t="str">
        <f>VLOOKUP($C403,'[1]CTRL AUTOS'!$E:$AH,2,0)</f>
        <v>MUF515A</v>
      </c>
      <c r="AE403" s="11" t="str">
        <f t="shared" si="48"/>
        <v>MUF515A23</v>
      </c>
    </row>
    <row r="404" spans="1:31" ht="12.75" hidden="1" customHeight="1" x14ac:dyDescent="0.3">
      <c r="A404" s="8">
        <v>23</v>
      </c>
      <c r="B404" s="20" t="s">
        <v>37</v>
      </c>
      <c r="C404" s="20" t="s">
        <v>246</v>
      </c>
      <c r="D404" s="20" t="s">
        <v>341</v>
      </c>
      <c r="E404" s="22" t="s">
        <v>232</v>
      </c>
      <c r="F404" s="20" t="s">
        <v>291</v>
      </c>
      <c r="G404" s="22" t="s">
        <v>234</v>
      </c>
      <c r="H404" s="23">
        <v>2419.1</v>
      </c>
      <c r="I404" s="23">
        <v>0</v>
      </c>
      <c r="J404" s="23">
        <v>0</v>
      </c>
      <c r="K404" s="23">
        <v>0</v>
      </c>
      <c r="L404" s="23">
        <v>-203.46</v>
      </c>
      <c r="M404" s="24">
        <v>-38</v>
      </c>
      <c r="N404" s="23">
        <v>-113</v>
      </c>
      <c r="O404" s="24">
        <f t="shared" si="42"/>
        <v>2064.64</v>
      </c>
      <c r="P404" s="24">
        <v>-2500</v>
      </c>
      <c r="Q404" s="24">
        <v>-1633</v>
      </c>
      <c r="R404" s="24">
        <v>0</v>
      </c>
      <c r="S404" s="24">
        <v>0</v>
      </c>
      <c r="T404" s="24">
        <v>0</v>
      </c>
      <c r="U404" s="23">
        <v>0</v>
      </c>
      <c r="V404" s="23">
        <v>0</v>
      </c>
      <c r="W404" s="23">
        <f t="shared" si="43"/>
        <v>-2068.36</v>
      </c>
      <c r="X404" s="23">
        <f t="shared" si="44"/>
        <v>0</v>
      </c>
      <c r="Y404" s="23">
        <f t="shared" si="45"/>
        <v>-2068.36</v>
      </c>
      <c r="Z404" s="23">
        <v>2100</v>
      </c>
      <c r="AA404" s="23">
        <f t="shared" si="46"/>
        <v>31.639999999999873</v>
      </c>
      <c r="AB404" s="23">
        <f t="shared" si="47"/>
        <v>4196.2799999999988</v>
      </c>
      <c r="AC404" s="20" t="s">
        <v>297</v>
      </c>
      <c r="AD404" s="20" t="s">
        <v>248</v>
      </c>
      <c r="AE404" s="11" t="str">
        <f t="shared" si="48"/>
        <v>X24APU23</v>
      </c>
    </row>
    <row r="405" spans="1:31" ht="12.75" hidden="1" customHeight="1" x14ac:dyDescent="0.3">
      <c r="A405" s="8">
        <v>23</v>
      </c>
      <c r="B405" s="20" t="s">
        <v>331</v>
      </c>
      <c r="C405" s="22" t="s">
        <v>69</v>
      </c>
      <c r="D405" s="20" t="s">
        <v>237</v>
      </c>
      <c r="E405" s="22" t="s">
        <v>241</v>
      </c>
      <c r="F405" s="20" t="s">
        <v>291</v>
      </c>
      <c r="G405" s="22" t="s">
        <v>234</v>
      </c>
      <c r="H405" s="23">
        <v>1624</v>
      </c>
      <c r="I405" s="23">
        <v>-1.9</v>
      </c>
      <c r="J405" s="23">
        <v>0</v>
      </c>
      <c r="K405" s="23">
        <v>0</v>
      </c>
      <c r="L405" s="23">
        <v>-372.4</v>
      </c>
      <c r="M405" s="24">
        <v>-30</v>
      </c>
      <c r="N405" s="23">
        <v>0</v>
      </c>
      <c r="O405" s="24">
        <f t="shared" si="42"/>
        <v>1219.6999999999998</v>
      </c>
      <c r="P405" s="24">
        <v>-1611</v>
      </c>
      <c r="Q405" s="24">
        <v>13</v>
      </c>
      <c r="R405" s="24">
        <v>-500</v>
      </c>
      <c r="S405" s="24">
        <v>0</v>
      </c>
      <c r="T405" s="24">
        <v>0</v>
      </c>
      <c r="U405" s="23">
        <v>0</v>
      </c>
      <c r="V405" s="23">
        <v>0</v>
      </c>
      <c r="W405" s="23">
        <f t="shared" si="43"/>
        <v>-878.30000000000018</v>
      </c>
      <c r="X405" s="23">
        <f t="shared" si="44"/>
        <v>0</v>
      </c>
      <c r="Y405" s="23">
        <f t="shared" si="45"/>
        <v>-878.30000000000018</v>
      </c>
      <c r="Z405" s="23">
        <v>0</v>
      </c>
      <c r="AA405" s="23">
        <f t="shared" si="46"/>
        <v>-878.30000000000018</v>
      </c>
      <c r="AB405" s="23">
        <f t="shared" si="47"/>
        <v>341.39999999999964</v>
      </c>
      <c r="AC405" s="20"/>
      <c r="AD405" s="20" t="str">
        <f>VLOOKUP($C405,'[1]CTRL AUTOS'!$E:$AH,2,0)</f>
        <v>R51BKD</v>
      </c>
      <c r="AE405" s="11" t="str">
        <f t="shared" si="48"/>
        <v>R51BKD23</v>
      </c>
    </row>
    <row r="406" spans="1:31" ht="12.75" hidden="1" customHeight="1" x14ac:dyDescent="0.3">
      <c r="A406" s="8">
        <v>23</v>
      </c>
      <c r="B406" s="20" t="s">
        <v>293</v>
      </c>
      <c r="C406" s="20" t="s">
        <v>34</v>
      </c>
      <c r="D406" s="20" t="s">
        <v>285</v>
      </c>
      <c r="E406" s="22" t="s">
        <v>232</v>
      </c>
      <c r="F406" s="20" t="s">
        <v>232</v>
      </c>
      <c r="G406" s="22" t="s">
        <v>234</v>
      </c>
      <c r="H406" s="23">
        <v>960.38</v>
      </c>
      <c r="I406" s="23">
        <v>0</v>
      </c>
      <c r="J406" s="23">
        <v>0</v>
      </c>
      <c r="K406" s="23">
        <v>0</v>
      </c>
      <c r="L406" s="23">
        <v>-549.89</v>
      </c>
      <c r="M406" s="23">
        <v>-28</v>
      </c>
      <c r="N406" s="23">
        <v>-566.59</v>
      </c>
      <c r="O406" s="24">
        <f t="shared" si="42"/>
        <v>-184.10000000000002</v>
      </c>
      <c r="P406" s="23">
        <v>-2500</v>
      </c>
      <c r="Q406" s="23">
        <v>-1348</v>
      </c>
      <c r="R406" s="23">
        <v>0</v>
      </c>
      <c r="S406" s="23">
        <v>0</v>
      </c>
      <c r="T406" s="23">
        <v>0</v>
      </c>
      <c r="U406" s="23">
        <v>0</v>
      </c>
      <c r="V406" s="23">
        <v>0</v>
      </c>
      <c r="W406" s="23">
        <f t="shared" si="43"/>
        <v>-4032.1</v>
      </c>
      <c r="X406" s="23">
        <f t="shared" si="44"/>
        <v>0</v>
      </c>
      <c r="Y406" s="23">
        <f t="shared" si="45"/>
        <v>-4032.1</v>
      </c>
      <c r="Z406" s="23">
        <v>2500</v>
      </c>
      <c r="AA406" s="23">
        <f t="shared" si="46"/>
        <v>-1532.1</v>
      </c>
      <c r="AB406" s="23">
        <f t="shared" si="47"/>
        <v>783.80000000000018</v>
      </c>
      <c r="AC406" s="20" t="s">
        <v>334</v>
      </c>
      <c r="AD406" s="20" t="str">
        <f>VLOOKUP($C406,'[1]CTRL AUTOS'!$E:$AH,2,0)</f>
        <v>X59AWG</v>
      </c>
      <c r="AE406" s="11" t="str">
        <f t="shared" si="48"/>
        <v>X59AWG23</v>
      </c>
    </row>
    <row r="407" spans="1:31" ht="12.75" hidden="1" customHeight="1" x14ac:dyDescent="0.3">
      <c r="A407" s="8">
        <v>23</v>
      </c>
      <c r="B407" s="20" t="s">
        <v>321</v>
      </c>
      <c r="C407" s="20" t="s">
        <v>40</v>
      </c>
      <c r="D407" s="20" t="s">
        <v>315</v>
      </c>
      <c r="E407" s="22" t="s">
        <v>232</v>
      </c>
      <c r="F407" s="20" t="s">
        <v>232</v>
      </c>
      <c r="G407" s="22" t="s">
        <v>234</v>
      </c>
      <c r="H407" s="23">
        <v>3526.77</v>
      </c>
      <c r="I407" s="23">
        <v>0</v>
      </c>
      <c r="J407" s="23">
        <v>0</v>
      </c>
      <c r="K407" s="23">
        <v>0</v>
      </c>
      <c r="L407" s="23">
        <v>-1355.62</v>
      </c>
      <c r="M407" s="23">
        <v>-30</v>
      </c>
      <c r="N407" s="23">
        <v>0</v>
      </c>
      <c r="O407" s="24">
        <f t="shared" si="42"/>
        <v>2141.15</v>
      </c>
      <c r="P407" s="23">
        <v>-2500</v>
      </c>
      <c r="Q407" s="23">
        <v>0</v>
      </c>
      <c r="R407" s="23">
        <v>-500</v>
      </c>
      <c r="S407" s="23">
        <v>0</v>
      </c>
      <c r="T407" s="23">
        <v>0</v>
      </c>
      <c r="U407" s="23">
        <v>0</v>
      </c>
      <c r="V407" s="23">
        <v>0</v>
      </c>
      <c r="W407" s="23">
        <f t="shared" si="43"/>
        <v>-858.84999999999991</v>
      </c>
      <c r="X407" s="23">
        <f t="shared" si="44"/>
        <v>0</v>
      </c>
      <c r="Y407" s="23">
        <f t="shared" si="45"/>
        <v>-858.84999999999991</v>
      </c>
      <c r="Z407" s="23">
        <v>859</v>
      </c>
      <c r="AA407" s="23">
        <f t="shared" si="46"/>
        <v>0.15000000000009095</v>
      </c>
      <c r="AB407" s="23">
        <f t="shared" si="47"/>
        <v>3000.3</v>
      </c>
      <c r="AC407" s="20" t="s">
        <v>334</v>
      </c>
      <c r="AD407" s="20" t="str">
        <f>VLOOKUP($C407,'[1]CTRL AUTOS'!$E:$AH,2,0)</f>
        <v>NEL860A</v>
      </c>
      <c r="AE407" s="11" t="str">
        <f t="shared" si="48"/>
        <v>NEL860A23</v>
      </c>
    </row>
    <row r="408" spans="1:31" ht="12.75" hidden="1" customHeight="1" x14ac:dyDescent="0.3">
      <c r="A408" s="8">
        <v>23</v>
      </c>
      <c r="B408" s="20" t="s">
        <v>45</v>
      </c>
      <c r="C408" s="20" t="s">
        <v>249</v>
      </c>
      <c r="D408" s="20" t="s">
        <v>250</v>
      </c>
      <c r="E408" s="22" t="s">
        <v>232</v>
      </c>
      <c r="F408" s="20" t="s">
        <v>232</v>
      </c>
      <c r="G408" s="22" t="s">
        <v>234</v>
      </c>
      <c r="H408" s="23">
        <v>5316.44</v>
      </c>
      <c r="I408" s="23">
        <v>-185.76</v>
      </c>
      <c r="J408" s="23">
        <v>0</v>
      </c>
      <c r="K408" s="23">
        <v>0</v>
      </c>
      <c r="L408" s="23">
        <v>-1530.62</v>
      </c>
      <c r="M408" s="23">
        <v>-28</v>
      </c>
      <c r="N408" s="23">
        <v>0</v>
      </c>
      <c r="O408" s="24">
        <f t="shared" si="42"/>
        <v>3572.0599999999995</v>
      </c>
      <c r="P408" s="23">
        <v>-2100</v>
      </c>
      <c r="Q408" s="23">
        <v>0</v>
      </c>
      <c r="R408" s="23">
        <v>0</v>
      </c>
      <c r="S408" s="23">
        <v>0</v>
      </c>
      <c r="T408" s="23">
        <v>0</v>
      </c>
      <c r="U408" s="23">
        <v>0</v>
      </c>
      <c r="V408" s="23">
        <v>0</v>
      </c>
      <c r="W408" s="23">
        <f t="shared" si="43"/>
        <v>1472.0599999999995</v>
      </c>
      <c r="X408" s="23">
        <f t="shared" si="44"/>
        <v>1472.0599999999995</v>
      </c>
      <c r="Y408" s="23">
        <f t="shared" si="45"/>
        <v>0</v>
      </c>
      <c r="Z408" s="23">
        <v>0</v>
      </c>
      <c r="AA408" s="23">
        <f t="shared" si="46"/>
        <v>0</v>
      </c>
      <c r="AB408" s="23">
        <f t="shared" si="47"/>
        <v>2100</v>
      </c>
      <c r="AC408" s="20"/>
      <c r="AD408" s="20" t="s">
        <v>251</v>
      </c>
      <c r="AE408" s="11" t="str">
        <f t="shared" si="48"/>
        <v>BAJA DE PLACAS23</v>
      </c>
    </row>
    <row r="409" spans="1:31" ht="12.75" hidden="1" customHeight="1" x14ac:dyDescent="0.3">
      <c r="A409" s="8">
        <v>23</v>
      </c>
      <c r="B409" s="20" t="s">
        <v>5</v>
      </c>
      <c r="C409" s="20" t="s">
        <v>50</v>
      </c>
      <c r="D409" s="20" t="s">
        <v>267</v>
      </c>
      <c r="E409" s="22" t="s">
        <v>232</v>
      </c>
      <c r="F409" s="20" t="s">
        <v>232</v>
      </c>
      <c r="G409" s="22" t="s">
        <v>234</v>
      </c>
      <c r="H409" s="23">
        <v>5671.25</v>
      </c>
      <c r="I409" s="23">
        <v>0</v>
      </c>
      <c r="J409" s="23">
        <v>0</v>
      </c>
      <c r="K409" s="23">
        <v>0</v>
      </c>
      <c r="L409" s="23">
        <v>-1997.74</v>
      </c>
      <c r="M409" s="23">
        <v>-28</v>
      </c>
      <c r="N409" s="23">
        <v>-261</v>
      </c>
      <c r="O409" s="24">
        <f t="shared" si="42"/>
        <v>3384.51</v>
      </c>
      <c r="P409" s="23">
        <v>0</v>
      </c>
      <c r="Q409" s="23">
        <v>0</v>
      </c>
      <c r="R409" s="23">
        <v>0</v>
      </c>
      <c r="S409" s="23">
        <v>0</v>
      </c>
      <c r="T409" s="23">
        <v>0</v>
      </c>
      <c r="U409" s="23">
        <v>0</v>
      </c>
      <c r="V409" s="23">
        <v>0</v>
      </c>
      <c r="W409" s="23">
        <f t="shared" si="43"/>
        <v>3384.51</v>
      </c>
      <c r="X409" s="23">
        <f t="shared" si="44"/>
        <v>3384.51</v>
      </c>
      <c r="Y409" s="23">
        <f t="shared" si="45"/>
        <v>0</v>
      </c>
      <c r="Z409" s="23">
        <v>0</v>
      </c>
      <c r="AA409" s="23">
        <f t="shared" si="46"/>
        <v>0</v>
      </c>
      <c r="AB409" s="23">
        <f t="shared" si="47"/>
        <v>0</v>
      </c>
      <c r="AC409" s="20"/>
      <c r="AD409" s="20" t="str">
        <f>VLOOKUP($C409,'[1]CTRL AUTOS'!$E:$AH,2,0)</f>
        <v>NBS225A</v>
      </c>
      <c r="AE409" s="11" t="str">
        <f t="shared" si="48"/>
        <v>NBS225A23</v>
      </c>
    </row>
    <row r="410" spans="1:31" ht="12.75" hidden="1" customHeight="1" x14ac:dyDescent="0.3">
      <c r="A410" s="8">
        <v>23</v>
      </c>
      <c r="B410" s="20" t="s">
        <v>342</v>
      </c>
      <c r="C410" s="20" t="s">
        <v>10</v>
      </c>
      <c r="D410" s="20" t="s">
        <v>343</v>
      </c>
      <c r="E410" s="22" t="s">
        <v>232</v>
      </c>
      <c r="F410" s="20" t="s">
        <v>237</v>
      </c>
      <c r="G410" s="22" t="s">
        <v>234</v>
      </c>
      <c r="H410" s="23">
        <v>0</v>
      </c>
      <c r="I410" s="23">
        <v>0</v>
      </c>
      <c r="J410" s="23">
        <v>0</v>
      </c>
      <c r="K410" s="23">
        <v>0</v>
      </c>
      <c r="L410" s="23">
        <v>0</v>
      </c>
      <c r="M410" s="24">
        <v>0</v>
      </c>
      <c r="N410" s="23">
        <v>0</v>
      </c>
      <c r="O410" s="24">
        <f t="shared" si="42"/>
        <v>0</v>
      </c>
      <c r="P410" s="23">
        <v>-1250</v>
      </c>
      <c r="Q410" s="23">
        <v>0</v>
      </c>
      <c r="R410" s="23">
        <v>0</v>
      </c>
      <c r="S410" s="23">
        <v>0</v>
      </c>
      <c r="T410" s="23">
        <v>0</v>
      </c>
      <c r="U410" s="23">
        <v>0</v>
      </c>
      <c r="V410" s="23">
        <v>0</v>
      </c>
      <c r="W410" s="23">
        <f t="shared" si="43"/>
        <v>-1250</v>
      </c>
      <c r="X410" s="23">
        <f t="shared" si="44"/>
        <v>0</v>
      </c>
      <c r="Y410" s="23">
        <f t="shared" si="45"/>
        <v>-1250</v>
      </c>
      <c r="Z410" s="23">
        <v>1250</v>
      </c>
      <c r="AA410" s="23">
        <f t="shared" si="46"/>
        <v>0</v>
      </c>
      <c r="AB410" s="23">
        <f t="shared" si="47"/>
        <v>1250</v>
      </c>
      <c r="AC410" s="20" t="s">
        <v>334</v>
      </c>
      <c r="AD410" s="20" t="str">
        <f>VLOOKUP($C410,'[1]CTRL AUTOS'!$E:$AH,2,0)</f>
        <v>LRL009C</v>
      </c>
      <c r="AE410" s="11" t="str">
        <f t="shared" si="48"/>
        <v>LRL009C23</v>
      </c>
    </row>
    <row r="411" spans="1:31" ht="12.75" hidden="1" customHeight="1" x14ac:dyDescent="0.3">
      <c r="A411" s="8">
        <v>23</v>
      </c>
      <c r="B411" s="20" t="s">
        <v>294</v>
      </c>
      <c r="C411" s="20" t="s">
        <v>106</v>
      </c>
      <c r="D411" s="20" t="s">
        <v>322</v>
      </c>
      <c r="E411" s="22" t="s">
        <v>232</v>
      </c>
      <c r="F411" s="20" t="s">
        <v>232</v>
      </c>
      <c r="G411" s="22" t="s">
        <v>234</v>
      </c>
      <c r="H411" s="23">
        <v>0</v>
      </c>
      <c r="I411" s="23">
        <v>0</v>
      </c>
      <c r="J411" s="23">
        <v>0</v>
      </c>
      <c r="K411" s="23">
        <v>0</v>
      </c>
      <c r="L411" s="23">
        <v>0</v>
      </c>
      <c r="M411" s="23">
        <v>0</v>
      </c>
      <c r="N411" s="23">
        <v>-737.51</v>
      </c>
      <c r="O411" s="24">
        <f t="shared" si="42"/>
        <v>-737.51</v>
      </c>
      <c r="P411" s="23">
        <v>-2500</v>
      </c>
      <c r="Q411" s="23">
        <v>-1808</v>
      </c>
      <c r="R411" s="23">
        <v>0</v>
      </c>
      <c r="S411" s="23">
        <v>0</v>
      </c>
      <c r="T411" s="23">
        <v>0</v>
      </c>
      <c r="U411" s="23">
        <v>0</v>
      </c>
      <c r="V411" s="23">
        <v>0</v>
      </c>
      <c r="W411" s="23">
        <f t="shared" si="43"/>
        <v>-5045.51</v>
      </c>
      <c r="X411" s="23">
        <f t="shared" si="44"/>
        <v>0</v>
      </c>
      <c r="Y411" s="23">
        <f t="shared" si="45"/>
        <v>-5045.51</v>
      </c>
      <c r="Z411" s="23">
        <v>3500</v>
      </c>
      <c r="AA411" s="23">
        <f t="shared" si="46"/>
        <v>-1545.5100000000002</v>
      </c>
      <c r="AB411" s="23">
        <f t="shared" si="47"/>
        <v>1216.9799999999996</v>
      </c>
      <c r="AC411" s="20" t="s">
        <v>334</v>
      </c>
      <c r="AD411" s="20" t="str">
        <f>VLOOKUP($C411,'[1]CTRL AUTOS'!$E:$AH,2,0)</f>
        <v>NZU5163</v>
      </c>
      <c r="AE411" s="11" t="str">
        <f t="shared" si="48"/>
        <v>NZU516323</v>
      </c>
    </row>
    <row r="412" spans="1:31" ht="12.75" hidden="1" customHeight="1" x14ac:dyDescent="0.3">
      <c r="A412" s="8">
        <v>24</v>
      </c>
      <c r="B412" s="20" t="s">
        <v>80</v>
      </c>
      <c r="C412" s="20" t="s">
        <v>54</v>
      </c>
      <c r="D412" s="20" t="s">
        <v>318</v>
      </c>
      <c r="E412" s="22" t="s">
        <v>232</v>
      </c>
      <c r="F412" s="20" t="s">
        <v>232</v>
      </c>
      <c r="G412" s="22" t="s">
        <v>234</v>
      </c>
      <c r="H412" s="23">
        <v>0</v>
      </c>
      <c r="I412" s="23">
        <v>0</v>
      </c>
      <c r="J412" s="23">
        <v>0</v>
      </c>
      <c r="K412" s="23">
        <v>0</v>
      </c>
      <c r="L412" s="23">
        <v>0</v>
      </c>
      <c r="M412" s="23">
        <v>-23</v>
      </c>
      <c r="N412" s="23">
        <v>0</v>
      </c>
      <c r="O412" s="24">
        <f t="shared" si="42"/>
        <v>-23</v>
      </c>
      <c r="P412" s="23">
        <v>-1071</v>
      </c>
      <c r="Q412" s="23">
        <v>0</v>
      </c>
      <c r="R412" s="23">
        <v>0</v>
      </c>
      <c r="S412" s="23">
        <v>0</v>
      </c>
      <c r="T412" s="23">
        <v>-500</v>
      </c>
      <c r="U412" s="23">
        <v>0</v>
      </c>
      <c r="V412" s="23">
        <v>0</v>
      </c>
      <c r="W412" s="23">
        <f t="shared" si="43"/>
        <v>-1594</v>
      </c>
      <c r="X412" s="23">
        <f t="shared" si="44"/>
        <v>0</v>
      </c>
      <c r="Y412" s="23">
        <f t="shared" si="45"/>
        <v>-1594</v>
      </c>
      <c r="Z412" s="23">
        <v>1594</v>
      </c>
      <c r="AA412" s="23">
        <f t="shared" si="46"/>
        <v>0</v>
      </c>
      <c r="AB412" s="23">
        <f t="shared" si="47"/>
        <v>1571</v>
      </c>
      <c r="AC412" s="20" t="s">
        <v>344</v>
      </c>
      <c r="AD412" s="20" t="str">
        <f>VLOOKUP($C412,'[1]CTRL AUTOS'!$E:$AH,2,0)</f>
        <v>NZY685B</v>
      </c>
      <c r="AE412" s="11" t="str">
        <f t="shared" si="48"/>
        <v>NZY685B24</v>
      </c>
    </row>
    <row r="413" spans="1:31" ht="12.75" hidden="1" customHeight="1" x14ac:dyDescent="0.3">
      <c r="A413" s="8">
        <v>24</v>
      </c>
      <c r="B413" s="20" t="s">
        <v>345</v>
      </c>
      <c r="C413" s="20" t="s">
        <v>230</v>
      </c>
      <c r="D413" s="20" t="s">
        <v>237</v>
      </c>
      <c r="E413" s="22" t="s">
        <v>232</v>
      </c>
      <c r="F413" s="20" t="s">
        <v>232</v>
      </c>
      <c r="G413" s="22" t="s">
        <v>234</v>
      </c>
      <c r="H413" s="23">
        <v>3346.31</v>
      </c>
      <c r="I413" s="23">
        <v>0</v>
      </c>
      <c r="J413" s="23">
        <v>0</v>
      </c>
      <c r="K413" s="23">
        <v>0</v>
      </c>
      <c r="L413" s="23">
        <v>-1614</v>
      </c>
      <c r="M413" s="24">
        <v>-25</v>
      </c>
      <c r="N413" s="23">
        <v>0</v>
      </c>
      <c r="O413" s="24">
        <f t="shared" si="42"/>
        <v>1707.31</v>
      </c>
      <c r="P413" s="23">
        <v>-1072</v>
      </c>
      <c r="Q413" s="23">
        <v>0</v>
      </c>
      <c r="R413" s="23">
        <v>-216</v>
      </c>
      <c r="S413" s="23">
        <v>0</v>
      </c>
      <c r="T413" s="23">
        <v>0</v>
      </c>
      <c r="U413" s="23">
        <v>-200</v>
      </c>
      <c r="V413" s="23">
        <v>0</v>
      </c>
      <c r="W413" s="23">
        <f t="shared" si="43"/>
        <v>219.30999999999995</v>
      </c>
      <c r="X413" s="23">
        <f t="shared" si="44"/>
        <v>219.30999999999995</v>
      </c>
      <c r="Y413" s="23">
        <f t="shared" si="45"/>
        <v>0</v>
      </c>
      <c r="Z413" s="23">
        <v>0</v>
      </c>
      <c r="AA413" s="23">
        <f t="shared" si="46"/>
        <v>0</v>
      </c>
      <c r="AB413" s="23">
        <f t="shared" si="47"/>
        <v>1488</v>
      </c>
      <c r="AC413" s="20"/>
      <c r="AD413" s="20" t="s">
        <v>235</v>
      </c>
      <c r="AE413" s="11" t="str">
        <f t="shared" si="48"/>
        <v>NEB156A24</v>
      </c>
    </row>
    <row r="414" spans="1:31" ht="12.75" hidden="1" customHeight="1" x14ac:dyDescent="0.3">
      <c r="A414" s="8">
        <v>24</v>
      </c>
      <c r="B414" s="20" t="s">
        <v>345</v>
      </c>
      <c r="C414" s="20" t="s">
        <v>56</v>
      </c>
      <c r="D414" s="20" t="s">
        <v>237</v>
      </c>
      <c r="E414" s="22" t="s">
        <v>241</v>
      </c>
      <c r="F414" s="23" t="s">
        <v>291</v>
      </c>
      <c r="G414" s="22" t="s">
        <v>234</v>
      </c>
      <c r="H414" s="23">
        <v>674.68</v>
      </c>
      <c r="I414" s="24">
        <v>0</v>
      </c>
      <c r="J414" s="23">
        <v>0</v>
      </c>
      <c r="K414" s="24">
        <v>0</v>
      </c>
      <c r="L414" s="23">
        <v>0</v>
      </c>
      <c r="M414" s="23">
        <v>-10</v>
      </c>
      <c r="N414" s="23">
        <v>0</v>
      </c>
      <c r="O414" s="24">
        <f t="shared" si="42"/>
        <v>664.68</v>
      </c>
      <c r="P414" s="23">
        <v>-357</v>
      </c>
      <c r="Q414" s="23">
        <v>0</v>
      </c>
      <c r="R414" s="23">
        <v>-72</v>
      </c>
      <c r="S414" s="23">
        <v>0</v>
      </c>
      <c r="T414" s="23">
        <v>0</v>
      </c>
      <c r="U414" s="23">
        <v>0</v>
      </c>
      <c r="V414" s="23">
        <v>0</v>
      </c>
      <c r="W414" s="23">
        <f t="shared" si="43"/>
        <v>235.67999999999995</v>
      </c>
      <c r="X414" s="23">
        <f t="shared" si="44"/>
        <v>235.67999999999995</v>
      </c>
      <c r="Y414" s="23">
        <f t="shared" si="45"/>
        <v>0</v>
      </c>
      <c r="Z414" s="20">
        <v>0</v>
      </c>
      <c r="AA414" s="23">
        <f t="shared" si="46"/>
        <v>0</v>
      </c>
      <c r="AB414" s="23">
        <f t="shared" si="47"/>
        <v>429</v>
      </c>
      <c r="AC414" s="20"/>
      <c r="AD414" s="20" t="str">
        <f>VLOOKUP($C414,'[1]CTRL AUTOS'!$E:$AH,2,0)</f>
        <v>MYE912A</v>
      </c>
      <c r="AE414" s="11" t="str">
        <f t="shared" si="48"/>
        <v>MYE912A24</v>
      </c>
    </row>
    <row r="415" spans="1:31" ht="12.75" hidden="1" customHeight="1" x14ac:dyDescent="0.3">
      <c r="A415" s="8">
        <v>24</v>
      </c>
      <c r="B415" s="20" t="s">
        <v>323</v>
      </c>
      <c r="C415" s="20" t="s">
        <v>20</v>
      </c>
      <c r="D415" s="20" t="s">
        <v>237</v>
      </c>
      <c r="E415" s="22" t="s">
        <v>232</v>
      </c>
      <c r="F415" s="20" t="s">
        <v>232</v>
      </c>
      <c r="G415" s="22" t="s">
        <v>234</v>
      </c>
      <c r="H415" s="23">
        <v>3125.84</v>
      </c>
      <c r="I415" s="23">
        <v>0</v>
      </c>
      <c r="J415" s="23">
        <v>0</v>
      </c>
      <c r="K415" s="23">
        <v>0</v>
      </c>
      <c r="L415" s="23">
        <v>0</v>
      </c>
      <c r="M415" s="23">
        <v>-35</v>
      </c>
      <c r="N415" s="23">
        <v>0</v>
      </c>
      <c r="O415" s="24">
        <f t="shared" si="42"/>
        <v>3090.84</v>
      </c>
      <c r="P415" s="23">
        <v>-2500</v>
      </c>
      <c r="Q415" s="23">
        <v>-300</v>
      </c>
      <c r="R415" s="23">
        <v>-500</v>
      </c>
      <c r="S415" s="23">
        <v>0</v>
      </c>
      <c r="T415" s="23">
        <v>0</v>
      </c>
      <c r="U415" s="23">
        <v>-300</v>
      </c>
      <c r="V415" s="23">
        <v>0</v>
      </c>
      <c r="W415" s="23">
        <f t="shared" si="43"/>
        <v>-509.15999999999985</v>
      </c>
      <c r="X415" s="23">
        <f t="shared" si="44"/>
        <v>0</v>
      </c>
      <c r="Y415" s="23">
        <f t="shared" si="45"/>
        <v>-509.15999999999985</v>
      </c>
      <c r="Z415" s="23">
        <v>509</v>
      </c>
      <c r="AA415" s="23">
        <f t="shared" si="46"/>
        <v>-0.15999999999985448</v>
      </c>
      <c r="AB415" s="23">
        <f t="shared" si="47"/>
        <v>3599.6800000000003</v>
      </c>
      <c r="AC415" s="20" t="s">
        <v>297</v>
      </c>
      <c r="AD415" s="20" t="str">
        <f>VLOOKUP($C415,'[1]CTRL AUTOS'!$E:$AH,2,0)</f>
        <v>D40BKD</v>
      </c>
      <c r="AE415" s="11" t="str">
        <f t="shared" si="48"/>
        <v>D40BKD24</v>
      </c>
    </row>
    <row r="416" spans="1:31" ht="12.75" hidden="1" customHeight="1" x14ac:dyDescent="0.3">
      <c r="A416" s="8">
        <v>24</v>
      </c>
      <c r="B416" s="20" t="s">
        <v>111</v>
      </c>
      <c r="C416" s="20" t="s">
        <v>63</v>
      </c>
      <c r="D416" s="20" t="s">
        <v>237</v>
      </c>
      <c r="E416" s="20" t="s">
        <v>291</v>
      </c>
      <c r="F416" s="20" t="s">
        <v>291</v>
      </c>
      <c r="G416" s="22" t="s">
        <v>234</v>
      </c>
      <c r="H416" s="23">
        <v>3326.67</v>
      </c>
      <c r="I416" s="23">
        <v>0</v>
      </c>
      <c r="J416" s="23">
        <v>0</v>
      </c>
      <c r="K416" s="23">
        <v>0</v>
      </c>
      <c r="L416" s="23">
        <v>-2160</v>
      </c>
      <c r="M416" s="23">
        <v>-35</v>
      </c>
      <c r="N416" s="23">
        <v>0</v>
      </c>
      <c r="O416" s="24">
        <f t="shared" si="42"/>
        <v>1131.67</v>
      </c>
      <c r="P416" s="23">
        <v>-2142</v>
      </c>
      <c r="Q416" s="23">
        <v>0</v>
      </c>
      <c r="R416" s="23">
        <v>-500</v>
      </c>
      <c r="S416" s="23">
        <v>0</v>
      </c>
      <c r="T416" s="23">
        <v>0</v>
      </c>
      <c r="U416" s="23">
        <v>0</v>
      </c>
      <c r="V416" s="23">
        <v>0</v>
      </c>
      <c r="W416" s="23">
        <f t="shared" si="43"/>
        <v>-1510.33</v>
      </c>
      <c r="X416" s="23">
        <f t="shared" si="44"/>
        <v>0</v>
      </c>
      <c r="Y416" s="23">
        <f t="shared" si="45"/>
        <v>-1510.33</v>
      </c>
      <c r="Z416" s="23">
        <v>624</v>
      </c>
      <c r="AA416" s="23">
        <f t="shared" si="46"/>
        <v>-886.32999999999993</v>
      </c>
      <c r="AB416" s="23">
        <f t="shared" si="47"/>
        <v>869.34000000000015</v>
      </c>
      <c r="AC416" s="20"/>
      <c r="AD416" s="20" t="str">
        <f>VLOOKUP($C416,'[1]CTRL AUTOS'!$E:$AH,2,0)</f>
        <v>X89ALV</v>
      </c>
      <c r="AE416" s="11" t="str">
        <f t="shared" si="48"/>
        <v>X89ALV24</v>
      </c>
    </row>
    <row r="417" spans="1:31" ht="12.75" hidden="1" customHeight="1" x14ac:dyDescent="0.3">
      <c r="A417" s="8">
        <v>24</v>
      </c>
      <c r="B417" s="20" t="s">
        <v>111</v>
      </c>
      <c r="C417" s="20" t="s">
        <v>63</v>
      </c>
      <c r="D417" s="20" t="s">
        <v>237</v>
      </c>
      <c r="E417" s="20" t="s">
        <v>291</v>
      </c>
      <c r="F417" s="20" t="s">
        <v>291</v>
      </c>
      <c r="G417" s="22" t="s">
        <v>234</v>
      </c>
      <c r="H417" s="23">
        <v>1686.14</v>
      </c>
      <c r="I417" s="23">
        <v>0</v>
      </c>
      <c r="J417" s="23">
        <v>0</v>
      </c>
      <c r="K417" s="24">
        <v>0</v>
      </c>
      <c r="L417" s="23">
        <v>-703.71</v>
      </c>
      <c r="M417" s="23">
        <v>0</v>
      </c>
      <c r="N417" s="23">
        <v>0</v>
      </c>
      <c r="O417" s="24">
        <f t="shared" si="42"/>
        <v>982.43000000000006</v>
      </c>
      <c r="P417" s="23">
        <v>-358</v>
      </c>
      <c r="Q417" s="23">
        <v>0</v>
      </c>
      <c r="R417" s="23">
        <v>0</v>
      </c>
      <c r="S417" s="23">
        <v>0</v>
      </c>
      <c r="T417" s="23">
        <v>0</v>
      </c>
      <c r="U417" s="23">
        <v>0</v>
      </c>
      <c r="V417" s="23">
        <v>0</v>
      </c>
      <c r="W417" s="23">
        <f t="shared" si="43"/>
        <v>624.43000000000006</v>
      </c>
      <c r="X417" s="23">
        <f t="shared" si="44"/>
        <v>624.43000000000006</v>
      </c>
      <c r="Y417" s="23">
        <f t="shared" si="45"/>
        <v>0</v>
      </c>
      <c r="Z417" s="20">
        <v>0</v>
      </c>
      <c r="AA417" s="23">
        <f t="shared" si="46"/>
        <v>0</v>
      </c>
      <c r="AB417" s="23">
        <f t="shared" si="47"/>
        <v>358</v>
      </c>
      <c r="AC417" s="20"/>
      <c r="AD417" s="20" t="str">
        <f>VLOOKUP($C417,'[1]CTRL AUTOS'!$E:$AH,2,0)</f>
        <v>X89ALV</v>
      </c>
      <c r="AE417" s="11" t="str">
        <f t="shared" si="48"/>
        <v>X89ALV24</v>
      </c>
    </row>
    <row r="418" spans="1:31" ht="12.75" hidden="1" customHeight="1" x14ac:dyDescent="0.3">
      <c r="A418" s="8">
        <v>24</v>
      </c>
      <c r="B418" s="20" t="s">
        <v>23</v>
      </c>
      <c r="C418" s="20" t="s">
        <v>34</v>
      </c>
      <c r="D418" s="20" t="s">
        <v>285</v>
      </c>
      <c r="E418" s="22" t="s">
        <v>232</v>
      </c>
      <c r="F418" s="20" t="s">
        <v>232</v>
      </c>
      <c r="G418" s="22" t="s">
        <v>234</v>
      </c>
      <c r="H418" s="23">
        <v>7238.05</v>
      </c>
      <c r="I418" s="23">
        <v>-16</v>
      </c>
      <c r="J418" s="23">
        <v>-9.3800000000000008</v>
      </c>
      <c r="K418" s="23">
        <v>0</v>
      </c>
      <c r="L418" s="23">
        <v>-3631</v>
      </c>
      <c r="M418" s="23">
        <v>-35</v>
      </c>
      <c r="N418" s="23">
        <v>0</v>
      </c>
      <c r="O418" s="24">
        <f t="shared" si="42"/>
        <v>3546.67</v>
      </c>
      <c r="P418" s="23">
        <v>-2500</v>
      </c>
      <c r="Q418" s="23">
        <v>0</v>
      </c>
      <c r="R418" s="23">
        <v>-500</v>
      </c>
      <c r="S418" s="23">
        <v>0</v>
      </c>
      <c r="T418" s="23">
        <v>0</v>
      </c>
      <c r="U418" s="23">
        <v>0</v>
      </c>
      <c r="V418" s="23">
        <v>0</v>
      </c>
      <c r="W418" s="23">
        <f t="shared" si="43"/>
        <v>546.67000000000007</v>
      </c>
      <c r="X418" s="23">
        <f t="shared" si="44"/>
        <v>546.67000000000007</v>
      </c>
      <c r="Y418" s="23">
        <f t="shared" si="45"/>
        <v>0</v>
      </c>
      <c r="Z418" s="23">
        <v>0</v>
      </c>
      <c r="AA418" s="23">
        <f t="shared" si="46"/>
        <v>0</v>
      </c>
      <c r="AB418" s="23">
        <f t="shared" si="47"/>
        <v>3000</v>
      </c>
      <c r="AC418" s="20"/>
      <c r="AD418" s="20" t="str">
        <f>VLOOKUP($C418,'[1]CTRL AUTOS'!$E:$AH,2,0)</f>
        <v>X59AWG</v>
      </c>
      <c r="AE418" s="11" t="str">
        <f t="shared" si="48"/>
        <v>X59AWG24</v>
      </c>
    </row>
    <row r="419" spans="1:31" ht="12.75" hidden="1" customHeight="1" x14ac:dyDescent="0.3">
      <c r="A419" s="8">
        <v>24</v>
      </c>
      <c r="B419" s="20" t="s">
        <v>299</v>
      </c>
      <c r="C419" s="20" t="s">
        <v>56</v>
      </c>
      <c r="D419" s="20" t="s">
        <v>237</v>
      </c>
      <c r="E419" s="22" t="s">
        <v>241</v>
      </c>
      <c r="F419" s="20" t="s">
        <v>237</v>
      </c>
      <c r="G419" s="22" t="s">
        <v>234</v>
      </c>
      <c r="H419" s="23">
        <v>724.01</v>
      </c>
      <c r="I419" s="23">
        <v>0</v>
      </c>
      <c r="J419" s="23">
        <v>0</v>
      </c>
      <c r="K419" s="23">
        <v>0</v>
      </c>
      <c r="L419" s="23">
        <v>-155.24</v>
      </c>
      <c r="M419" s="24">
        <v>0</v>
      </c>
      <c r="N419" s="23">
        <v>0</v>
      </c>
      <c r="O419" s="24">
        <f t="shared" si="42"/>
        <v>568.77</v>
      </c>
      <c r="P419" s="23">
        <v>0</v>
      </c>
      <c r="Q419" s="23">
        <v>0</v>
      </c>
      <c r="R419" s="23">
        <v>0</v>
      </c>
      <c r="S419" s="23">
        <v>0</v>
      </c>
      <c r="T419" s="23">
        <v>0</v>
      </c>
      <c r="U419" s="23">
        <v>0</v>
      </c>
      <c r="V419" s="23">
        <v>0</v>
      </c>
      <c r="W419" s="23">
        <f t="shared" si="43"/>
        <v>568.77</v>
      </c>
      <c r="X419" s="23">
        <f t="shared" si="44"/>
        <v>568.77</v>
      </c>
      <c r="Y419" s="23">
        <f t="shared" si="45"/>
        <v>0</v>
      </c>
      <c r="Z419" s="23">
        <v>0</v>
      </c>
      <c r="AA419" s="23">
        <f t="shared" si="46"/>
        <v>0</v>
      </c>
      <c r="AB419" s="23">
        <f t="shared" si="47"/>
        <v>0</v>
      </c>
      <c r="AC419" s="20" t="s">
        <v>346</v>
      </c>
      <c r="AD419" s="20" t="str">
        <f>VLOOKUP($C419,'[1]CTRL AUTOS'!$E:$AH,2,0)</f>
        <v>MYE912A</v>
      </c>
      <c r="AE419" s="11" t="str">
        <f t="shared" si="48"/>
        <v>MYE912A24</v>
      </c>
    </row>
    <row r="420" spans="1:31" ht="12.75" hidden="1" customHeight="1" x14ac:dyDescent="0.3">
      <c r="A420" s="8">
        <v>24</v>
      </c>
      <c r="B420" s="20" t="s">
        <v>25</v>
      </c>
      <c r="C420" s="20" t="s">
        <v>46</v>
      </c>
      <c r="D420" s="20" t="s">
        <v>237</v>
      </c>
      <c r="E420" s="22" t="s">
        <v>232</v>
      </c>
      <c r="F420" s="20" t="s">
        <v>232</v>
      </c>
      <c r="G420" s="22" t="s">
        <v>234</v>
      </c>
      <c r="H420" s="23">
        <v>4390.1400000000003</v>
      </c>
      <c r="I420" s="23">
        <v>0</v>
      </c>
      <c r="J420" s="23">
        <v>0</v>
      </c>
      <c r="K420" s="23">
        <v>0</v>
      </c>
      <c r="L420" s="23">
        <v>-1120.6199999999999</v>
      </c>
      <c r="M420" s="23">
        <v>-35</v>
      </c>
      <c r="N420" s="23">
        <v>0</v>
      </c>
      <c r="O420" s="24">
        <f t="shared" si="42"/>
        <v>3234.5200000000004</v>
      </c>
      <c r="P420" s="23">
        <v>-2500</v>
      </c>
      <c r="Q420" s="23">
        <v>-776</v>
      </c>
      <c r="R420" s="23">
        <v>-500</v>
      </c>
      <c r="S420" s="23">
        <v>0</v>
      </c>
      <c r="T420" s="23">
        <v>0</v>
      </c>
      <c r="U420" s="23">
        <v>0</v>
      </c>
      <c r="V420" s="23">
        <v>0</v>
      </c>
      <c r="W420" s="23">
        <f t="shared" si="43"/>
        <v>-541.47999999999956</v>
      </c>
      <c r="X420" s="23">
        <f t="shared" si="44"/>
        <v>0</v>
      </c>
      <c r="Y420" s="23">
        <f t="shared" si="45"/>
        <v>-541.47999999999956</v>
      </c>
      <c r="Z420" s="23">
        <v>0</v>
      </c>
      <c r="AA420" s="23">
        <f t="shared" si="46"/>
        <v>-541.47999999999956</v>
      </c>
      <c r="AB420" s="23">
        <f t="shared" si="47"/>
        <v>2693.0400000000009</v>
      </c>
      <c r="AC420" s="20"/>
      <c r="AD420" s="20" t="str">
        <f>VLOOKUP($C420,'[1]CTRL AUTOS'!$E:$AH,2,0)</f>
        <v>R66BER</v>
      </c>
      <c r="AE420" s="11" t="str">
        <f t="shared" si="48"/>
        <v>R66BER24</v>
      </c>
    </row>
    <row r="421" spans="1:31" ht="12.75" hidden="1" customHeight="1" x14ac:dyDescent="0.3">
      <c r="A421" s="8">
        <v>24</v>
      </c>
      <c r="B421" s="20" t="s">
        <v>260</v>
      </c>
      <c r="C421" s="20" t="s">
        <v>81</v>
      </c>
      <c r="D421" s="20" t="s">
        <v>237</v>
      </c>
      <c r="E421" s="22" t="s">
        <v>232</v>
      </c>
      <c r="F421" s="20" t="s">
        <v>232</v>
      </c>
      <c r="G421" s="22" t="s">
        <v>234</v>
      </c>
      <c r="H421" s="23">
        <v>5728.35</v>
      </c>
      <c r="I421" s="23">
        <v>-18.5</v>
      </c>
      <c r="J421" s="23">
        <v>0</v>
      </c>
      <c r="K421" s="23">
        <v>0</v>
      </c>
      <c r="L421" s="23">
        <v>-1703.75</v>
      </c>
      <c r="M421" s="23">
        <v>-35</v>
      </c>
      <c r="N421" s="23">
        <v>0</v>
      </c>
      <c r="O421" s="24">
        <f t="shared" si="42"/>
        <v>3971.1000000000004</v>
      </c>
      <c r="P421" s="23">
        <v>-2500</v>
      </c>
      <c r="Q421" s="23">
        <v>0</v>
      </c>
      <c r="R421" s="23">
        <v>0</v>
      </c>
      <c r="S421" s="23">
        <v>-500</v>
      </c>
      <c r="T421" s="23">
        <v>0</v>
      </c>
      <c r="U421" s="23">
        <v>0</v>
      </c>
      <c r="V421" s="23">
        <v>0</v>
      </c>
      <c r="W421" s="23">
        <f t="shared" si="43"/>
        <v>971.10000000000036</v>
      </c>
      <c r="X421" s="23">
        <f t="shared" si="44"/>
        <v>971.10000000000036</v>
      </c>
      <c r="Y421" s="23">
        <f t="shared" si="45"/>
        <v>0</v>
      </c>
      <c r="Z421" s="23">
        <v>0</v>
      </c>
      <c r="AA421" s="23">
        <f t="shared" si="46"/>
        <v>0</v>
      </c>
      <c r="AB421" s="23">
        <f t="shared" si="47"/>
        <v>3000</v>
      </c>
      <c r="AC421" s="20"/>
      <c r="AD421" s="20" t="str">
        <f>VLOOKUP($C421,'[1]CTRL AUTOS'!$E:$AH,2,0)</f>
        <v>NLP172B</v>
      </c>
      <c r="AE421" s="11" t="str">
        <f t="shared" si="48"/>
        <v>NLP172B24</v>
      </c>
    </row>
    <row r="422" spans="1:31" ht="12.75" hidden="1" customHeight="1" x14ac:dyDescent="0.3">
      <c r="A422" s="8">
        <v>24</v>
      </c>
      <c r="B422" s="20" t="s">
        <v>72</v>
      </c>
      <c r="C422" s="20" t="s">
        <v>73</v>
      </c>
      <c r="D422" s="20" t="s">
        <v>237</v>
      </c>
      <c r="E422" s="22" t="s">
        <v>241</v>
      </c>
      <c r="F422" s="20" t="s">
        <v>291</v>
      </c>
      <c r="G422" s="22" t="s">
        <v>234</v>
      </c>
      <c r="H422" s="23">
        <v>10013.450000000001</v>
      </c>
      <c r="I422" s="23">
        <v>-138.4</v>
      </c>
      <c r="J422" s="23">
        <v>0</v>
      </c>
      <c r="K422" s="23">
        <v>-84.2</v>
      </c>
      <c r="L422" s="23">
        <v>-4262.97</v>
      </c>
      <c r="M422" s="23">
        <v>-28</v>
      </c>
      <c r="N422" s="23">
        <v>-107</v>
      </c>
      <c r="O422" s="24">
        <f t="shared" si="42"/>
        <v>5392.88</v>
      </c>
      <c r="P422" s="23">
        <v>-2500</v>
      </c>
      <c r="Q422" s="23">
        <v>-800</v>
      </c>
      <c r="R422" s="23">
        <v>0</v>
      </c>
      <c r="S422" s="23">
        <v>-38</v>
      </c>
      <c r="T422" s="23">
        <v>0</v>
      </c>
      <c r="U422" s="23">
        <v>150</v>
      </c>
      <c r="V422" s="23">
        <v>0</v>
      </c>
      <c r="W422" s="23">
        <f t="shared" si="43"/>
        <v>2204.88</v>
      </c>
      <c r="X422" s="23">
        <f t="shared" si="44"/>
        <v>2204.88</v>
      </c>
      <c r="Y422" s="23">
        <f t="shared" si="45"/>
        <v>0</v>
      </c>
      <c r="Z422" s="23">
        <v>0</v>
      </c>
      <c r="AA422" s="23">
        <f t="shared" si="46"/>
        <v>0</v>
      </c>
      <c r="AB422" s="23">
        <f t="shared" si="47"/>
        <v>3188</v>
      </c>
      <c r="AC422" s="20"/>
      <c r="AD422" s="20" t="str">
        <f>VLOOKUP($C422,'[1]CTRL AUTOS'!$E:$AH,2,0)</f>
        <v>H99BLC</v>
      </c>
      <c r="AE422" s="11" t="str">
        <f t="shared" si="48"/>
        <v>H99BLC24</v>
      </c>
    </row>
    <row r="423" spans="1:31" ht="12.75" hidden="1" customHeight="1" x14ac:dyDescent="0.3">
      <c r="A423" s="8">
        <v>24</v>
      </c>
      <c r="B423" s="20" t="s">
        <v>292</v>
      </c>
      <c r="C423" s="20" t="s">
        <v>52</v>
      </c>
      <c r="D423" s="20" t="s">
        <v>237</v>
      </c>
      <c r="E423" s="22" t="s">
        <v>232</v>
      </c>
      <c r="F423" s="20" t="s">
        <v>232</v>
      </c>
      <c r="G423" s="22" t="s">
        <v>234</v>
      </c>
      <c r="H423" s="23">
        <v>10504.54</v>
      </c>
      <c r="I423" s="23">
        <v>-120</v>
      </c>
      <c r="J423" s="23">
        <v>-9.6999999999999993</v>
      </c>
      <c r="K423" s="23">
        <v>180</v>
      </c>
      <c r="L423" s="23">
        <v>-3778.57</v>
      </c>
      <c r="M423" s="23">
        <v>-23</v>
      </c>
      <c r="N423" s="23">
        <v>-40</v>
      </c>
      <c r="O423" s="24">
        <f t="shared" si="42"/>
        <v>6713.27</v>
      </c>
      <c r="P423" s="23">
        <v>-2500</v>
      </c>
      <c r="Q423" s="23">
        <v>0</v>
      </c>
      <c r="R423" s="23">
        <v>0</v>
      </c>
      <c r="S423" s="23">
        <v>0</v>
      </c>
      <c r="T423" s="23">
        <v>0</v>
      </c>
      <c r="U423" s="23">
        <v>-61</v>
      </c>
      <c r="V423" s="23">
        <v>0</v>
      </c>
      <c r="W423" s="23">
        <f t="shared" si="43"/>
        <v>4152.2700000000004</v>
      </c>
      <c r="X423" s="23">
        <f t="shared" si="44"/>
        <v>4152.2700000000004</v>
      </c>
      <c r="Y423" s="23">
        <f t="shared" si="45"/>
        <v>0</v>
      </c>
      <c r="Z423" s="23">
        <v>0</v>
      </c>
      <c r="AA423" s="23">
        <f t="shared" si="46"/>
        <v>0</v>
      </c>
      <c r="AB423" s="23">
        <f t="shared" si="47"/>
        <v>2561</v>
      </c>
      <c r="AC423" s="20" t="s">
        <v>347</v>
      </c>
      <c r="AD423" s="20" t="str">
        <f>VLOOKUP($C423,'[1]CTRL AUTOS'!$E:$AH,2,0)</f>
        <v>A35BHD</v>
      </c>
      <c r="AE423" s="11" t="str">
        <f t="shared" si="48"/>
        <v>A35BHD24</v>
      </c>
    </row>
    <row r="424" spans="1:31" ht="12.75" hidden="1" customHeight="1" x14ac:dyDescent="0.3">
      <c r="A424" s="8">
        <v>24</v>
      </c>
      <c r="B424" s="20" t="s">
        <v>105</v>
      </c>
      <c r="C424" s="20" t="s">
        <v>75</v>
      </c>
      <c r="D424" s="20" t="s">
        <v>333</v>
      </c>
      <c r="E424" s="22" t="s">
        <v>241</v>
      </c>
      <c r="F424" s="20" t="s">
        <v>291</v>
      </c>
      <c r="G424" s="22" t="s">
        <v>234</v>
      </c>
      <c r="H424" s="23">
        <v>0</v>
      </c>
      <c r="I424" s="23">
        <v>0</v>
      </c>
      <c r="J424" s="23">
        <v>0</v>
      </c>
      <c r="K424" s="23">
        <v>0</v>
      </c>
      <c r="L424" s="23">
        <v>0</v>
      </c>
      <c r="M424" s="23">
        <v>0</v>
      </c>
      <c r="N424" s="23">
        <v>0</v>
      </c>
      <c r="O424" s="24">
        <f t="shared" si="42"/>
        <v>0</v>
      </c>
      <c r="P424" s="23">
        <v>-2500</v>
      </c>
      <c r="Q424" s="23">
        <v>0</v>
      </c>
      <c r="R424" s="23">
        <v>0</v>
      </c>
      <c r="S424" s="23">
        <v>0</v>
      </c>
      <c r="T424" s="23">
        <v>0</v>
      </c>
      <c r="U424" s="23">
        <v>0</v>
      </c>
      <c r="V424" s="23">
        <v>0</v>
      </c>
      <c r="W424" s="23">
        <f t="shared" si="43"/>
        <v>-2500</v>
      </c>
      <c r="X424" s="23">
        <f t="shared" si="44"/>
        <v>0</v>
      </c>
      <c r="Y424" s="23">
        <f t="shared" si="45"/>
        <v>-2500</v>
      </c>
      <c r="Z424" s="23">
        <v>2500</v>
      </c>
      <c r="AA424" s="23">
        <f t="shared" si="46"/>
        <v>0</v>
      </c>
      <c r="AB424" s="23">
        <f t="shared" si="47"/>
        <v>2500</v>
      </c>
      <c r="AC424" s="20" t="s">
        <v>344</v>
      </c>
      <c r="AD424" s="20" t="str">
        <f>VLOOKUP($C424,'[1]CTRL AUTOS'!$E:$AH,2,0)</f>
        <v>NFN014B</v>
      </c>
      <c r="AE424" s="11" t="str">
        <f t="shared" si="48"/>
        <v>NFN014B24</v>
      </c>
    </row>
    <row r="425" spans="1:31" ht="12.75" hidden="1" customHeight="1" x14ac:dyDescent="0.3">
      <c r="A425" s="8">
        <v>24</v>
      </c>
      <c r="B425" s="20" t="s">
        <v>288</v>
      </c>
      <c r="C425" s="20" t="s">
        <v>22</v>
      </c>
      <c r="D425" s="20" t="s">
        <v>319</v>
      </c>
      <c r="E425" s="20" t="s">
        <v>232</v>
      </c>
      <c r="F425" s="20" t="s">
        <v>232</v>
      </c>
      <c r="G425" s="22" t="s">
        <v>234</v>
      </c>
      <c r="H425" s="23">
        <v>9502.31</v>
      </c>
      <c r="I425" s="23">
        <v>-80.8</v>
      </c>
      <c r="J425" s="23">
        <v>-13.11</v>
      </c>
      <c r="K425" s="23">
        <v>0</v>
      </c>
      <c r="L425" s="23">
        <v>-2450.94</v>
      </c>
      <c r="M425" s="23">
        <v>-35</v>
      </c>
      <c r="N425" s="23">
        <v>0</v>
      </c>
      <c r="O425" s="24">
        <f t="shared" si="42"/>
        <v>6922.4599999999991</v>
      </c>
      <c r="P425" s="23">
        <v>-2500</v>
      </c>
      <c r="Q425" s="23">
        <v>0</v>
      </c>
      <c r="R425" s="23">
        <v>0</v>
      </c>
      <c r="S425" s="23">
        <v>0</v>
      </c>
      <c r="T425" s="23">
        <v>0</v>
      </c>
      <c r="U425" s="23">
        <v>0</v>
      </c>
      <c r="V425" s="23">
        <v>0</v>
      </c>
      <c r="W425" s="23">
        <f t="shared" si="43"/>
        <v>4422.4599999999991</v>
      </c>
      <c r="X425" s="23">
        <f t="shared" si="44"/>
        <v>4422.4599999999991</v>
      </c>
      <c r="Y425" s="23">
        <f t="shared" si="45"/>
        <v>0</v>
      </c>
      <c r="Z425" s="23">
        <v>0</v>
      </c>
      <c r="AA425" s="23">
        <f t="shared" si="46"/>
        <v>0</v>
      </c>
      <c r="AB425" s="23">
        <f t="shared" si="47"/>
        <v>2500</v>
      </c>
      <c r="AC425" s="20"/>
      <c r="AD425" s="20" t="str">
        <f>VLOOKUP($C425,'[1]CTRL AUTOS'!$E:$AH,2,0)</f>
        <v>NCK475B</v>
      </c>
      <c r="AE425" s="11" t="str">
        <f t="shared" si="48"/>
        <v>NCK475B24</v>
      </c>
    </row>
    <row r="426" spans="1:31" ht="12.75" hidden="1" customHeight="1" x14ac:dyDescent="0.3">
      <c r="A426" s="8">
        <v>24</v>
      </c>
      <c r="B426" s="20" t="s">
        <v>324</v>
      </c>
      <c r="C426" s="20" t="s">
        <v>168</v>
      </c>
      <c r="D426" s="20" t="s">
        <v>237</v>
      </c>
      <c r="E426" s="39" t="s">
        <v>232</v>
      </c>
      <c r="F426" s="41" t="s">
        <v>232</v>
      </c>
      <c r="G426" s="22" t="s">
        <v>234</v>
      </c>
      <c r="H426" s="23">
        <v>3461.27</v>
      </c>
      <c r="I426" s="23">
        <v>0</v>
      </c>
      <c r="J426" s="23">
        <v>0</v>
      </c>
      <c r="K426" s="23">
        <v>0</v>
      </c>
      <c r="L426" s="23">
        <v>-2249.0700000000002</v>
      </c>
      <c r="M426" s="23">
        <v>-35</v>
      </c>
      <c r="N426" s="23">
        <v>0</v>
      </c>
      <c r="O426" s="24">
        <f t="shared" si="42"/>
        <v>1177.1999999999998</v>
      </c>
      <c r="P426" s="23">
        <v>-2500</v>
      </c>
      <c r="Q426" s="23">
        <v>829</v>
      </c>
      <c r="R426" s="23">
        <v>-500</v>
      </c>
      <c r="S426" s="23">
        <v>0</v>
      </c>
      <c r="T426" s="23">
        <v>-500</v>
      </c>
      <c r="U426" s="23">
        <v>0</v>
      </c>
      <c r="V426" s="23">
        <v>0</v>
      </c>
      <c r="W426" s="23">
        <f t="shared" si="43"/>
        <v>-1493.8000000000002</v>
      </c>
      <c r="X426" s="23">
        <f t="shared" si="44"/>
        <v>0</v>
      </c>
      <c r="Y426" s="23">
        <f t="shared" si="45"/>
        <v>-1493.8000000000002</v>
      </c>
      <c r="Z426" s="23">
        <v>1495</v>
      </c>
      <c r="AA426" s="23">
        <f t="shared" si="46"/>
        <v>1.1999999999998181</v>
      </c>
      <c r="AB426" s="23">
        <f t="shared" si="47"/>
        <v>2673.3999999999996</v>
      </c>
      <c r="AC426" s="20" t="s">
        <v>344</v>
      </c>
      <c r="AD426" s="20" t="e">
        <f>VLOOKUP($C426,'[1]CTRL AUTOS'!$E:$AH,2,0)</f>
        <v>#N/A</v>
      </c>
      <c r="AE426" s="11" t="e">
        <f t="shared" si="48"/>
        <v>#N/A</v>
      </c>
    </row>
    <row r="427" spans="1:31" ht="12.75" hidden="1" customHeight="1" x14ac:dyDescent="0.3">
      <c r="A427" s="8">
        <v>24</v>
      </c>
      <c r="B427" s="20" t="s">
        <v>244</v>
      </c>
      <c r="C427" s="20" t="s">
        <v>4</v>
      </c>
      <c r="D427" s="22" t="s">
        <v>245</v>
      </c>
      <c r="E427" s="22" t="s">
        <v>232</v>
      </c>
      <c r="F427" s="20" t="s">
        <v>232</v>
      </c>
      <c r="G427" s="22" t="s">
        <v>234</v>
      </c>
      <c r="H427" s="23">
        <v>2481.38</v>
      </c>
      <c r="I427" s="23">
        <v>0</v>
      </c>
      <c r="J427" s="23">
        <v>0</v>
      </c>
      <c r="K427" s="23">
        <v>0</v>
      </c>
      <c r="L427" s="23">
        <v>-174.47</v>
      </c>
      <c r="M427" s="23">
        <v>-28</v>
      </c>
      <c r="N427" s="23">
        <v>0</v>
      </c>
      <c r="O427" s="24">
        <f t="shared" si="42"/>
        <v>2278.9100000000003</v>
      </c>
      <c r="P427" s="23">
        <v>-2500</v>
      </c>
      <c r="Q427" s="23">
        <v>-18</v>
      </c>
      <c r="R427" s="23">
        <v>0</v>
      </c>
      <c r="S427" s="23">
        <v>0</v>
      </c>
      <c r="T427" s="23">
        <v>0</v>
      </c>
      <c r="U427" s="23">
        <v>0</v>
      </c>
      <c r="V427" s="23">
        <v>0</v>
      </c>
      <c r="W427" s="23">
        <f t="shared" si="43"/>
        <v>-239.08999999999969</v>
      </c>
      <c r="X427" s="23">
        <f t="shared" si="44"/>
        <v>0</v>
      </c>
      <c r="Y427" s="23">
        <f t="shared" si="45"/>
        <v>-239.08999999999969</v>
      </c>
      <c r="Z427" s="23">
        <v>239</v>
      </c>
      <c r="AA427" s="23">
        <f t="shared" si="46"/>
        <v>-8.9999999999690772E-2</v>
      </c>
      <c r="AB427" s="23">
        <f t="shared" si="47"/>
        <v>2517.8200000000006</v>
      </c>
      <c r="AC427" s="20" t="s">
        <v>344</v>
      </c>
      <c r="AD427" s="20" t="str">
        <f>VLOOKUP($C427,'[1]CTRL AUTOS'!$E:$AH,2,0)</f>
        <v>N15BKD</v>
      </c>
      <c r="AE427" s="11" t="str">
        <f t="shared" si="48"/>
        <v>N15BKD24</v>
      </c>
    </row>
    <row r="428" spans="1:31" ht="12.75" hidden="1" customHeight="1" x14ac:dyDescent="0.3">
      <c r="A428" s="8">
        <v>24</v>
      </c>
      <c r="B428" s="20" t="s">
        <v>35</v>
      </c>
      <c r="C428" s="20" t="s">
        <v>97</v>
      </c>
      <c r="D428" s="20" t="s">
        <v>237</v>
      </c>
      <c r="E428" s="22" t="s">
        <v>232</v>
      </c>
      <c r="F428" s="20" t="s">
        <v>232</v>
      </c>
      <c r="G428" s="22" t="s">
        <v>234</v>
      </c>
      <c r="H428" s="23">
        <v>8553.7900000000009</v>
      </c>
      <c r="I428" s="23">
        <v>-65.599999999999994</v>
      </c>
      <c r="J428" s="23">
        <v>0</v>
      </c>
      <c r="K428" s="23">
        <v>0</v>
      </c>
      <c r="L428" s="23">
        <v>-3894.07</v>
      </c>
      <c r="M428" s="23">
        <v>-28</v>
      </c>
      <c r="N428" s="23">
        <v>0</v>
      </c>
      <c r="O428" s="24">
        <f t="shared" si="42"/>
        <v>4566.1200000000008</v>
      </c>
      <c r="P428" s="23">
        <v>-2500</v>
      </c>
      <c r="Q428" s="23">
        <v>-15</v>
      </c>
      <c r="R428" s="23">
        <v>0</v>
      </c>
      <c r="S428" s="23">
        <v>0</v>
      </c>
      <c r="T428" s="23">
        <v>0</v>
      </c>
      <c r="U428" s="23">
        <v>0</v>
      </c>
      <c r="V428" s="23">
        <v>0</v>
      </c>
      <c r="W428" s="23">
        <f t="shared" si="43"/>
        <v>2051.1200000000008</v>
      </c>
      <c r="X428" s="23">
        <f t="shared" si="44"/>
        <v>2051.1200000000008</v>
      </c>
      <c r="Y428" s="23">
        <f t="shared" si="45"/>
        <v>0</v>
      </c>
      <c r="Z428" s="23">
        <v>0</v>
      </c>
      <c r="AA428" s="23">
        <f t="shared" si="46"/>
        <v>0</v>
      </c>
      <c r="AB428" s="23">
        <f t="shared" si="47"/>
        <v>2515</v>
      </c>
      <c r="AC428" s="20" t="s">
        <v>348</v>
      </c>
      <c r="AD428" s="20" t="str">
        <f>VLOOKUP($C428,'[1]CTRL AUTOS'!$E:$AH,2,0)</f>
        <v>MUF515A</v>
      </c>
      <c r="AE428" s="11" t="str">
        <f t="shared" si="48"/>
        <v>MUF515A24</v>
      </c>
    </row>
    <row r="429" spans="1:31" ht="12.75" hidden="1" customHeight="1" x14ac:dyDescent="0.3">
      <c r="A429" s="8">
        <v>24</v>
      </c>
      <c r="B429" s="20" t="s">
        <v>37</v>
      </c>
      <c r="C429" s="20" t="s">
        <v>246</v>
      </c>
      <c r="D429" s="20" t="s">
        <v>237</v>
      </c>
      <c r="E429" s="22" t="s">
        <v>232</v>
      </c>
      <c r="F429" s="20" t="s">
        <v>291</v>
      </c>
      <c r="G429" s="22" t="s">
        <v>234</v>
      </c>
      <c r="H429" s="23">
        <v>2728.85</v>
      </c>
      <c r="I429" s="23">
        <v>0</v>
      </c>
      <c r="J429" s="23">
        <v>0</v>
      </c>
      <c r="K429" s="23">
        <v>0</v>
      </c>
      <c r="L429" s="23">
        <v>-836.06</v>
      </c>
      <c r="M429" s="24">
        <v>-35</v>
      </c>
      <c r="N429" s="23">
        <v>0</v>
      </c>
      <c r="O429" s="24">
        <f t="shared" si="42"/>
        <v>1857.79</v>
      </c>
      <c r="P429" s="23">
        <v>-2500</v>
      </c>
      <c r="Q429" s="23">
        <v>32</v>
      </c>
      <c r="R429" s="23">
        <v>0</v>
      </c>
      <c r="S429" s="23">
        <v>0</v>
      </c>
      <c r="T429" s="23">
        <v>0</v>
      </c>
      <c r="U429" s="23">
        <v>0</v>
      </c>
      <c r="V429" s="23">
        <v>0</v>
      </c>
      <c r="W429" s="23">
        <f t="shared" si="43"/>
        <v>-610.21</v>
      </c>
      <c r="X429" s="23">
        <f t="shared" si="44"/>
        <v>0</v>
      </c>
      <c r="Y429" s="23">
        <f t="shared" si="45"/>
        <v>-610.21</v>
      </c>
      <c r="Z429" s="23">
        <v>610</v>
      </c>
      <c r="AA429" s="23">
        <f t="shared" si="46"/>
        <v>-0.21000000000003638</v>
      </c>
      <c r="AB429" s="23">
        <f t="shared" si="47"/>
        <v>2467.58</v>
      </c>
      <c r="AC429" s="20" t="s">
        <v>344</v>
      </c>
      <c r="AD429" s="20" t="s">
        <v>248</v>
      </c>
      <c r="AE429" s="11" t="str">
        <f t="shared" si="48"/>
        <v>X24APU24</v>
      </c>
    </row>
    <row r="430" spans="1:31" ht="12.75" hidden="1" customHeight="1" x14ac:dyDescent="0.3">
      <c r="A430" s="8">
        <v>24</v>
      </c>
      <c r="B430" s="20" t="s">
        <v>331</v>
      </c>
      <c r="C430" s="20" t="s">
        <v>69</v>
      </c>
      <c r="D430" s="20" t="s">
        <v>237</v>
      </c>
      <c r="E430" s="22" t="s">
        <v>241</v>
      </c>
      <c r="F430" s="20" t="s">
        <v>291</v>
      </c>
      <c r="G430" s="22" t="s">
        <v>234</v>
      </c>
      <c r="H430" s="23">
        <v>3055.74</v>
      </c>
      <c r="I430" s="23">
        <v>0</v>
      </c>
      <c r="J430" s="23">
        <v>0</v>
      </c>
      <c r="K430" s="23">
        <v>0</v>
      </c>
      <c r="L430" s="23">
        <v>-1178.8499999999999</v>
      </c>
      <c r="M430" s="24">
        <v>-30</v>
      </c>
      <c r="N430" s="23">
        <v>0</v>
      </c>
      <c r="O430" s="24">
        <f t="shared" si="42"/>
        <v>1846.8899999999999</v>
      </c>
      <c r="P430" s="23">
        <v>-2500</v>
      </c>
      <c r="Q430" s="23">
        <v>-878</v>
      </c>
      <c r="R430" s="23">
        <v>-500</v>
      </c>
      <c r="S430" s="23">
        <v>0</v>
      </c>
      <c r="T430" s="23">
        <v>0</v>
      </c>
      <c r="U430" s="23">
        <v>0</v>
      </c>
      <c r="V430" s="23">
        <v>0</v>
      </c>
      <c r="W430" s="23">
        <f t="shared" si="43"/>
        <v>-2031.1100000000001</v>
      </c>
      <c r="X430" s="23">
        <f t="shared" si="44"/>
        <v>0</v>
      </c>
      <c r="Y430" s="23">
        <f t="shared" si="45"/>
        <v>-2031.1100000000001</v>
      </c>
      <c r="Z430" s="23">
        <v>2000</v>
      </c>
      <c r="AA430" s="23">
        <f t="shared" si="46"/>
        <v>-31.110000000000127</v>
      </c>
      <c r="AB430" s="23">
        <f t="shared" si="47"/>
        <v>3815.7799999999997</v>
      </c>
      <c r="AC430" s="20" t="s">
        <v>344</v>
      </c>
      <c r="AD430" s="20" t="str">
        <f>VLOOKUP($C430,'[1]CTRL AUTOS'!$E:$AH,2,0)</f>
        <v>R51BKD</v>
      </c>
      <c r="AE430" s="11" t="str">
        <f t="shared" si="48"/>
        <v>R51BKD24</v>
      </c>
    </row>
    <row r="431" spans="1:31" ht="12.75" hidden="1" customHeight="1" x14ac:dyDescent="0.3">
      <c r="A431" s="8">
        <v>24</v>
      </c>
      <c r="B431" s="20" t="s">
        <v>293</v>
      </c>
      <c r="C431" s="20" t="s">
        <v>34</v>
      </c>
      <c r="D431" s="20" t="s">
        <v>285</v>
      </c>
      <c r="E431" s="22" t="s">
        <v>232</v>
      </c>
      <c r="F431" s="20" t="s">
        <v>237</v>
      </c>
      <c r="G431" s="22" t="s">
        <v>234</v>
      </c>
      <c r="H431" s="23">
        <v>0</v>
      </c>
      <c r="I431" s="23">
        <v>0</v>
      </c>
      <c r="J431" s="23">
        <v>0</v>
      </c>
      <c r="K431" s="23">
        <v>0</v>
      </c>
      <c r="L431" s="23">
        <v>0</v>
      </c>
      <c r="M431" s="24">
        <v>0</v>
      </c>
      <c r="N431" s="23">
        <v>-620</v>
      </c>
      <c r="O431" s="24">
        <f t="shared" si="42"/>
        <v>-620</v>
      </c>
      <c r="P431" s="23">
        <v>0</v>
      </c>
      <c r="Q431" s="23">
        <v>-1532</v>
      </c>
      <c r="R431" s="23">
        <v>0</v>
      </c>
      <c r="S431" s="23">
        <v>0</v>
      </c>
      <c r="T431" s="23">
        <v>0</v>
      </c>
      <c r="U431" s="23">
        <v>0</v>
      </c>
      <c r="V431" s="23">
        <v>0</v>
      </c>
      <c r="W431" s="23">
        <f t="shared" si="43"/>
        <v>-2152</v>
      </c>
      <c r="X431" s="23">
        <f t="shared" si="44"/>
        <v>0</v>
      </c>
      <c r="Y431" s="23">
        <f t="shared" si="45"/>
        <v>-2152</v>
      </c>
      <c r="Z431" s="23">
        <v>0</v>
      </c>
      <c r="AA431" s="23">
        <f t="shared" si="46"/>
        <v>-2152</v>
      </c>
      <c r="AB431" s="23">
        <f t="shared" si="47"/>
        <v>-2772</v>
      </c>
      <c r="AC431" s="20" t="s">
        <v>218</v>
      </c>
      <c r="AD431" s="20" t="str">
        <f>VLOOKUP($C431,'[1]CTRL AUTOS'!$E:$AH,2,0)</f>
        <v>X59AWG</v>
      </c>
      <c r="AE431" s="11" t="str">
        <f t="shared" si="48"/>
        <v>X59AWG24</v>
      </c>
    </row>
    <row r="432" spans="1:31" ht="12.75" hidden="1" customHeight="1" x14ac:dyDescent="0.3">
      <c r="A432" s="8">
        <v>24</v>
      </c>
      <c r="B432" s="20" t="s">
        <v>321</v>
      </c>
      <c r="C432" s="20" t="s">
        <v>40</v>
      </c>
      <c r="D432" s="20" t="s">
        <v>237</v>
      </c>
      <c r="E432" s="22" t="s">
        <v>232</v>
      </c>
      <c r="F432" s="20" t="s">
        <v>232</v>
      </c>
      <c r="G432" s="22" t="s">
        <v>234</v>
      </c>
      <c r="H432" s="23">
        <v>2900.37</v>
      </c>
      <c r="I432" s="23">
        <v>0</v>
      </c>
      <c r="J432" s="23">
        <v>0</v>
      </c>
      <c r="K432" s="23">
        <v>0</v>
      </c>
      <c r="L432" s="23">
        <v>-153.77000000000001</v>
      </c>
      <c r="M432" s="23">
        <v>-30</v>
      </c>
      <c r="N432" s="23">
        <v>0</v>
      </c>
      <c r="O432" s="24">
        <f t="shared" si="42"/>
        <v>2716.6</v>
      </c>
      <c r="P432" s="23">
        <v>-2500</v>
      </c>
      <c r="Q432" s="23">
        <v>0.15000000000009095</v>
      </c>
      <c r="R432" s="23">
        <v>-500</v>
      </c>
      <c r="S432" s="23">
        <v>0</v>
      </c>
      <c r="T432" s="23">
        <v>0</v>
      </c>
      <c r="U432" s="23">
        <v>20</v>
      </c>
      <c r="V432" s="23">
        <v>0</v>
      </c>
      <c r="W432" s="23">
        <f t="shared" si="43"/>
        <v>-263.25</v>
      </c>
      <c r="X432" s="23">
        <f t="shared" si="44"/>
        <v>0</v>
      </c>
      <c r="Y432" s="23">
        <f t="shared" si="45"/>
        <v>-263.25</v>
      </c>
      <c r="Z432" s="23">
        <v>0</v>
      </c>
      <c r="AA432" s="23">
        <f t="shared" si="46"/>
        <v>-263.25</v>
      </c>
      <c r="AB432" s="23">
        <f t="shared" si="47"/>
        <v>2453.35</v>
      </c>
      <c r="AC432" s="20"/>
      <c r="AD432" s="20" t="str">
        <f>VLOOKUP($C432,'[1]CTRL AUTOS'!$E:$AH,2,0)</f>
        <v>NEL860A</v>
      </c>
      <c r="AE432" s="11" t="str">
        <f t="shared" si="48"/>
        <v>NEL860A24</v>
      </c>
    </row>
    <row r="433" spans="1:31" ht="12.75" hidden="1" customHeight="1" x14ac:dyDescent="0.3">
      <c r="A433" s="8">
        <v>24</v>
      </c>
      <c r="B433" s="20" t="s">
        <v>45</v>
      </c>
      <c r="C433" s="20" t="s">
        <v>249</v>
      </c>
      <c r="D433" s="20" t="s">
        <v>250</v>
      </c>
      <c r="E433" s="22" t="s">
        <v>232</v>
      </c>
      <c r="F433" s="20" t="s">
        <v>232</v>
      </c>
      <c r="G433" s="22" t="s">
        <v>234</v>
      </c>
      <c r="H433" s="23">
        <v>4078.43</v>
      </c>
      <c r="I433" s="23">
        <v>0</v>
      </c>
      <c r="J433" s="23">
        <v>0</v>
      </c>
      <c r="K433" s="23">
        <v>0</v>
      </c>
      <c r="L433" s="23">
        <v>-1799.82</v>
      </c>
      <c r="M433" s="23">
        <v>-25</v>
      </c>
      <c r="N433" s="23">
        <v>0</v>
      </c>
      <c r="O433" s="24">
        <f t="shared" si="42"/>
        <v>2253.6099999999997</v>
      </c>
      <c r="P433" s="23">
        <v>-2300</v>
      </c>
      <c r="Q433" s="23">
        <v>0</v>
      </c>
      <c r="R433" s="23">
        <v>0</v>
      </c>
      <c r="S433" s="23">
        <v>0</v>
      </c>
      <c r="T433" s="23">
        <v>0</v>
      </c>
      <c r="U433" s="23">
        <v>0</v>
      </c>
      <c r="V433" s="23">
        <v>0</v>
      </c>
      <c r="W433" s="23">
        <f t="shared" si="43"/>
        <v>-46.390000000000327</v>
      </c>
      <c r="X433" s="23">
        <f t="shared" si="44"/>
        <v>0</v>
      </c>
      <c r="Y433" s="23">
        <f t="shared" si="45"/>
        <v>-46.390000000000327</v>
      </c>
      <c r="Z433" s="23">
        <v>47</v>
      </c>
      <c r="AA433" s="23">
        <f t="shared" si="46"/>
        <v>0.60999999999967258</v>
      </c>
      <c r="AB433" s="23">
        <f t="shared" si="47"/>
        <v>2301.2199999999993</v>
      </c>
      <c r="AC433" s="20" t="s">
        <v>344</v>
      </c>
      <c r="AD433" s="20" t="s">
        <v>251</v>
      </c>
      <c r="AE433" s="11" t="str">
        <f t="shared" si="48"/>
        <v>BAJA DE PLACAS24</v>
      </c>
    </row>
    <row r="434" spans="1:31" ht="12.75" hidden="1" customHeight="1" x14ac:dyDescent="0.3">
      <c r="A434" s="8">
        <v>24</v>
      </c>
      <c r="B434" s="20" t="s">
        <v>5</v>
      </c>
      <c r="C434" s="20" t="s">
        <v>50</v>
      </c>
      <c r="D434" s="20" t="s">
        <v>237</v>
      </c>
      <c r="E434" s="22" t="s">
        <v>232</v>
      </c>
      <c r="F434" s="20" t="s">
        <v>232</v>
      </c>
      <c r="G434" s="22" t="s">
        <v>234</v>
      </c>
      <c r="H434" s="23">
        <v>7530.61</v>
      </c>
      <c r="I434" s="23">
        <v>-76.8</v>
      </c>
      <c r="J434" s="23">
        <v>0</v>
      </c>
      <c r="K434" s="23">
        <v>0</v>
      </c>
      <c r="L434" s="23">
        <v>-2292.89</v>
      </c>
      <c r="M434" s="23">
        <v>-35</v>
      </c>
      <c r="N434" s="23">
        <v>0</v>
      </c>
      <c r="O434" s="24">
        <f t="shared" si="42"/>
        <v>5125.92</v>
      </c>
      <c r="P434" s="23">
        <v>-2500</v>
      </c>
      <c r="Q434" s="23">
        <v>-500</v>
      </c>
      <c r="R434" s="23">
        <v>0</v>
      </c>
      <c r="S434" s="23">
        <v>0</v>
      </c>
      <c r="T434" s="23">
        <v>0</v>
      </c>
      <c r="U434" s="23">
        <v>0</v>
      </c>
      <c r="V434" s="23">
        <v>0</v>
      </c>
      <c r="W434" s="23">
        <f t="shared" si="43"/>
        <v>2125.92</v>
      </c>
      <c r="X434" s="23">
        <f t="shared" si="44"/>
        <v>2125.92</v>
      </c>
      <c r="Y434" s="23">
        <f t="shared" si="45"/>
        <v>0</v>
      </c>
      <c r="Z434" s="23">
        <v>0</v>
      </c>
      <c r="AA434" s="23">
        <f t="shared" si="46"/>
        <v>0</v>
      </c>
      <c r="AB434" s="23">
        <f t="shared" si="47"/>
        <v>3000</v>
      </c>
      <c r="AC434" s="20"/>
      <c r="AD434" s="20" t="str">
        <f>VLOOKUP($C434,'[1]CTRL AUTOS'!$E:$AH,2,0)</f>
        <v>NBS225A</v>
      </c>
      <c r="AE434" s="11" t="str">
        <f t="shared" si="48"/>
        <v>NBS225A24</v>
      </c>
    </row>
    <row r="435" spans="1:31" ht="12.75" hidden="1" customHeight="1" x14ac:dyDescent="0.3">
      <c r="A435" s="8">
        <v>24</v>
      </c>
      <c r="B435" s="20" t="s">
        <v>294</v>
      </c>
      <c r="C435" s="20" t="s">
        <v>106</v>
      </c>
      <c r="D435" s="20" t="s">
        <v>322</v>
      </c>
      <c r="E435" s="22" t="s">
        <v>232</v>
      </c>
      <c r="F435" s="20" t="s">
        <v>232</v>
      </c>
      <c r="G435" s="22" t="s">
        <v>234</v>
      </c>
      <c r="H435" s="23">
        <v>510.37</v>
      </c>
      <c r="I435" s="23">
        <v>0</v>
      </c>
      <c r="J435" s="23">
        <v>0</v>
      </c>
      <c r="K435" s="23">
        <v>0</v>
      </c>
      <c r="L435" s="23">
        <v>-351.39</v>
      </c>
      <c r="M435" s="23">
        <v>-28</v>
      </c>
      <c r="N435" s="23">
        <v>-1319</v>
      </c>
      <c r="O435" s="24">
        <f t="shared" si="42"/>
        <v>-1188.02</v>
      </c>
      <c r="P435" s="23">
        <v>-2500</v>
      </c>
      <c r="Q435" s="23">
        <v>-1546</v>
      </c>
      <c r="R435" s="23">
        <v>0</v>
      </c>
      <c r="S435" s="23">
        <v>0</v>
      </c>
      <c r="T435" s="23">
        <v>0</v>
      </c>
      <c r="U435" s="23">
        <v>0</v>
      </c>
      <c r="V435" s="23">
        <v>0</v>
      </c>
      <c r="W435" s="23">
        <f t="shared" si="43"/>
        <v>-5234.0200000000004</v>
      </c>
      <c r="X435" s="23">
        <f t="shared" si="44"/>
        <v>0</v>
      </c>
      <c r="Y435" s="23">
        <f t="shared" si="45"/>
        <v>-5234.0200000000004</v>
      </c>
      <c r="Z435" s="23">
        <v>2500</v>
      </c>
      <c r="AA435" s="23">
        <f t="shared" si="46"/>
        <v>-2734.0200000000004</v>
      </c>
      <c r="AB435" s="23">
        <f t="shared" si="47"/>
        <v>-1422.0400000000004</v>
      </c>
      <c r="AC435" s="20" t="s">
        <v>344</v>
      </c>
      <c r="AD435" s="20" t="str">
        <f>VLOOKUP($C435,'[1]CTRL AUTOS'!$E:$AH,2,0)</f>
        <v>NZU5163</v>
      </c>
      <c r="AE435" s="11" t="str">
        <f t="shared" si="48"/>
        <v>NZU516324</v>
      </c>
    </row>
    <row r="436" spans="1:31" ht="12.75" hidden="1" customHeight="1" x14ac:dyDescent="0.3">
      <c r="A436" s="8">
        <v>25</v>
      </c>
      <c r="B436" s="20" t="s">
        <v>80</v>
      </c>
      <c r="C436" s="20" t="s">
        <v>54</v>
      </c>
      <c r="D436" s="20" t="s">
        <v>318</v>
      </c>
      <c r="E436" s="22" t="s">
        <v>232</v>
      </c>
      <c r="F436" s="20" t="s">
        <v>232</v>
      </c>
      <c r="G436" s="22" t="s">
        <v>234</v>
      </c>
      <c r="H436" s="23">
        <v>157.41</v>
      </c>
      <c r="I436" s="23">
        <v>0</v>
      </c>
      <c r="J436" s="23">
        <v>0</v>
      </c>
      <c r="K436" s="23">
        <v>0</v>
      </c>
      <c r="L436" s="23">
        <v>0</v>
      </c>
      <c r="M436" s="24">
        <v>-28</v>
      </c>
      <c r="N436" s="23">
        <v>0</v>
      </c>
      <c r="O436" s="24">
        <f t="shared" si="42"/>
        <v>129.41</v>
      </c>
      <c r="P436" s="23">
        <v>-2500</v>
      </c>
      <c r="Q436" s="23">
        <v>0</v>
      </c>
      <c r="R436" s="23">
        <v>0</v>
      </c>
      <c r="S436" s="23">
        <v>0</v>
      </c>
      <c r="T436" s="23">
        <v>-500</v>
      </c>
      <c r="U436" s="23">
        <v>0</v>
      </c>
      <c r="V436" s="23">
        <v>0</v>
      </c>
      <c r="W436" s="23">
        <f t="shared" si="43"/>
        <v>-2870.59</v>
      </c>
      <c r="X436" s="23">
        <f t="shared" si="44"/>
        <v>0</v>
      </c>
      <c r="Y436" s="23">
        <f t="shared" si="45"/>
        <v>-2870.59</v>
      </c>
      <c r="Z436" s="23">
        <v>2871</v>
      </c>
      <c r="AA436" s="23">
        <f t="shared" si="46"/>
        <v>0.40999999999985448</v>
      </c>
      <c r="AB436" s="23">
        <f t="shared" si="47"/>
        <v>3000.8199999999997</v>
      </c>
      <c r="AC436" s="20" t="s">
        <v>297</v>
      </c>
      <c r="AD436" s="20" t="str">
        <f>VLOOKUP($C436,'[1]CTRL AUTOS'!$E:$AH,2,0)</f>
        <v>NZY685B</v>
      </c>
      <c r="AE436" s="11" t="str">
        <f t="shared" si="48"/>
        <v>NZY685B25</v>
      </c>
    </row>
    <row r="437" spans="1:31" ht="12.75" hidden="1" customHeight="1" x14ac:dyDescent="0.3">
      <c r="A437" s="8">
        <v>25</v>
      </c>
      <c r="B437" s="20" t="s">
        <v>345</v>
      </c>
      <c r="C437" s="20" t="s">
        <v>230</v>
      </c>
      <c r="D437" s="20" t="s">
        <v>231</v>
      </c>
      <c r="E437" s="22" t="s">
        <v>232</v>
      </c>
      <c r="F437" s="20" t="s">
        <v>232</v>
      </c>
      <c r="G437" s="22" t="s">
        <v>234</v>
      </c>
      <c r="H437" s="23">
        <v>1472.64</v>
      </c>
      <c r="I437" s="23">
        <v>0</v>
      </c>
      <c r="J437" s="23">
        <v>0</v>
      </c>
      <c r="K437" s="23">
        <v>0</v>
      </c>
      <c r="L437" s="23">
        <v>-50.51</v>
      </c>
      <c r="M437" s="24">
        <v>-30</v>
      </c>
      <c r="N437" s="23">
        <v>0</v>
      </c>
      <c r="O437" s="24">
        <f t="shared" si="42"/>
        <v>1392.13</v>
      </c>
      <c r="P437" s="23">
        <v>-714</v>
      </c>
      <c r="Q437" s="23">
        <v>0</v>
      </c>
      <c r="R437" s="23">
        <v>-142</v>
      </c>
      <c r="S437" s="23">
        <v>0</v>
      </c>
      <c r="T437" s="23">
        <v>0</v>
      </c>
      <c r="U437" s="23">
        <v>-400</v>
      </c>
      <c r="V437" s="23">
        <v>0</v>
      </c>
      <c r="W437" s="23">
        <f t="shared" si="43"/>
        <v>136.13000000000011</v>
      </c>
      <c r="X437" s="23">
        <f t="shared" si="44"/>
        <v>136.13000000000011</v>
      </c>
      <c r="Y437" s="23">
        <f t="shared" si="45"/>
        <v>0</v>
      </c>
      <c r="Z437" s="23">
        <v>0</v>
      </c>
      <c r="AA437" s="23">
        <f t="shared" si="46"/>
        <v>0</v>
      </c>
      <c r="AB437" s="23">
        <f t="shared" si="47"/>
        <v>1256</v>
      </c>
      <c r="AC437" s="20"/>
      <c r="AD437" s="20" t="s">
        <v>235</v>
      </c>
      <c r="AE437" s="11" t="str">
        <f t="shared" si="48"/>
        <v>NEB156A25</v>
      </c>
    </row>
    <row r="438" spans="1:31" ht="12.75" hidden="1" customHeight="1" x14ac:dyDescent="0.3">
      <c r="A438" s="8">
        <v>25</v>
      </c>
      <c r="B438" s="20" t="s">
        <v>323</v>
      </c>
      <c r="C438" s="20" t="s">
        <v>20</v>
      </c>
      <c r="D438" s="20" t="s">
        <v>239</v>
      </c>
      <c r="E438" s="22" t="s">
        <v>232</v>
      </c>
      <c r="F438" s="20" t="s">
        <v>232</v>
      </c>
      <c r="G438" s="22" t="s">
        <v>234</v>
      </c>
      <c r="H438" s="23">
        <v>3164.71</v>
      </c>
      <c r="I438" s="23">
        <v>-21.42</v>
      </c>
      <c r="J438" s="23">
        <v>0</v>
      </c>
      <c r="K438" s="23">
        <v>0</v>
      </c>
      <c r="L438" s="23">
        <v>0</v>
      </c>
      <c r="M438" s="24">
        <v>-35</v>
      </c>
      <c r="N438" s="23">
        <v>0</v>
      </c>
      <c r="O438" s="24">
        <f t="shared" si="42"/>
        <v>3108.29</v>
      </c>
      <c r="P438" s="23">
        <v>-2500</v>
      </c>
      <c r="Q438" s="23">
        <v>0</v>
      </c>
      <c r="R438" s="23">
        <v>-500</v>
      </c>
      <c r="S438" s="23">
        <v>0</v>
      </c>
      <c r="T438" s="23">
        <v>0</v>
      </c>
      <c r="U438" s="23">
        <v>0</v>
      </c>
      <c r="V438" s="23">
        <v>0</v>
      </c>
      <c r="W438" s="23">
        <f t="shared" si="43"/>
        <v>108.28999999999996</v>
      </c>
      <c r="X438" s="23">
        <f t="shared" si="44"/>
        <v>108.28999999999996</v>
      </c>
      <c r="Y438" s="23">
        <f t="shared" si="45"/>
        <v>0</v>
      </c>
      <c r="Z438" s="23">
        <v>0</v>
      </c>
      <c r="AA438" s="23">
        <f t="shared" si="46"/>
        <v>0</v>
      </c>
      <c r="AB438" s="23">
        <f t="shared" si="47"/>
        <v>3000</v>
      </c>
      <c r="AC438" s="20"/>
      <c r="AD438" s="20" t="str">
        <f>VLOOKUP($C438,'[1]CTRL AUTOS'!$E:$AH,2,0)</f>
        <v>D40BKD</v>
      </c>
      <c r="AE438" s="11" t="str">
        <f t="shared" si="48"/>
        <v>D40BKD25</v>
      </c>
    </row>
    <row r="439" spans="1:31" ht="12.75" hidden="1" customHeight="1" x14ac:dyDescent="0.3">
      <c r="A439" s="8">
        <v>25</v>
      </c>
      <c r="B439" s="20" t="s">
        <v>111</v>
      </c>
      <c r="C439" s="20" t="s">
        <v>63</v>
      </c>
      <c r="D439" s="20" t="s">
        <v>314</v>
      </c>
      <c r="E439" s="20" t="s">
        <v>291</v>
      </c>
      <c r="F439" s="20" t="s">
        <v>291</v>
      </c>
      <c r="G439" s="22" t="s">
        <v>234</v>
      </c>
      <c r="H439" s="23">
        <v>5627.4</v>
      </c>
      <c r="I439" s="23">
        <v>-43.15</v>
      </c>
      <c r="J439" s="23">
        <v>0</v>
      </c>
      <c r="K439" s="23">
        <v>0</v>
      </c>
      <c r="L439" s="23">
        <v>-1692.5</v>
      </c>
      <c r="M439" s="24">
        <v>-32</v>
      </c>
      <c r="N439" s="23">
        <v>0</v>
      </c>
      <c r="O439" s="24">
        <f t="shared" si="42"/>
        <v>3859.75</v>
      </c>
      <c r="P439" s="23">
        <v>-1964</v>
      </c>
      <c r="Q439" s="23">
        <v>-886</v>
      </c>
      <c r="R439" s="23">
        <v>-500</v>
      </c>
      <c r="S439" s="23">
        <v>0</v>
      </c>
      <c r="T439" s="23">
        <v>0</v>
      </c>
      <c r="U439" s="23">
        <v>0</v>
      </c>
      <c r="V439" s="23">
        <v>0</v>
      </c>
      <c r="W439" s="23">
        <f t="shared" si="43"/>
        <v>509.75</v>
      </c>
      <c r="X439" s="23">
        <f t="shared" si="44"/>
        <v>509.75</v>
      </c>
      <c r="Y439" s="23">
        <f t="shared" si="45"/>
        <v>0</v>
      </c>
      <c r="Z439" s="23">
        <v>0</v>
      </c>
      <c r="AA439" s="23">
        <f t="shared" si="46"/>
        <v>0</v>
      </c>
      <c r="AB439" s="23">
        <f t="shared" si="47"/>
        <v>3350</v>
      </c>
      <c r="AC439" s="20"/>
      <c r="AD439" s="20" t="str">
        <f>VLOOKUP($C439,'[1]CTRL AUTOS'!$E:$AH,2,0)</f>
        <v>X89ALV</v>
      </c>
      <c r="AE439" s="11" t="str">
        <f t="shared" si="48"/>
        <v>X89ALV25</v>
      </c>
    </row>
    <row r="440" spans="1:31" ht="12.75" hidden="1" customHeight="1" x14ac:dyDescent="0.3">
      <c r="A440" s="8">
        <v>25</v>
      </c>
      <c r="B440" s="20" t="s">
        <v>23</v>
      </c>
      <c r="C440" s="20" t="s">
        <v>34</v>
      </c>
      <c r="D440" s="20" t="s">
        <v>285</v>
      </c>
      <c r="E440" s="22" t="s">
        <v>232</v>
      </c>
      <c r="F440" s="20" t="s">
        <v>232</v>
      </c>
      <c r="G440" s="22" t="s">
        <v>234</v>
      </c>
      <c r="H440" s="23">
        <v>6540.32</v>
      </c>
      <c r="I440" s="23">
        <v>-27.2</v>
      </c>
      <c r="J440" s="23">
        <v>0</v>
      </c>
      <c r="K440" s="23">
        <v>0</v>
      </c>
      <c r="L440" s="23">
        <v>-3489.16</v>
      </c>
      <c r="M440" s="24">
        <v>-25</v>
      </c>
      <c r="N440" s="23">
        <v>0</v>
      </c>
      <c r="O440" s="24">
        <f t="shared" si="42"/>
        <v>2998.96</v>
      </c>
      <c r="P440" s="23">
        <v>-2500</v>
      </c>
      <c r="Q440" s="23">
        <v>0</v>
      </c>
      <c r="R440" s="23">
        <v>-500</v>
      </c>
      <c r="S440" s="23">
        <v>0</v>
      </c>
      <c r="T440" s="23">
        <v>0</v>
      </c>
      <c r="U440" s="23">
        <v>85</v>
      </c>
      <c r="V440" s="23">
        <v>0</v>
      </c>
      <c r="W440" s="23">
        <f t="shared" si="43"/>
        <v>83.960000000000036</v>
      </c>
      <c r="X440" s="23">
        <f t="shared" si="44"/>
        <v>83.960000000000036</v>
      </c>
      <c r="Y440" s="23">
        <f t="shared" si="45"/>
        <v>0</v>
      </c>
      <c r="Z440" s="23">
        <v>0</v>
      </c>
      <c r="AA440" s="23">
        <f t="shared" si="46"/>
        <v>0</v>
      </c>
      <c r="AB440" s="23">
        <f t="shared" si="47"/>
        <v>2915</v>
      </c>
      <c r="AC440" s="20"/>
      <c r="AD440" s="20" t="str">
        <f>VLOOKUP($C440,'[1]CTRL AUTOS'!$E:$AH,2,0)</f>
        <v>X59AWG</v>
      </c>
      <c r="AE440" s="11" t="str">
        <f t="shared" si="48"/>
        <v>X59AWG25</v>
      </c>
    </row>
    <row r="441" spans="1:31" ht="12.75" hidden="1" customHeight="1" x14ac:dyDescent="0.3">
      <c r="A441" s="8">
        <v>25</v>
      </c>
      <c r="B441" s="20" t="s">
        <v>299</v>
      </c>
      <c r="C441" s="20" t="s">
        <v>56</v>
      </c>
      <c r="D441" s="20" t="s">
        <v>237</v>
      </c>
      <c r="E441" s="22" t="s">
        <v>241</v>
      </c>
      <c r="F441" s="20" t="s">
        <v>237</v>
      </c>
      <c r="G441" s="22" t="s">
        <v>234</v>
      </c>
      <c r="H441" s="23">
        <v>0</v>
      </c>
      <c r="I441" s="23">
        <v>0</v>
      </c>
      <c r="J441" s="23">
        <v>0</v>
      </c>
      <c r="K441" s="23">
        <v>0</v>
      </c>
      <c r="L441" s="23">
        <v>0</v>
      </c>
      <c r="M441" s="24">
        <v>0</v>
      </c>
      <c r="N441" s="23">
        <v>0</v>
      </c>
      <c r="O441" s="24">
        <f t="shared" si="42"/>
        <v>0</v>
      </c>
      <c r="P441" s="23">
        <v>0</v>
      </c>
      <c r="Q441" s="23">
        <v>0</v>
      </c>
      <c r="R441" s="23">
        <v>0</v>
      </c>
      <c r="S441" s="23">
        <v>0</v>
      </c>
      <c r="T441" s="23">
        <v>0</v>
      </c>
      <c r="U441" s="23">
        <v>0</v>
      </c>
      <c r="V441" s="23">
        <v>0</v>
      </c>
      <c r="W441" s="23">
        <f t="shared" si="43"/>
        <v>0</v>
      </c>
      <c r="X441" s="23">
        <f t="shared" si="44"/>
        <v>0</v>
      </c>
      <c r="Y441" s="23">
        <f t="shared" si="45"/>
        <v>0</v>
      </c>
      <c r="Z441" s="23">
        <v>0</v>
      </c>
      <c r="AA441" s="23">
        <f t="shared" si="46"/>
        <v>0</v>
      </c>
      <c r="AB441" s="23">
        <f t="shared" si="47"/>
        <v>0</v>
      </c>
      <c r="AC441" s="20" t="s">
        <v>227</v>
      </c>
      <c r="AD441" s="20" t="str">
        <f>VLOOKUP($C441,'[1]CTRL AUTOS'!$E:$AH,2,0)</f>
        <v>MYE912A</v>
      </c>
      <c r="AE441" s="11" t="str">
        <f t="shared" si="48"/>
        <v>MYE912A25</v>
      </c>
    </row>
    <row r="442" spans="1:31" ht="12.75" hidden="1" customHeight="1" x14ac:dyDescent="0.3">
      <c r="A442" s="8">
        <v>25</v>
      </c>
      <c r="B442" s="20" t="s">
        <v>25</v>
      </c>
      <c r="C442" s="20" t="s">
        <v>46</v>
      </c>
      <c r="D442" s="20" t="s">
        <v>257</v>
      </c>
      <c r="E442" s="22" t="s">
        <v>232</v>
      </c>
      <c r="F442" s="20" t="s">
        <v>232</v>
      </c>
      <c r="G442" s="22" t="s">
        <v>234</v>
      </c>
      <c r="H442" s="23">
        <v>4207.7299999999996</v>
      </c>
      <c r="I442" s="23">
        <v>0</v>
      </c>
      <c r="J442" s="23">
        <v>0</v>
      </c>
      <c r="K442" s="23">
        <v>0</v>
      </c>
      <c r="L442" s="23">
        <v>-1228.05</v>
      </c>
      <c r="M442" s="24">
        <v>-25</v>
      </c>
      <c r="N442" s="23">
        <v>-82</v>
      </c>
      <c r="O442" s="24">
        <f t="shared" si="42"/>
        <v>2872.6799999999994</v>
      </c>
      <c r="P442" s="23">
        <v>-2500</v>
      </c>
      <c r="Q442" s="23">
        <v>-541</v>
      </c>
      <c r="R442" s="23">
        <v>-500</v>
      </c>
      <c r="S442" s="23">
        <v>0</v>
      </c>
      <c r="T442" s="23">
        <v>0</v>
      </c>
      <c r="U442" s="23">
        <v>-325</v>
      </c>
      <c r="V442" s="23">
        <v>0</v>
      </c>
      <c r="W442" s="23">
        <f t="shared" si="43"/>
        <v>-993.32000000000062</v>
      </c>
      <c r="X442" s="23">
        <f t="shared" si="44"/>
        <v>0</v>
      </c>
      <c r="Y442" s="23">
        <f t="shared" si="45"/>
        <v>-993.32000000000062</v>
      </c>
      <c r="Z442" s="23">
        <v>127</v>
      </c>
      <c r="AA442" s="23">
        <f t="shared" si="46"/>
        <v>-866.32000000000062</v>
      </c>
      <c r="AB442" s="23">
        <f t="shared" si="47"/>
        <v>2133.3599999999988</v>
      </c>
      <c r="AC442" s="20" t="s">
        <v>335</v>
      </c>
      <c r="AD442" s="20" t="str">
        <f>VLOOKUP($C442,'[1]CTRL AUTOS'!$E:$AH,2,0)</f>
        <v>R66BER</v>
      </c>
      <c r="AE442" s="11" t="str">
        <f t="shared" si="48"/>
        <v>R66BER25</v>
      </c>
    </row>
    <row r="443" spans="1:31" ht="12.75" hidden="1" customHeight="1" x14ac:dyDescent="0.3">
      <c r="A443" s="8">
        <v>25</v>
      </c>
      <c r="B443" s="20" t="s">
        <v>260</v>
      </c>
      <c r="C443" s="20" t="s">
        <v>81</v>
      </c>
      <c r="D443" s="20" t="s">
        <v>317</v>
      </c>
      <c r="E443" s="22" t="s">
        <v>232</v>
      </c>
      <c r="F443" s="20" t="s">
        <v>232</v>
      </c>
      <c r="G443" s="22" t="s">
        <v>234</v>
      </c>
      <c r="H443" s="23">
        <v>4718.33</v>
      </c>
      <c r="I443" s="23">
        <v>0</v>
      </c>
      <c r="J443" s="23">
        <v>0</v>
      </c>
      <c r="K443" s="23">
        <v>0</v>
      </c>
      <c r="L443" s="23">
        <v>-767.94</v>
      </c>
      <c r="M443" s="24">
        <v>-25</v>
      </c>
      <c r="N443" s="23">
        <v>0</v>
      </c>
      <c r="O443" s="24">
        <f t="shared" si="42"/>
        <v>3925.39</v>
      </c>
      <c r="P443" s="23">
        <v>-2500</v>
      </c>
      <c r="Q443" s="23">
        <v>0</v>
      </c>
      <c r="R443" s="23">
        <v>0</v>
      </c>
      <c r="S443" s="23">
        <v>-500</v>
      </c>
      <c r="T443" s="23">
        <v>0</v>
      </c>
      <c r="U443" s="23">
        <v>0</v>
      </c>
      <c r="V443" s="23">
        <v>0</v>
      </c>
      <c r="W443" s="23">
        <f t="shared" si="43"/>
        <v>925.38999999999987</v>
      </c>
      <c r="X443" s="23">
        <f t="shared" si="44"/>
        <v>925.38999999999987</v>
      </c>
      <c r="Y443" s="23">
        <f t="shared" si="45"/>
        <v>0</v>
      </c>
      <c r="Z443" s="23">
        <v>0</v>
      </c>
      <c r="AA443" s="23">
        <f t="shared" si="46"/>
        <v>0</v>
      </c>
      <c r="AB443" s="23">
        <f t="shared" si="47"/>
        <v>3000</v>
      </c>
      <c r="AC443" s="20"/>
      <c r="AD443" s="20" t="str">
        <f>VLOOKUP($C443,'[1]CTRL AUTOS'!$E:$AH,2,0)</f>
        <v>NLP172B</v>
      </c>
      <c r="AE443" s="11" t="str">
        <f t="shared" si="48"/>
        <v>NLP172B25</v>
      </c>
    </row>
    <row r="444" spans="1:31" ht="12.75" hidden="1" customHeight="1" x14ac:dyDescent="0.3">
      <c r="A444" s="8">
        <v>25</v>
      </c>
      <c r="B444" s="20" t="s">
        <v>72</v>
      </c>
      <c r="C444" s="20" t="s">
        <v>73</v>
      </c>
      <c r="D444" s="20" t="s">
        <v>237</v>
      </c>
      <c r="E444" s="22" t="s">
        <v>241</v>
      </c>
      <c r="F444" s="20" t="s">
        <v>291</v>
      </c>
      <c r="G444" s="22" t="s">
        <v>234</v>
      </c>
      <c r="H444" s="23">
        <v>5398.1</v>
      </c>
      <c r="I444" s="23">
        <v>-48</v>
      </c>
      <c r="J444" s="23">
        <v>0</v>
      </c>
      <c r="K444" s="23">
        <v>-43.77</v>
      </c>
      <c r="L444" s="23">
        <v>-1653.45</v>
      </c>
      <c r="M444" s="24">
        <v>-25</v>
      </c>
      <c r="N444" s="23">
        <v>0</v>
      </c>
      <c r="O444" s="24">
        <f t="shared" si="42"/>
        <v>3627.88</v>
      </c>
      <c r="P444" s="23">
        <v>-2500</v>
      </c>
      <c r="Q444" s="23">
        <v>0</v>
      </c>
      <c r="R444" s="23">
        <v>0</v>
      </c>
      <c r="S444" s="23">
        <v>0</v>
      </c>
      <c r="T444" s="23">
        <v>-650</v>
      </c>
      <c r="U444" s="23">
        <v>-800</v>
      </c>
      <c r="V444" s="23">
        <v>0</v>
      </c>
      <c r="W444" s="23">
        <f t="shared" si="43"/>
        <v>-322.11999999999989</v>
      </c>
      <c r="X444" s="23">
        <f t="shared" si="44"/>
        <v>0</v>
      </c>
      <c r="Y444" s="23">
        <f t="shared" si="45"/>
        <v>-322.11999999999989</v>
      </c>
      <c r="Z444" s="23">
        <v>0</v>
      </c>
      <c r="AA444" s="23">
        <f t="shared" si="46"/>
        <v>-322.11999999999989</v>
      </c>
      <c r="AB444" s="23">
        <f t="shared" si="47"/>
        <v>3305.76</v>
      </c>
      <c r="AC444" s="20" t="s">
        <v>349</v>
      </c>
      <c r="AD444" s="20" t="str">
        <f>VLOOKUP($C444,'[1]CTRL AUTOS'!$E:$AH,2,0)</f>
        <v>H99BLC</v>
      </c>
      <c r="AE444" s="11" t="str">
        <f t="shared" si="48"/>
        <v>H99BLC25</v>
      </c>
    </row>
    <row r="445" spans="1:31" ht="12.75" hidden="1" customHeight="1" x14ac:dyDescent="0.3">
      <c r="A445" s="8">
        <v>25</v>
      </c>
      <c r="B445" s="20" t="s">
        <v>292</v>
      </c>
      <c r="C445" s="20" t="s">
        <v>52</v>
      </c>
      <c r="D445" s="20" t="s">
        <v>313</v>
      </c>
      <c r="E445" s="22" t="s">
        <v>232</v>
      </c>
      <c r="F445" s="20" t="s">
        <v>232</v>
      </c>
      <c r="G445" s="22" t="s">
        <v>234</v>
      </c>
      <c r="H445" s="23">
        <v>7853.11</v>
      </c>
      <c r="I445" s="23">
        <v>0</v>
      </c>
      <c r="J445" s="23">
        <v>0</v>
      </c>
      <c r="K445" s="23">
        <v>0</v>
      </c>
      <c r="L445" s="23">
        <v>-2851.01</v>
      </c>
      <c r="M445" s="24">
        <v>-43.62</v>
      </c>
      <c r="N445" s="23">
        <v>-54</v>
      </c>
      <c r="O445" s="24">
        <f t="shared" si="42"/>
        <v>4904.4799999999996</v>
      </c>
      <c r="P445" s="23">
        <v>-2500</v>
      </c>
      <c r="Q445" s="23">
        <v>0</v>
      </c>
      <c r="R445" s="23">
        <v>0</v>
      </c>
      <c r="S445" s="23">
        <v>0</v>
      </c>
      <c r="T445" s="23">
        <v>0</v>
      </c>
      <c r="U445" s="23">
        <v>0</v>
      </c>
      <c r="V445" s="23">
        <v>0</v>
      </c>
      <c r="W445" s="23">
        <f t="shared" si="43"/>
        <v>2404.4799999999996</v>
      </c>
      <c r="X445" s="23">
        <f t="shared" si="44"/>
        <v>2404.4799999999996</v>
      </c>
      <c r="Y445" s="23">
        <f t="shared" si="45"/>
        <v>0</v>
      </c>
      <c r="Z445" s="23">
        <v>0</v>
      </c>
      <c r="AA445" s="23">
        <f t="shared" si="46"/>
        <v>0</v>
      </c>
      <c r="AB445" s="23">
        <f t="shared" si="47"/>
        <v>2500</v>
      </c>
      <c r="AC445" s="20"/>
      <c r="AD445" s="20" t="str">
        <f>VLOOKUP($C445,'[1]CTRL AUTOS'!$E:$AH,2,0)</f>
        <v>A35BHD</v>
      </c>
      <c r="AE445" s="11" t="str">
        <f t="shared" si="48"/>
        <v>A35BHD25</v>
      </c>
    </row>
    <row r="446" spans="1:31" ht="12.75" hidden="1" customHeight="1" x14ac:dyDescent="0.3">
      <c r="A446" s="8">
        <v>25</v>
      </c>
      <c r="B446" s="20" t="s">
        <v>105</v>
      </c>
      <c r="C446" s="20" t="s">
        <v>75</v>
      </c>
      <c r="D446" s="20" t="s">
        <v>333</v>
      </c>
      <c r="E446" s="22" t="s">
        <v>241</v>
      </c>
      <c r="F446" s="20" t="s">
        <v>291</v>
      </c>
      <c r="G446" s="22" t="s">
        <v>234</v>
      </c>
      <c r="H446" s="23">
        <v>0</v>
      </c>
      <c r="I446" s="23">
        <v>0</v>
      </c>
      <c r="J446" s="23">
        <v>0</v>
      </c>
      <c r="K446" s="23">
        <v>0</v>
      </c>
      <c r="L446" s="23">
        <v>0</v>
      </c>
      <c r="M446" s="24">
        <v>0</v>
      </c>
      <c r="N446" s="23">
        <v>0</v>
      </c>
      <c r="O446" s="24">
        <f t="shared" si="42"/>
        <v>0</v>
      </c>
      <c r="P446" s="23">
        <v>-2500</v>
      </c>
      <c r="Q446" s="23">
        <v>0</v>
      </c>
      <c r="R446" s="23">
        <v>0</v>
      </c>
      <c r="S446" s="23">
        <v>0</v>
      </c>
      <c r="T446" s="23">
        <v>0</v>
      </c>
      <c r="U446" s="23">
        <v>0</v>
      </c>
      <c r="V446" s="23">
        <v>0</v>
      </c>
      <c r="W446" s="23">
        <f t="shared" si="43"/>
        <v>-2500</v>
      </c>
      <c r="X446" s="23">
        <f t="shared" si="44"/>
        <v>0</v>
      </c>
      <c r="Y446" s="23">
        <f t="shared" si="45"/>
        <v>-2500</v>
      </c>
      <c r="Z446" s="23">
        <v>0</v>
      </c>
      <c r="AA446" s="23">
        <f t="shared" si="46"/>
        <v>-2500</v>
      </c>
      <c r="AB446" s="23">
        <f t="shared" si="47"/>
        <v>-2500</v>
      </c>
      <c r="AC446" s="20" t="s">
        <v>350</v>
      </c>
      <c r="AD446" s="20" t="str">
        <f>VLOOKUP($C446,'[1]CTRL AUTOS'!$E:$AH,2,0)</f>
        <v>NFN014B</v>
      </c>
      <c r="AE446" s="11" t="str">
        <f t="shared" si="48"/>
        <v>NFN014B25</v>
      </c>
    </row>
    <row r="447" spans="1:31" ht="12.75" hidden="1" customHeight="1" x14ac:dyDescent="0.3">
      <c r="A447" s="8">
        <v>25</v>
      </c>
      <c r="B447" s="20" t="s">
        <v>288</v>
      </c>
      <c r="C447" s="20" t="s">
        <v>22</v>
      </c>
      <c r="D447" s="20" t="s">
        <v>319</v>
      </c>
      <c r="E447" s="20" t="s">
        <v>232</v>
      </c>
      <c r="F447" s="20" t="s">
        <v>232</v>
      </c>
      <c r="G447" s="22" t="s">
        <v>234</v>
      </c>
      <c r="H447" s="23">
        <v>6698.22</v>
      </c>
      <c r="I447" s="23">
        <v>-68.72</v>
      </c>
      <c r="J447" s="23">
        <v>0</v>
      </c>
      <c r="K447" s="23">
        <v>0</v>
      </c>
      <c r="L447" s="23">
        <v>-1495.29</v>
      </c>
      <c r="M447" s="24">
        <v>-28</v>
      </c>
      <c r="N447" s="23">
        <v>-106</v>
      </c>
      <c r="O447" s="24">
        <f t="shared" si="42"/>
        <v>5000.21</v>
      </c>
      <c r="P447" s="23">
        <v>-2500</v>
      </c>
      <c r="Q447" s="23">
        <v>0</v>
      </c>
      <c r="R447" s="23">
        <v>0</v>
      </c>
      <c r="S447" s="23">
        <v>0</v>
      </c>
      <c r="T447" s="23">
        <v>0</v>
      </c>
      <c r="U447" s="23">
        <v>0</v>
      </c>
      <c r="V447" s="23">
        <v>0</v>
      </c>
      <c r="W447" s="23">
        <f t="shared" si="43"/>
        <v>2500.21</v>
      </c>
      <c r="X447" s="23">
        <f t="shared" si="44"/>
        <v>2500.21</v>
      </c>
      <c r="Y447" s="23">
        <f t="shared" si="45"/>
        <v>0</v>
      </c>
      <c r="Z447" s="23">
        <v>0</v>
      </c>
      <c r="AA447" s="23">
        <f t="shared" si="46"/>
        <v>0</v>
      </c>
      <c r="AB447" s="23">
        <f t="shared" si="47"/>
        <v>2500</v>
      </c>
      <c r="AC447" s="20"/>
      <c r="AD447" s="20" t="str">
        <f>VLOOKUP($C447,'[1]CTRL AUTOS'!$E:$AH,2,0)</f>
        <v>NCK475B</v>
      </c>
      <c r="AE447" s="11" t="str">
        <f t="shared" si="48"/>
        <v>NCK475B25</v>
      </c>
    </row>
    <row r="448" spans="1:31" ht="12.75" hidden="1" customHeight="1" x14ac:dyDescent="0.3">
      <c r="A448" s="8">
        <v>25</v>
      </c>
      <c r="B448" s="20" t="s">
        <v>324</v>
      </c>
      <c r="C448" s="20" t="s">
        <v>168</v>
      </c>
      <c r="D448" s="20" t="s">
        <v>265</v>
      </c>
      <c r="E448" s="39" t="s">
        <v>232</v>
      </c>
      <c r="F448" s="41" t="s">
        <v>232</v>
      </c>
      <c r="G448" s="22" t="s">
        <v>234</v>
      </c>
      <c r="H448" s="23">
        <v>4706.92</v>
      </c>
      <c r="I448" s="23">
        <v>0</v>
      </c>
      <c r="J448" s="23">
        <v>0</v>
      </c>
      <c r="K448" s="23">
        <v>0</v>
      </c>
      <c r="L448" s="23">
        <v>-3069.73</v>
      </c>
      <c r="M448" s="24">
        <v>-30</v>
      </c>
      <c r="N448" s="23">
        <v>-109</v>
      </c>
      <c r="O448" s="24">
        <f t="shared" si="42"/>
        <v>1498.19</v>
      </c>
      <c r="P448" s="23">
        <v>-2500</v>
      </c>
      <c r="Q448" s="23">
        <v>0</v>
      </c>
      <c r="R448" s="23">
        <v>0</v>
      </c>
      <c r="S448" s="23">
        <v>0</v>
      </c>
      <c r="T448" s="23">
        <v>0</v>
      </c>
      <c r="U448" s="23">
        <v>0</v>
      </c>
      <c r="V448" s="23">
        <v>0</v>
      </c>
      <c r="W448" s="23">
        <f t="shared" si="43"/>
        <v>-1001.81</v>
      </c>
      <c r="X448" s="23">
        <f t="shared" si="44"/>
        <v>0</v>
      </c>
      <c r="Y448" s="23">
        <f t="shared" si="45"/>
        <v>-1001.81</v>
      </c>
      <c r="Z448" s="23">
        <v>1000</v>
      </c>
      <c r="AA448" s="23">
        <f t="shared" si="46"/>
        <v>-1.8099999999999454</v>
      </c>
      <c r="AB448" s="23">
        <f t="shared" si="47"/>
        <v>2496.38</v>
      </c>
      <c r="AC448" s="20" t="s">
        <v>351</v>
      </c>
      <c r="AD448" s="20" t="e">
        <f>VLOOKUP($C448,'[1]CTRL AUTOS'!$E:$AH,2,0)</f>
        <v>#N/A</v>
      </c>
      <c r="AE448" s="11" t="e">
        <f t="shared" si="48"/>
        <v>#N/A</v>
      </c>
    </row>
    <row r="449" spans="1:31" ht="12.75" hidden="1" customHeight="1" x14ac:dyDescent="0.3">
      <c r="A449" s="8">
        <v>25</v>
      </c>
      <c r="B449" s="20" t="s">
        <v>244</v>
      </c>
      <c r="C449" s="20" t="s">
        <v>4</v>
      </c>
      <c r="D449" s="22" t="s">
        <v>245</v>
      </c>
      <c r="E449" s="22" t="s">
        <v>232</v>
      </c>
      <c r="F449" s="20" t="s">
        <v>232</v>
      </c>
      <c r="G449" s="22" t="s">
        <v>234</v>
      </c>
      <c r="H449" s="23">
        <v>2886.81</v>
      </c>
      <c r="I449" s="23">
        <v>0</v>
      </c>
      <c r="J449" s="23">
        <v>0</v>
      </c>
      <c r="K449" s="23">
        <v>0</v>
      </c>
      <c r="L449" s="23">
        <v>-878.01</v>
      </c>
      <c r="M449" s="24">
        <v>-28</v>
      </c>
      <c r="N449" s="23">
        <v>-95</v>
      </c>
      <c r="O449" s="24">
        <f t="shared" si="42"/>
        <v>1885.8</v>
      </c>
      <c r="P449" s="23">
        <v>-2500</v>
      </c>
      <c r="Q449" s="23">
        <v>0</v>
      </c>
      <c r="R449" s="23">
        <v>0</v>
      </c>
      <c r="S449" s="23">
        <v>0</v>
      </c>
      <c r="T449" s="23">
        <v>0</v>
      </c>
      <c r="U449" s="23">
        <v>0</v>
      </c>
      <c r="V449" s="23">
        <v>0</v>
      </c>
      <c r="W449" s="23">
        <f t="shared" si="43"/>
        <v>-614.20000000000005</v>
      </c>
      <c r="X449" s="23">
        <f t="shared" si="44"/>
        <v>0</v>
      </c>
      <c r="Y449" s="23">
        <f t="shared" si="45"/>
        <v>-614.20000000000005</v>
      </c>
      <c r="Z449" s="23">
        <v>0</v>
      </c>
      <c r="AA449" s="23">
        <f t="shared" si="46"/>
        <v>-614.20000000000005</v>
      </c>
      <c r="AB449" s="23">
        <f t="shared" si="47"/>
        <v>1271.5999999999999</v>
      </c>
      <c r="AC449" s="20" t="s">
        <v>352</v>
      </c>
      <c r="AD449" s="20" t="str">
        <f>VLOOKUP($C449,'[1]CTRL AUTOS'!$E:$AH,2,0)</f>
        <v>N15BKD</v>
      </c>
      <c r="AE449" s="11" t="str">
        <f t="shared" si="48"/>
        <v>N15BKD25</v>
      </c>
    </row>
    <row r="450" spans="1:31" ht="12.75" hidden="1" customHeight="1" x14ac:dyDescent="0.3">
      <c r="A450" s="8">
        <v>25</v>
      </c>
      <c r="B450" s="20" t="s">
        <v>35</v>
      </c>
      <c r="C450" s="20" t="s">
        <v>97</v>
      </c>
      <c r="D450" s="20" t="s">
        <v>273</v>
      </c>
      <c r="E450" s="22" t="s">
        <v>232</v>
      </c>
      <c r="F450" s="20" t="s">
        <v>232</v>
      </c>
      <c r="G450" s="22" t="s">
        <v>234</v>
      </c>
      <c r="H450" s="23">
        <v>8001.7</v>
      </c>
      <c r="I450" s="23">
        <v>-103.2</v>
      </c>
      <c r="J450" s="23">
        <v>0</v>
      </c>
      <c r="K450" s="23">
        <v>0</v>
      </c>
      <c r="L450" s="23">
        <v>-3884.6</v>
      </c>
      <c r="M450" s="24">
        <v>-28</v>
      </c>
      <c r="N450" s="23">
        <v>0</v>
      </c>
      <c r="O450" s="24">
        <f t="shared" si="42"/>
        <v>3985.9</v>
      </c>
      <c r="P450" s="23">
        <v>-2500</v>
      </c>
      <c r="Q450" s="23">
        <v>-49</v>
      </c>
      <c r="R450" s="23">
        <v>0</v>
      </c>
      <c r="S450" s="23">
        <v>0</v>
      </c>
      <c r="T450" s="23">
        <v>0</v>
      </c>
      <c r="U450" s="23">
        <v>0</v>
      </c>
      <c r="V450" s="23">
        <v>0</v>
      </c>
      <c r="W450" s="23">
        <f t="shared" si="43"/>
        <v>1436.9</v>
      </c>
      <c r="X450" s="23">
        <f t="shared" si="44"/>
        <v>1436.9</v>
      </c>
      <c r="Y450" s="23">
        <f t="shared" si="45"/>
        <v>0</v>
      </c>
      <c r="Z450" s="23">
        <v>0</v>
      </c>
      <c r="AA450" s="23">
        <f t="shared" si="46"/>
        <v>0</v>
      </c>
      <c r="AB450" s="23">
        <f t="shared" si="47"/>
        <v>2549</v>
      </c>
      <c r="AC450" s="20" t="s">
        <v>353</v>
      </c>
      <c r="AD450" s="20" t="str">
        <f>VLOOKUP($C450,'[1]CTRL AUTOS'!$E:$AH,2,0)</f>
        <v>MUF515A</v>
      </c>
      <c r="AE450" s="11" t="str">
        <f t="shared" si="48"/>
        <v>MUF515A25</v>
      </c>
    </row>
    <row r="451" spans="1:31" ht="12.75" hidden="1" customHeight="1" x14ac:dyDescent="0.3">
      <c r="A451" s="8">
        <v>25</v>
      </c>
      <c r="B451" s="20" t="s">
        <v>37</v>
      </c>
      <c r="C451" s="20" t="s">
        <v>246</v>
      </c>
      <c r="D451" s="20" t="s">
        <v>341</v>
      </c>
      <c r="E451" s="22" t="s">
        <v>232</v>
      </c>
      <c r="F451" s="20" t="s">
        <v>291</v>
      </c>
      <c r="G451" s="22" t="s">
        <v>234</v>
      </c>
      <c r="H451" s="23">
        <v>964.94</v>
      </c>
      <c r="I451" s="23">
        <v>-4.13</v>
      </c>
      <c r="J451" s="23">
        <v>0</v>
      </c>
      <c r="K451" s="23">
        <v>0</v>
      </c>
      <c r="L451" s="23">
        <v>-229.92</v>
      </c>
      <c r="M451" s="24">
        <v>-38</v>
      </c>
      <c r="N451" s="23">
        <v>-71</v>
      </c>
      <c r="O451" s="24">
        <f t="shared" ref="O451:O514" si="49">SUM(H451:N451)</f>
        <v>621.8900000000001</v>
      </c>
      <c r="P451" s="23">
        <v>-2500</v>
      </c>
      <c r="Q451" s="23">
        <v>0</v>
      </c>
      <c r="R451" s="23">
        <v>0</v>
      </c>
      <c r="S451" s="23">
        <v>0</v>
      </c>
      <c r="T451" s="23">
        <v>0</v>
      </c>
      <c r="U451" s="23">
        <v>0</v>
      </c>
      <c r="V451" s="23">
        <v>0</v>
      </c>
      <c r="W451" s="23">
        <f t="shared" ref="W451:W514" si="50">+O451+SUM(P451:V451)</f>
        <v>-1878.11</v>
      </c>
      <c r="X451" s="23">
        <f t="shared" ref="X451:X514" si="51">IF(W451&gt;=0,W451,0)</f>
        <v>0</v>
      </c>
      <c r="Y451" s="23">
        <f t="shared" ref="Y451:Y514" si="52">IF(W451&lt;=0,W451,0)</f>
        <v>-1878.11</v>
      </c>
      <c r="Z451" s="23">
        <v>1800</v>
      </c>
      <c r="AA451" s="23">
        <f t="shared" ref="AA451:AA514" si="53">+Y451+Z451</f>
        <v>-78.1099999999999</v>
      </c>
      <c r="AB451" s="23">
        <f t="shared" ref="AB451:AB514" si="54">+O451-X451+Z451+AA451</f>
        <v>2343.7800000000007</v>
      </c>
      <c r="AC451" s="20" t="s">
        <v>351</v>
      </c>
      <c r="AD451" s="20" t="s">
        <v>248</v>
      </c>
      <c r="AE451" s="11" t="str">
        <f t="shared" si="48"/>
        <v>X24APU25</v>
      </c>
    </row>
    <row r="452" spans="1:31" ht="12.75" hidden="1" customHeight="1" x14ac:dyDescent="0.3">
      <c r="A452" s="8">
        <v>25</v>
      </c>
      <c r="B452" s="20" t="s">
        <v>331</v>
      </c>
      <c r="C452" s="20" t="s">
        <v>69</v>
      </c>
      <c r="D452" s="20" t="s">
        <v>237</v>
      </c>
      <c r="E452" s="22" t="s">
        <v>241</v>
      </c>
      <c r="F452" s="20" t="s">
        <v>291</v>
      </c>
      <c r="G452" s="22" t="s">
        <v>234</v>
      </c>
      <c r="H452" s="23">
        <v>2799</v>
      </c>
      <c r="I452" s="23">
        <v>0</v>
      </c>
      <c r="J452" s="23">
        <v>0</v>
      </c>
      <c r="K452" s="23">
        <v>0</v>
      </c>
      <c r="L452" s="23">
        <v>-703.8</v>
      </c>
      <c r="M452" s="24">
        <v>-28</v>
      </c>
      <c r="N452" s="23">
        <v>0</v>
      </c>
      <c r="O452" s="24">
        <f t="shared" si="49"/>
        <v>2067.1999999999998</v>
      </c>
      <c r="P452" s="23">
        <v>-2500</v>
      </c>
      <c r="Q452" s="23">
        <v>-31</v>
      </c>
      <c r="R452" s="23">
        <v>-500</v>
      </c>
      <c r="S452" s="23">
        <v>0</v>
      </c>
      <c r="T452" s="23">
        <v>0</v>
      </c>
      <c r="U452" s="23">
        <v>0</v>
      </c>
      <c r="V452" s="23">
        <v>0</v>
      </c>
      <c r="W452" s="23">
        <f t="shared" si="50"/>
        <v>-963.80000000000018</v>
      </c>
      <c r="X452" s="23">
        <f t="shared" si="51"/>
        <v>0</v>
      </c>
      <c r="Y452" s="23">
        <f t="shared" si="52"/>
        <v>-963.80000000000018</v>
      </c>
      <c r="Z452" s="23">
        <v>0</v>
      </c>
      <c r="AA452" s="23">
        <f t="shared" si="53"/>
        <v>-963.80000000000018</v>
      </c>
      <c r="AB452" s="23">
        <f t="shared" si="54"/>
        <v>1103.3999999999996</v>
      </c>
      <c r="AC452" s="20"/>
      <c r="AD452" s="20" t="str">
        <f>VLOOKUP($C452,'[1]CTRL AUTOS'!$E:$AH,2,0)</f>
        <v>R51BKD</v>
      </c>
      <c r="AE452" s="11" t="str">
        <f t="shared" ref="AE452:AE515" si="55">AD452&amp;A452</f>
        <v>R51BKD25</v>
      </c>
    </row>
    <row r="453" spans="1:31" ht="12.75" hidden="1" customHeight="1" x14ac:dyDescent="0.3">
      <c r="A453" s="8">
        <v>25</v>
      </c>
      <c r="B453" s="20" t="s">
        <v>293</v>
      </c>
      <c r="C453" s="20" t="s">
        <v>34</v>
      </c>
      <c r="D453" s="20" t="s">
        <v>285</v>
      </c>
      <c r="E453" s="22" t="s">
        <v>232</v>
      </c>
      <c r="F453" s="20" t="s">
        <v>237</v>
      </c>
      <c r="G453" s="22" t="s">
        <v>234</v>
      </c>
      <c r="H453" s="23">
        <v>0</v>
      </c>
      <c r="I453" s="23">
        <v>0</v>
      </c>
      <c r="J453" s="23">
        <v>0</v>
      </c>
      <c r="K453" s="23">
        <v>0</v>
      </c>
      <c r="L453" s="23">
        <v>0</v>
      </c>
      <c r="M453" s="24">
        <v>0</v>
      </c>
      <c r="N453" s="23">
        <v>0</v>
      </c>
      <c r="O453" s="24">
        <f t="shared" si="49"/>
        <v>0</v>
      </c>
      <c r="P453" s="23">
        <v>0</v>
      </c>
      <c r="Q453" s="23">
        <v>-2152</v>
      </c>
      <c r="R453" s="23">
        <v>2152</v>
      </c>
      <c r="S453" s="23">
        <v>0</v>
      </c>
      <c r="T453" s="23">
        <v>0</v>
      </c>
      <c r="U453" s="23">
        <v>0</v>
      </c>
      <c r="V453" s="23">
        <v>0</v>
      </c>
      <c r="W453" s="23">
        <f t="shared" si="50"/>
        <v>0</v>
      </c>
      <c r="X453" s="23">
        <f t="shared" si="51"/>
        <v>0</v>
      </c>
      <c r="Y453" s="23">
        <f t="shared" si="52"/>
        <v>0</v>
      </c>
      <c r="Z453" s="23">
        <v>0</v>
      </c>
      <c r="AA453" s="23">
        <f t="shared" si="53"/>
        <v>0</v>
      </c>
      <c r="AB453" s="23">
        <f t="shared" si="54"/>
        <v>0</v>
      </c>
      <c r="AC453" s="20" t="s">
        <v>354</v>
      </c>
      <c r="AD453" s="20" t="str">
        <f>VLOOKUP($C453,'[1]CTRL AUTOS'!$E:$AH,2,0)</f>
        <v>X59AWG</v>
      </c>
      <c r="AE453" s="11" t="str">
        <f t="shared" si="55"/>
        <v>X59AWG25</v>
      </c>
    </row>
    <row r="454" spans="1:31" ht="12.75" hidden="1" customHeight="1" x14ac:dyDescent="0.3">
      <c r="A454" s="8">
        <v>25</v>
      </c>
      <c r="B454" s="20" t="s">
        <v>321</v>
      </c>
      <c r="C454" s="20" t="s">
        <v>40</v>
      </c>
      <c r="D454" s="20" t="s">
        <v>315</v>
      </c>
      <c r="E454" s="22" t="s">
        <v>232</v>
      </c>
      <c r="F454" s="20" t="s">
        <v>232</v>
      </c>
      <c r="G454" s="22" t="s">
        <v>234</v>
      </c>
      <c r="H454" s="23">
        <v>1004.62</v>
      </c>
      <c r="I454" s="23">
        <v>0</v>
      </c>
      <c r="J454" s="23">
        <v>0</v>
      </c>
      <c r="K454" s="23">
        <v>0</v>
      </c>
      <c r="L454" s="23">
        <v>0</v>
      </c>
      <c r="M454" s="24">
        <v>0</v>
      </c>
      <c r="N454" s="23">
        <v>0</v>
      </c>
      <c r="O454" s="24">
        <f t="shared" si="49"/>
        <v>1004.62</v>
      </c>
      <c r="P454" s="23">
        <v>0</v>
      </c>
      <c r="Q454" s="23">
        <v>-263</v>
      </c>
      <c r="R454" s="23">
        <v>0</v>
      </c>
      <c r="S454" s="23">
        <v>0</v>
      </c>
      <c r="T454" s="23">
        <v>0</v>
      </c>
      <c r="U454" s="23">
        <v>0</v>
      </c>
      <c r="V454" s="23">
        <v>0</v>
      </c>
      <c r="W454" s="23">
        <f t="shared" si="50"/>
        <v>741.62</v>
      </c>
      <c r="X454" s="23">
        <f t="shared" si="51"/>
        <v>741.62</v>
      </c>
      <c r="Y454" s="23">
        <f t="shared" si="52"/>
        <v>0</v>
      </c>
      <c r="Z454" s="23">
        <v>0</v>
      </c>
      <c r="AA454" s="23">
        <f t="shared" si="53"/>
        <v>0</v>
      </c>
      <c r="AB454" s="23">
        <f t="shared" si="54"/>
        <v>263</v>
      </c>
      <c r="AC454" s="20" t="s">
        <v>355</v>
      </c>
      <c r="AD454" s="20" t="str">
        <f>VLOOKUP($C454,'[1]CTRL AUTOS'!$E:$AH,2,0)</f>
        <v>NEL860A</v>
      </c>
      <c r="AE454" s="11" t="str">
        <f t="shared" si="55"/>
        <v>NEL860A25</v>
      </c>
    </row>
    <row r="455" spans="1:31" ht="12.75" hidden="1" customHeight="1" x14ac:dyDescent="0.3">
      <c r="A455" s="8">
        <v>25</v>
      </c>
      <c r="B455" s="20" t="s">
        <v>45</v>
      </c>
      <c r="C455" s="20" t="s">
        <v>249</v>
      </c>
      <c r="D455" s="20" t="s">
        <v>250</v>
      </c>
      <c r="E455" s="22" t="s">
        <v>232</v>
      </c>
      <c r="F455" s="20" t="s">
        <v>232</v>
      </c>
      <c r="G455" s="22" t="s">
        <v>234</v>
      </c>
      <c r="H455" s="23">
        <v>1914.8</v>
      </c>
      <c r="I455" s="23">
        <v>-7.7</v>
      </c>
      <c r="J455" s="23">
        <v>0</v>
      </c>
      <c r="K455" s="23">
        <v>0</v>
      </c>
      <c r="L455" s="23">
        <v>-371.68</v>
      </c>
      <c r="M455" s="24">
        <v>-47.89</v>
      </c>
      <c r="N455" s="23">
        <v>0</v>
      </c>
      <c r="O455" s="24">
        <f t="shared" si="49"/>
        <v>1487.5299999999997</v>
      </c>
      <c r="P455" s="23">
        <v>-1971</v>
      </c>
      <c r="Q455" s="23">
        <v>1</v>
      </c>
      <c r="R455" s="23">
        <v>0</v>
      </c>
      <c r="S455" s="23">
        <v>0</v>
      </c>
      <c r="T455" s="23">
        <v>0</v>
      </c>
      <c r="U455" s="23">
        <v>0</v>
      </c>
      <c r="V455" s="23">
        <v>0</v>
      </c>
      <c r="W455" s="23">
        <f t="shared" si="50"/>
        <v>-482.47000000000025</v>
      </c>
      <c r="X455" s="23">
        <f t="shared" si="51"/>
        <v>0</v>
      </c>
      <c r="Y455" s="23">
        <f t="shared" si="52"/>
        <v>-482.47000000000025</v>
      </c>
      <c r="Z455" s="23">
        <v>482</v>
      </c>
      <c r="AA455" s="23">
        <f t="shared" si="53"/>
        <v>-0.47000000000025466</v>
      </c>
      <c r="AB455" s="23">
        <f t="shared" si="54"/>
        <v>1969.0599999999995</v>
      </c>
      <c r="AC455" s="20" t="s">
        <v>297</v>
      </c>
      <c r="AD455" s="20" t="s">
        <v>251</v>
      </c>
      <c r="AE455" s="11" t="str">
        <f t="shared" si="55"/>
        <v>BAJA DE PLACAS25</v>
      </c>
    </row>
    <row r="456" spans="1:31" ht="12.75" hidden="1" customHeight="1" x14ac:dyDescent="0.3">
      <c r="A456" s="8">
        <v>25</v>
      </c>
      <c r="B456" s="20" t="s">
        <v>356</v>
      </c>
      <c r="C456" s="20" t="s">
        <v>40</v>
      </c>
      <c r="D456" s="20" t="s">
        <v>315</v>
      </c>
      <c r="E456" s="22" t="s">
        <v>232</v>
      </c>
      <c r="F456" s="20" t="s">
        <v>232</v>
      </c>
      <c r="G456" s="22" t="s">
        <v>234</v>
      </c>
      <c r="H456" s="23">
        <v>1482.36</v>
      </c>
      <c r="I456" s="23">
        <v>0</v>
      </c>
      <c r="J456" s="23">
        <v>0</v>
      </c>
      <c r="K456" s="23">
        <v>0</v>
      </c>
      <c r="L456" s="23">
        <v>-954.96</v>
      </c>
      <c r="M456" s="24">
        <v>-25</v>
      </c>
      <c r="N456" s="23">
        <v>0</v>
      </c>
      <c r="O456" s="24">
        <f t="shared" si="49"/>
        <v>502.39999999999986</v>
      </c>
      <c r="P456" s="23">
        <v>-357</v>
      </c>
      <c r="Q456" s="23">
        <v>0</v>
      </c>
      <c r="R456" s="23">
        <v>-72</v>
      </c>
      <c r="S456" s="23">
        <v>0</v>
      </c>
      <c r="T456" s="23">
        <v>0</v>
      </c>
      <c r="U456" s="23">
        <v>0</v>
      </c>
      <c r="V456" s="23">
        <v>0</v>
      </c>
      <c r="W456" s="23">
        <f t="shared" si="50"/>
        <v>73.399999999999864</v>
      </c>
      <c r="X456" s="23">
        <f t="shared" si="51"/>
        <v>73.399999999999864</v>
      </c>
      <c r="Y456" s="23">
        <f t="shared" si="52"/>
        <v>0</v>
      </c>
      <c r="Z456" s="23">
        <v>0</v>
      </c>
      <c r="AA456" s="23">
        <f t="shared" si="53"/>
        <v>0</v>
      </c>
      <c r="AB456" s="23">
        <f t="shared" si="54"/>
        <v>429</v>
      </c>
      <c r="AC456" s="20" t="s">
        <v>357</v>
      </c>
      <c r="AD456" s="20" t="str">
        <f>VLOOKUP($C456,'[1]CTRL AUTOS'!$E:$AH,2,0)</f>
        <v>NEL860A</v>
      </c>
      <c r="AE456" s="11" t="str">
        <f t="shared" si="55"/>
        <v>NEL860A25</v>
      </c>
    </row>
    <row r="457" spans="1:31" ht="12.75" hidden="1" customHeight="1" x14ac:dyDescent="0.3">
      <c r="A457" s="8">
        <v>25</v>
      </c>
      <c r="B457" s="20" t="s">
        <v>5</v>
      </c>
      <c r="C457" s="20" t="s">
        <v>50</v>
      </c>
      <c r="D457" s="20" t="s">
        <v>267</v>
      </c>
      <c r="E457" s="22" t="s">
        <v>232</v>
      </c>
      <c r="F457" s="20" t="s">
        <v>232</v>
      </c>
      <c r="G457" s="22" t="s">
        <v>234</v>
      </c>
      <c r="H457" s="23">
        <v>5748.22</v>
      </c>
      <c r="I457" s="23">
        <v>-19.2</v>
      </c>
      <c r="J457" s="23">
        <v>0</v>
      </c>
      <c r="K457" s="23">
        <v>0</v>
      </c>
      <c r="L457" s="23">
        <v>-2221.37</v>
      </c>
      <c r="M457" s="24">
        <v>-37.619999999999997</v>
      </c>
      <c r="N457" s="23">
        <v>-71</v>
      </c>
      <c r="O457" s="24">
        <f t="shared" si="49"/>
        <v>3399.0300000000007</v>
      </c>
      <c r="P457" s="23">
        <v>-2500</v>
      </c>
      <c r="Q457" s="23">
        <v>0</v>
      </c>
      <c r="R457" s="23">
        <v>0</v>
      </c>
      <c r="S457" s="23">
        <v>0</v>
      </c>
      <c r="T457" s="23">
        <v>0</v>
      </c>
      <c r="U457" s="23">
        <v>-500</v>
      </c>
      <c r="V457" s="23">
        <v>0</v>
      </c>
      <c r="W457" s="23">
        <f t="shared" si="50"/>
        <v>399.03000000000065</v>
      </c>
      <c r="X457" s="23">
        <f t="shared" si="51"/>
        <v>399.03000000000065</v>
      </c>
      <c r="Y457" s="23">
        <f t="shared" si="52"/>
        <v>0</v>
      </c>
      <c r="Z457" s="23">
        <v>0</v>
      </c>
      <c r="AA457" s="23">
        <f t="shared" si="53"/>
        <v>0</v>
      </c>
      <c r="AB457" s="23">
        <f t="shared" si="54"/>
        <v>3000</v>
      </c>
      <c r="AC457" s="20"/>
      <c r="AD457" s="20" t="str">
        <f>VLOOKUP($C457,'[1]CTRL AUTOS'!$E:$AH,2,0)</f>
        <v>NBS225A</v>
      </c>
      <c r="AE457" s="11" t="str">
        <f t="shared" si="55"/>
        <v>NBS225A25</v>
      </c>
    </row>
    <row r="458" spans="1:31" ht="12.75" hidden="1" customHeight="1" x14ac:dyDescent="0.3">
      <c r="A458" s="8">
        <v>25</v>
      </c>
      <c r="B458" s="20" t="s">
        <v>294</v>
      </c>
      <c r="C458" s="20" t="s">
        <v>106</v>
      </c>
      <c r="D458" s="20" t="s">
        <v>322</v>
      </c>
      <c r="E458" s="22" t="s">
        <v>232</v>
      </c>
      <c r="F458" s="20" t="s">
        <v>232</v>
      </c>
      <c r="G458" s="22" t="s">
        <v>234</v>
      </c>
      <c r="H458" s="23">
        <v>1274.31</v>
      </c>
      <c r="I458" s="23">
        <v>0</v>
      </c>
      <c r="J458" s="23">
        <v>0</v>
      </c>
      <c r="K458" s="23">
        <v>0</v>
      </c>
      <c r="L458" s="23">
        <v>-837.25</v>
      </c>
      <c r="M458" s="24">
        <v>-35</v>
      </c>
      <c r="N458" s="23">
        <v>-95</v>
      </c>
      <c r="O458" s="24">
        <f t="shared" si="49"/>
        <v>307.05999999999995</v>
      </c>
      <c r="P458" s="23">
        <v>-2500</v>
      </c>
      <c r="Q458" s="23">
        <v>-2734</v>
      </c>
      <c r="R458" s="23">
        <v>0</v>
      </c>
      <c r="S458" s="23">
        <v>0</v>
      </c>
      <c r="T458" s="23">
        <v>0</v>
      </c>
      <c r="U458" s="23">
        <v>0</v>
      </c>
      <c r="V458" s="23">
        <v>0</v>
      </c>
      <c r="W458" s="23">
        <f t="shared" si="50"/>
        <v>-4926.9400000000005</v>
      </c>
      <c r="X458" s="23">
        <f t="shared" si="51"/>
        <v>0</v>
      </c>
      <c r="Y458" s="23">
        <f t="shared" si="52"/>
        <v>-4926.9400000000005</v>
      </c>
      <c r="Z458" s="23">
        <v>2500</v>
      </c>
      <c r="AA458" s="23">
        <f t="shared" si="53"/>
        <v>-2426.9400000000005</v>
      </c>
      <c r="AB458" s="23">
        <f t="shared" si="54"/>
        <v>380.11999999999944</v>
      </c>
      <c r="AC458" s="20" t="s">
        <v>297</v>
      </c>
      <c r="AD458" s="20" t="str">
        <f>VLOOKUP($C458,'[1]CTRL AUTOS'!$E:$AH,2,0)</f>
        <v>NZU5163</v>
      </c>
      <c r="AE458" s="11" t="str">
        <f t="shared" si="55"/>
        <v>NZU516325</v>
      </c>
    </row>
    <row r="459" spans="1:31" ht="12.75" hidden="1" customHeight="1" x14ac:dyDescent="0.3">
      <c r="A459" s="8">
        <v>26</v>
      </c>
      <c r="B459" s="20" t="s">
        <v>80</v>
      </c>
      <c r="C459" s="20" t="s">
        <v>54</v>
      </c>
      <c r="D459" s="20" t="s">
        <v>318</v>
      </c>
      <c r="E459" s="22" t="s">
        <v>232</v>
      </c>
      <c r="F459" s="20" t="s">
        <v>232</v>
      </c>
      <c r="G459" s="22" t="s">
        <v>234</v>
      </c>
      <c r="H459" s="23">
        <v>1255.3400000000001</v>
      </c>
      <c r="I459" s="23">
        <v>-16.899999999999999</v>
      </c>
      <c r="J459" s="23">
        <v>0</v>
      </c>
      <c r="K459" s="23">
        <v>0</v>
      </c>
      <c r="L459" s="23">
        <v>-527.34</v>
      </c>
      <c r="M459" s="24">
        <v>-25</v>
      </c>
      <c r="N459" s="23">
        <v>0</v>
      </c>
      <c r="O459" s="24">
        <f t="shared" si="49"/>
        <v>686.1</v>
      </c>
      <c r="P459" s="23">
        <v>-2500</v>
      </c>
      <c r="Q459" s="23">
        <v>-2870.59</v>
      </c>
      <c r="R459" s="23">
        <v>0</v>
      </c>
      <c r="S459" s="23">
        <v>0</v>
      </c>
      <c r="T459" s="23">
        <v>-500</v>
      </c>
      <c r="U459" s="23">
        <v>0</v>
      </c>
      <c r="V459" s="23">
        <v>0</v>
      </c>
      <c r="W459" s="23">
        <f t="shared" si="50"/>
        <v>-5184.49</v>
      </c>
      <c r="X459" s="23">
        <f t="shared" si="51"/>
        <v>0</v>
      </c>
      <c r="Y459" s="23">
        <f t="shared" si="52"/>
        <v>-5184.49</v>
      </c>
      <c r="Z459" s="23">
        <v>2313</v>
      </c>
      <c r="AA459" s="23">
        <f t="shared" si="53"/>
        <v>-2871.49</v>
      </c>
      <c r="AB459" s="23">
        <f t="shared" si="54"/>
        <v>127.61000000000013</v>
      </c>
      <c r="AC459" s="20"/>
      <c r="AD459" s="20" t="str">
        <f>VLOOKUP($C459,'[1]CTRL AUTOS'!$E:$AH,2,0)</f>
        <v>NZY685B</v>
      </c>
      <c r="AE459" s="11" t="str">
        <f t="shared" si="55"/>
        <v>NZY685B26</v>
      </c>
    </row>
    <row r="460" spans="1:31" ht="12.75" hidden="1" customHeight="1" x14ac:dyDescent="0.3">
      <c r="A460" s="8">
        <v>26</v>
      </c>
      <c r="B460" s="20" t="s">
        <v>323</v>
      </c>
      <c r="C460" s="20" t="s">
        <v>20</v>
      </c>
      <c r="D460" s="20" t="s">
        <v>239</v>
      </c>
      <c r="E460" s="22" t="s">
        <v>232</v>
      </c>
      <c r="F460" s="20" t="s">
        <v>232</v>
      </c>
      <c r="G460" s="22" t="s">
        <v>234</v>
      </c>
      <c r="H460" s="23">
        <v>2056.8200000000002</v>
      </c>
      <c r="I460" s="23">
        <v>0</v>
      </c>
      <c r="J460" s="23">
        <v>0</v>
      </c>
      <c r="K460" s="23">
        <v>0</v>
      </c>
      <c r="L460" s="23">
        <v>0</v>
      </c>
      <c r="M460" s="24">
        <v>-48</v>
      </c>
      <c r="N460" s="23">
        <v>0</v>
      </c>
      <c r="O460" s="24">
        <f t="shared" si="49"/>
        <v>2008.8200000000002</v>
      </c>
      <c r="P460" s="23">
        <v>-2500</v>
      </c>
      <c r="Q460" s="23">
        <v>0</v>
      </c>
      <c r="R460" s="23">
        <v>0</v>
      </c>
      <c r="S460" s="23">
        <v>0</v>
      </c>
      <c r="T460" s="23">
        <v>0</v>
      </c>
      <c r="U460" s="23">
        <v>0</v>
      </c>
      <c r="V460" s="23">
        <v>0</v>
      </c>
      <c r="W460" s="23">
        <f t="shared" si="50"/>
        <v>-491.17999999999984</v>
      </c>
      <c r="X460" s="23">
        <f t="shared" si="51"/>
        <v>0</v>
      </c>
      <c r="Y460" s="23">
        <f t="shared" si="52"/>
        <v>-491.17999999999984</v>
      </c>
      <c r="Z460" s="23">
        <v>0</v>
      </c>
      <c r="AA460" s="23">
        <f t="shared" si="53"/>
        <v>-491.17999999999984</v>
      </c>
      <c r="AB460" s="23">
        <f t="shared" si="54"/>
        <v>1517.6400000000003</v>
      </c>
      <c r="AC460" s="20" t="s">
        <v>358</v>
      </c>
      <c r="AD460" s="20" t="str">
        <f>VLOOKUP($C460,'[1]CTRL AUTOS'!$E:$AH,2,0)</f>
        <v>D40BKD</v>
      </c>
      <c r="AE460" s="11" t="str">
        <f t="shared" si="55"/>
        <v>D40BKD26</v>
      </c>
    </row>
    <row r="461" spans="1:31" ht="12.75" hidden="1" customHeight="1" x14ac:dyDescent="0.3">
      <c r="A461" s="8">
        <v>26</v>
      </c>
      <c r="B461" s="20" t="s">
        <v>111</v>
      </c>
      <c r="C461" s="20" t="s">
        <v>230</v>
      </c>
      <c r="D461" s="20" t="s">
        <v>231</v>
      </c>
      <c r="E461" s="22" t="s">
        <v>232</v>
      </c>
      <c r="F461" s="20" t="s">
        <v>232</v>
      </c>
      <c r="G461" s="22" t="s">
        <v>234</v>
      </c>
      <c r="H461" s="23">
        <v>5848.08</v>
      </c>
      <c r="I461" s="23">
        <v>0</v>
      </c>
      <c r="J461" s="23">
        <v>0</v>
      </c>
      <c r="K461" s="23">
        <v>0</v>
      </c>
      <c r="L461" s="23">
        <v>-2146.98</v>
      </c>
      <c r="M461" s="24">
        <v>-35</v>
      </c>
      <c r="N461" s="23">
        <v>0</v>
      </c>
      <c r="O461" s="24">
        <f t="shared" si="49"/>
        <v>3666.1</v>
      </c>
      <c r="P461" s="23">
        <v>-2500</v>
      </c>
      <c r="Q461" s="23">
        <v>0</v>
      </c>
      <c r="R461" s="23">
        <v>-500</v>
      </c>
      <c r="S461" s="23">
        <v>0</v>
      </c>
      <c r="T461" s="23">
        <v>0</v>
      </c>
      <c r="U461" s="23">
        <v>0</v>
      </c>
      <c r="V461" s="23">
        <v>0</v>
      </c>
      <c r="W461" s="23">
        <f t="shared" si="50"/>
        <v>666.09999999999991</v>
      </c>
      <c r="X461" s="23">
        <f t="shared" si="51"/>
        <v>666.09999999999991</v>
      </c>
      <c r="Y461" s="23">
        <f t="shared" si="52"/>
        <v>0</v>
      </c>
      <c r="Z461" s="23">
        <v>0</v>
      </c>
      <c r="AA461" s="23">
        <f t="shared" si="53"/>
        <v>0</v>
      </c>
      <c r="AB461" s="23">
        <f t="shared" si="54"/>
        <v>3000</v>
      </c>
      <c r="AC461" s="20"/>
      <c r="AD461" s="20" t="s">
        <v>235</v>
      </c>
      <c r="AE461" s="11" t="str">
        <f t="shared" si="55"/>
        <v>NEB156A26</v>
      </c>
    </row>
    <row r="462" spans="1:31" ht="12.75" hidden="1" customHeight="1" x14ac:dyDescent="0.3">
      <c r="A462" s="8">
        <v>26</v>
      </c>
      <c r="B462" s="20" t="s">
        <v>23</v>
      </c>
      <c r="C462" s="20" t="s">
        <v>34</v>
      </c>
      <c r="D462" s="20" t="s">
        <v>285</v>
      </c>
      <c r="E462" s="22" t="s">
        <v>232</v>
      </c>
      <c r="F462" s="20" t="s">
        <v>232</v>
      </c>
      <c r="G462" s="22" t="s">
        <v>234</v>
      </c>
      <c r="H462" s="23">
        <v>7294.1300000000019</v>
      </c>
      <c r="I462" s="23">
        <v>-53.6</v>
      </c>
      <c r="J462" s="23">
        <v>0</v>
      </c>
      <c r="K462" s="23">
        <v>0</v>
      </c>
      <c r="L462" s="23">
        <v>-3722.14</v>
      </c>
      <c r="M462" s="24">
        <v>-35</v>
      </c>
      <c r="N462" s="23">
        <v>-72</v>
      </c>
      <c r="O462" s="24">
        <f t="shared" si="49"/>
        <v>3411.3900000000017</v>
      </c>
      <c r="P462" s="23">
        <v>-2500</v>
      </c>
      <c r="Q462" s="23">
        <v>0</v>
      </c>
      <c r="R462" s="23">
        <v>-500</v>
      </c>
      <c r="S462" s="23">
        <v>0</v>
      </c>
      <c r="T462" s="23">
        <v>0</v>
      </c>
      <c r="U462" s="23">
        <v>0</v>
      </c>
      <c r="V462" s="23">
        <v>0</v>
      </c>
      <c r="W462" s="23">
        <f t="shared" si="50"/>
        <v>411.39000000000169</v>
      </c>
      <c r="X462" s="23">
        <f t="shared" si="51"/>
        <v>411.39000000000169</v>
      </c>
      <c r="Y462" s="23">
        <f t="shared" si="52"/>
        <v>0</v>
      </c>
      <c r="Z462" s="23">
        <v>0</v>
      </c>
      <c r="AA462" s="23">
        <f t="shared" si="53"/>
        <v>0</v>
      </c>
      <c r="AB462" s="23">
        <f t="shared" si="54"/>
        <v>3000</v>
      </c>
      <c r="AC462" s="20"/>
      <c r="AD462" s="20" t="str">
        <f>VLOOKUP($C462,'[1]CTRL AUTOS'!$E:$AH,2,0)</f>
        <v>X59AWG</v>
      </c>
      <c r="AE462" s="11" t="str">
        <f t="shared" si="55"/>
        <v>X59AWG26</v>
      </c>
    </row>
    <row r="463" spans="1:31" ht="12.75" hidden="1" customHeight="1" x14ac:dyDescent="0.3">
      <c r="A463" s="8">
        <v>26</v>
      </c>
      <c r="B463" s="20" t="s">
        <v>25</v>
      </c>
      <c r="C463" s="20" t="s">
        <v>46</v>
      </c>
      <c r="D463" s="20" t="s">
        <v>257</v>
      </c>
      <c r="E463" s="22" t="s">
        <v>232</v>
      </c>
      <c r="F463" s="20" t="s">
        <v>232</v>
      </c>
      <c r="G463" s="22" t="s">
        <v>234</v>
      </c>
      <c r="H463" s="23">
        <v>4866.2699999999986</v>
      </c>
      <c r="I463" s="23">
        <v>0</v>
      </c>
      <c r="J463" s="23">
        <v>0</v>
      </c>
      <c r="K463" s="23">
        <v>0</v>
      </c>
      <c r="L463" s="23">
        <v>-2131.52</v>
      </c>
      <c r="M463" s="24">
        <v>-35</v>
      </c>
      <c r="N463" s="23">
        <v>0</v>
      </c>
      <c r="O463" s="24">
        <f t="shared" si="49"/>
        <v>2699.7499999999986</v>
      </c>
      <c r="P463" s="23">
        <v>-2500</v>
      </c>
      <c r="Q463" s="23">
        <v>0</v>
      </c>
      <c r="R463" s="23">
        <v>-500</v>
      </c>
      <c r="S463" s="23">
        <v>0</v>
      </c>
      <c r="T463" s="23">
        <v>0</v>
      </c>
      <c r="U463" s="23">
        <v>551</v>
      </c>
      <c r="V463" s="23">
        <v>0</v>
      </c>
      <c r="W463" s="23">
        <f t="shared" si="50"/>
        <v>250.74999999999864</v>
      </c>
      <c r="X463" s="23">
        <f t="shared" si="51"/>
        <v>250.74999999999864</v>
      </c>
      <c r="Y463" s="23">
        <f t="shared" si="52"/>
        <v>0</v>
      </c>
      <c r="Z463" s="23">
        <v>200</v>
      </c>
      <c r="AA463" s="23">
        <f t="shared" si="53"/>
        <v>200</v>
      </c>
      <c r="AB463" s="23">
        <f t="shared" si="54"/>
        <v>2849</v>
      </c>
      <c r="AC463" s="20" t="s">
        <v>358</v>
      </c>
      <c r="AD463" s="20" t="str">
        <f>VLOOKUP($C463,'[1]CTRL AUTOS'!$E:$AH,2,0)</f>
        <v>R66BER</v>
      </c>
      <c r="AE463" s="11" t="str">
        <f t="shared" si="55"/>
        <v>R66BER26</v>
      </c>
    </row>
    <row r="464" spans="1:31" ht="12.75" hidden="1" customHeight="1" x14ac:dyDescent="0.3">
      <c r="A464" s="8">
        <v>26</v>
      </c>
      <c r="B464" s="20" t="s">
        <v>359</v>
      </c>
      <c r="C464" s="20" t="s">
        <v>230</v>
      </c>
      <c r="D464" s="20" t="s">
        <v>231</v>
      </c>
      <c r="E464" s="22" t="s">
        <v>232</v>
      </c>
      <c r="F464" s="20" t="s">
        <v>232</v>
      </c>
      <c r="G464" s="22" t="s">
        <v>234</v>
      </c>
      <c r="H464" s="23">
        <v>1009.26</v>
      </c>
      <c r="I464" s="23">
        <v>0</v>
      </c>
      <c r="J464" s="23">
        <v>0</v>
      </c>
      <c r="K464" s="23">
        <v>0</v>
      </c>
      <c r="L464" s="23">
        <v>-539.79</v>
      </c>
      <c r="M464" s="24">
        <v>-35</v>
      </c>
      <c r="N464" s="23">
        <v>0</v>
      </c>
      <c r="O464" s="24">
        <f t="shared" si="49"/>
        <v>434.47</v>
      </c>
      <c r="P464" s="23">
        <v>-714.28</v>
      </c>
      <c r="Q464" s="23">
        <v>0</v>
      </c>
      <c r="R464" s="23">
        <v>0</v>
      </c>
      <c r="S464" s="23">
        <v>0</v>
      </c>
      <c r="T464" s="23">
        <v>0</v>
      </c>
      <c r="U464" s="23">
        <v>0</v>
      </c>
      <c r="V464" s="23">
        <v>0</v>
      </c>
      <c r="W464" s="23">
        <f t="shared" si="50"/>
        <v>-279.80999999999995</v>
      </c>
      <c r="X464" s="23">
        <f t="shared" si="51"/>
        <v>0</v>
      </c>
      <c r="Y464" s="23">
        <f t="shared" si="52"/>
        <v>-279.80999999999995</v>
      </c>
      <c r="Z464" s="23">
        <v>280</v>
      </c>
      <c r="AA464" s="23">
        <f t="shared" si="53"/>
        <v>0.19000000000005457</v>
      </c>
      <c r="AB464" s="23">
        <f t="shared" si="54"/>
        <v>714.66000000000008</v>
      </c>
      <c r="AC464" s="20"/>
      <c r="AD464" s="20" t="s">
        <v>235</v>
      </c>
      <c r="AE464" s="11" t="str">
        <f t="shared" si="55"/>
        <v>NEB156A26</v>
      </c>
    </row>
    <row r="465" spans="1:31" ht="12.75" hidden="1" customHeight="1" x14ac:dyDescent="0.3">
      <c r="A465" s="8">
        <v>26</v>
      </c>
      <c r="B465" s="20" t="s">
        <v>260</v>
      </c>
      <c r="C465" s="20" t="s">
        <v>81</v>
      </c>
      <c r="D465" s="20" t="s">
        <v>317</v>
      </c>
      <c r="E465" s="22" t="s">
        <v>232</v>
      </c>
      <c r="F465" s="20" t="s">
        <v>232</v>
      </c>
      <c r="G465" s="22" t="s">
        <v>234</v>
      </c>
      <c r="H465" s="23">
        <v>4055.2000000000007</v>
      </c>
      <c r="I465" s="23">
        <v>0</v>
      </c>
      <c r="J465" s="23">
        <v>0</v>
      </c>
      <c r="K465" s="23">
        <v>0</v>
      </c>
      <c r="L465" s="23">
        <v>-1279.9000000000001</v>
      </c>
      <c r="M465" s="24">
        <v>-35</v>
      </c>
      <c r="N465" s="23">
        <v>0</v>
      </c>
      <c r="O465" s="24">
        <f t="shared" si="49"/>
        <v>2740.3000000000006</v>
      </c>
      <c r="P465" s="23">
        <v>-2500</v>
      </c>
      <c r="Q465" s="23">
        <v>0</v>
      </c>
      <c r="R465" s="23">
        <v>0</v>
      </c>
      <c r="S465" s="23">
        <v>-300</v>
      </c>
      <c r="T465" s="23">
        <v>0</v>
      </c>
      <c r="U465" s="23">
        <v>0</v>
      </c>
      <c r="V465" s="23">
        <v>0</v>
      </c>
      <c r="W465" s="23">
        <f t="shared" si="50"/>
        <v>-59.699999999999363</v>
      </c>
      <c r="X465" s="23">
        <f t="shared" si="51"/>
        <v>0</v>
      </c>
      <c r="Y465" s="23">
        <f t="shared" si="52"/>
        <v>-59.699999999999363</v>
      </c>
      <c r="Z465" s="23">
        <v>0</v>
      </c>
      <c r="AA465" s="23">
        <f t="shared" si="53"/>
        <v>-59.699999999999363</v>
      </c>
      <c r="AB465" s="23">
        <f t="shared" si="54"/>
        <v>2680.6000000000013</v>
      </c>
      <c r="AC465" s="20" t="s">
        <v>358</v>
      </c>
      <c r="AD465" s="20" t="str">
        <f>VLOOKUP($C465,'[1]CTRL AUTOS'!$E:$AH,2,0)</f>
        <v>NLP172B</v>
      </c>
      <c r="AE465" s="11" t="str">
        <f t="shared" si="55"/>
        <v>NLP172B26</v>
      </c>
    </row>
    <row r="466" spans="1:31" ht="12.75" hidden="1" customHeight="1" x14ac:dyDescent="0.3">
      <c r="A466" s="8">
        <v>26</v>
      </c>
      <c r="B466" s="20" t="s">
        <v>72</v>
      </c>
      <c r="C466" s="20" t="s">
        <v>73</v>
      </c>
      <c r="D466" s="20" t="s">
        <v>283</v>
      </c>
      <c r="E466" s="22" t="s">
        <v>241</v>
      </c>
      <c r="F466" s="20" t="s">
        <v>291</v>
      </c>
      <c r="G466" s="22" t="s">
        <v>234</v>
      </c>
      <c r="H466" s="23">
        <v>9600.1400000000031</v>
      </c>
      <c r="I466" s="23">
        <v>-144</v>
      </c>
      <c r="J466" s="23">
        <v>0</v>
      </c>
      <c r="K466" s="23">
        <v>-77.929999999999993</v>
      </c>
      <c r="L466" s="23">
        <v>-3387.11</v>
      </c>
      <c r="M466" s="24">
        <v>-25</v>
      </c>
      <c r="N466" s="23">
        <v>0</v>
      </c>
      <c r="O466" s="24">
        <f t="shared" si="49"/>
        <v>5966.1000000000022</v>
      </c>
      <c r="P466" s="23">
        <v>-2500</v>
      </c>
      <c r="Q466" s="23">
        <v>-322.11999999999989</v>
      </c>
      <c r="R466" s="23">
        <v>0</v>
      </c>
      <c r="S466" s="23">
        <v>0</v>
      </c>
      <c r="T466" s="23">
        <v>-650</v>
      </c>
      <c r="U466" s="23">
        <v>0</v>
      </c>
      <c r="V466" s="23">
        <v>0</v>
      </c>
      <c r="W466" s="23">
        <f t="shared" si="50"/>
        <v>2493.9800000000023</v>
      </c>
      <c r="X466" s="23">
        <f t="shared" si="51"/>
        <v>2493.9800000000023</v>
      </c>
      <c r="Y466" s="23">
        <f t="shared" si="52"/>
        <v>0</v>
      </c>
      <c r="Z466" s="23">
        <v>0</v>
      </c>
      <c r="AA466" s="23">
        <f t="shared" si="53"/>
        <v>0</v>
      </c>
      <c r="AB466" s="23">
        <f t="shared" si="54"/>
        <v>3472.12</v>
      </c>
      <c r="AC466" s="20"/>
      <c r="AD466" s="20" t="str">
        <f>VLOOKUP($C466,'[1]CTRL AUTOS'!$E:$AH,2,0)</f>
        <v>H99BLC</v>
      </c>
      <c r="AE466" s="11" t="str">
        <f t="shared" si="55"/>
        <v>H99BLC26</v>
      </c>
    </row>
    <row r="467" spans="1:31" ht="12.75" hidden="1" customHeight="1" x14ac:dyDescent="0.3">
      <c r="A467" s="8">
        <v>26</v>
      </c>
      <c r="B467" s="20" t="s">
        <v>292</v>
      </c>
      <c r="C467" s="20" t="s">
        <v>52</v>
      </c>
      <c r="D467" s="20" t="s">
        <v>313</v>
      </c>
      <c r="E467" s="22" t="s">
        <v>232</v>
      </c>
      <c r="F467" s="20" t="s">
        <v>232</v>
      </c>
      <c r="G467" s="22" t="s">
        <v>234</v>
      </c>
      <c r="H467" s="23">
        <v>8431.02</v>
      </c>
      <c r="I467" s="23">
        <v>-53.6</v>
      </c>
      <c r="J467" s="23">
        <v>-31.03</v>
      </c>
      <c r="K467" s="23">
        <v>0</v>
      </c>
      <c r="L467" s="23">
        <v>-2095.8200000000002</v>
      </c>
      <c r="M467" s="24">
        <v>-39.03</v>
      </c>
      <c r="N467" s="23">
        <v>0</v>
      </c>
      <c r="O467" s="24">
        <f t="shared" si="49"/>
        <v>6211.54</v>
      </c>
      <c r="P467" s="23">
        <v>-2500</v>
      </c>
      <c r="Q467" s="23">
        <v>0</v>
      </c>
      <c r="R467" s="23">
        <v>0</v>
      </c>
      <c r="S467" s="23">
        <v>0</v>
      </c>
      <c r="T467" s="23">
        <v>0</v>
      </c>
      <c r="U467" s="23">
        <v>0</v>
      </c>
      <c r="V467" s="23">
        <v>0</v>
      </c>
      <c r="W467" s="23">
        <f t="shared" si="50"/>
        <v>3711.54</v>
      </c>
      <c r="X467" s="23">
        <f t="shared" si="51"/>
        <v>3711.54</v>
      </c>
      <c r="Y467" s="23">
        <f t="shared" si="52"/>
        <v>0</v>
      </c>
      <c r="Z467" s="23">
        <v>0</v>
      </c>
      <c r="AA467" s="23">
        <f t="shared" si="53"/>
        <v>0</v>
      </c>
      <c r="AB467" s="23">
        <f t="shared" si="54"/>
        <v>2500</v>
      </c>
      <c r="AC467" s="20"/>
      <c r="AD467" s="20" t="str">
        <f>VLOOKUP($C467,'[1]CTRL AUTOS'!$E:$AH,2,0)</f>
        <v>A35BHD</v>
      </c>
      <c r="AE467" s="11" t="str">
        <f t="shared" si="55"/>
        <v>A35BHD26</v>
      </c>
    </row>
    <row r="468" spans="1:31" ht="12.75" hidden="1" customHeight="1" x14ac:dyDescent="0.3">
      <c r="A468" s="8">
        <v>26</v>
      </c>
      <c r="B468" s="20" t="s">
        <v>288</v>
      </c>
      <c r="C468" s="20" t="s">
        <v>22</v>
      </c>
      <c r="D468" s="20" t="s">
        <v>319</v>
      </c>
      <c r="E468" s="20" t="s">
        <v>232</v>
      </c>
      <c r="F468" s="20" t="s">
        <v>232</v>
      </c>
      <c r="G468" s="22" t="s">
        <v>234</v>
      </c>
      <c r="H468" s="23">
        <v>6779.7099999999973</v>
      </c>
      <c r="I468" s="23">
        <v>0</v>
      </c>
      <c r="J468" s="23">
        <v>0</v>
      </c>
      <c r="K468" s="23">
        <v>0</v>
      </c>
      <c r="L468" s="23">
        <v>-1708.8200000000002</v>
      </c>
      <c r="M468" s="24">
        <v>-35</v>
      </c>
      <c r="N468" s="23">
        <v>-95</v>
      </c>
      <c r="O468" s="24">
        <f t="shared" si="49"/>
        <v>4940.8899999999976</v>
      </c>
      <c r="P468" s="23">
        <v>-2500</v>
      </c>
      <c r="Q468" s="23">
        <v>0</v>
      </c>
      <c r="R468" s="23">
        <v>0</v>
      </c>
      <c r="S468" s="23">
        <v>0</v>
      </c>
      <c r="T468" s="23">
        <v>0</v>
      </c>
      <c r="U468" s="23">
        <v>0</v>
      </c>
      <c r="V468" s="23">
        <v>0</v>
      </c>
      <c r="W468" s="23">
        <f t="shared" si="50"/>
        <v>2440.8899999999976</v>
      </c>
      <c r="X468" s="23">
        <f t="shared" si="51"/>
        <v>2440.8899999999976</v>
      </c>
      <c r="Y468" s="23">
        <f t="shared" si="52"/>
        <v>0</v>
      </c>
      <c r="Z468" s="23">
        <v>0</v>
      </c>
      <c r="AA468" s="23">
        <f t="shared" si="53"/>
        <v>0</v>
      </c>
      <c r="AB468" s="23">
        <f t="shared" si="54"/>
        <v>2500</v>
      </c>
      <c r="AC468" s="20"/>
      <c r="AD468" s="20" t="str">
        <f>VLOOKUP($C468,'[1]CTRL AUTOS'!$E:$AH,2,0)</f>
        <v>NCK475B</v>
      </c>
      <c r="AE468" s="11" t="str">
        <f t="shared" si="55"/>
        <v>NCK475B26</v>
      </c>
    </row>
    <row r="469" spans="1:31" ht="12.75" hidden="1" customHeight="1" x14ac:dyDescent="0.3">
      <c r="A469" s="8">
        <v>26</v>
      </c>
      <c r="B469" s="20" t="s">
        <v>324</v>
      </c>
      <c r="C469" s="20" t="s">
        <v>168</v>
      </c>
      <c r="D469" s="20" t="s">
        <v>265</v>
      </c>
      <c r="E469" s="39" t="s">
        <v>232</v>
      </c>
      <c r="F469" s="41" t="s">
        <v>232</v>
      </c>
      <c r="G469" s="22" t="s">
        <v>234</v>
      </c>
      <c r="H469" s="23">
        <v>3543.14</v>
      </c>
      <c r="I469" s="23">
        <v>0</v>
      </c>
      <c r="J469" s="23">
        <v>0</v>
      </c>
      <c r="K469" s="23">
        <v>0</v>
      </c>
      <c r="L469" s="23">
        <v>-2601.21</v>
      </c>
      <c r="M469" s="24">
        <v>-30</v>
      </c>
      <c r="N469" s="23">
        <v>0</v>
      </c>
      <c r="O469" s="24">
        <f t="shared" si="49"/>
        <v>911.92999999999984</v>
      </c>
      <c r="P469" s="23">
        <v>-2142</v>
      </c>
      <c r="Q469" s="23">
        <v>0</v>
      </c>
      <c r="R469" s="23">
        <v>0</v>
      </c>
      <c r="S469" s="23">
        <v>0</v>
      </c>
      <c r="T469" s="23">
        <v>0</v>
      </c>
      <c r="U469" s="23">
        <v>0</v>
      </c>
      <c r="V469" s="23">
        <v>0</v>
      </c>
      <c r="W469" s="23">
        <f t="shared" si="50"/>
        <v>-1230.0700000000002</v>
      </c>
      <c r="X469" s="23">
        <f t="shared" si="51"/>
        <v>0</v>
      </c>
      <c r="Y469" s="23">
        <f t="shared" si="52"/>
        <v>-1230.0700000000002</v>
      </c>
      <c r="Z469" s="23">
        <v>0</v>
      </c>
      <c r="AA469" s="23">
        <f t="shared" si="53"/>
        <v>-1230.0700000000002</v>
      </c>
      <c r="AB469" s="23">
        <f t="shared" si="54"/>
        <v>-318.14000000000033</v>
      </c>
      <c r="AC469" s="20" t="s">
        <v>358</v>
      </c>
      <c r="AD469" s="20" t="e">
        <f>VLOOKUP($C469,'[1]CTRL AUTOS'!$E:$AH,2,0)</f>
        <v>#N/A</v>
      </c>
      <c r="AE469" s="11" t="e">
        <f t="shared" si="55"/>
        <v>#N/A</v>
      </c>
    </row>
    <row r="470" spans="1:31" ht="12.75" hidden="1" customHeight="1" x14ac:dyDescent="0.3">
      <c r="A470" s="8">
        <v>26</v>
      </c>
      <c r="B470" s="20" t="s">
        <v>244</v>
      </c>
      <c r="C470" s="20" t="s">
        <v>16</v>
      </c>
      <c r="D470" s="20" t="s">
        <v>314</v>
      </c>
      <c r="E470" s="22" t="s">
        <v>232</v>
      </c>
      <c r="F470" s="20" t="s">
        <v>232</v>
      </c>
      <c r="G470" s="22" t="s">
        <v>234</v>
      </c>
      <c r="H470" s="23">
        <v>3756.7599999999998</v>
      </c>
      <c r="I470" s="23">
        <v>0</v>
      </c>
      <c r="J470" s="23">
        <v>0</v>
      </c>
      <c r="K470" s="23">
        <v>0</v>
      </c>
      <c r="L470" s="23">
        <v>-29.93</v>
      </c>
      <c r="M470" s="24">
        <v>-35</v>
      </c>
      <c r="N470" s="23">
        <v>0</v>
      </c>
      <c r="O470" s="24">
        <f t="shared" si="49"/>
        <v>3691.83</v>
      </c>
      <c r="P470" s="23">
        <v>-2500</v>
      </c>
      <c r="Q470" s="23">
        <v>0</v>
      </c>
      <c r="R470" s="23">
        <v>0</v>
      </c>
      <c r="S470" s="23">
        <v>0</v>
      </c>
      <c r="T470" s="23">
        <v>-660</v>
      </c>
      <c r="U470" s="23">
        <v>0</v>
      </c>
      <c r="V470" s="23">
        <v>0</v>
      </c>
      <c r="W470" s="23">
        <f t="shared" si="50"/>
        <v>531.82999999999993</v>
      </c>
      <c r="X470" s="23">
        <f t="shared" si="51"/>
        <v>531.82999999999993</v>
      </c>
      <c r="Y470" s="23">
        <f t="shared" si="52"/>
        <v>0</v>
      </c>
      <c r="Z470" s="23">
        <v>82</v>
      </c>
      <c r="AA470" s="23">
        <f t="shared" si="53"/>
        <v>82</v>
      </c>
      <c r="AB470" s="23">
        <f t="shared" si="54"/>
        <v>3324</v>
      </c>
      <c r="AC470" s="20"/>
      <c r="AD470" s="20" t="str">
        <f>VLOOKUP($C470,'[1]CTRL AUTOS'!$E:$AH,2,0)</f>
        <v>D28BET</v>
      </c>
      <c r="AE470" s="11" t="str">
        <f t="shared" si="55"/>
        <v>D28BET26</v>
      </c>
    </row>
    <row r="471" spans="1:31" ht="12.75" hidden="1" customHeight="1" x14ac:dyDescent="0.3">
      <c r="A471" s="8">
        <v>26</v>
      </c>
      <c r="B471" s="20" t="s">
        <v>35</v>
      </c>
      <c r="C471" s="20" t="s">
        <v>97</v>
      </c>
      <c r="D471" s="20" t="s">
        <v>273</v>
      </c>
      <c r="E471" s="22" t="s">
        <v>232</v>
      </c>
      <c r="F471" s="20" t="s">
        <v>232</v>
      </c>
      <c r="G471" s="22" t="s">
        <v>234</v>
      </c>
      <c r="H471" s="23">
        <v>8514.2700000000023</v>
      </c>
      <c r="I471" s="23">
        <v>-156</v>
      </c>
      <c r="J471" s="23">
        <v>0</v>
      </c>
      <c r="K471" s="23">
        <v>0</v>
      </c>
      <c r="L471" s="23">
        <v>-3687.7999999999993</v>
      </c>
      <c r="M471" s="24">
        <v>-30</v>
      </c>
      <c r="N471" s="23">
        <v>0</v>
      </c>
      <c r="O471" s="24">
        <f t="shared" si="49"/>
        <v>4640.470000000003</v>
      </c>
      <c r="P471" s="23">
        <v>-2500</v>
      </c>
      <c r="Q471" s="23">
        <v>0</v>
      </c>
      <c r="R471" s="23">
        <v>0</v>
      </c>
      <c r="S471" s="23">
        <v>0</v>
      </c>
      <c r="T471" s="23">
        <v>0</v>
      </c>
      <c r="U471" s="23">
        <v>0</v>
      </c>
      <c r="V471" s="23">
        <v>0</v>
      </c>
      <c r="W471" s="23">
        <f t="shared" si="50"/>
        <v>2140.470000000003</v>
      </c>
      <c r="X471" s="23">
        <f t="shared" si="51"/>
        <v>2140.470000000003</v>
      </c>
      <c r="Y471" s="23">
        <f t="shared" si="52"/>
        <v>0</v>
      </c>
      <c r="Z471" s="23">
        <v>0</v>
      </c>
      <c r="AA471" s="23">
        <f t="shared" si="53"/>
        <v>0</v>
      </c>
      <c r="AB471" s="23">
        <f t="shared" si="54"/>
        <v>2500</v>
      </c>
      <c r="AC471" s="20" t="s">
        <v>360</v>
      </c>
      <c r="AD471" s="20" t="str">
        <f>VLOOKUP($C471,'[1]CTRL AUTOS'!$E:$AH,2,0)</f>
        <v>MUF515A</v>
      </c>
      <c r="AE471" s="11" t="str">
        <f t="shared" si="55"/>
        <v>MUF515A26</v>
      </c>
    </row>
    <row r="472" spans="1:31" ht="12.75" hidden="1" customHeight="1" x14ac:dyDescent="0.3">
      <c r="A472" s="8">
        <v>26</v>
      </c>
      <c r="B472" s="20" t="s">
        <v>37</v>
      </c>
      <c r="C472" s="20" t="s">
        <v>246</v>
      </c>
      <c r="D472" s="20" t="s">
        <v>341</v>
      </c>
      <c r="E472" s="22" t="s">
        <v>232</v>
      </c>
      <c r="F472" s="20" t="s">
        <v>291</v>
      </c>
      <c r="G472" s="22" t="s">
        <v>234</v>
      </c>
      <c r="H472" s="23">
        <v>3690.67</v>
      </c>
      <c r="I472" s="23">
        <v>0</v>
      </c>
      <c r="J472" s="23">
        <v>0</v>
      </c>
      <c r="K472" s="23">
        <v>0</v>
      </c>
      <c r="L472" s="23">
        <v>-1015.38</v>
      </c>
      <c r="M472" s="24">
        <v>-35</v>
      </c>
      <c r="N472" s="23">
        <v>0</v>
      </c>
      <c r="O472" s="24">
        <f t="shared" si="49"/>
        <v>2640.29</v>
      </c>
      <c r="P472" s="23">
        <v>-2500</v>
      </c>
      <c r="Q472" s="23">
        <v>-1878.11</v>
      </c>
      <c r="R472" s="23">
        <v>0</v>
      </c>
      <c r="S472" s="23">
        <v>0</v>
      </c>
      <c r="T472" s="23">
        <v>0</v>
      </c>
      <c r="U472" s="23">
        <v>0</v>
      </c>
      <c r="V472" s="23">
        <v>0</v>
      </c>
      <c r="W472" s="23">
        <f t="shared" si="50"/>
        <v>-1737.8199999999997</v>
      </c>
      <c r="X472" s="23">
        <f t="shared" si="51"/>
        <v>0</v>
      </c>
      <c r="Y472" s="23">
        <f t="shared" si="52"/>
        <v>-1737.8199999999997</v>
      </c>
      <c r="Z472" s="23">
        <v>0</v>
      </c>
      <c r="AA472" s="23">
        <f t="shared" si="53"/>
        <v>-1737.8199999999997</v>
      </c>
      <c r="AB472" s="23">
        <f t="shared" si="54"/>
        <v>902.47000000000025</v>
      </c>
      <c r="AC472" s="20"/>
      <c r="AD472" s="20" t="s">
        <v>248</v>
      </c>
      <c r="AE472" s="11" t="str">
        <f t="shared" si="55"/>
        <v>X24APU26</v>
      </c>
    </row>
    <row r="473" spans="1:31" ht="12.75" hidden="1" customHeight="1" x14ac:dyDescent="0.3">
      <c r="A473" s="8">
        <v>26</v>
      </c>
      <c r="B473" s="20" t="s">
        <v>361</v>
      </c>
      <c r="C473" s="20" t="s">
        <v>56</v>
      </c>
      <c r="D473" s="20" t="s">
        <v>336</v>
      </c>
      <c r="E473" s="22" t="s">
        <v>241</v>
      </c>
      <c r="F473" s="20" t="s">
        <v>291</v>
      </c>
      <c r="G473" s="22" t="s">
        <v>234</v>
      </c>
      <c r="H473" s="23">
        <v>4226.1499999999978</v>
      </c>
      <c r="I473" s="23">
        <v>-54.4</v>
      </c>
      <c r="J473" s="23">
        <v>0</v>
      </c>
      <c r="K473" s="23">
        <v>0</v>
      </c>
      <c r="L473" s="23">
        <v>-1340.85</v>
      </c>
      <c r="M473" s="24">
        <v>-35</v>
      </c>
      <c r="N473" s="23">
        <v>0</v>
      </c>
      <c r="O473" s="24">
        <f t="shared" si="49"/>
        <v>2795.8999999999983</v>
      </c>
      <c r="P473" s="23">
        <v>-1249.9999999999995</v>
      </c>
      <c r="Q473" s="23">
        <v>0</v>
      </c>
      <c r="R473" s="23">
        <v>0</v>
      </c>
      <c r="S473" s="23">
        <v>0</v>
      </c>
      <c r="T473" s="23">
        <v>0</v>
      </c>
      <c r="U473" s="23">
        <v>0</v>
      </c>
      <c r="V473" s="23">
        <v>0</v>
      </c>
      <c r="W473" s="23">
        <f t="shared" si="50"/>
        <v>1545.8999999999987</v>
      </c>
      <c r="X473" s="23">
        <f t="shared" si="51"/>
        <v>1545.8999999999987</v>
      </c>
      <c r="Y473" s="23">
        <f t="shared" si="52"/>
        <v>0</v>
      </c>
      <c r="Z473" s="23">
        <v>0</v>
      </c>
      <c r="AA473" s="23">
        <f t="shared" si="53"/>
        <v>0</v>
      </c>
      <c r="AB473" s="23">
        <f t="shared" si="54"/>
        <v>1249.9999999999995</v>
      </c>
      <c r="AC473" s="20"/>
      <c r="AD473" s="20" t="str">
        <f>VLOOKUP($C473,'[1]CTRL AUTOS'!$E:$AH,2,0)</f>
        <v>MYE912A</v>
      </c>
      <c r="AE473" s="11" t="str">
        <f t="shared" si="55"/>
        <v>MYE912A26</v>
      </c>
    </row>
    <row r="474" spans="1:31" ht="12.75" hidden="1" customHeight="1" x14ac:dyDescent="0.3">
      <c r="A474" s="8">
        <v>26</v>
      </c>
      <c r="B474" s="20" t="s">
        <v>331</v>
      </c>
      <c r="C474" s="20" t="s">
        <v>69</v>
      </c>
      <c r="D474" s="20" t="s">
        <v>283</v>
      </c>
      <c r="E474" s="22" t="s">
        <v>241</v>
      </c>
      <c r="F474" s="20" t="s">
        <v>291</v>
      </c>
      <c r="G474" s="22" t="s">
        <v>234</v>
      </c>
      <c r="H474" s="23">
        <v>3169.4599999999991</v>
      </c>
      <c r="I474" s="23">
        <v>-4</v>
      </c>
      <c r="J474" s="23">
        <v>0</v>
      </c>
      <c r="K474" s="23">
        <v>0</v>
      </c>
      <c r="L474" s="23">
        <v>0</v>
      </c>
      <c r="M474" s="24">
        <v>-48</v>
      </c>
      <c r="N474" s="23">
        <v>0</v>
      </c>
      <c r="O474" s="24">
        <f t="shared" si="49"/>
        <v>3117.4599999999991</v>
      </c>
      <c r="P474" s="23">
        <v>-2500</v>
      </c>
      <c r="Q474" s="23">
        <v>-963.80000000000018</v>
      </c>
      <c r="R474" s="23">
        <v>-500</v>
      </c>
      <c r="S474" s="23">
        <v>0</v>
      </c>
      <c r="T474" s="23">
        <v>0</v>
      </c>
      <c r="U474" s="23">
        <v>0</v>
      </c>
      <c r="V474" s="23">
        <v>0</v>
      </c>
      <c r="W474" s="23">
        <f t="shared" si="50"/>
        <v>-846.34000000000106</v>
      </c>
      <c r="X474" s="23">
        <f t="shared" si="51"/>
        <v>0</v>
      </c>
      <c r="Y474" s="23">
        <f t="shared" si="52"/>
        <v>-846.34000000000106</v>
      </c>
      <c r="Z474" s="23">
        <v>800</v>
      </c>
      <c r="AA474" s="23">
        <f t="shared" si="53"/>
        <v>-46.340000000001055</v>
      </c>
      <c r="AB474" s="23">
        <f t="shared" si="54"/>
        <v>3871.1199999999981</v>
      </c>
      <c r="AC474" s="20" t="s">
        <v>358</v>
      </c>
      <c r="AD474" s="20" t="str">
        <f>VLOOKUP($C474,'[1]CTRL AUTOS'!$E:$AH,2,0)</f>
        <v>R51BKD</v>
      </c>
      <c r="AE474" s="11" t="str">
        <f t="shared" si="55"/>
        <v>R51BKD26</v>
      </c>
    </row>
    <row r="475" spans="1:31" ht="12.75" hidden="1" customHeight="1" x14ac:dyDescent="0.3">
      <c r="A475" s="8">
        <v>26</v>
      </c>
      <c r="B475" s="20" t="s">
        <v>45</v>
      </c>
      <c r="C475" s="20" t="s">
        <v>249</v>
      </c>
      <c r="D475" s="20" t="s">
        <v>250</v>
      </c>
      <c r="E475" s="22" t="s">
        <v>232</v>
      </c>
      <c r="F475" s="20" t="s">
        <v>232</v>
      </c>
      <c r="G475" s="22" t="s">
        <v>234</v>
      </c>
      <c r="H475" s="23">
        <v>4676.45</v>
      </c>
      <c r="I475" s="23">
        <v>0</v>
      </c>
      <c r="J475" s="23">
        <v>0</v>
      </c>
      <c r="K475" s="23">
        <v>0</v>
      </c>
      <c r="L475" s="23">
        <v>-780.98</v>
      </c>
      <c r="M475" s="24">
        <v>-53.39</v>
      </c>
      <c r="N475" s="23">
        <v>0</v>
      </c>
      <c r="O475" s="24">
        <f t="shared" si="49"/>
        <v>3842.08</v>
      </c>
      <c r="P475" s="23">
        <v>-2300</v>
      </c>
      <c r="Q475" s="23">
        <v>0</v>
      </c>
      <c r="R475" s="23">
        <v>0</v>
      </c>
      <c r="S475" s="23">
        <v>0</v>
      </c>
      <c r="T475" s="23">
        <v>0</v>
      </c>
      <c r="U475" s="23">
        <v>0</v>
      </c>
      <c r="V475" s="23">
        <v>0</v>
      </c>
      <c r="W475" s="23">
        <f t="shared" si="50"/>
        <v>1542.08</v>
      </c>
      <c r="X475" s="23">
        <f t="shared" si="51"/>
        <v>1542.08</v>
      </c>
      <c r="Y475" s="23">
        <f t="shared" si="52"/>
        <v>0</v>
      </c>
      <c r="Z475" s="23">
        <v>0</v>
      </c>
      <c r="AA475" s="23">
        <f t="shared" si="53"/>
        <v>0</v>
      </c>
      <c r="AB475" s="23">
        <f t="shared" si="54"/>
        <v>2300</v>
      </c>
      <c r="AC475" s="20"/>
      <c r="AD475" s="20" t="s">
        <v>251</v>
      </c>
      <c r="AE475" s="11" t="str">
        <f t="shared" si="55"/>
        <v>BAJA DE PLACAS26</v>
      </c>
    </row>
    <row r="476" spans="1:31" ht="12.75" hidden="1" customHeight="1" x14ac:dyDescent="0.3">
      <c r="A476" s="8">
        <v>26</v>
      </c>
      <c r="B476" s="20" t="s">
        <v>356</v>
      </c>
      <c r="C476" s="20" t="s">
        <v>50</v>
      </c>
      <c r="D476" s="20" t="s">
        <v>267</v>
      </c>
      <c r="E476" s="22" t="s">
        <v>232</v>
      </c>
      <c r="F476" s="20" t="s">
        <v>232</v>
      </c>
      <c r="G476" s="22" t="s">
        <v>234</v>
      </c>
      <c r="H476" s="23">
        <v>3299.3500000000008</v>
      </c>
      <c r="I476" s="23">
        <v>0</v>
      </c>
      <c r="J476" s="23">
        <v>0</v>
      </c>
      <c r="K476" s="23">
        <v>0</v>
      </c>
      <c r="L476" s="23">
        <v>-2320.0700000000002</v>
      </c>
      <c r="M476" s="24">
        <v>-35</v>
      </c>
      <c r="N476" s="23">
        <v>0</v>
      </c>
      <c r="O476" s="24">
        <f t="shared" si="49"/>
        <v>944.28000000000065</v>
      </c>
      <c r="P476" s="23">
        <v>-2500</v>
      </c>
      <c r="Q476" s="23">
        <v>0</v>
      </c>
      <c r="R476" s="23">
        <v>-500</v>
      </c>
      <c r="S476" s="23">
        <v>0</v>
      </c>
      <c r="T476" s="23">
        <v>0</v>
      </c>
      <c r="U476" s="23">
        <v>0</v>
      </c>
      <c r="V476" s="23">
        <v>0</v>
      </c>
      <c r="W476" s="23">
        <f t="shared" si="50"/>
        <v>-2055.7199999999993</v>
      </c>
      <c r="X476" s="23">
        <f t="shared" si="51"/>
        <v>0</v>
      </c>
      <c r="Y476" s="23">
        <f t="shared" si="52"/>
        <v>-2055.7199999999993</v>
      </c>
      <c r="Z476" s="23">
        <v>0</v>
      </c>
      <c r="AA476" s="23">
        <f t="shared" si="53"/>
        <v>-2055.7199999999993</v>
      </c>
      <c r="AB476" s="23">
        <f t="shared" si="54"/>
        <v>-1111.4399999999987</v>
      </c>
      <c r="AC476" s="20" t="s">
        <v>358</v>
      </c>
      <c r="AD476" s="20" t="str">
        <f>VLOOKUP($C476,'[1]CTRL AUTOS'!$E:$AH,2,0)</f>
        <v>NBS225A</v>
      </c>
      <c r="AE476" s="11" t="str">
        <f t="shared" si="55"/>
        <v>NBS225A26</v>
      </c>
    </row>
    <row r="477" spans="1:31" ht="12.75" hidden="1" customHeight="1" x14ac:dyDescent="0.3">
      <c r="A477" s="8">
        <v>26</v>
      </c>
      <c r="B477" s="20" t="s">
        <v>5</v>
      </c>
      <c r="C477" s="20" t="s">
        <v>28</v>
      </c>
      <c r="D477" s="20" t="s">
        <v>274</v>
      </c>
      <c r="E477" s="22" t="s">
        <v>232</v>
      </c>
      <c r="F477" s="20" t="s">
        <v>232</v>
      </c>
      <c r="G477" s="22" t="s">
        <v>234</v>
      </c>
      <c r="H477" s="23">
        <v>3654.5099999999984</v>
      </c>
      <c r="I477" s="23">
        <v>-26.15</v>
      </c>
      <c r="J477" s="23">
        <v>-36.21</v>
      </c>
      <c r="K477" s="23">
        <v>0</v>
      </c>
      <c r="L477" s="23">
        <v>-649.63</v>
      </c>
      <c r="M477" s="24">
        <v>-35</v>
      </c>
      <c r="N477" s="23">
        <v>0</v>
      </c>
      <c r="O477" s="24">
        <f t="shared" si="49"/>
        <v>2907.5199999999982</v>
      </c>
      <c r="P477" s="23">
        <v>-2500</v>
      </c>
      <c r="Q477" s="23">
        <v>0</v>
      </c>
      <c r="R477" s="23">
        <v>0</v>
      </c>
      <c r="S477" s="23">
        <v>0</v>
      </c>
      <c r="T477" s="23">
        <v>0</v>
      </c>
      <c r="U477" s="23">
        <v>0</v>
      </c>
      <c r="V477" s="23">
        <v>0</v>
      </c>
      <c r="W477" s="23">
        <f t="shared" si="50"/>
        <v>407.51999999999816</v>
      </c>
      <c r="X477" s="23">
        <f t="shared" si="51"/>
        <v>407.51999999999816</v>
      </c>
      <c r="Y477" s="23">
        <f t="shared" si="52"/>
        <v>0</v>
      </c>
      <c r="Z477" s="23">
        <v>0</v>
      </c>
      <c r="AA477" s="23">
        <f t="shared" si="53"/>
        <v>0</v>
      </c>
      <c r="AB477" s="23">
        <f t="shared" si="54"/>
        <v>2500</v>
      </c>
      <c r="AC477" s="20"/>
      <c r="AD477" s="20" t="str">
        <f>VLOOKUP($C477,'[1]CTRL AUTOS'!$E:$AH,2,0)</f>
        <v>NCT814A</v>
      </c>
      <c r="AE477" s="11" t="str">
        <f t="shared" si="55"/>
        <v>NCT814A26</v>
      </c>
    </row>
    <row r="478" spans="1:31" ht="12.75" hidden="1" customHeight="1" x14ac:dyDescent="0.3">
      <c r="A478" s="8">
        <v>26</v>
      </c>
      <c r="B478" s="20" t="s">
        <v>362</v>
      </c>
      <c r="C478" s="20" t="s">
        <v>50</v>
      </c>
      <c r="D478" s="20" t="s">
        <v>267</v>
      </c>
      <c r="E478" s="22" t="s">
        <v>232</v>
      </c>
      <c r="F478" s="20" t="s">
        <v>232</v>
      </c>
      <c r="G478" s="22" t="s">
        <v>234</v>
      </c>
      <c r="H478" s="23">
        <v>1837.91</v>
      </c>
      <c r="I478" s="23">
        <v>0</v>
      </c>
      <c r="J478" s="23">
        <v>0</v>
      </c>
      <c r="K478" s="23">
        <v>0</v>
      </c>
      <c r="L478" s="23">
        <v>-1377.18</v>
      </c>
      <c r="M478" s="24">
        <v>-35</v>
      </c>
      <c r="N478" s="23">
        <v>0</v>
      </c>
      <c r="O478" s="24">
        <f t="shared" si="49"/>
        <v>425.73</v>
      </c>
      <c r="P478" s="23">
        <v>-1249.9999999999995</v>
      </c>
      <c r="Q478" s="23">
        <v>0</v>
      </c>
      <c r="R478" s="23">
        <v>-500</v>
      </c>
      <c r="S478" s="23">
        <v>0</v>
      </c>
      <c r="T478" s="23">
        <v>0</v>
      </c>
      <c r="U478" s="23">
        <v>0</v>
      </c>
      <c r="V478" s="23">
        <v>0</v>
      </c>
      <c r="W478" s="23">
        <f t="shared" si="50"/>
        <v>-1324.2699999999995</v>
      </c>
      <c r="X478" s="23">
        <f t="shared" si="51"/>
        <v>0</v>
      </c>
      <c r="Y478" s="23">
        <f t="shared" si="52"/>
        <v>-1324.2699999999995</v>
      </c>
      <c r="Z478" s="23">
        <v>1324</v>
      </c>
      <c r="AA478" s="23">
        <f t="shared" si="53"/>
        <v>-0.26999999999952706</v>
      </c>
      <c r="AB478" s="23">
        <f t="shared" si="54"/>
        <v>1749.4600000000005</v>
      </c>
      <c r="AC478" s="20"/>
      <c r="AD478" s="20" t="str">
        <f>VLOOKUP($C478,'[1]CTRL AUTOS'!$E:$AH,2,0)</f>
        <v>NBS225A</v>
      </c>
      <c r="AE478" s="11" t="str">
        <f t="shared" si="55"/>
        <v>NBS225A26</v>
      </c>
    </row>
    <row r="479" spans="1:31" ht="12.75" hidden="1" customHeight="1" x14ac:dyDescent="0.3">
      <c r="A479" s="8">
        <v>26</v>
      </c>
      <c r="B479" s="20" t="s">
        <v>363</v>
      </c>
      <c r="C479" s="20" t="s">
        <v>8</v>
      </c>
      <c r="D479" s="20" t="s">
        <v>237</v>
      </c>
      <c r="E479" s="22" t="s">
        <v>364</v>
      </c>
      <c r="F479" s="22" t="s">
        <v>364</v>
      </c>
      <c r="G479" s="22" t="s">
        <v>234</v>
      </c>
      <c r="H479" s="23">
        <v>3387.1300000000006</v>
      </c>
      <c r="I479" s="23">
        <v>-31.59</v>
      </c>
      <c r="J479" s="23">
        <v>0</v>
      </c>
      <c r="K479" s="23">
        <v>0</v>
      </c>
      <c r="L479" s="23">
        <v>0</v>
      </c>
      <c r="M479" s="24">
        <v>0</v>
      </c>
      <c r="N479" s="23">
        <v>0</v>
      </c>
      <c r="O479" s="24">
        <f t="shared" si="49"/>
        <v>3355.5400000000004</v>
      </c>
      <c r="P479" s="23">
        <v>-1607.1428571428564</v>
      </c>
      <c r="Q479" s="23">
        <v>0</v>
      </c>
      <c r="R479" s="23">
        <v>-321.42857142857133</v>
      </c>
      <c r="S479" s="23">
        <v>0</v>
      </c>
      <c r="T479" s="23">
        <v>0</v>
      </c>
      <c r="U479" s="23">
        <v>0</v>
      </c>
      <c r="V479" s="23">
        <v>0</v>
      </c>
      <c r="W479" s="23">
        <f t="shared" si="50"/>
        <v>1426.9685714285727</v>
      </c>
      <c r="X479" s="23">
        <f t="shared" si="51"/>
        <v>1426.9685714285727</v>
      </c>
      <c r="Y479" s="23">
        <f t="shared" si="52"/>
        <v>0</v>
      </c>
      <c r="Z479" s="23">
        <v>0</v>
      </c>
      <c r="AA479" s="23">
        <f t="shared" si="53"/>
        <v>0</v>
      </c>
      <c r="AB479" s="23">
        <f t="shared" si="54"/>
        <v>1928.5714285714278</v>
      </c>
      <c r="AC479" s="20" t="s">
        <v>365</v>
      </c>
      <c r="AD479" s="20" t="e">
        <f>VLOOKUP($C479,'[1]CTRL AUTOS'!$E:$AH,2,0)</f>
        <v>#N/A</v>
      </c>
      <c r="AE479" s="11" t="e">
        <f t="shared" si="55"/>
        <v>#N/A</v>
      </c>
    </row>
    <row r="480" spans="1:31" ht="12.75" hidden="1" customHeight="1" x14ac:dyDescent="0.3">
      <c r="A480" s="8">
        <v>26</v>
      </c>
      <c r="B480" s="20" t="s">
        <v>294</v>
      </c>
      <c r="C480" s="20" t="s">
        <v>106</v>
      </c>
      <c r="D480" s="20" t="s">
        <v>322</v>
      </c>
      <c r="E480" s="22" t="s">
        <v>232</v>
      </c>
      <c r="F480" s="20" t="s">
        <v>232</v>
      </c>
      <c r="G480" s="22" t="s">
        <v>234</v>
      </c>
      <c r="H480" s="23">
        <v>680.11</v>
      </c>
      <c r="I480" s="23">
        <v>0</v>
      </c>
      <c r="J480" s="23">
        <v>0</v>
      </c>
      <c r="K480" s="23">
        <v>0</v>
      </c>
      <c r="L480" s="23">
        <v>0</v>
      </c>
      <c r="M480" s="24">
        <v>-48</v>
      </c>
      <c r="N480" s="23">
        <v>-69</v>
      </c>
      <c r="O480" s="24">
        <f t="shared" si="49"/>
        <v>563.11</v>
      </c>
      <c r="P480" s="23">
        <v>-2500</v>
      </c>
      <c r="Q480" s="23">
        <v>-1927</v>
      </c>
      <c r="R480" s="23">
        <v>0</v>
      </c>
      <c r="S480" s="23">
        <v>0</v>
      </c>
      <c r="T480" s="23">
        <v>0</v>
      </c>
      <c r="U480" s="23">
        <v>0</v>
      </c>
      <c r="V480" s="23">
        <v>0</v>
      </c>
      <c r="W480" s="23">
        <f t="shared" si="50"/>
        <v>-3863.89</v>
      </c>
      <c r="X480" s="23">
        <f t="shared" si="51"/>
        <v>0</v>
      </c>
      <c r="Y480" s="23">
        <f t="shared" si="52"/>
        <v>-3863.89</v>
      </c>
      <c r="Z480" s="23">
        <v>2364</v>
      </c>
      <c r="AA480" s="23">
        <f t="shared" si="53"/>
        <v>-1499.8899999999999</v>
      </c>
      <c r="AB480" s="23">
        <f t="shared" si="54"/>
        <v>1427.2200000000003</v>
      </c>
      <c r="AC480" s="20" t="s">
        <v>358</v>
      </c>
      <c r="AD480" s="20" t="str">
        <f>VLOOKUP($C480,'[1]CTRL AUTOS'!$E:$AH,2,0)</f>
        <v>NZU5163</v>
      </c>
      <c r="AE480" s="11" t="str">
        <f t="shared" si="55"/>
        <v>NZU516326</v>
      </c>
    </row>
    <row r="481" spans="1:31" ht="12.75" hidden="1" customHeight="1" x14ac:dyDescent="0.3">
      <c r="A481" s="8">
        <v>27</v>
      </c>
      <c r="B481" s="20" t="s">
        <v>80</v>
      </c>
      <c r="C481" s="20" t="s">
        <v>46</v>
      </c>
      <c r="D481" s="20" t="s">
        <v>257</v>
      </c>
      <c r="E481" s="22" t="s">
        <v>232</v>
      </c>
      <c r="F481" s="20" t="s">
        <v>232</v>
      </c>
      <c r="G481" s="22" t="s">
        <v>234</v>
      </c>
      <c r="H481" s="23">
        <v>336.77</v>
      </c>
      <c r="I481" s="23">
        <v>0</v>
      </c>
      <c r="J481" s="23">
        <v>0</v>
      </c>
      <c r="K481" s="23">
        <v>0</v>
      </c>
      <c r="L481" s="23">
        <v>-200</v>
      </c>
      <c r="M481" s="24">
        <v>-28</v>
      </c>
      <c r="N481" s="23">
        <v>0</v>
      </c>
      <c r="O481" s="24">
        <f t="shared" si="49"/>
        <v>108.76999999999998</v>
      </c>
      <c r="P481" s="23">
        <v>-2500</v>
      </c>
      <c r="Q481" s="23">
        <v>0</v>
      </c>
      <c r="R481" s="23">
        <v>0</v>
      </c>
      <c r="S481" s="23">
        <v>0</v>
      </c>
      <c r="T481" s="23">
        <v>-500</v>
      </c>
      <c r="U481" s="23">
        <v>0</v>
      </c>
      <c r="V481" s="23">
        <v>0</v>
      </c>
      <c r="W481" s="23">
        <f t="shared" si="50"/>
        <v>-2891.23</v>
      </c>
      <c r="X481" s="23">
        <f t="shared" si="51"/>
        <v>0</v>
      </c>
      <c r="Y481" s="23">
        <f t="shared" si="52"/>
        <v>-2891.23</v>
      </c>
      <c r="Z481" s="23">
        <v>2891</v>
      </c>
      <c r="AA481" s="23">
        <f t="shared" si="53"/>
        <v>-0.23000000000001819</v>
      </c>
      <c r="AB481" s="23">
        <f t="shared" si="54"/>
        <v>2999.54</v>
      </c>
      <c r="AC481" s="20"/>
      <c r="AD481" s="20" t="str">
        <f>VLOOKUP($C481,'[1]CTRL AUTOS'!$E:$AH,2,0)</f>
        <v>R66BER</v>
      </c>
      <c r="AE481" s="11" t="str">
        <f t="shared" si="55"/>
        <v>R66BER27</v>
      </c>
    </row>
    <row r="482" spans="1:31" ht="12.75" hidden="1" customHeight="1" x14ac:dyDescent="0.3">
      <c r="A482" s="8">
        <v>27</v>
      </c>
      <c r="B482" s="20" t="s">
        <v>323</v>
      </c>
      <c r="C482" s="20" t="s">
        <v>20</v>
      </c>
      <c r="D482" s="20" t="s">
        <v>239</v>
      </c>
      <c r="E482" s="22" t="s">
        <v>232</v>
      </c>
      <c r="F482" s="20" t="s">
        <v>232</v>
      </c>
      <c r="G482" s="22" t="s">
        <v>234</v>
      </c>
      <c r="H482" s="23">
        <v>2954.91</v>
      </c>
      <c r="I482" s="23">
        <v>0</v>
      </c>
      <c r="J482" s="23">
        <v>0</v>
      </c>
      <c r="K482" s="23">
        <v>0</v>
      </c>
      <c r="L482" s="23">
        <v>0</v>
      </c>
      <c r="M482" s="24">
        <v>-35</v>
      </c>
      <c r="N482" s="23">
        <v>0</v>
      </c>
      <c r="O482" s="24">
        <f t="shared" si="49"/>
        <v>2919.91</v>
      </c>
      <c r="P482" s="23">
        <v>-2500</v>
      </c>
      <c r="Q482" s="23">
        <v>-549.91999999999996</v>
      </c>
      <c r="R482" s="23">
        <v>0</v>
      </c>
      <c r="S482" s="23">
        <v>0</v>
      </c>
      <c r="T482" s="23">
        <v>0</v>
      </c>
      <c r="U482" s="23">
        <v>0</v>
      </c>
      <c r="V482" s="23">
        <v>0</v>
      </c>
      <c r="W482" s="23">
        <f t="shared" si="50"/>
        <v>-130.01000000000022</v>
      </c>
      <c r="X482" s="23">
        <f t="shared" si="51"/>
        <v>0</v>
      </c>
      <c r="Y482" s="23">
        <f t="shared" si="52"/>
        <v>-130.01000000000022</v>
      </c>
      <c r="Z482" s="23">
        <v>0</v>
      </c>
      <c r="AA482" s="23">
        <f t="shared" si="53"/>
        <v>-130.01000000000022</v>
      </c>
      <c r="AB482" s="23">
        <f t="shared" si="54"/>
        <v>2789.8999999999996</v>
      </c>
      <c r="AC482" s="20" t="s">
        <v>366</v>
      </c>
      <c r="AD482" s="20" t="str">
        <f>VLOOKUP($C482,'[1]CTRL AUTOS'!$E:$AH,2,0)</f>
        <v>D40BKD</v>
      </c>
      <c r="AE482" s="11" t="str">
        <f t="shared" si="55"/>
        <v>D40BKD27</v>
      </c>
    </row>
    <row r="483" spans="1:31" ht="12.75" hidden="1" customHeight="1" x14ac:dyDescent="0.3">
      <c r="A483" s="8">
        <v>27</v>
      </c>
      <c r="B483" s="20" t="s">
        <v>111</v>
      </c>
      <c r="C483" s="20" t="s">
        <v>63</v>
      </c>
      <c r="D483" s="20" t="s">
        <v>314</v>
      </c>
      <c r="E483" s="20" t="s">
        <v>291</v>
      </c>
      <c r="F483" s="20" t="s">
        <v>291</v>
      </c>
      <c r="G483" s="22" t="s">
        <v>234</v>
      </c>
      <c r="H483" s="23">
        <v>5582.02</v>
      </c>
      <c r="I483" s="23">
        <v>0</v>
      </c>
      <c r="J483" s="23">
        <v>0</v>
      </c>
      <c r="K483" s="23">
        <v>0</v>
      </c>
      <c r="L483" s="23">
        <v>-1808.15</v>
      </c>
      <c r="M483" s="24">
        <v>-28</v>
      </c>
      <c r="N483" s="23">
        <v>-11</v>
      </c>
      <c r="O483" s="24">
        <f t="shared" si="49"/>
        <v>3734.8700000000003</v>
      </c>
      <c r="P483" s="23">
        <v>-2500</v>
      </c>
      <c r="Q483" s="23">
        <v>0</v>
      </c>
      <c r="R483" s="23">
        <v>-500</v>
      </c>
      <c r="S483" s="23">
        <v>0</v>
      </c>
      <c r="T483" s="23">
        <v>0</v>
      </c>
      <c r="U483" s="23">
        <v>0</v>
      </c>
      <c r="V483" s="23">
        <v>0</v>
      </c>
      <c r="W483" s="23">
        <f t="shared" si="50"/>
        <v>734.87000000000035</v>
      </c>
      <c r="X483" s="23">
        <f t="shared" si="51"/>
        <v>734.87000000000035</v>
      </c>
      <c r="Y483" s="23">
        <f t="shared" si="52"/>
        <v>0</v>
      </c>
      <c r="Z483" s="23">
        <v>0</v>
      </c>
      <c r="AA483" s="23">
        <f t="shared" si="53"/>
        <v>0</v>
      </c>
      <c r="AB483" s="23">
        <f t="shared" si="54"/>
        <v>3000</v>
      </c>
      <c r="AC483" s="20"/>
      <c r="AD483" s="20" t="str">
        <f>VLOOKUP($C483,'[1]CTRL AUTOS'!$E:$AH,2,0)</f>
        <v>X89ALV</v>
      </c>
      <c r="AE483" s="11" t="str">
        <f t="shared" si="55"/>
        <v>X89ALV27</v>
      </c>
    </row>
    <row r="484" spans="1:31" ht="12.75" hidden="1" customHeight="1" x14ac:dyDescent="0.3">
      <c r="A484" s="8">
        <v>27</v>
      </c>
      <c r="B484" s="20" t="s">
        <v>238</v>
      </c>
      <c r="C484" s="20" t="s">
        <v>104</v>
      </c>
      <c r="D484" s="20" t="s">
        <v>367</v>
      </c>
      <c r="E484" s="20" t="s">
        <v>364</v>
      </c>
      <c r="F484" s="22" t="s">
        <v>364</v>
      </c>
      <c r="G484" s="22" t="s">
        <v>234</v>
      </c>
      <c r="H484" s="23">
        <v>77.11</v>
      </c>
      <c r="I484" s="23">
        <v>0</v>
      </c>
      <c r="J484" s="23">
        <v>0</v>
      </c>
      <c r="K484" s="23">
        <v>0</v>
      </c>
      <c r="L484" s="23">
        <v>0</v>
      </c>
      <c r="M484" s="24">
        <v>-25</v>
      </c>
      <c r="N484" s="23">
        <v>0</v>
      </c>
      <c r="O484" s="24">
        <f t="shared" si="49"/>
        <v>52.11</v>
      </c>
      <c r="P484" s="23">
        <v>-356</v>
      </c>
      <c r="Q484" s="23">
        <v>0</v>
      </c>
      <c r="R484" s="23">
        <v>0</v>
      </c>
      <c r="S484" s="23">
        <v>0</v>
      </c>
      <c r="T484" s="23">
        <v>0</v>
      </c>
      <c r="U484" s="23">
        <v>0</v>
      </c>
      <c r="V484" s="23">
        <v>0</v>
      </c>
      <c r="W484" s="23">
        <f t="shared" si="50"/>
        <v>-303.89</v>
      </c>
      <c r="X484" s="23">
        <f t="shared" si="51"/>
        <v>0</v>
      </c>
      <c r="Y484" s="23">
        <f t="shared" si="52"/>
        <v>-303.89</v>
      </c>
      <c r="Z484" s="23">
        <v>0</v>
      </c>
      <c r="AA484" s="23">
        <f t="shared" si="53"/>
        <v>-303.89</v>
      </c>
      <c r="AB484" s="23">
        <f t="shared" si="54"/>
        <v>-251.77999999999997</v>
      </c>
      <c r="AC484" s="20"/>
      <c r="AD484" s="20" t="e">
        <f>VLOOKUP($C484,'[1]CTRL AUTOS'!$E:$AH,2,0)</f>
        <v>#N/A</v>
      </c>
      <c r="AE484" s="11" t="e">
        <f t="shared" si="55"/>
        <v>#N/A</v>
      </c>
    </row>
    <row r="485" spans="1:31" ht="12.75" hidden="1" customHeight="1" x14ac:dyDescent="0.3">
      <c r="A485" s="8">
        <v>27</v>
      </c>
      <c r="B485" s="20" t="s">
        <v>23</v>
      </c>
      <c r="C485" s="20" t="s">
        <v>34</v>
      </c>
      <c r="D485" s="20" t="s">
        <v>285</v>
      </c>
      <c r="E485" s="22" t="s">
        <v>232</v>
      </c>
      <c r="F485" s="20" t="s">
        <v>232</v>
      </c>
      <c r="G485" s="22" t="s">
        <v>234</v>
      </c>
      <c r="H485" s="23">
        <v>4907.4799999999996</v>
      </c>
      <c r="I485" s="23">
        <v>0</v>
      </c>
      <c r="J485" s="23">
        <v>0</v>
      </c>
      <c r="K485" s="23">
        <v>0</v>
      </c>
      <c r="L485" s="23">
        <v>-4114.22</v>
      </c>
      <c r="M485" s="24">
        <v>-25</v>
      </c>
      <c r="N485" s="23">
        <v>0</v>
      </c>
      <c r="O485" s="24">
        <f t="shared" si="49"/>
        <v>768.25999999999931</v>
      </c>
      <c r="P485" s="23">
        <v>-2500</v>
      </c>
      <c r="Q485" s="23">
        <v>0</v>
      </c>
      <c r="R485" s="23">
        <v>-500</v>
      </c>
      <c r="S485" s="23">
        <v>0</v>
      </c>
      <c r="T485" s="23">
        <v>0</v>
      </c>
      <c r="U485" s="23">
        <v>0</v>
      </c>
      <c r="V485" s="23">
        <v>0</v>
      </c>
      <c r="W485" s="23">
        <f t="shared" si="50"/>
        <v>-2231.7400000000007</v>
      </c>
      <c r="X485" s="23">
        <f t="shared" si="51"/>
        <v>0</v>
      </c>
      <c r="Y485" s="23">
        <f t="shared" si="52"/>
        <v>-2231.7400000000007</v>
      </c>
      <c r="Z485" s="23">
        <f>1750+482</f>
        <v>2232</v>
      </c>
      <c r="AA485" s="23">
        <f t="shared" si="53"/>
        <v>0.25999999999930878</v>
      </c>
      <c r="AB485" s="23">
        <f t="shared" si="54"/>
        <v>3000.5199999999986</v>
      </c>
      <c r="AC485" s="20"/>
      <c r="AD485" s="20" t="str">
        <f>VLOOKUP($C485,'[1]CTRL AUTOS'!$E:$AH,2,0)</f>
        <v>X59AWG</v>
      </c>
      <c r="AE485" s="11" t="str">
        <f t="shared" si="55"/>
        <v>X59AWG27</v>
      </c>
    </row>
    <row r="486" spans="1:31" ht="12.75" hidden="1" customHeight="1" x14ac:dyDescent="0.3">
      <c r="A486" s="8">
        <v>27</v>
      </c>
      <c r="B486" s="20" t="s">
        <v>256</v>
      </c>
      <c r="C486" s="20" t="s">
        <v>16</v>
      </c>
      <c r="D486" s="20" t="s">
        <v>314</v>
      </c>
      <c r="E486" s="22" t="s">
        <v>232</v>
      </c>
      <c r="F486" s="20" t="s">
        <v>232</v>
      </c>
      <c r="G486" s="22" t="s">
        <v>234</v>
      </c>
      <c r="H486" s="23">
        <v>2433.4299999999998</v>
      </c>
      <c r="I486" s="23">
        <v>-30.02</v>
      </c>
      <c r="J486" s="23">
        <v>0</v>
      </c>
      <c r="K486" s="23">
        <v>0</v>
      </c>
      <c r="L486" s="23">
        <v>-798.36</v>
      </c>
      <c r="M486" s="24">
        <v>-25</v>
      </c>
      <c r="N486" s="23">
        <v>0</v>
      </c>
      <c r="O486" s="24">
        <f t="shared" si="49"/>
        <v>1580.0499999999997</v>
      </c>
      <c r="P486" s="23">
        <v>-1067</v>
      </c>
      <c r="Q486" s="23">
        <v>0</v>
      </c>
      <c r="R486" s="23">
        <v>-321</v>
      </c>
      <c r="S486" s="23">
        <v>0</v>
      </c>
      <c r="T486" s="23">
        <v>0</v>
      </c>
      <c r="U486" s="23">
        <v>0</v>
      </c>
      <c r="V486" s="23">
        <v>0</v>
      </c>
      <c r="W486" s="23">
        <f t="shared" si="50"/>
        <v>192.04999999999973</v>
      </c>
      <c r="X486" s="23">
        <f t="shared" si="51"/>
        <v>192.04999999999973</v>
      </c>
      <c r="Y486" s="23">
        <f t="shared" si="52"/>
        <v>0</v>
      </c>
      <c r="Z486" s="23">
        <v>0</v>
      </c>
      <c r="AA486" s="23">
        <f t="shared" si="53"/>
        <v>0</v>
      </c>
      <c r="AB486" s="23">
        <f t="shared" si="54"/>
        <v>1388</v>
      </c>
      <c r="AC486" s="20"/>
      <c r="AD486" s="20" t="str">
        <f>VLOOKUP($C486,'[1]CTRL AUTOS'!$E:$AH,2,0)</f>
        <v>D28BET</v>
      </c>
      <c r="AE486" s="11" t="str">
        <f t="shared" si="55"/>
        <v>D28BET27</v>
      </c>
    </row>
    <row r="487" spans="1:31" ht="12.75" hidden="1" customHeight="1" x14ac:dyDescent="0.3">
      <c r="A487" s="8">
        <v>27</v>
      </c>
      <c r="B487" s="20" t="s">
        <v>25</v>
      </c>
      <c r="C487" s="20" t="s">
        <v>10</v>
      </c>
      <c r="D487" s="20" t="s">
        <v>343</v>
      </c>
      <c r="E487" s="22" t="s">
        <v>232</v>
      </c>
      <c r="F487" s="20" t="s">
        <v>232</v>
      </c>
      <c r="G487" s="22" t="s">
        <v>234</v>
      </c>
      <c r="H487" s="23">
        <v>5605.84</v>
      </c>
      <c r="I487" s="23">
        <v>0</v>
      </c>
      <c r="J487" s="23">
        <v>0</v>
      </c>
      <c r="K487" s="23">
        <v>0</v>
      </c>
      <c r="L487" s="23">
        <v>-2119.08</v>
      </c>
      <c r="M487" s="24">
        <v>-25</v>
      </c>
      <c r="N487" s="23">
        <v>0</v>
      </c>
      <c r="O487" s="24">
        <f t="shared" si="49"/>
        <v>3461.76</v>
      </c>
      <c r="P487" s="23">
        <v>-2500</v>
      </c>
      <c r="Q487" s="23">
        <v>-465.9</v>
      </c>
      <c r="R487" s="23">
        <v>0</v>
      </c>
      <c r="S487" s="23">
        <v>0</v>
      </c>
      <c r="T487" s="23">
        <v>0</v>
      </c>
      <c r="U487" s="23">
        <v>150</v>
      </c>
      <c r="V487" s="23">
        <v>0</v>
      </c>
      <c r="W487" s="23">
        <f t="shared" si="50"/>
        <v>645.86000000000013</v>
      </c>
      <c r="X487" s="23">
        <f t="shared" si="51"/>
        <v>645.86000000000013</v>
      </c>
      <c r="Y487" s="23">
        <f t="shared" si="52"/>
        <v>0</v>
      </c>
      <c r="Z487" s="23">
        <v>0</v>
      </c>
      <c r="AA487" s="23">
        <f t="shared" si="53"/>
        <v>0</v>
      </c>
      <c r="AB487" s="23">
        <f t="shared" si="54"/>
        <v>2815.9</v>
      </c>
      <c r="AC487" s="20"/>
      <c r="AD487" s="20" t="str">
        <f>VLOOKUP($C487,'[1]CTRL AUTOS'!$E:$AH,2,0)</f>
        <v>LRL009C</v>
      </c>
      <c r="AE487" s="11" t="str">
        <f t="shared" si="55"/>
        <v>LRL009C27</v>
      </c>
    </row>
    <row r="488" spans="1:31" ht="12.75" hidden="1" customHeight="1" x14ac:dyDescent="0.3">
      <c r="A488" s="8">
        <v>27</v>
      </c>
      <c r="B488" s="20" t="s">
        <v>359</v>
      </c>
      <c r="C488" s="20" t="s">
        <v>230</v>
      </c>
      <c r="D488" s="20" t="s">
        <v>231</v>
      </c>
      <c r="E488" s="22" t="s">
        <v>232</v>
      </c>
      <c r="F488" s="20" t="s">
        <v>232</v>
      </c>
      <c r="G488" s="22" t="s">
        <v>234</v>
      </c>
      <c r="H488" s="23">
        <v>2784.51</v>
      </c>
      <c r="I488" s="23">
        <v>0</v>
      </c>
      <c r="J488" s="23">
        <v>0</v>
      </c>
      <c r="K488" s="23">
        <v>0</v>
      </c>
      <c r="L488" s="23">
        <v>-481.33</v>
      </c>
      <c r="M488" s="24">
        <v>-28</v>
      </c>
      <c r="N488" s="23">
        <v>0</v>
      </c>
      <c r="O488" s="24">
        <f t="shared" si="49"/>
        <v>2275.1800000000003</v>
      </c>
      <c r="P488" s="23">
        <v>-2500</v>
      </c>
      <c r="Q488" s="23">
        <v>0</v>
      </c>
      <c r="R488" s="23">
        <v>-500</v>
      </c>
      <c r="S488" s="23">
        <v>0</v>
      </c>
      <c r="T488" s="23">
        <v>0</v>
      </c>
      <c r="U488" s="23">
        <v>0</v>
      </c>
      <c r="V488" s="23">
        <v>0</v>
      </c>
      <c r="W488" s="23">
        <f t="shared" si="50"/>
        <v>-724.81999999999971</v>
      </c>
      <c r="X488" s="23">
        <f t="shared" si="51"/>
        <v>0</v>
      </c>
      <c r="Y488" s="23">
        <f t="shared" si="52"/>
        <v>-724.81999999999971</v>
      </c>
      <c r="Z488" s="23">
        <v>0</v>
      </c>
      <c r="AA488" s="23">
        <f t="shared" si="53"/>
        <v>-724.81999999999971</v>
      </c>
      <c r="AB488" s="23">
        <f t="shared" si="54"/>
        <v>1550.3600000000006</v>
      </c>
      <c r="AC488" s="20" t="s">
        <v>366</v>
      </c>
      <c r="AD488" s="20" t="s">
        <v>235</v>
      </c>
      <c r="AE488" s="11" t="str">
        <f t="shared" si="55"/>
        <v>NEB156A27</v>
      </c>
    </row>
    <row r="489" spans="1:31" ht="12.75" hidden="1" customHeight="1" x14ac:dyDescent="0.3">
      <c r="A489" s="8">
        <v>27</v>
      </c>
      <c r="B489" s="20" t="s">
        <v>260</v>
      </c>
      <c r="C489" s="20" t="s">
        <v>81</v>
      </c>
      <c r="D489" s="20" t="s">
        <v>317</v>
      </c>
      <c r="E489" s="22" t="s">
        <v>232</v>
      </c>
      <c r="F489" s="20" t="s">
        <v>232</v>
      </c>
      <c r="G489" s="22" t="s">
        <v>234</v>
      </c>
      <c r="H489" s="23">
        <v>2895.36</v>
      </c>
      <c r="I489" s="23">
        <v>0</v>
      </c>
      <c r="J489" s="23">
        <v>0</v>
      </c>
      <c r="K489" s="23">
        <v>0</v>
      </c>
      <c r="L489" s="23">
        <v>-1374.17</v>
      </c>
      <c r="M489" s="24">
        <v>-28</v>
      </c>
      <c r="N489" s="23">
        <v>0</v>
      </c>
      <c r="O489" s="24">
        <f t="shared" si="49"/>
        <v>1493.19</v>
      </c>
      <c r="P489" s="23">
        <v>-1786</v>
      </c>
      <c r="Q489" s="23">
        <v>-67.2</v>
      </c>
      <c r="R489" s="23">
        <v>0</v>
      </c>
      <c r="S489" s="23">
        <v>0</v>
      </c>
      <c r="T489" s="23">
        <v>0</v>
      </c>
      <c r="U489" s="23">
        <v>0</v>
      </c>
      <c r="V489" s="23">
        <v>0</v>
      </c>
      <c r="W489" s="23">
        <f t="shared" si="50"/>
        <v>-360.01</v>
      </c>
      <c r="X489" s="23">
        <f t="shared" si="51"/>
        <v>0</v>
      </c>
      <c r="Y489" s="23">
        <f t="shared" si="52"/>
        <v>-360.01</v>
      </c>
      <c r="Z489" s="23">
        <v>0</v>
      </c>
      <c r="AA489" s="23">
        <f t="shared" si="53"/>
        <v>-360.01</v>
      </c>
      <c r="AB489" s="23">
        <f t="shared" si="54"/>
        <v>1133.18</v>
      </c>
      <c r="AC489" s="20"/>
      <c r="AD489" s="20" t="str">
        <f>VLOOKUP($C489,'[1]CTRL AUTOS'!$E:$AH,2,0)</f>
        <v>NLP172B</v>
      </c>
      <c r="AE489" s="11" t="str">
        <f t="shared" si="55"/>
        <v>NLP172B27</v>
      </c>
    </row>
    <row r="490" spans="1:31" ht="12.75" hidden="1" customHeight="1" x14ac:dyDescent="0.3">
      <c r="A490" s="8">
        <v>27</v>
      </c>
      <c r="B490" s="20" t="s">
        <v>72</v>
      </c>
      <c r="C490" s="20" t="s">
        <v>73</v>
      </c>
      <c r="D490" s="20" t="s">
        <v>368</v>
      </c>
      <c r="E490" s="22" t="s">
        <v>241</v>
      </c>
      <c r="F490" s="20" t="s">
        <v>291</v>
      </c>
      <c r="G490" s="22" t="s">
        <v>234</v>
      </c>
      <c r="H490" s="23">
        <v>9111.2199999999993</v>
      </c>
      <c r="I490" s="23">
        <v>-50</v>
      </c>
      <c r="J490" s="23">
        <v>0</v>
      </c>
      <c r="K490" s="23">
        <v>-86</v>
      </c>
      <c r="L490" s="23">
        <v>-3988.32</v>
      </c>
      <c r="M490" s="24">
        <v>-25</v>
      </c>
      <c r="N490" s="23">
        <v>0</v>
      </c>
      <c r="O490" s="24">
        <f t="shared" si="49"/>
        <v>4961.8999999999996</v>
      </c>
      <c r="P490" s="23">
        <v>-2500</v>
      </c>
      <c r="Q490" s="23">
        <v>0</v>
      </c>
      <c r="R490" s="23">
        <v>0</v>
      </c>
      <c r="S490" s="23">
        <v>0</v>
      </c>
      <c r="T490" s="23">
        <v>-650</v>
      </c>
      <c r="U490" s="23">
        <v>-500</v>
      </c>
      <c r="V490" s="23">
        <v>0</v>
      </c>
      <c r="W490" s="23">
        <f t="shared" si="50"/>
        <v>1311.8999999999996</v>
      </c>
      <c r="X490" s="23">
        <f t="shared" si="51"/>
        <v>1311.8999999999996</v>
      </c>
      <c r="Y490" s="23">
        <f t="shared" si="52"/>
        <v>0</v>
      </c>
      <c r="Z490" s="23">
        <v>0</v>
      </c>
      <c r="AA490" s="23">
        <f t="shared" si="53"/>
        <v>0</v>
      </c>
      <c r="AB490" s="23">
        <f t="shared" si="54"/>
        <v>3650</v>
      </c>
      <c r="AC490" s="20"/>
      <c r="AD490" s="20" t="str">
        <f>VLOOKUP($C490,'[1]CTRL AUTOS'!$E:$AH,2,0)</f>
        <v>H99BLC</v>
      </c>
      <c r="AE490" s="11" t="str">
        <f t="shared" si="55"/>
        <v>H99BLC27</v>
      </c>
    </row>
    <row r="491" spans="1:31" ht="12.75" hidden="1" customHeight="1" x14ac:dyDescent="0.3">
      <c r="A491" s="8">
        <v>27</v>
      </c>
      <c r="B491" s="20" t="s">
        <v>292</v>
      </c>
      <c r="C491" s="20" t="s">
        <v>52</v>
      </c>
      <c r="D491" s="20" t="s">
        <v>313</v>
      </c>
      <c r="E491" s="22" t="s">
        <v>232</v>
      </c>
      <c r="F491" s="20" t="s">
        <v>232</v>
      </c>
      <c r="G491" s="22" t="s">
        <v>234</v>
      </c>
      <c r="H491" s="23">
        <v>7947.6</v>
      </c>
      <c r="I491" s="23">
        <v>0</v>
      </c>
      <c r="J491" s="23">
        <v>0</v>
      </c>
      <c r="K491" s="23">
        <v>0</v>
      </c>
      <c r="L491" s="23">
        <v>-3077.8</v>
      </c>
      <c r="M491" s="24">
        <v>-94.57</v>
      </c>
      <c r="N491" s="23">
        <v>-55</v>
      </c>
      <c r="O491" s="24">
        <f t="shared" si="49"/>
        <v>4720.2300000000005</v>
      </c>
      <c r="P491" s="23">
        <v>-2500</v>
      </c>
      <c r="Q491" s="23">
        <v>0</v>
      </c>
      <c r="R491" s="23">
        <v>0</v>
      </c>
      <c r="S491" s="23">
        <v>0</v>
      </c>
      <c r="T491" s="23">
        <v>0</v>
      </c>
      <c r="U491" s="23">
        <v>0</v>
      </c>
      <c r="V491" s="23">
        <v>0</v>
      </c>
      <c r="W491" s="23">
        <f t="shared" si="50"/>
        <v>2220.2300000000005</v>
      </c>
      <c r="X491" s="23">
        <f t="shared" si="51"/>
        <v>2220.2300000000005</v>
      </c>
      <c r="Y491" s="23">
        <f t="shared" si="52"/>
        <v>0</v>
      </c>
      <c r="Z491" s="23">
        <v>0</v>
      </c>
      <c r="AA491" s="23">
        <f t="shared" si="53"/>
        <v>0</v>
      </c>
      <c r="AB491" s="23">
        <f t="shared" si="54"/>
        <v>2500</v>
      </c>
      <c r="AC491" s="20"/>
      <c r="AD491" s="20" t="str">
        <f>VLOOKUP($C491,'[1]CTRL AUTOS'!$E:$AH,2,0)</f>
        <v>A35BHD</v>
      </c>
      <c r="AE491" s="11" t="str">
        <f t="shared" si="55"/>
        <v>A35BHD27</v>
      </c>
    </row>
    <row r="492" spans="1:31" ht="12.75" hidden="1" customHeight="1" x14ac:dyDescent="0.3">
      <c r="A492" s="8">
        <v>27</v>
      </c>
      <c r="B492" s="20" t="s">
        <v>288</v>
      </c>
      <c r="C492" s="20" t="s">
        <v>22</v>
      </c>
      <c r="D492" s="20" t="s">
        <v>319</v>
      </c>
      <c r="E492" s="20" t="s">
        <v>232</v>
      </c>
      <c r="F492" s="20" t="s">
        <v>232</v>
      </c>
      <c r="G492" s="22" t="s">
        <v>234</v>
      </c>
      <c r="H492" s="23">
        <v>6992.57</v>
      </c>
      <c r="I492" s="23">
        <v>0</v>
      </c>
      <c r="J492" s="23">
        <v>0</v>
      </c>
      <c r="K492" s="23">
        <v>0</v>
      </c>
      <c r="L492" s="23">
        <v>-1653.46</v>
      </c>
      <c r="M492" s="24">
        <v>-25</v>
      </c>
      <c r="N492" s="23">
        <v>-85</v>
      </c>
      <c r="O492" s="24">
        <f t="shared" si="49"/>
        <v>5229.1099999999997</v>
      </c>
      <c r="P492" s="23">
        <v>-2500</v>
      </c>
      <c r="Q492" s="23">
        <v>0</v>
      </c>
      <c r="R492" s="23">
        <v>0</v>
      </c>
      <c r="S492" s="23">
        <v>0</v>
      </c>
      <c r="T492" s="23">
        <v>0</v>
      </c>
      <c r="U492" s="23">
        <v>0</v>
      </c>
      <c r="V492" s="23">
        <v>0</v>
      </c>
      <c r="W492" s="23">
        <f t="shared" si="50"/>
        <v>2729.1099999999997</v>
      </c>
      <c r="X492" s="23">
        <f t="shared" si="51"/>
        <v>2729.1099999999997</v>
      </c>
      <c r="Y492" s="23">
        <f t="shared" si="52"/>
        <v>0</v>
      </c>
      <c r="Z492" s="23">
        <v>0</v>
      </c>
      <c r="AA492" s="23">
        <f t="shared" si="53"/>
        <v>0</v>
      </c>
      <c r="AB492" s="23">
        <f t="shared" si="54"/>
        <v>2500</v>
      </c>
      <c r="AC492" s="20"/>
      <c r="AD492" s="20" t="str">
        <f>VLOOKUP($C492,'[1]CTRL AUTOS'!$E:$AH,2,0)</f>
        <v>NCK475B</v>
      </c>
      <c r="AE492" s="11" t="str">
        <f t="shared" si="55"/>
        <v>NCK475B27</v>
      </c>
    </row>
    <row r="493" spans="1:31" ht="12.75" hidden="1" customHeight="1" x14ac:dyDescent="0.3">
      <c r="A493" s="8">
        <v>27</v>
      </c>
      <c r="B493" s="20" t="s">
        <v>324</v>
      </c>
      <c r="C493" s="20" t="s">
        <v>168</v>
      </c>
      <c r="D493" s="20" t="s">
        <v>265</v>
      </c>
      <c r="E493" s="39" t="s">
        <v>232</v>
      </c>
      <c r="F493" s="41" t="s">
        <v>232</v>
      </c>
      <c r="G493" s="22" t="s">
        <v>234</v>
      </c>
      <c r="H493" s="23">
        <v>1329.39</v>
      </c>
      <c r="I493" s="23">
        <v>0</v>
      </c>
      <c r="J493" s="23">
        <v>0</v>
      </c>
      <c r="K493" s="23">
        <v>0</v>
      </c>
      <c r="L493" s="23">
        <v>-784.7</v>
      </c>
      <c r="M493" s="24">
        <v>-35</v>
      </c>
      <c r="N493" s="23">
        <v>-50</v>
      </c>
      <c r="O493" s="24">
        <f t="shared" si="49"/>
        <v>459.69000000000005</v>
      </c>
      <c r="P493" s="23">
        <v>-1786</v>
      </c>
      <c r="Q493" s="23">
        <v>-2732</v>
      </c>
      <c r="R493" s="23">
        <v>0</v>
      </c>
      <c r="S493" s="23">
        <v>0</v>
      </c>
      <c r="T493" s="23">
        <v>0</v>
      </c>
      <c r="U493" s="20">
        <v>0</v>
      </c>
      <c r="V493" s="23">
        <v>0</v>
      </c>
      <c r="W493" s="23">
        <f t="shared" si="50"/>
        <v>-4058.31</v>
      </c>
      <c r="X493" s="23">
        <f t="shared" si="51"/>
        <v>0</v>
      </c>
      <c r="Y493" s="23">
        <f t="shared" si="52"/>
        <v>-4058.31</v>
      </c>
      <c r="Z493" s="23">
        <v>0</v>
      </c>
      <c r="AA493" s="23">
        <f t="shared" si="53"/>
        <v>-4058.31</v>
      </c>
      <c r="AB493" s="23">
        <f t="shared" si="54"/>
        <v>-3598.62</v>
      </c>
      <c r="AC493" s="20"/>
      <c r="AD493" s="20" t="e">
        <f>VLOOKUP($C493,'[1]CTRL AUTOS'!$E:$AH,2,0)</f>
        <v>#N/A</v>
      </c>
      <c r="AE493" s="11" t="e">
        <f t="shared" si="55"/>
        <v>#N/A</v>
      </c>
    </row>
    <row r="494" spans="1:31" ht="12.75" hidden="1" customHeight="1" x14ac:dyDescent="0.3">
      <c r="A494" s="8">
        <v>27</v>
      </c>
      <c r="B494" s="20" t="s">
        <v>244</v>
      </c>
      <c r="C494" s="20" t="s">
        <v>4</v>
      </c>
      <c r="D494" s="22" t="s">
        <v>245</v>
      </c>
      <c r="E494" s="22" t="s">
        <v>232</v>
      </c>
      <c r="F494" s="20" t="s">
        <v>232</v>
      </c>
      <c r="G494" s="22" t="s">
        <v>234</v>
      </c>
      <c r="H494" s="23">
        <v>2200.39</v>
      </c>
      <c r="I494" s="23">
        <v>0</v>
      </c>
      <c r="J494" s="23">
        <v>0</v>
      </c>
      <c r="K494" s="23">
        <v>0</v>
      </c>
      <c r="L494" s="23">
        <v>-650.6</v>
      </c>
      <c r="M494" s="24">
        <v>-28</v>
      </c>
      <c r="N494" s="23">
        <v>0</v>
      </c>
      <c r="O494" s="24">
        <f t="shared" si="49"/>
        <v>1521.79</v>
      </c>
      <c r="P494" s="23">
        <v>-2321</v>
      </c>
      <c r="Q494" s="23">
        <v>0</v>
      </c>
      <c r="R494" s="23">
        <v>0</v>
      </c>
      <c r="S494" s="23">
        <v>0</v>
      </c>
      <c r="T494" s="23">
        <v>-660</v>
      </c>
      <c r="U494" s="23">
        <v>525</v>
      </c>
      <c r="V494" s="23">
        <v>0</v>
      </c>
      <c r="W494" s="23">
        <f t="shared" si="50"/>
        <v>-934.21</v>
      </c>
      <c r="X494" s="23">
        <f t="shared" si="51"/>
        <v>0</v>
      </c>
      <c r="Y494" s="23">
        <f t="shared" si="52"/>
        <v>-934.21</v>
      </c>
      <c r="Z494" s="23">
        <v>0</v>
      </c>
      <c r="AA494" s="23">
        <f t="shared" si="53"/>
        <v>-934.21</v>
      </c>
      <c r="AB494" s="23">
        <f t="shared" si="54"/>
        <v>587.57999999999993</v>
      </c>
      <c r="AC494" s="20" t="s">
        <v>366</v>
      </c>
      <c r="AD494" s="20" t="str">
        <f>VLOOKUP($C494,'[1]CTRL AUTOS'!$E:$AH,2,0)</f>
        <v>N15BKD</v>
      </c>
      <c r="AE494" s="11" t="str">
        <f t="shared" si="55"/>
        <v>N15BKD27</v>
      </c>
    </row>
    <row r="495" spans="1:31" ht="12.75" hidden="1" customHeight="1" x14ac:dyDescent="0.3">
      <c r="A495" s="8">
        <v>27</v>
      </c>
      <c r="B495" s="20" t="s">
        <v>35</v>
      </c>
      <c r="C495" s="20" t="s">
        <v>97</v>
      </c>
      <c r="D495" s="20" t="s">
        <v>273</v>
      </c>
      <c r="E495" s="22" t="s">
        <v>232</v>
      </c>
      <c r="F495" s="20" t="s">
        <v>232</v>
      </c>
      <c r="G495" s="22" t="s">
        <v>234</v>
      </c>
      <c r="H495" s="23">
        <v>8432.94</v>
      </c>
      <c r="I495" s="23">
        <v>-111.2</v>
      </c>
      <c r="J495" s="23">
        <v>0</v>
      </c>
      <c r="K495" s="23">
        <v>0</v>
      </c>
      <c r="L495" s="23">
        <v>-3758.67</v>
      </c>
      <c r="M495" s="24">
        <v>-25</v>
      </c>
      <c r="N495" s="23">
        <v>0</v>
      </c>
      <c r="O495" s="24">
        <f t="shared" si="49"/>
        <v>4538.07</v>
      </c>
      <c r="P495" s="23">
        <v>-2500</v>
      </c>
      <c r="Q495" s="23">
        <v>0</v>
      </c>
      <c r="R495" s="23">
        <v>0</v>
      </c>
      <c r="S495" s="23">
        <v>0</v>
      </c>
      <c r="T495" s="23">
        <v>0</v>
      </c>
      <c r="U495" s="23">
        <v>40</v>
      </c>
      <c r="V495" s="23">
        <v>0</v>
      </c>
      <c r="W495" s="23">
        <f t="shared" si="50"/>
        <v>2078.0699999999997</v>
      </c>
      <c r="X495" s="23">
        <f t="shared" si="51"/>
        <v>2078.0699999999997</v>
      </c>
      <c r="Y495" s="23">
        <f t="shared" si="52"/>
        <v>0</v>
      </c>
      <c r="Z495" s="23">
        <v>0</v>
      </c>
      <c r="AA495" s="23">
        <f t="shared" si="53"/>
        <v>0</v>
      </c>
      <c r="AB495" s="23">
        <f t="shared" si="54"/>
        <v>2460</v>
      </c>
      <c r="AC495" s="20" t="s">
        <v>369</v>
      </c>
      <c r="AD495" s="20" t="str">
        <f>VLOOKUP($C495,'[1]CTRL AUTOS'!$E:$AH,2,0)</f>
        <v>MUF515A</v>
      </c>
      <c r="AE495" s="11" t="str">
        <f t="shared" si="55"/>
        <v>MUF515A27</v>
      </c>
    </row>
    <row r="496" spans="1:31" ht="12.75" hidden="1" customHeight="1" x14ac:dyDescent="0.3">
      <c r="A496" s="8">
        <v>27</v>
      </c>
      <c r="B496" s="20" t="s">
        <v>37</v>
      </c>
      <c r="C496" s="20" t="s">
        <v>246</v>
      </c>
      <c r="D496" s="20" t="s">
        <v>341</v>
      </c>
      <c r="E496" s="22" t="s">
        <v>232</v>
      </c>
      <c r="F496" s="20" t="s">
        <v>291</v>
      </c>
      <c r="G496" s="22" t="s">
        <v>234</v>
      </c>
      <c r="H496" s="23">
        <v>2859.85</v>
      </c>
      <c r="I496" s="23">
        <v>-22</v>
      </c>
      <c r="J496" s="23">
        <v>0</v>
      </c>
      <c r="K496" s="23">
        <v>0</v>
      </c>
      <c r="L496" s="23">
        <v>0</v>
      </c>
      <c r="M496" s="24">
        <v>-30</v>
      </c>
      <c r="N496" s="23">
        <v>0</v>
      </c>
      <c r="O496" s="24">
        <f t="shared" si="49"/>
        <v>2807.85</v>
      </c>
      <c r="P496" s="23">
        <v>-2500</v>
      </c>
      <c r="Q496" s="23">
        <v>0</v>
      </c>
      <c r="R496" s="23">
        <v>0</v>
      </c>
      <c r="S496" s="23">
        <v>0</v>
      </c>
      <c r="T496" s="23">
        <v>0</v>
      </c>
      <c r="U496" s="23">
        <v>0</v>
      </c>
      <c r="V496" s="23">
        <v>0</v>
      </c>
      <c r="W496" s="23">
        <f t="shared" si="50"/>
        <v>307.84999999999991</v>
      </c>
      <c r="X496" s="23">
        <f t="shared" si="51"/>
        <v>307.84999999999991</v>
      </c>
      <c r="Y496" s="23">
        <f t="shared" si="52"/>
        <v>0</v>
      </c>
      <c r="Z496" s="23">
        <v>0</v>
      </c>
      <c r="AA496" s="23">
        <f t="shared" si="53"/>
        <v>0</v>
      </c>
      <c r="AB496" s="23">
        <f t="shared" si="54"/>
        <v>2500</v>
      </c>
      <c r="AC496" s="20"/>
      <c r="AD496" s="20" t="s">
        <v>248</v>
      </c>
      <c r="AE496" s="11" t="str">
        <f t="shared" si="55"/>
        <v>X24APU27</v>
      </c>
    </row>
    <row r="497" spans="1:31" ht="12.75" hidden="1" customHeight="1" x14ac:dyDescent="0.3">
      <c r="A497" s="8">
        <v>27</v>
      </c>
      <c r="B497" s="20" t="s">
        <v>361</v>
      </c>
      <c r="C497" s="20" t="s">
        <v>56</v>
      </c>
      <c r="D497" s="20" t="s">
        <v>336</v>
      </c>
      <c r="E497" s="22" t="s">
        <v>241</v>
      </c>
      <c r="F497" s="20" t="s">
        <v>291</v>
      </c>
      <c r="G497" s="22" t="s">
        <v>234</v>
      </c>
      <c r="H497" s="23">
        <v>7062.8</v>
      </c>
      <c r="I497" s="23">
        <v>-180</v>
      </c>
      <c r="J497" s="23">
        <v>0</v>
      </c>
      <c r="K497" s="23">
        <v>0</v>
      </c>
      <c r="L497" s="23">
        <v>-1654</v>
      </c>
      <c r="M497" s="24">
        <v>-28</v>
      </c>
      <c r="N497" s="23">
        <v>0</v>
      </c>
      <c r="O497" s="24">
        <f t="shared" si="49"/>
        <v>5200.8</v>
      </c>
      <c r="P497" s="23">
        <v>-2500</v>
      </c>
      <c r="Q497" s="23">
        <v>0</v>
      </c>
      <c r="R497" s="23">
        <v>-500</v>
      </c>
      <c r="S497" s="23">
        <v>0</v>
      </c>
      <c r="T497" s="23">
        <v>0</v>
      </c>
      <c r="U497" s="23">
        <v>0</v>
      </c>
      <c r="V497" s="23">
        <v>0</v>
      </c>
      <c r="W497" s="23">
        <f t="shared" si="50"/>
        <v>2200.8000000000002</v>
      </c>
      <c r="X497" s="23">
        <f t="shared" si="51"/>
        <v>2200.8000000000002</v>
      </c>
      <c r="Y497" s="23">
        <f t="shared" si="52"/>
        <v>0</v>
      </c>
      <c r="Z497" s="23">
        <v>0</v>
      </c>
      <c r="AA497" s="23">
        <f t="shared" si="53"/>
        <v>0</v>
      </c>
      <c r="AB497" s="23">
        <f t="shared" si="54"/>
        <v>3000</v>
      </c>
      <c r="AC497" s="20"/>
      <c r="AD497" s="20" t="str">
        <f>VLOOKUP($C497,'[1]CTRL AUTOS'!$E:$AH,2,0)</f>
        <v>MYE912A</v>
      </c>
      <c r="AE497" s="11" t="str">
        <f t="shared" si="55"/>
        <v>MYE912A27</v>
      </c>
    </row>
    <row r="498" spans="1:31" ht="12.75" hidden="1" customHeight="1" x14ac:dyDescent="0.3">
      <c r="A498" s="8">
        <v>27</v>
      </c>
      <c r="B498" s="20" t="s">
        <v>331</v>
      </c>
      <c r="C498" s="20" t="s">
        <v>69</v>
      </c>
      <c r="D498" s="20" t="s">
        <v>370</v>
      </c>
      <c r="E498" s="22" t="s">
        <v>241</v>
      </c>
      <c r="F498" s="20" t="s">
        <v>291</v>
      </c>
      <c r="G498" s="22" t="s">
        <v>234</v>
      </c>
      <c r="H498" s="23">
        <v>2632.91</v>
      </c>
      <c r="I498" s="23">
        <v>0</v>
      </c>
      <c r="J498" s="23">
        <v>0</v>
      </c>
      <c r="K498" s="23">
        <v>0</v>
      </c>
      <c r="L498" s="23">
        <v>0</v>
      </c>
      <c r="M498" s="24">
        <v>-28</v>
      </c>
      <c r="N498" s="23">
        <v>-11</v>
      </c>
      <c r="O498" s="24">
        <f t="shared" si="49"/>
        <v>2593.91</v>
      </c>
      <c r="P498" s="23">
        <v>-2500</v>
      </c>
      <c r="Q498" s="23">
        <v>-51.52</v>
      </c>
      <c r="R498" s="23">
        <v>-500</v>
      </c>
      <c r="S498" s="23">
        <v>0</v>
      </c>
      <c r="T498" s="23">
        <v>0</v>
      </c>
      <c r="U498" s="23">
        <v>0</v>
      </c>
      <c r="V498" s="23">
        <v>0</v>
      </c>
      <c r="W498" s="23">
        <f t="shared" si="50"/>
        <v>-457.61000000000013</v>
      </c>
      <c r="X498" s="23">
        <f t="shared" si="51"/>
        <v>0</v>
      </c>
      <c r="Y498" s="23">
        <f t="shared" si="52"/>
        <v>-457.61000000000013</v>
      </c>
      <c r="Z498" s="23">
        <v>400</v>
      </c>
      <c r="AA498" s="23">
        <f t="shared" si="53"/>
        <v>-57.610000000000127</v>
      </c>
      <c r="AB498" s="23">
        <f t="shared" si="54"/>
        <v>2936.2999999999997</v>
      </c>
      <c r="AC498" s="20" t="s">
        <v>371</v>
      </c>
      <c r="AD498" s="20" t="str">
        <f>VLOOKUP($C498,'[1]CTRL AUTOS'!$E:$AH,2,0)</f>
        <v>R51BKD</v>
      </c>
      <c r="AE498" s="11" t="str">
        <f t="shared" si="55"/>
        <v>R51BKD27</v>
      </c>
    </row>
    <row r="499" spans="1:31" ht="12.75" hidden="1" customHeight="1" x14ac:dyDescent="0.3">
      <c r="A499" s="8">
        <v>27</v>
      </c>
      <c r="B499" s="20" t="s">
        <v>372</v>
      </c>
      <c r="C499" s="20" t="s">
        <v>75</v>
      </c>
      <c r="D499" s="20" t="s">
        <v>333</v>
      </c>
      <c r="E499" s="22" t="s">
        <v>241</v>
      </c>
      <c r="F499" s="20" t="s">
        <v>232</v>
      </c>
      <c r="G499" s="22" t="s">
        <v>234</v>
      </c>
      <c r="H499" s="23">
        <v>2255.7199999999998</v>
      </c>
      <c r="I499" s="23">
        <v>0</v>
      </c>
      <c r="J499" s="23">
        <v>0</v>
      </c>
      <c r="K499" s="23">
        <v>0</v>
      </c>
      <c r="L499" s="23">
        <v>-1073.5899999999999</v>
      </c>
      <c r="M499" s="24">
        <v>-25</v>
      </c>
      <c r="N499" s="23">
        <v>0</v>
      </c>
      <c r="O499" s="24">
        <f t="shared" si="49"/>
        <v>1157.1299999999999</v>
      </c>
      <c r="P499" s="23">
        <v>-1071</v>
      </c>
      <c r="Q499" s="23">
        <v>0</v>
      </c>
      <c r="R499" s="23">
        <v>0</v>
      </c>
      <c r="S499" s="23">
        <v>0</v>
      </c>
      <c r="T499" s="23">
        <v>0</v>
      </c>
      <c r="U499" s="23">
        <v>0</v>
      </c>
      <c r="V499" s="23">
        <v>0</v>
      </c>
      <c r="W499" s="23">
        <f t="shared" si="50"/>
        <v>86.129999999999882</v>
      </c>
      <c r="X499" s="23">
        <f t="shared" si="51"/>
        <v>86.129999999999882</v>
      </c>
      <c r="Y499" s="23">
        <f t="shared" si="52"/>
        <v>0</v>
      </c>
      <c r="Z499" s="23">
        <v>0</v>
      </c>
      <c r="AA499" s="23">
        <f t="shared" si="53"/>
        <v>0</v>
      </c>
      <c r="AB499" s="23">
        <f t="shared" si="54"/>
        <v>1071</v>
      </c>
      <c r="AC499" s="20"/>
      <c r="AD499" s="20" t="str">
        <f>VLOOKUP($C499,'[1]CTRL AUTOS'!$E:$AH,2,0)</f>
        <v>NFN014B</v>
      </c>
      <c r="AE499" s="11" t="str">
        <f t="shared" si="55"/>
        <v>NFN014B27</v>
      </c>
    </row>
    <row r="500" spans="1:31" ht="12.75" hidden="1" customHeight="1" x14ac:dyDescent="0.3">
      <c r="A500" s="8">
        <v>27</v>
      </c>
      <c r="B500" s="20" t="s">
        <v>45</v>
      </c>
      <c r="C500" s="20" t="s">
        <v>249</v>
      </c>
      <c r="D500" s="20" t="s">
        <v>250</v>
      </c>
      <c r="E500" s="22" t="s">
        <v>232</v>
      </c>
      <c r="F500" s="20" t="s">
        <v>232</v>
      </c>
      <c r="G500" s="22" t="s">
        <v>234</v>
      </c>
      <c r="H500" s="23">
        <v>2329.1</v>
      </c>
      <c r="I500" s="23">
        <v>0</v>
      </c>
      <c r="J500" s="23">
        <v>0</v>
      </c>
      <c r="K500" s="23">
        <v>0</v>
      </c>
      <c r="L500" s="23">
        <v>-902.97</v>
      </c>
      <c r="M500" s="24">
        <v>-38.1</v>
      </c>
      <c r="N500" s="23">
        <v>0</v>
      </c>
      <c r="O500" s="24">
        <f t="shared" si="49"/>
        <v>1388.03</v>
      </c>
      <c r="P500" s="23">
        <v>-2300</v>
      </c>
      <c r="Q500" s="23">
        <v>0</v>
      </c>
      <c r="R500" s="23">
        <v>0</v>
      </c>
      <c r="S500" s="23">
        <v>0</v>
      </c>
      <c r="T500" s="23">
        <v>0</v>
      </c>
      <c r="U500" s="23">
        <v>0</v>
      </c>
      <c r="V500" s="23">
        <v>0</v>
      </c>
      <c r="W500" s="23">
        <f t="shared" si="50"/>
        <v>-911.97</v>
      </c>
      <c r="X500" s="23">
        <f t="shared" si="51"/>
        <v>0</v>
      </c>
      <c r="Y500" s="23">
        <f t="shared" si="52"/>
        <v>-911.97</v>
      </c>
      <c r="Z500" s="23">
        <v>912</v>
      </c>
      <c r="AA500" s="23">
        <f t="shared" si="53"/>
        <v>2.9999999999972715E-2</v>
      </c>
      <c r="AB500" s="23">
        <f t="shared" si="54"/>
        <v>2300.0599999999995</v>
      </c>
      <c r="AC500" s="20"/>
      <c r="AD500" s="20" t="s">
        <v>251</v>
      </c>
      <c r="AE500" s="11" t="str">
        <f t="shared" si="55"/>
        <v>BAJA DE PLACAS27</v>
      </c>
    </row>
    <row r="501" spans="1:31" ht="12.75" hidden="1" customHeight="1" x14ac:dyDescent="0.3">
      <c r="A501" s="8">
        <v>27</v>
      </c>
      <c r="B501" s="20" t="s">
        <v>356</v>
      </c>
      <c r="C501" s="20" t="s">
        <v>40</v>
      </c>
      <c r="D501" s="20" t="s">
        <v>315</v>
      </c>
      <c r="E501" s="22" t="s">
        <v>232</v>
      </c>
      <c r="F501" s="20" t="s">
        <v>232</v>
      </c>
      <c r="G501" s="22" t="s">
        <v>234</v>
      </c>
      <c r="H501" s="23">
        <v>2599.2800000000002</v>
      </c>
      <c r="I501" s="23">
        <v>0</v>
      </c>
      <c r="J501" s="23">
        <v>0</v>
      </c>
      <c r="K501" s="23">
        <v>0</v>
      </c>
      <c r="L501" s="23">
        <v>-1440.8</v>
      </c>
      <c r="M501" s="24">
        <v>-35</v>
      </c>
      <c r="N501" s="23">
        <v>0</v>
      </c>
      <c r="O501" s="24">
        <f t="shared" si="49"/>
        <v>1123.4800000000002</v>
      </c>
      <c r="P501" s="23">
        <v>-2500</v>
      </c>
      <c r="Q501" s="23">
        <v>-2302.7199999999998</v>
      </c>
      <c r="R501" s="23">
        <v>-500</v>
      </c>
      <c r="S501" s="23">
        <v>0</v>
      </c>
      <c r="T501" s="23">
        <v>0</v>
      </c>
      <c r="U501" s="23">
        <v>0</v>
      </c>
      <c r="V501" s="23">
        <v>0</v>
      </c>
      <c r="W501" s="23">
        <f t="shared" si="50"/>
        <v>-4179.2399999999989</v>
      </c>
      <c r="X501" s="23">
        <f t="shared" si="51"/>
        <v>0</v>
      </c>
      <c r="Y501" s="23">
        <f t="shared" si="52"/>
        <v>-4179.2399999999989</v>
      </c>
      <c r="Z501" s="23">
        <v>0</v>
      </c>
      <c r="AA501" s="23">
        <f t="shared" si="53"/>
        <v>-4179.2399999999989</v>
      </c>
      <c r="AB501" s="23">
        <f t="shared" si="54"/>
        <v>-3055.7599999999984</v>
      </c>
      <c r="AC501" s="20"/>
      <c r="AD501" s="20" t="str">
        <f>VLOOKUP($C501,'[1]CTRL AUTOS'!$E:$AH,2,0)</f>
        <v>NEL860A</v>
      </c>
      <c r="AE501" s="11" t="str">
        <f t="shared" si="55"/>
        <v>NEL860A27</v>
      </c>
    </row>
    <row r="502" spans="1:31" ht="12.75" hidden="1" customHeight="1" x14ac:dyDescent="0.3">
      <c r="A502" s="8">
        <v>27</v>
      </c>
      <c r="B502" s="20" t="s">
        <v>5</v>
      </c>
      <c r="C502" s="20" t="s">
        <v>28</v>
      </c>
      <c r="D502" s="20" t="s">
        <v>274</v>
      </c>
      <c r="E502" s="22" t="s">
        <v>232</v>
      </c>
      <c r="F502" s="20" t="s">
        <v>232</v>
      </c>
      <c r="G502" s="22" t="s">
        <v>234</v>
      </c>
      <c r="H502" s="23">
        <v>3120.19</v>
      </c>
      <c r="I502" s="23">
        <v>0</v>
      </c>
      <c r="J502" s="23">
        <v>0</v>
      </c>
      <c r="K502" s="23">
        <v>0</v>
      </c>
      <c r="L502" s="23">
        <v>-938.45</v>
      </c>
      <c r="M502" s="24">
        <v>-34.9</v>
      </c>
      <c r="N502" s="23">
        <v>0</v>
      </c>
      <c r="O502" s="24">
        <f t="shared" si="49"/>
        <v>2146.8399999999997</v>
      </c>
      <c r="P502" s="23">
        <v>-2500</v>
      </c>
      <c r="Q502" s="23">
        <v>0</v>
      </c>
      <c r="R502" s="23">
        <v>0</v>
      </c>
      <c r="S502" s="23">
        <v>0</v>
      </c>
      <c r="T502" s="23">
        <v>0</v>
      </c>
      <c r="U502" s="23">
        <v>0</v>
      </c>
      <c r="V502" s="23">
        <v>0</v>
      </c>
      <c r="W502" s="23">
        <f t="shared" si="50"/>
        <v>-353.16000000000031</v>
      </c>
      <c r="X502" s="23">
        <f t="shared" si="51"/>
        <v>0</v>
      </c>
      <c r="Y502" s="23">
        <f t="shared" si="52"/>
        <v>-353.16000000000031</v>
      </c>
      <c r="Z502" s="23">
        <v>0</v>
      </c>
      <c r="AA502" s="23">
        <f t="shared" si="53"/>
        <v>-353.16000000000031</v>
      </c>
      <c r="AB502" s="23">
        <f t="shared" si="54"/>
        <v>1793.6799999999994</v>
      </c>
      <c r="AC502" s="20" t="s">
        <v>366</v>
      </c>
      <c r="AD502" s="20" t="str">
        <f>VLOOKUP($C502,'[1]CTRL AUTOS'!$E:$AH,2,0)</f>
        <v>NCT814A</v>
      </c>
      <c r="AE502" s="11" t="str">
        <f t="shared" si="55"/>
        <v>NCT814A27</v>
      </c>
    </row>
    <row r="503" spans="1:31" ht="12.75" hidden="1" customHeight="1" x14ac:dyDescent="0.3">
      <c r="A503" s="8">
        <v>27</v>
      </c>
      <c r="B503" s="20" t="s">
        <v>362</v>
      </c>
      <c r="C503" s="20" t="s">
        <v>50</v>
      </c>
      <c r="D503" s="20" t="s">
        <v>267</v>
      </c>
      <c r="E503" s="22" t="s">
        <v>232</v>
      </c>
      <c r="F503" s="20" t="s">
        <v>232</v>
      </c>
      <c r="G503" s="22" t="s">
        <v>234</v>
      </c>
      <c r="H503" s="23">
        <v>2360</v>
      </c>
      <c r="I503" s="23">
        <v>0</v>
      </c>
      <c r="J503" s="23">
        <v>0</v>
      </c>
      <c r="K503" s="23">
        <v>0</v>
      </c>
      <c r="L503" s="23">
        <v>-992</v>
      </c>
      <c r="M503" s="24">
        <v>-35</v>
      </c>
      <c r="N503" s="23">
        <v>0</v>
      </c>
      <c r="O503" s="24">
        <f t="shared" si="49"/>
        <v>1333</v>
      </c>
      <c r="P503" s="23">
        <v>-2500</v>
      </c>
      <c r="Q503" s="23">
        <v>0</v>
      </c>
      <c r="R503" s="23">
        <v>-500</v>
      </c>
      <c r="S503" s="23">
        <v>0</v>
      </c>
      <c r="T503" s="23">
        <v>0</v>
      </c>
      <c r="U503" s="23">
        <v>0</v>
      </c>
      <c r="V503" s="23">
        <v>0</v>
      </c>
      <c r="W503" s="23">
        <f t="shared" si="50"/>
        <v>-1667</v>
      </c>
      <c r="X503" s="23">
        <f t="shared" si="51"/>
        <v>0</v>
      </c>
      <c r="Y503" s="23">
        <f t="shared" si="52"/>
        <v>-1667</v>
      </c>
      <c r="Z503" s="23">
        <v>1667</v>
      </c>
      <c r="AA503" s="23">
        <f t="shared" si="53"/>
        <v>0</v>
      </c>
      <c r="AB503" s="23">
        <f t="shared" si="54"/>
        <v>3000</v>
      </c>
      <c r="AC503" s="20"/>
      <c r="AD503" s="20" t="str">
        <f>VLOOKUP($C503,'[1]CTRL AUTOS'!$E:$AH,2,0)</f>
        <v>NBS225A</v>
      </c>
      <c r="AE503" s="11" t="str">
        <f t="shared" si="55"/>
        <v>NBS225A27</v>
      </c>
    </row>
    <row r="504" spans="1:31" ht="12.75" hidden="1" customHeight="1" x14ac:dyDescent="0.3">
      <c r="A504" s="8">
        <v>27</v>
      </c>
      <c r="B504" s="20" t="s">
        <v>363</v>
      </c>
      <c r="C504" s="20" t="s">
        <v>8</v>
      </c>
      <c r="D504" s="20" t="s">
        <v>237</v>
      </c>
      <c r="E504" s="22" t="s">
        <v>364</v>
      </c>
      <c r="F504" s="22" t="s">
        <v>364</v>
      </c>
      <c r="G504" s="22" t="s">
        <v>234</v>
      </c>
      <c r="H504" s="23">
        <v>6240.32</v>
      </c>
      <c r="I504" s="23">
        <v>-88.57</v>
      </c>
      <c r="J504" s="23">
        <v>0</v>
      </c>
      <c r="K504" s="23">
        <v>0</v>
      </c>
      <c r="L504" s="23">
        <v>0</v>
      </c>
      <c r="M504" s="24">
        <v>-35</v>
      </c>
      <c r="N504" s="23">
        <v>0</v>
      </c>
      <c r="O504" s="24">
        <f t="shared" si="49"/>
        <v>6116.75</v>
      </c>
      <c r="P504" s="23">
        <v>-2500</v>
      </c>
      <c r="Q504" s="23">
        <v>0</v>
      </c>
      <c r="R504" s="23">
        <v>-500</v>
      </c>
      <c r="S504" s="23">
        <v>0</v>
      </c>
      <c r="T504" s="23">
        <v>0</v>
      </c>
      <c r="U504" s="23">
        <v>0</v>
      </c>
      <c r="V504" s="23">
        <v>0</v>
      </c>
      <c r="W504" s="23">
        <f t="shared" si="50"/>
        <v>3116.75</v>
      </c>
      <c r="X504" s="23">
        <f t="shared" si="51"/>
        <v>3116.75</v>
      </c>
      <c r="Y504" s="23">
        <f t="shared" si="52"/>
        <v>0</v>
      </c>
      <c r="Z504" s="23">
        <v>0</v>
      </c>
      <c r="AA504" s="23">
        <f t="shared" si="53"/>
        <v>0</v>
      </c>
      <c r="AB504" s="23">
        <f t="shared" si="54"/>
        <v>3000</v>
      </c>
      <c r="AC504" s="20" t="s">
        <v>373</v>
      </c>
      <c r="AD504" s="20" t="e">
        <f>VLOOKUP($C504,'[1]CTRL AUTOS'!$E:$AH,2,0)</f>
        <v>#N/A</v>
      </c>
      <c r="AE504" s="11" t="e">
        <f t="shared" si="55"/>
        <v>#N/A</v>
      </c>
    </row>
    <row r="505" spans="1:31" ht="12.75" hidden="1" customHeight="1" x14ac:dyDescent="0.3">
      <c r="A505" s="8">
        <v>27</v>
      </c>
      <c r="B505" s="20" t="s">
        <v>294</v>
      </c>
      <c r="C505" s="20" t="s">
        <v>106</v>
      </c>
      <c r="D505" s="20" t="s">
        <v>322</v>
      </c>
      <c r="E505" s="22" t="s">
        <v>232</v>
      </c>
      <c r="F505" s="20" t="s">
        <v>232</v>
      </c>
      <c r="G505" s="22" t="s">
        <v>234</v>
      </c>
      <c r="H505" s="23">
        <v>0</v>
      </c>
      <c r="I505" s="23">
        <v>0</v>
      </c>
      <c r="J505" s="23">
        <v>0</v>
      </c>
      <c r="K505" s="23">
        <v>0</v>
      </c>
      <c r="L505" s="23">
        <v>0</v>
      </c>
      <c r="M505" s="24">
        <v>-35</v>
      </c>
      <c r="N505" s="23">
        <v>-302.89</v>
      </c>
      <c r="O505" s="24">
        <f t="shared" si="49"/>
        <v>-337.89</v>
      </c>
      <c r="P505" s="23">
        <v>-2500</v>
      </c>
      <c r="Q505" s="23">
        <v>-1680</v>
      </c>
      <c r="R505" s="23">
        <v>0</v>
      </c>
      <c r="S505" s="23">
        <v>0</v>
      </c>
      <c r="T505" s="23">
        <v>0</v>
      </c>
      <c r="U505" s="23">
        <v>0</v>
      </c>
      <c r="V505" s="23">
        <v>0</v>
      </c>
      <c r="W505" s="23">
        <f t="shared" si="50"/>
        <v>-4517.8900000000003</v>
      </c>
      <c r="X505" s="23">
        <f t="shared" si="51"/>
        <v>0</v>
      </c>
      <c r="Y505" s="23">
        <f t="shared" si="52"/>
        <v>-4517.8900000000003</v>
      </c>
      <c r="Z505" s="23">
        <v>0</v>
      </c>
      <c r="AA505" s="23">
        <f t="shared" si="53"/>
        <v>-4517.8900000000003</v>
      </c>
      <c r="AB505" s="23">
        <f t="shared" si="54"/>
        <v>-4855.7800000000007</v>
      </c>
      <c r="AC505" s="20"/>
      <c r="AD505" s="20" t="str">
        <f>VLOOKUP($C505,'[1]CTRL AUTOS'!$E:$AH,2,0)</f>
        <v>NZU5163</v>
      </c>
      <c r="AE505" s="11" t="str">
        <f t="shared" si="55"/>
        <v>NZU516327</v>
      </c>
    </row>
    <row r="506" spans="1:31" ht="12.75" hidden="1" customHeight="1" x14ac:dyDescent="0.3">
      <c r="A506" s="8">
        <v>27</v>
      </c>
      <c r="B506" s="20" t="s">
        <v>98</v>
      </c>
      <c r="C506" s="20" t="s">
        <v>168</v>
      </c>
      <c r="D506" s="20" t="s">
        <v>265</v>
      </c>
      <c r="E506" s="22" t="s">
        <v>232</v>
      </c>
      <c r="F506" s="20" t="s">
        <v>232</v>
      </c>
      <c r="G506" s="22" t="s">
        <v>234</v>
      </c>
      <c r="H506" s="23">
        <v>1236.8</v>
      </c>
      <c r="I506" s="23">
        <v>0</v>
      </c>
      <c r="J506" s="23">
        <v>0</v>
      </c>
      <c r="K506" s="23">
        <v>0</v>
      </c>
      <c r="L506" s="23">
        <v>0</v>
      </c>
      <c r="M506" s="24">
        <v>-25</v>
      </c>
      <c r="N506" s="23">
        <v>0</v>
      </c>
      <c r="O506" s="24">
        <f t="shared" si="49"/>
        <v>1211.8</v>
      </c>
      <c r="P506" s="23">
        <v>-536</v>
      </c>
      <c r="Q506" s="23">
        <v>0</v>
      </c>
      <c r="R506" s="23">
        <v>-107</v>
      </c>
      <c r="S506" s="23">
        <v>0</v>
      </c>
      <c r="T506" s="23">
        <v>0</v>
      </c>
      <c r="U506" s="23">
        <v>0</v>
      </c>
      <c r="V506" s="23">
        <v>0</v>
      </c>
      <c r="W506" s="23">
        <f t="shared" si="50"/>
        <v>568.79999999999995</v>
      </c>
      <c r="X506" s="23">
        <f t="shared" si="51"/>
        <v>568.79999999999995</v>
      </c>
      <c r="Y506" s="23">
        <f t="shared" si="52"/>
        <v>0</v>
      </c>
      <c r="Z506" s="23">
        <v>0</v>
      </c>
      <c r="AA506" s="23">
        <f t="shared" si="53"/>
        <v>0</v>
      </c>
      <c r="AB506" s="23">
        <f t="shared" si="54"/>
        <v>643</v>
      </c>
      <c r="AC506" s="20"/>
      <c r="AD506" s="20" t="e">
        <f>VLOOKUP($C506,'[1]CTRL AUTOS'!$E:$AH,2,0)</f>
        <v>#N/A</v>
      </c>
      <c r="AE506" s="11" t="e">
        <f t="shared" si="55"/>
        <v>#N/A</v>
      </c>
    </row>
    <row r="507" spans="1:31" ht="12.75" hidden="1" customHeight="1" x14ac:dyDescent="0.3">
      <c r="A507" s="8">
        <v>28</v>
      </c>
      <c r="B507" s="20" t="s">
        <v>80</v>
      </c>
      <c r="C507" s="20" t="s">
        <v>54</v>
      </c>
      <c r="D507" s="20" t="s">
        <v>318</v>
      </c>
      <c r="E507" s="22" t="s">
        <v>232</v>
      </c>
      <c r="F507" s="20" t="s">
        <v>232</v>
      </c>
      <c r="G507" s="22" t="s">
        <v>234</v>
      </c>
      <c r="H507" s="23">
        <v>715.8</v>
      </c>
      <c r="I507" s="23">
        <v>0</v>
      </c>
      <c r="J507" s="23">
        <v>0</v>
      </c>
      <c r="K507" s="23">
        <v>0</v>
      </c>
      <c r="L507" s="23">
        <v>-402.96</v>
      </c>
      <c r="M507" s="24">
        <v>-32</v>
      </c>
      <c r="N507" s="24">
        <v>0</v>
      </c>
      <c r="O507" s="24">
        <f t="shared" si="49"/>
        <v>280.83999999999997</v>
      </c>
      <c r="P507" s="24">
        <v>-2500</v>
      </c>
      <c r="Q507" s="24">
        <v>0</v>
      </c>
      <c r="R507" s="24">
        <v>0</v>
      </c>
      <c r="S507" s="24">
        <v>0</v>
      </c>
      <c r="T507" s="24">
        <v>-500</v>
      </c>
      <c r="U507" s="24">
        <v>500</v>
      </c>
      <c r="V507" s="23">
        <v>0</v>
      </c>
      <c r="W507" s="23">
        <f t="shared" si="50"/>
        <v>-2219.16</v>
      </c>
      <c r="X507" s="23">
        <f t="shared" si="51"/>
        <v>0</v>
      </c>
      <c r="Y507" s="23">
        <f t="shared" si="52"/>
        <v>-2219.16</v>
      </c>
      <c r="Z507" s="24">
        <v>2219</v>
      </c>
      <c r="AA507" s="23">
        <f t="shared" si="53"/>
        <v>-0.15999999999985448</v>
      </c>
      <c r="AB507" s="23">
        <f t="shared" si="54"/>
        <v>2499.6800000000003</v>
      </c>
      <c r="AC507" s="20"/>
      <c r="AD507" s="20" t="str">
        <f>VLOOKUP($C507,'[1]CTRL AUTOS'!$E:$AH,2,0)</f>
        <v>NZY685B</v>
      </c>
      <c r="AE507" s="11" t="str">
        <f t="shared" si="55"/>
        <v>NZY685B28</v>
      </c>
    </row>
    <row r="508" spans="1:31" ht="12.75" hidden="1" customHeight="1" x14ac:dyDescent="0.3">
      <c r="A508" s="8">
        <v>28</v>
      </c>
      <c r="B508" s="20" t="s">
        <v>323</v>
      </c>
      <c r="C508" s="20" t="s">
        <v>20</v>
      </c>
      <c r="D508" s="20" t="s">
        <v>239</v>
      </c>
      <c r="E508" s="22" t="s">
        <v>232</v>
      </c>
      <c r="F508" s="20" t="s">
        <v>232</v>
      </c>
      <c r="G508" s="22" t="s">
        <v>234</v>
      </c>
      <c r="H508" s="23">
        <v>921.72</v>
      </c>
      <c r="I508" s="23">
        <v>-2.92</v>
      </c>
      <c r="J508" s="23">
        <v>0</v>
      </c>
      <c r="K508" s="23">
        <v>0</v>
      </c>
      <c r="L508" s="23">
        <v>0</v>
      </c>
      <c r="M508" s="24">
        <v>-38</v>
      </c>
      <c r="N508" s="24">
        <v>0</v>
      </c>
      <c r="O508" s="24">
        <f t="shared" si="49"/>
        <v>880.80000000000007</v>
      </c>
      <c r="P508" s="24">
        <v>-2500</v>
      </c>
      <c r="Q508" s="24">
        <v>-146</v>
      </c>
      <c r="R508" s="24">
        <v>0</v>
      </c>
      <c r="S508" s="24">
        <v>0</v>
      </c>
      <c r="T508" s="24">
        <v>0</v>
      </c>
      <c r="U508" s="24">
        <v>0</v>
      </c>
      <c r="V508" s="23">
        <v>0</v>
      </c>
      <c r="W508" s="23">
        <f t="shared" si="50"/>
        <v>-1765.1999999999998</v>
      </c>
      <c r="X508" s="23">
        <f t="shared" si="51"/>
        <v>0</v>
      </c>
      <c r="Y508" s="23">
        <f t="shared" si="52"/>
        <v>-1765.1999999999998</v>
      </c>
      <c r="Z508" s="24">
        <v>850</v>
      </c>
      <c r="AA508" s="23">
        <f t="shared" si="53"/>
        <v>-915.19999999999982</v>
      </c>
      <c r="AB508" s="23">
        <f t="shared" si="54"/>
        <v>815.60000000000036</v>
      </c>
      <c r="AC508" s="20"/>
      <c r="AD508" s="20" t="str">
        <f>VLOOKUP($C508,'[1]CTRL AUTOS'!$E:$AH,2,0)</f>
        <v>D40BKD</v>
      </c>
      <c r="AE508" s="11" t="str">
        <f t="shared" si="55"/>
        <v>D40BKD28</v>
      </c>
    </row>
    <row r="509" spans="1:31" ht="12.75" hidden="1" customHeight="1" x14ac:dyDescent="0.3">
      <c r="A509" s="8">
        <v>28</v>
      </c>
      <c r="B509" s="20" t="s">
        <v>111</v>
      </c>
      <c r="C509" s="20" t="s">
        <v>63</v>
      </c>
      <c r="D509" s="20" t="s">
        <v>374</v>
      </c>
      <c r="E509" s="20" t="s">
        <v>291</v>
      </c>
      <c r="F509" s="20" t="s">
        <v>291</v>
      </c>
      <c r="G509" s="22" t="s">
        <v>234</v>
      </c>
      <c r="H509" s="23">
        <v>5258.85</v>
      </c>
      <c r="I509" s="23">
        <v>-13.33</v>
      </c>
      <c r="J509" s="23">
        <v>0</v>
      </c>
      <c r="K509" s="23">
        <v>0</v>
      </c>
      <c r="L509" s="23">
        <v>-494.46</v>
      </c>
      <c r="M509" s="24">
        <v>-38</v>
      </c>
      <c r="N509" s="24">
        <v>0</v>
      </c>
      <c r="O509" s="24">
        <f t="shared" si="49"/>
        <v>4713.0600000000004</v>
      </c>
      <c r="P509" s="24">
        <v>-2500</v>
      </c>
      <c r="Q509" s="24">
        <v>0</v>
      </c>
      <c r="R509" s="24">
        <v>-500</v>
      </c>
      <c r="S509" s="24">
        <v>0</v>
      </c>
      <c r="T509" s="24">
        <v>0</v>
      </c>
      <c r="U509" s="24">
        <v>-600</v>
      </c>
      <c r="V509" s="23">
        <v>0</v>
      </c>
      <c r="W509" s="23">
        <f t="shared" si="50"/>
        <v>1113.0600000000004</v>
      </c>
      <c r="X509" s="23">
        <f t="shared" si="51"/>
        <v>1113.0600000000004</v>
      </c>
      <c r="Y509" s="23">
        <f t="shared" si="52"/>
        <v>0</v>
      </c>
      <c r="Z509" s="24">
        <v>0</v>
      </c>
      <c r="AA509" s="23">
        <f t="shared" si="53"/>
        <v>0</v>
      </c>
      <c r="AB509" s="23">
        <f t="shared" si="54"/>
        <v>3600</v>
      </c>
      <c r="AC509" s="20"/>
      <c r="AD509" s="20" t="str">
        <f>VLOOKUP($C509,'[1]CTRL AUTOS'!$E:$AH,2,0)</f>
        <v>X89ALV</v>
      </c>
      <c r="AE509" s="11" t="str">
        <f t="shared" si="55"/>
        <v>X89ALV28</v>
      </c>
    </row>
    <row r="510" spans="1:31" ht="12.75" hidden="1" customHeight="1" x14ac:dyDescent="0.3">
      <c r="A510" s="8">
        <v>28</v>
      </c>
      <c r="B510" s="20" t="s">
        <v>23</v>
      </c>
      <c r="C510" s="20" t="s">
        <v>34</v>
      </c>
      <c r="D510" s="20" t="s">
        <v>285</v>
      </c>
      <c r="E510" s="22" t="s">
        <v>232</v>
      </c>
      <c r="F510" s="20" t="s">
        <v>232</v>
      </c>
      <c r="G510" s="22" t="s">
        <v>234</v>
      </c>
      <c r="H510" s="23">
        <v>6477.94</v>
      </c>
      <c r="I510" s="23">
        <v>-32.799999999999997</v>
      </c>
      <c r="J510" s="23">
        <v>0</v>
      </c>
      <c r="K510" s="23">
        <v>0</v>
      </c>
      <c r="L510" s="23">
        <v>-2759.52</v>
      </c>
      <c r="M510" s="24">
        <v>-35</v>
      </c>
      <c r="N510" s="24">
        <v>-556</v>
      </c>
      <c r="O510" s="24">
        <f t="shared" si="49"/>
        <v>3094.6199999999994</v>
      </c>
      <c r="P510" s="24">
        <v>-2500</v>
      </c>
      <c r="Q510" s="24">
        <v>0</v>
      </c>
      <c r="R510" s="24">
        <v>-500</v>
      </c>
      <c r="S510" s="24">
        <v>0</v>
      </c>
      <c r="T510" s="24">
        <v>0</v>
      </c>
      <c r="U510" s="24">
        <v>0</v>
      </c>
      <c r="V510" s="23">
        <v>0</v>
      </c>
      <c r="W510" s="23">
        <f t="shared" si="50"/>
        <v>94.619999999999436</v>
      </c>
      <c r="X510" s="23">
        <f t="shared" si="51"/>
        <v>94.619999999999436</v>
      </c>
      <c r="Y510" s="23">
        <f t="shared" si="52"/>
        <v>0</v>
      </c>
      <c r="Z510" s="24">
        <v>0</v>
      </c>
      <c r="AA510" s="23">
        <f t="shared" si="53"/>
        <v>0</v>
      </c>
      <c r="AB510" s="23">
        <f t="shared" si="54"/>
        <v>3000</v>
      </c>
      <c r="AC510" s="20"/>
      <c r="AD510" s="20" t="str">
        <f>VLOOKUP($C510,'[1]CTRL AUTOS'!$E:$AH,2,0)</f>
        <v>X59AWG</v>
      </c>
      <c r="AE510" s="11" t="str">
        <f t="shared" si="55"/>
        <v>X59AWG28</v>
      </c>
    </row>
    <row r="511" spans="1:31" ht="12.75" hidden="1" customHeight="1" x14ac:dyDescent="0.3">
      <c r="A511" s="8">
        <v>28</v>
      </c>
      <c r="B511" s="20" t="s">
        <v>256</v>
      </c>
      <c r="C511" s="20" t="s">
        <v>16</v>
      </c>
      <c r="D511" s="20" t="s">
        <v>314</v>
      </c>
      <c r="E511" s="22" t="s">
        <v>232</v>
      </c>
      <c r="F511" s="20" t="s">
        <v>232</v>
      </c>
      <c r="G511" s="22" t="s">
        <v>234</v>
      </c>
      <c r="H511" s="23">
        <v>2342.9499999999998</v>
      </c>
      <c r="I511" s="23">
        <v>-0.94</v>
      </c>
      <c r="J511" s="23">
        <v>0</v>
      </c>
      <c r="K511" s="23">
        <v>-29.51</v>
      </c>
      <c r="L511" s="23">
        <v>-110.05</v>
      </c>
      <c r="M511" s="24">
        <v>-38</v>
      </c>
      <c r="N511" s="24">
        <v>-370</v>
      </c>
      <c r="O511" s="24">
        <f t="shared" si="49"/>
        <v>1794.4499999999994</v>
      </c>
      <c r="P511" s="24">
        <v>-2500</v>
      </c>
      <c r="Q511" s="24">
        <v>0</v>
      </c>
      <c r="R511" s="24">
        <v>0</v>
      </c>
      <c r="S511" s="24">
        <v>0</v>
      </c>
      <c r="T511" s="24">
        <v>0</v>
      </c>
      <c r="U511" s="24">
        <v>0</v>
      </c>
      <c r="V511" s="23">
        <v>0</v>
      </c>
      <c r="W511" s="23">
        <f t="shared" si="50"/>
        <v>-705.55000000000064</v>
      </c>
      <c r="X511" s="23">
        <f t="shared" si="51"/>
        <v>0</v>
      </c>
      <c r="Y511" s="23">
        <f t="shared" si="52"/>
        <v>-705.55000000000064</v>
      </c>
      <c r="Z511" s="24">
        <v>0</v>
      </c>
      <c r="AA511" s="23">
        <f t="shared" si="53"/>
        <v>-705.55000000000064</v>
      </c>
      <c r="AB511" s="23">
        <f t="shared" si="54"/>
        <v>1088.8999999999987</v>
      </c>
      <c r="AC511" s="20"/>
      <c r="AD511" s="20" t="str">
        <f>VLOOKUP($C511,'[1]CTRL AUTOS'!$E:$AH,2,0)</f>
        <v>D28BET</v>
      </c>
      <c r="AE511" s="11" t="str">
        <f t="shared" si="55"/>
        <v>D28BET28</v>
      </c>
    </row>
    <row r="512" spans="1:31" ht="12.75" hidden="1" customHeight="1" x14ac:dyDescent="0.3">
      <c r="A512" s="8">
        <v>28</v>
      </c>
      <c r="B512" s="20" t="s">
        <v>25</v>
      </c>
      <c r="C512" s="20" t="s">
        <v>10</v>
      </c>
      <c r="D512" s="20" t="s">
        <v>343</v>
      </c>
      <c r="E512" s="22" t="s">
        <v>232</v>
      </c>
      <c r="F512" s="20" t="s">
        <v>232</v>
      </c>
      <c r="G512" s="22" t="s">
        <v>234</v>
      </c>
      <c r="H512" s="23">
        <v>1993.62</v>
      </c>
      <c r="I512" s="23">
        <v>-5.82</v>
      </c>
      <c r="J512" s="23">
        <v>0</v>
      </c>
      <c r="K512" s="23">
        <v>0</v>
      </c>
      <c r="L512" s="23">
        <v>-501.57</v>
      </c>
      <c r="M512" s="24">
        <v>-32</v>
      </c>
      <c r="N512" s="24">
        <v>0</v>
      </c>
      <c r="O512" s="24">
        <f t="shared" si="49"/>
        <v>1454.23</v>
      </c>
      <c r="P512" s="24">
        <v>-2500</v>
      </c>
      <c r="Q512" s="24">
        <v>0</v>
      </c>
      <c r="R512" s="24">
        <v>0</v>
      </c>
      <c r="S512" s="24">
        <v>0</v>
      </c>
      <c r="T512" s="24">
        <v>0</v>
      </c>
      <c r="U512" s="24">
        <v>-598</v>
      </c>
      <c r="V512" s="23">
        <v>0</v>
      </c>
      <c r="W512" s="23">
        <f t="shared" si="50"/>
        <v>-1643.77</v>
      </c>
      <c r="X512" s="23">
        <f t="shared" si="51"/>
        <v>0</v>
      </c>
      <c r="Y512" s="23">
        <f t="shared" si="52"/>
        <v>-1643.77</v>
      </c>
      <c r="Z512" s="24">
        <v>1644</v>
      </c>
      <c r="AA512" s="23">
        <f t="shared" si="53"/>
        <v>0.23000000000001819</v>
      </c>
      <c r="AB512" s="23">
        <f t="shared" si="54"/>
        <v>3098.46</v>
      </c>
      <c r="AC512" s="20"/>
      <c r="AD512" s="20" t="str">
        <f>VLOOKUP($C512,'[1]CTRL AUTOS'!$E:$AH,2,0)</f>
        <v>LRL009C</v>
      </c>
      <c r="AE512" s="11" t="str">
        <f t="shared" si="55"/>
        <v>LRL009C28</v>
      </c>
    </row>
    <row r="513" spans="1:31" ht="12.75" hidden="1" customHeight="1" x14ac:dyDescent="0.3">
      <c r="A513" s="8">
        <v>28</v>
      </c>
      <c r="B513" s="20" t="s">
        <v>359</v>
      </c>
      <c r="C513" s="20" t="s">
        <v>230</v>
      </c>
      <c r="D513" s="20" t="s">
        <v>231</v>
      </c>
      <c r="E513" s="22" t="s">
        <v>232</v>
      </c>
      <c r="F513" s="20" t="s">
        <v>232</v>
      </c>
      <c r="G513" s="22" t="s">
        <v>234</v>
      </c>
      <c r="H513" s="23">
        <v>2542.31</v>
      </c>
      <c r="I513" s="23">
        <v>0</v>
      </c>
      <c r="J513" s="23">
        <v>0</v>
      </c>
      <c r="K513" s="23">
        <v>0</v>
      </c>
      <c r="L513" s="23">
        <v>-504.44</v>
      </c>
      <c r="M513" s="24">
        <v>-35</v>
      </c>
      <c r="N513" s="24">
        <v>-240</v>
      </c>
      <c r="O513" s="24">
        <f t="shared" si="49"/>
        <v>1762.87</v>
      </c>
      <c r="P513" s="24">
        <v>-2500</v>
      </c>
      <c r="Q513" s="24">
        <v>-812</v>
      </c>
      <c r="R513" s="24">
        <v>-500</v>
      </c>
      <c r="S513" s="24">
        <v>0</v>
      </c>
      <c r="T513" s="24">
        <v>0</v>
      </c>
      <c r="U513" s="24">
        <v>0</v>
      </c>
      <c r="V513" s="23">
        <v>0</v>
      </c>
      <c r="W513" s="23">
        <f t="shared" si="50"/>
        <v>-2049.13</v>
      </c>
      <c r="X513" s="23">
        <f t="shared" si="51"/>
        <v>0</v>
      </c>
      <c r="Y513" s="23">
        <f t="shared" si="52"/>
        <v>-2049.13</v>
      </c>
      <c r="Z513" s="24">
        <v>2049</v>
      </c>
      <c r="AA513" s="23">
        <f t="shared" si="53"/>
        <v>-0.13000000000010914</v>
      </c>
      <c r="AB513" s="23">
        <f t="shared" si="54"/>
        <v>3811.74</v>
      </c>
      <c r="AC513" s="20"/>
      <c r="AD513" s="20" t="s">
        <v>235</v>
      </c>
      <c r="AE513" s="11" t="str">
        <f t="shared" si="55"/>
        <v>NEB156A28</v>
      </c>
    </row>
    <row r="514" spans="1:31" ht="12.75" hidden="1" customHeight="1" x14ac:dyDescent="0.3">
      <c r="A514" s="8">
        <v>28</v>
      </c>
      <c r="B514" s="20" t="s">
        <v>72</v>
      </c>
      <c r="C514" s="20" t="s">
        <v>73</v>
      </c>
      <c r="D514" s="20" t="s">
        <v>368</v>
      </c>
      <c r="E514" s="22" t="s">
        <v>241</v>
      </c>
      <c r="F514" s="20" t="s">
        <v>291</v>
      </c>
      <c r="G514" s="22" t="s">
        <v>234</v>
      </c>
      <c r="H514" s="23">
        <v>8533.58</v>
      </c>
      <c r="I514" s="23">
        <v>-96.8</v>
      </c>
      <c r="J514" s="23">
        <v>0</v>
      </c>
      <c r="K514" s="23">
        <v>-86.75</v>
      </c>
      <c r="L514" s="23">
        <v>-3508.38</v>
      </c>
      <c r="M514" s="24">
        <v>-32</v>
      </c>
      <c r="N514" s="24">
        <v>0</v>
      </c>
      <c r="O514" s="24">
        <f t="shared" si="49"/>
        <v>4809.6500000000005</v>
      </c>
      <c r="P514" s="24">
        <v>-2500</v>
      </c>
      <c r="Q514" s="24">
        <v>0</v>
      </c>
      <c r="R514" s="24">
        <v>0</v>
      </c>
      <c r="S514" s="24">
        <v>0</v>
      </c>
      <c r="T514" s="24">
        <v>0</v>
      </c>
      <c r="U514" s="24">
        <v>0</v>
      </c>
      <c r="V514" s="23">
        <v>0</v>
      </c>
      <c r="W514" s="23">
        <f t="shared" si="50"/>
        <v>2309.6500000000005</v>
      </c>
      <c r="X514" s="23">
        <f t="shared" si="51"/>
        <v>2309.6500000000005</v>
      </c>
      <c r="Y514" s="23">
        <f t="shared" si="52"/>
        <v>0</v>
      </c>
      <c r="Z514" s="24">
        <v>0</v>
      </c>
      <c r="AA514" s="23">
        <f t="shared" si="53"/>
        <v>0</v>
      </c>
      <c r="AB514" s="23">
        <f t="shared" si="54"/>
        <v>2500</v>
      </c>
      <c r="AC514" s="20"/>
      <c r="AD514" s="20" t="str">
        <f>VLOOKUP($C514,'[1]CTRL AUTOS'!$E:$AH,2,0)</f>
        <v>H99BLC</v>
      </c>
      <c r="AE514" s="11" t="str">
        <f t="shared" si="55"/>
        <v>H99BLC28</v>
      </c>
    </row>
    <row r="515" spans="1:31" ht="12.75" hidden="1" customHeight="1" x14ac:dyDescent="0.3">
      <c r="A515" s="8">
        <v>28</v>
      </c>
      <c r="B515" s="20" t="s">
        <v>292</v>
      </c>
      <c r="C515" s="20" t="s">
        <v>52</v>
      </c>
      <c r="D515" s="20" t="s">
        <v>313</v>
      </c>
      <c r="E515" s="22" t="s">
        <v>232</v>
      </c>
      <c r="F515" s="20" t="s">
        <v>232</v>
      </c>
      <c r="G515" s="22" t="s">
        <v>234</v>
      </c>
      <c r="H515" s="23">
        <v>8050.99</v>
      </c>
      <c r="I515" s="23">
        <v>0</v>
      </c>
      <c r="J515" s="23">
        <v>0</v>
      </c>
      <c r="K515" s="23">
        <v>0</v>
      </c>
      <c r="L515" s="23">
        <v>-3275.95</v>
      </c>
      <c r="M515" s="24">
        <v>-81.34</v>
      </c>
      <c r="N515" s="24">
        <v>0</v>
      </c>
      <c r="O515" s="24">
        <f t="shared" ref="O515:O578" si="56">SUM(H515:N515)</f>
        <v>4693.7</v>
      </c>
      <c r="P515" s="24">
        <v>-2500</v>
      </c>
      <c r="Q515" s="24">
        <v>0</v>
      </c>
      <c r="R515" s="24">
        <v>0</v>
      </c>
      <c r="S515" s="24">
        <v>0</v>
      </c>
      <c r="T515" s="24">
        <v>0</v>
      </c>
      <c r="U515" s="24">
        <v>0</v>
      </c>
      <c r="V515" s="23">
        <v>0</v>
      </c>
      <c r="W515" s="23">
        <f t="shared" ref="W515:W578" si="57">+O515+SUM(P515:V515)</f>
        <v>2193.6999999999998</v>
      </c>
      <c r="X515" s="23">
        <f t="shared" ref="X515:X578" si="58">IF(W515&gt;=0,W515,0)</f>
        <v>2193.6999999999998</v>
      </c>
      <c r="Y515" s="23">
        <f t="shared" ref="Y515:Y578" si="59">IF(W515&lt;=0,W515,0)</f>
        <v>0</v>
      </c>
      <c r="Z515" s="24">
        <v>0</v>
      </c>
      <c r="AA515" s="23">
        <f t="shared" ref="AA515:AA578" si="60">+Y515+Z515</f>
        <v>0</v>
      </c>
      <c r="AB515" s="23">
        <f t="shared" ref="AB515:AB578" si="61">+O515-X515+Z515+AA515</f>
        <v>2500</v>
      </c>
      <c r="AC515" s="20"/>
      <c r="AD515" s="20" t="str">
        <f>VLOOKUP($C515,'[1]CTRL AUTOS'!$E:$AH,2,0)</f>
        <v>A35BHD</v>
      </c>
      <c r="AE515" s="11" t="str">
        <f t="shared" si="55"/>
        <v>A35BHD28</v>
      </c>
    </row>
    <row r="516" spans="1:31" ht="12.75" hidden="1" customHeight="1" x14ac:dyDescent="0.3">
      <c r="A516" s="8">
        <v>28</v>
      </c>
      <c r="B516" s="20" t="s">
        <v>375</v>
      </c>
      <c r="C516" s="20" t="s">
        <v>40</v>
      </c>
      <c r="D516" s="20" t="s">
        <v>315</v>
      </c>
      <c r="E516" s="22" t="s">
        <v>232</v>
      </c>
      <c r="F516" s="20" t="s">
        <v>232</v>
      </c>
      <c r="G516" s="22" t="s">
        <v>234</v>
      </c>
      <c r="H516" s="23">
        <v>4198.58</v>
      </c>
      <c r="I516" s="23">
        <v>0</v>
      </c>
      <c r="J516" s="23">
        <v>0</v>
      </c>
      <c r="K516" s="23">
        <v>0</v>
      </c>
      <c r="L516" s="23">
        <v>-1353.92</v>
      </c>
      <c r="M516" s="24">
        <v>-32</v>
      </c>
      <c r="N516" s="24">
        <v>-80</v>
      </c>
      <c r="O516" s="24">
        <f t="shared" si="56"/>
        <v>2732.66</v>
      </c>
      <c r="P516" s="24">
        <v>-2143</v>
      </c>
      <c r="Q516" s="24">
        <v>0</v>
      </c>
      <c r="R516" s="24">
        <v>-500</v>
      </c>
      <c r="S516" s="24">
        <v>0</v>
      </c>
      <c r="T516" s="24">
        <v>0</v>
      </c>
      <c r="U516" s="24">
        <v>0</v>
      </c>
      <c r="V516" s="23">
        <v>0</v>
      </c>
      <c r="W516" s="23">
        <f t="shared" si="57"/>
        <v>89.659999999999854</v>
      </c>
      <c r="X516" s="23">
        <f t="shared" si="58"/>
        <v>89.659999999999854</v>
      </c>
      <c r="Y516" s="23">
        <f t="shared" si="59"/>
        <v>0</v>
      </c>
      <c r="Z516" s="24">
        <v>0</v>
      </c>
      <c r="AA516" s="23">
        <f t="shared" si="60"/>
        <v>0</v>
      </c>
      <c r="AB516" s="23">
        <f t="shared" si="61"/>
        <v>2643</v>
      </c>
      <c r="AC516" s="20"/>
      <c r="AD516" s="20" t="str">
        <f>VLOOKUP($C516,'[1]CTRL AUTOS'!$E:$AH,2,0)</f>
        <v>NEL860A</v>
      </c>
      <c r="AE516" s="11" t="str">
        <f t="shared" ref="AE516:AE579" si="62">AD516&amp;A516</f>
        <v>NEL860A28</v>
      </c>
    </row>
    <row r="517" spans="1:31" ht="12.75" hidden="1" customHeight="1" x14ac:dyDescent="0.3">
      <c r="A517" s="8">
        <v>28</v>
      </c>
      <c r="B517" s="20" t="s">
        <v>288</v>
      </c>
      <c r="C517" s="20" t="s">
        <v>22</v>
      </c>
      <c r="D517" s="20" t="s">
        <v>319</v>
      </c>
      <c r="E517" s="20" t="s">
        <v>232</v>
      </c>
      <c r="F517" s="20" t="s">
        <v>232</v>
      </c>
      <c r="G517" s="22" t="s">
        <v>234</v>
      </c>
      <c r="H517" s="23">
        <v>6248.49</v>
      </c>
      <c r="I517" s="23">
        <v>0</v>
      </c>
      <c r="J517" s="23">
        <v>0</v>
      </c>
      <c r="K517" s="23">
        <v>0</v>
      </c>
      <c r="L517" s="23">
        <v>-2484.5100000000002</v>
      </c>
      <c r="M517" s="24">
        <v>-32</v>
      </c>
      <c r="N517" s="24">
        <v>0</v>
      </c>
      <c r="O517" s="24">
        <f t="shared" si="56"/>
        <v>3731.9799999999996</v>
      </c>
      <c r="P517" s="24">
        <v>-2500</v>
      </c>
      <c r="Q517" s="24">
        <v>0</v>
      </c>
      <c r="R517" s="24">
        <v>0</v>
      </c>
      <c r="S517" s="24">
        <v>0</v>
      </c>
      <c r="T517" s="24">
        <v>0</v>
      </c>
      <c r="U517" s="24">
        <v>0</v>
      </c>
      <c r="V517" s="23">
        <v>0</v>
      </c>
      <c r="W517" s="23">
        <f t="shared" si="57"/>
        <v>1231.9799999999996</v>
      </c>
      <c r="X517" s="23">
        <f t="shared" si="58"/>
        <v>1231.9799999999996</v>
      </c>
      <c r="Y517" s="23">
        <f t="shared" si="59"/>
        <v>0</v>
      </c>
      <c r="Z517" s="24">
        <v>0</v>
      </c>
      <c r="AA517" s="23">
        <f t="shared" si="60"/>
        <v>0</v>
      </c>
      <c r="AB517" s="23">
        <f t="shared" si="61"/>
        <v>2500</v>
      </c>
      <c r="AC517" s="20"/>
      <c r="AD517" s="20" t="str">
        <f>VLOOKUP($C517,'[1]CTRL AUTOS'!$E:$AH,2,0)</f>
        <v>NCK475B</v>
      </c>
      <c r="AE517" s="11" t="str">
        <f t="shared" si="62"/>
        <v>NCK475B28</v>
      </c>
    </row>
    <row r="518" spans="1:31" ht="12.75" hidden="1" customHeight="1" x14ac:dyDescent="0.3">
      <c r="A518" s="8">
        <v>28</v>
      </c>
      <c r="B518" s="20" t="s">
        <v>244</v>
      </c>
      <c r="C518" s="20" t="s">
        <v>4</v>
      </c>
      <c r="D518" s="22" t="s">
        <v>245</v>
      </c>
      <c r="E518" s="22" t="s">
        <v>232</v>
      </c>
      <c r="F518" s="20" t="s">
        <v>232</v>
      </c>
      <c r="G518" s="22" t="s">
        <v>234</v>
      </c>
      <c r="H518" s="23">
        <v>608.58000000000004</v>
      </c>
      <c r="I518" s="23">
        <v>0</v>
      </c>
      <c r="J518" s="23">
        <v>0</v>
      </c>
      <c r="K518" s="23">
        <v>0</v>
      </c>
      <c r="L518" s="23">
        <v>-433.93</v>
      </c>
      <c r="M518" s="24">
        <v>-28</v>
      </c>
      <c r="N518" s="23">
        <v>0</v>
      </c>
      <c r="O518" s="24">
        <f t="shared" si="56"/>
        <v>146.65000000000003</v>
      </c>
      <c r="P518" s="23">
        <v>-357</v>
      </c>
      <c r="Q518" s="23">
        <v>-1046</v>
      </c>
      <c r="R518" s="23">
        <v>1256</v>
      </c>
      <c r="S518" s="23">
        <v>0</v>
      </c>
      <c r="T518" s="23">
        <v>0</v>
      </c>
      <c r="U518" s="23">
        <v>0</v>
      </c>
      <c r="V518" s="23">
        <v>0</v>
      </c>
      <c r="W518" s="23">
        <f t="shared" si="57"/>
        <v>-0.34999999999996589</v>
      </c>
      <c r="X518" s="23">
        <f t="shared" si="58"/>
        <v>0</v>
      </c>
      <c r="Y518" s="23">
        <f t="shared" si="59"/>
        <v>-0.34999999999996589</v>
      </c>
      <c r="Z518" s="23">
        <v>0</v>
      </c>
      <c r="AA518" s="23">
        <f t="shared" si="60"/>
        <v>-0.34999999999996589</v>
      </c>
      <c r="AB518" s="23">
        <f t="shared" si="61"/>
        <v>146.30000000000007</v>
      </c>
      <c r="AC518" s="20" t="s">
        <v>376</v>
      </c>
      <c r="AD518" s="20" t="str">
        <f>VLOOKUP($C518,'[1]CTRL AUTOS'!$E:$AH,2,0)</f>
        <v>N15BKD</v>
      </c>
      <c r="AE518" s="11" t="str">
        <f t="shared" si="62"/>
        <v>N15BKD28</v>
      </c>
    </row>
    <row r="519" spans="1:31" ht="12.75" hidden="1" customHeight="1" x14ac:dyDescent="0.3">
      <c r="A519" s="8">
        <v>28</v>
      </c>
      <c r="B519" s="20" t="s">
        <v>35</v>
      </c>
      <c r="C519" s="20" t="s">
        <v>97</v>
      </c>
      <c r="D519" s="20" t="s">
        <v>273</v>
      </c>
      <c r="E519" s="22" t="s">
        <v>232</v>
      </c>
      <c r="F519" s="20" t="s">
        <v>232</v>
      </c>
      <c r="G519" s="22" t="s">
        <v>234</v>
      </c>
      <c r="H519" s="23">
        <v>7697.76</v>
      </c>
      <c r="I519" s="23">
        <v>-108.8</v>
      </c>
      <c r="J519" s="23">
        <v>0</v>
      </c>
      <c r="K519" s="23">
        <v>0</v>
      </c>
      <c r="L519" s="23">
        <v>-3767.76</v>
      </c>
      <c r="M519" s="24">
        <v>-28</v>
      </c>
      <c r="N519" s="24">
        <v>0</v>
      </c>
      <c r="O519" s="24">
        <f t="shared" si="56"/>
        <v>3793.2</v>
      </c>
      <c r="P519" s="24">
        <v>-2500</v>
      </c>
      <c r="Q519" s="24">
        <v>0</v>
      </c>
      <c r="R519" s="24">
        <v>0</v>
      </c>
      <c r="S519" s="24">
        <v>0</v>
      </c>
      <c r="T519" s="24">
        <v>0</v>
      </c>
      <c r="U519" s="24">
        <v>-22</v>
      </c>
      <c r="V519" s="23">
        <v>0</v>
      </c>
      <c r="W519" s="23">
        <f t="shared" si="57"/>
        <v>1271.1999999999998</v>
      </c>
      <c r="X519" s="23">
        <f t="shared" si="58"/>
        <v>1271.1999999999998</v>
      </c>
      <c r="Y519" s="23">
        <f t="shared" si="59"/>
        <v>0</v>
      </c>
      <c r="Z519" s="24">
        <v>0</v>
      </c>
      <c r="AA519" s="23">
        <f t="shared" si="60"/>
        <v>0</v>
      </c>
      <c r="AB519" s="23">
        <f t="shared" si="61"/>
        <v>2522</v>
      </c>
      <c r="AC519" s="20" t="s">
        <v>377</v>
      </c>
      <c r="AD519" s="20" t="str">
        <f>VLOOKUP($C519,'[1]CTRL AUTOS'!$E:$AH,2,0)</f>
        <v>MUF515A</v>
      </c>
      <c r="AE519" s="11" t="str">
        <f t="shared" si="62"/>
        <v>MUF515A28</v>
      </c>
    </row>
    <row r="520" spans="1:31" ht="12.75" hidden="1" customHeight="1" x14ac:dyDescent="0.3">
      <c r="A520" s="8">
        <v>28</v>
      </c>
      <c r="B520" s="20" t="s">
        <v>37</v>
      </c>
      <c r="C520" s="20" t="s">
        <v>246</v>
      </c>
      <c r="D520" s="20" t="s">
        <v>341</v>
      </c>
      <c r="E520" s="22" t="s">
        <v>232</v>
      </c>
      <c r="F520" s="20" t="s">
        <v>291</v>
      </c>
      <c r="G520" s="22" t="s">
        <v>234</v>
      </c>
      <c r="H520" s="23">
        <v>2900</v>
      </c>
      <c r="I520" s="23">
        <v>0</v>
      </c>
      <c r="J520" s="23">
        <v>0</v>
      </c>
      <c r="K520" s="23">
        <v>0</v>
      </c>
      <c r="L520" s="23">
        <v>-178.4</v>
      </c>
      <c r="M520" s="24">
        <v>-38</v>
      </c>
      <c r="N520" s="24">
        <v>0</v>
      </c>
      <c r="O520" s="24">
        <f t="shared" si="56"/>
        <v>2683.6</v>
      </c>
      <c r="P520" s="24">
        <v>-2500</v>
      </c>
      <c r="Q520" s="24">
        <v>0</v>
      </c>
      <c r="R520" s="24">
        <v>0</v>
      </c>
      <c r="S520" s="24">
        <v>0</v>
      </c>
      <c r="T520" s="24">
        <v>0</v>
      </c>
      <c r="U520" s="24">
        <v>0</v>
      </c>
      <c r="V520" s="23">
        <v>0</v>
      </c>
      <c r="W520" s="23">
        <f t="shared" si="57"/>
        <v>183.59999999999991</v>
      </c>
      <c r="X520" s="23">
        <f t="shared" si="58"/>
        <v>183.59999999999991</v>
      </c>
      <c r="Y520" s="23">
        <f t="shared" si="59"/>
        <v>0</v>
      </c>
      <c r="Z520" s="24">
        <v>0</v>
      </c>
      <c r="AA520" s="23">
        <f t="shared" si="60"/>
        <v>0</v>
      </c>
      <c r="AB520" s="23">
        <f t="shared" si="61"/>
        <v>2500</v>
      </c>
      <c r="AC520" s="20"/>
      <c r="AD520" s="20" t="s">
        <v>248</v>
      </c>
      <c r="AE520" s="11" t="str">
        <f t="shared" si="62"/>
        <v>X24APU28</v>
      </c>
    </row>
    <row r="521" spans="1:31" ht="12.75" hidden="1" customHeight="1" x14ac:dyDescent="0.3">
      <c r="A521" s="8">
        <v>28</v>
      </c>
      <c r="B521" s="20" t="s">
        <v>361</v>
      </c>
      <c r="C521" s="20" t="s">
        <v>56</v>
      </c>
      <c r="D521" s="20" t="s">
        <v>336</v>
      </c>
      <c r="E521" s="22" t="s">
        <v>241</v>
      </c>
      <c r="F521" s="20" t="s">
        <v>291</v>
      </c>
      <c r="G521" s="22" t="s">
        <v>234</v>
      </c>
      <c r="H521" s="23">
        <v>4090.47</v>
      </c>
      <c r="I521" s="23">
        <v>-21.43</v>
      </c>
      <c r="J521" s="23">
        <v>0</v>
      </c>
      <c r="K521" s="23">
        <v>0</v>
      </c>
      <c r="L521" s="23">
        <v>-1331.67</v>
      </c>
      <c r="M521" s="24">
        <v>-32</v>
      </c>
      <c r="N521" s="24">
        <v>-50</v>
      </c>
      <c r="O521" s="24">
        <f t="shared" si="56"/>
        <v>2655.37</v>
      </c>
      <c r="P521" s="24">
        <v>-1428.5</v>
      </c>
      <c r="Q521" s="24">
        <v>0</v>
      </c>
      <c r="R521" s="24">
        <v>-500</v>
      </c>
      <c r="S521" s="24">
        <v>0</v>
      </c>
      <c r="T521" s="24">
        <v>0</v>
      </c>
      <c r="U521" s="24">
        <v>0</v>
      </c>
      <c r="V521" s="23">
        <v>0</v>
      </c>
      <c r="W521" s="23">
        <f t="shared" si="57"/>
        <v>726.86999999999989</v>
      </c>
      <c r="X521" s="23">
        <f t="shared" si="58"/>
        <v>726.86999999999989</v>
      </c>
      <c r="Y521" s="23">
        <f t="shared" si="59"/>
        <v>0</v>
      </c>
      <c r="Z521" s="24">
        <v>0</v>
      </c>
      <c r="AA521" s="23">
        <f t="shared" si="60"/>
        <v>0</v>
      </c>
      <c r="AB521" s="23">
        <f t="shared" si="61"/>
        <v>1928.5</v>
      </c>
      <c r="AC521" s="20"/>
      <c r="AD521" s="20" t="str">
        <f>VLOOKUP($C521,'[1]CTRL AUTOS'!$E:$AH,2,0)</f>
        <v>MYE912A</v>
      </c>
      <c r="AE521" s="11" t="str">
        <f t="shared" si="62"/>
        <v>MYE912A28</v>
      </c>
    </row>
    <row r="522" spans="1:31" ht="12.75" hidden="1" customHeight="1" x14ac:dyDescent="0.3">
      <c r="A522" s="8">
        <v>28</v>
      </c>
      <c r="B522" s="20" t="s">
        <v>331</v>
      </c>
      <c r="C522" s="20" t="s">
        <v>46</v>
      </c>
      <c r="D522" s="20" t="s">
        <v>257</v>
      </c>
      <c r="E522" s="22" t="s">
        <v>232</v>
      </c>
      <c r="F522" s="20" t="s">
        <v>291</v>
      </c>
      <c r="G522" s="22" t="s">
        <v>234</v>
      </c>
      <c r="H522" s="23">
        <v>0</v>
      </c>
      <c r="I522" s="23">
        <v>0</v>
      </c>
      <c r="J522" s="23">
        <v>0</v>
      </c>
      <c r="K522" s="23">
        <v>0</v>
      </c>
      <c r="L522" s="23">
        <v>0</v>
      </c>
      <c r="M522" s="24">
        <v>-38</v>
      </c>
      <c r="N522" s="24">
        <v>0</v>
      </c>
      <c r="O522" s="24">
        <f t="shared" si="56"/>
        <v>-38</v>
      </c>
      <c r="P522" s="24">
        <v>-2500</v>
      </c>
      <c r="Q522" s="24">
        <v>-65</v>
      </c>
      <c r="R522" s="24">
        <v>-100</v>
      </c>
      <c r="S522" s="24">
        <v>0</v>
      </c>
      <c r="T522" s="24">
        <v>0</v>
      </c>
      <c r="U522" s="24">
        <v>150</v>
      </c>
      <c r="V522" s="23">
        <v>0</v>
      </c>
      <c r="W522" s="23">
        <f t="shared" si="57"/>
        <v>-2553</v>
      </c>
      <c r="X522" s="23">
        <f t="shared" si="58"/>
        <v>0</v>
      </c>
      <c r="Y522" s="23">
        <f t="shared" si="59"/>
        <v>-2553</v>
      </c>
      <c r="Z522" s="24">
        <v>2350</v>
      </c>
      <c r="AA522" s="23">
        <f t="shared" si="60"/>
        <v>-203</v>
      </c>
      <c r="AB522" s="23">
        <f t="shared" si="61"/>
        <v>2109</v>
      </c>
      <c r="AC522" s="20" t="s">
        <v>378</v>
      </c>
      <c r="AD522" s="20" t="str">
        <f>VLOOKUP($C522,'[1]CTRL AUTOS'!$E:$AH,2,0)</f>
        <v>R66BER</v>
      </c>
      <c r="AE522" s="11" t="str">
        <f t="shared" si="62"/>
        <v>R66BER28</v>
      </c>
    </row>
    <row r="523" spans="1:31" ht="12.75" hidden="1" customHeight="1" x14ac:dyDescent="0.3">
      <c r="A523" s="8">
        <v>28</v>
      </c>
      <c r="B523" s="20" t="s">
        <v>372</v>
      </c>
      <c r="C523" s="20" t="s">
        <v>75</v>
      </c>
      <c r="D523" s="20" t="s">
        <v>333</v>
      </c>
      <c r="E523" s="22" t="s">
        <v>241</v>
      </c>
      <c r="F523" s="20" t="s">
        <v>291</v>
      </c>
      <c r="G523" s="22" t="s">
        <v>234</v>
      </c>
      <c r="H523" s="23">
        <v>741.26</v>
      </c>
      <c r="I523" s="23">
        <v>0</v>
      </c>
      <c r="J523" s="23">
        <v>0</v>
      </c>
      <c r="K523" s="23">
        <v>0</v>
      </c>
      <c r="L523" s="23">
        <v>-504.16</v>
      </c>
      <c r="M523" s="24">
        <v>-38</v>
      </c>
      <c r="N523" s="24">
        <v>-1139</v>
      </c>
      <c r="O523" s="24">
        <f t="shared" si="56"/>
        <v>-939.90000000000009</v>
      </c>
      <c r="P523" s="24">
        <v>-2500</v>
      </c>
      <c r="Q523" s="24">
        <v>89</v>
      </c>
      <c r="R523" s="24">
        <v>0</v>
      </c>
      <c r="S523" s="24">
        <v>0</v>
      </c>
      <c r="T523" s="24">
        <v>0</v>
      </c>
      <c r="U523" s="24">
        <v>0</v>
      </c>
      <c r="V523" s="23">
        <v>0</v>
      </c>
      <c r="W523" s="23">
        <f t="shared" si="57"/>
        <v>-3350.9</v>
      </c>
      <c r="X523" s="23">
        <f t="shared" si="58"/>
        <v>0</v>
      </c>
      <c r="Y523" s="23">
        <f t="shared" si="59"/>
        <v>-3350.9</v>
      </c>
      <c r="Z523" s="24">
        <v>3000</v>
      </c>
      <c r="AA523" s="23">
        <f t="shared" si="60"/>
        <v>-350.90000000000009</v>
      </c>
      <c r="AB523" s="23">
        <f t="shared" si="61"/>
        <v>1709.1999999999998</v>
      </c>
      <c r="AC523" s="20"/>
      <c r="AD523" s="20" t="str">
        <f>VLOOKUP($C523,'[1]CTRL AUTOS'!$E:$AH,2,0)</f>
        <v>NFN014B</v>
      </c>
      <c r="AE523" s="11" t="str">
        <f t="shared" si="62"/>
        <v>NFN014B28</v>
      </c>
    </row>
    <row r="524" spans="1:31" ht="12.75" hidden="1" customHeight="1" x14ac:dyDescent="0.3">
      <c r="A524" s="8">
        <v>28</v>
      </c>
      <c r="B524" s="20" t="s">
        <v>45</v>
      </c>
      <c r="C524" s="20" t="s">
        <v>249</v>
      </c>
      <c r="D524" s="20" t="s">
        <v>250</v>
      </c>
      <c r="E524" s="22" t="s">
        <v>232</v>
      </c>
      <c r="F524" s="20" t="s">
        <v>232</v>
      </c>
      <c r="G524" s="22" t="s">
        <v>234</v>
      </c>
      <c r="H524" s="23">
        <v>2261.11</v>
      </c>
      <c r="I524" s="23">
        <v>0</v>
      </c>
      <c r="J524" s="23">
        <v>0</v>
      </c>
      <c r="K524" s="23">
        <v>0</v>
      </c>
      <c r="L524" s="23">
        <v>-1395.61</v>
      </c>
      <c r="M524" s="24">
        <v>-32</v>
      </c>
      <c r="N524" s="24">
        <v>0</v>
      </c>
      <c r="O524" s="24">
        <f t="shared" si="56"/>
        <v>833.50000000000023</v>
      </c>
      <c r="P524" s="24">
        <v>-2300</v>
      </c>
      <c r="Q524" s="24">
        <v>0</v>
      </c>
      <c r="R524" s="24">
        <v>0</v>
      </c>
      <c r="S524" s="24">
        <v>0</v>
      </c>
      <c r="T524" s="24">
        <v>0</v>
      </c>
      <c r="U524" s="24">
        <v>0</v>
      </c>
      <c r="V524" s="23">
        <v>0</v>
      </c>
      <c r="W524" s="23">
        <f t="shared" si="57"/>
        <v>-1466.4999999999998</v>
      </c>
      <c r="X524" s="23">
        <f t="shared" si="58"/>
        <v>0</v>
      </c>
      <c r="Y524" s="23">
        <f t="shared" si="59"/>
        <v>-1466.4999999999998</v>
      </c>
      <c r="Z524" s="24">
        <v>1467</v>
      </c>
      <c r="AA524" s="23">
        <f t="shared" si="60"/>
        <v>0.50000000000022737</v>
      </c>
      <c r="AB524" s="23">
        <f t="shared" si="61"/>
        <v>2301</v>
      </c>
      <c r="AC524" s="20"/>
      <c r="AD524" s="20" t="s">
        <v>251</v>
      </c>
      <c r="AE524" s="11" t="str">
        <f t="shared" si="62"/>
        <v>BAJA DE PLACAS28</v>
      </c>
    </row>
    <row r="525" spans="1:31" ht="12.75" hidden="1" customHeight="1" x14ac:dyDescent="0.3">
      <c r="A525" s="8">
        <v>28</v>
      </c>
      <c r="B525" s="20" t="s">
        <v>5</v>
      </c>
      <c r="C525" s="20" t="s">
        <v>28</v>
      </c>
      <c r="D525" s="20" t="s">
        <v>274</v>
      </c>
      <c r="E525" s="22" t="s">
        <v>232</v>
      </c>
      <c r="F525" s="20" t="s">
        <v>232</v>
      </c>
      <c r="G525" s="22" t="s">
        <v>234</v>
      </c>
      <c r="H525" s="23">
        <v>3414.1</v>
      </c>
      <c r="I525" s="23">
        <v>0</v>
      </c>
      <c r="J525" s="23">
        <v>0</v>
      </c>
      <c r="K525" s="23">
        <v>0</v>
      </c>
      <c r="L525" s="23">
        <v>-845.62</v>
      </c>
      <c r="M525" s="24">
        <v>-37.61</v>
      </c>
      <c r="N525" s="24">
        <v>-250</v>
      </c>
      <c r="O525" s="24">
        <f t="shared" si="56"/>
        <v>2280.87</v>
      </c>
      <c r="P525" s="24">
        <v>-2500</v>
      </c>
      <c r="Q525" s="24">
        <v>-395</v>
      </c>
      <c r="R525" s="24">
        <v>0</v>
      </c>
      <c r="S525" s="24">
        <v>0</v>
      </c>
      <c r="T525" s="24">
        <v>0</v>
      </c>
      <c r="U525" s="24">
        <v>0</v>
      </c>
      <c r="V525" s="23">
        <v>0</v>
      </c>
      <c r="W525" s="23">
        <f t="shared" si="57"/>
        <v>-614.13000000000011</v>
      </c>
      <c r="X525" s="23">
        <f t="shared" si="58"/>
        <v>0</v>
      </c>
      <c r="Y525" s="23">
        <f t="shared" si="59"/>
        <v>-614.13000000000011</v>
      </c>
      <c r="Z525" s="24">
        <v>300</v>
      </c>
      <c r="AA525" s="23">
        <f t="shared" si="60"/>
        <v>-314.13000000000011</v>
      </c>
      <c r="AB525" s="23">
        <f t="shared" si="61"/>
        <v>2266.7399999999998</v>
      </c>
      <c r="AC525" s="20"/>
      <c r="AD525" s="20" t="str">
        <f>VLOOKUP($C525,'[1]CTRL AUTOS'!$E:$AH,2,0)</f>
        <v>NCT814A</v>
      </c>
      <c r="AE525" s="11" t="str">
        <f t="shared" si="62"/>
        <v>NCT814A28</v>
      </c>
    </row>
    <row r="526" spans="1:31" ht="12.75" hidden="1" customHeight="1" x14ac:dyDescent="0.3">
      <c r="A526" s="8">
        <v>28</v>
      </c>
      <c r="B526" s="20" t="s">
        <v>362</v>
      </c>
      <c r="C526" s="20" t="s">
        <v>50</v>
      </c>
      <c r="D526" s="20" t="s">
        <v>267</v>
      </c>
      <c r="E526" s="22" t="s">
        <v>232</v>
      </c>
      <c r="F526" s="20" t="s">
        <v>232</v>
      </c>
      <c r="G526" s="22" t="s">
        <v>234</v>
      </c>
      <c r="H526" s="23">
        <v>3563.94</v>
      </c>
      <c r="I526" s="23">
        <v>0</v>
      </c>
      <c r="J526" s="23">
        <v>0</v>
      </c>
      <c r="K526" s="23">
        <v>0</v>
      </c>
      <c r="L526" s="23">
        <v>-2357.46</v>
      </c>
      <c r="M526" s="24">
        <v>-38</v>
      </c>
      <c r="N526" s="24">
        <v>0</v>
      </c>
      <c r="O526" s="24">
        <f t="shared" si="56"/>
        <v>1168.48</v>
      </c>
      <c r="P526" s="24">
        <v>-2500</v>
      </c>
      <c r="Q526" s="24">
        <v>0</v>
      </c>
      <c r="R526" s="24">
        <v>-500</v>
      </c>
      <c r="S526" s="24">
        <v>0</v>
      </c>
      <c r="T526" s="24">
        <v>0</v>
      </c>
      <c r="U526" s="24">
        <v>0</v>
      </c>
      <c r="V526" s="23">
        <v>0</v>
      </c>
      <c r="W526" s="23">
        <f t="shared" si="57"/>
        <v>-1831.52</v>
      </c>
      <c r="X526" s="23">
        <f t="shared" si="58"/>
        <v>0</v>
      </c>
      <c r="Y526" s="23">
        <f t="shared" si="59"/>
        <v>-1831.52</v>
      </c>
      <c r="Z526" s="24">
        <v>1831</v>
      </c>
      <c r="AA526" s="23">
        <f t="shared" si="60"/>
        <v>-0.51999999999998181</v>
      </c>
      <c r="AB526" s="23">
        <f t="shared" si="61"/>
        <v>2998.96</v>
      </c>
      <c r="AC526" s="20"/>
      <c r="AD526" s="20" t="str">
        <f>VLOOKUP($C526,'[1]CTRL AUTOS'!$E:$AH,2,0)</f>
        <v>NBS225A</v>
      </c>
      <c r="AE526" s="11" t="str">
        <f t="shared" si="62"/>
        <v>NBS225A28</v>
      </c>
    </row>
    <row r="527" spans="1:31" ht="12.75" hidden="1" customHeight="1" x14ac:dyDescent="0.3">
      <c r="A527" s="8">
        <v>28</v>
      </c>
      <c r="B527" s="20" t="s">
        <v>363</v>
      </c>
      <c r="C527" s="20" t="s">
        <v>8</v>
      </c>
      <c r="D527" s="20" t="s">
        <v>237</v>
      </c>
      <c r="E527" s="22" t="s">
        <v>364</v>
      </c>
      <c r="F527" s="22" t="s">
        <v>364</v>
      </c>
      <c r="G527" s="22" t="s">
        <v>234</v>
      </c>
      <c r="H527" s="23">
        <v>5118.2</v>
      </c>
      <c r="I527" s="23">
        <v>-61.6</v>
      </c>
      <c r="J527" s="23">
        <v>0</v>
      </c>
      <c r="K527" s="23">
        <v>0</v>
      </c>
      <c r="L527" s="23">
        <v>0</v>
      </c>
      <c r="M527" s="24">
        <v>0</v>
      </c>
      <c r="N527" s="23">
        <v>0</v>
      </c>
      <c r="O527" s="24">
        <f t="shared" si="56"/>
        <v>5056.5999999999995</v>
      </c>
      <c r="P527" s="23">
        <v>-2500</v>
      </c>
      <c r="Q527" s="23">
        <v>0</v>
      </c>
      <c r="R527" s="23">
        <v>-500</v>
      </c>
      <c r="S527" s="23">
        <v>0</v>
      </c>
      <c r="T527" s="23">
        <v>0</v>
      </c>
      <c r="U527" s="23">
        <v>0</v>
      </c>
      <c r="V527" s="23">
        <v>0</v>
      </c>
      <c r="W527" s="23">
        <f t="shared" si="57"/>
        <v>2056.5999999999995</v>
      </c>
      <c r="X527" s="23">
        <f t="shared" si="58"/>
        <v>2056.5999999999995</v>
      </c>
      <c r="Y527" s="23">
        <f t="shared" si="59"/>
        <v>0</v>
      </c>
      <c r="Z527" s="23">
        <v>0</v>
      </c>
      <c r="AA527" s="23">
        <f t="shared" si="60"/>
        <v>0</v>
      </c>
      <c r="AB527" s="23">
        <f t="shared" si="61"/>
        <v>3000</v>
      </c>
      <c r="AC527" s="20" t="s">
        <v>379</v>
      </c>
      <c r="AD527" s="20" t="e">
        <f>VLOOKUP($C527,'[1]CTRL AUTOS'!$E:$AH,2,0)</f>
        <v>#N/A</v>
      </c>
      <c r="AE527" s="11" t="e">
        <f t="shared" si="62"/>
        <v>#N/A</v>
      </c>
    </row>
    <row r="528" spans="1:31" ht="12.75" hidden="1" customHeight="1" x14ac:dyDescent="0.3">
      <c r="A528" s="8">
        <v>28</v>
      </c>
      <c r="B528" s="20" t="s">
        <v>76</v>
      </c>
      <c r="C528" s="20" t="s">
        <v>104</v>
      </c>
      <c r="D528" s="20" t="s">
        <v>367</v>
      </c>
      <c r="E528" s="20" t="s">
        <v>364</v>
      </c>
      <c r="F528" s="22" t="s">
        <v>364</v>
      </c>
      <c r="G528" s="22" t="s">
        <v>234</v>
      </c>
      <c r="H528" s="23">
        <v>2337.7399999999998</v>
      </c>
      <c r="I528" s="23">
        <v>0</v>
      </c>
      <c r="J528" s="23">
        <v>0</v>
      </c>
      <c r="K528" s="23">
        <v>-29.94</v>
      </c>
      <c r="L528" s="23">
        <v>-1417.3</v>
      </c>
      <c r="M528" s="24">
        <v>0</v>
      </c>
      <c r="N528" s="23">
        <v>0</v>
      </c>
      <c r="O528" s="24">
        <f t="shared" si="56"/>
        <v>890.49999999999977</v>
      </c>
      <c r="P528" s="23">
        <v>-1250</v>
      </c>
      <c r="Q528" s="23">
        <v>0</v>
      </c>
      <c r="R528" s="23">
        <v>-321</v>
      </c>
      <c r="S528" s="23">
        <v>0</v>
      </c>
      <c r="T528" s="23">
        <v>0</v>
      </c>
      <c r="U528" s="23">
        <v>200</v>
      </c>
      <c r="V528" s="23">
        <v>0</v>
      </c>
      <c r="W528" s="23">
        <f t="shared" si="57"/>
        <v>-480.50000000000023</v>
      </c>
      <c r="X528" s="23">
        <f t="shared" si="58"/>
        <v>0</v>
      </c>
      <c r="Y528" s="23">
        <f t="shared" si="59"/>
        <v>-480.50000000000023</v>
      </c>
      <c r="Z528" s="23">
        <v>480</v>
      </c>
      <c r="AA528" s="23">
        <f t="shared" si="60"/>
        <v>-0.50000000000022737</v>
      </c>
      <c r="AB528" s="23">
        <f t="shared" si="61"/>
        <v>1369.9999999999995</v>
      </c>
      <c r="AC528" s="20" t="s">
        <v>380</v>
      </c>
      <c r="AD528" s="20" t="e">
        <f>VLOOKUP($C528,'[1]CTRL AUTOS'!$E:$AH,2,0)</f>
        <v>#N/A</v>
      </c>
      <c r="AE528" s="11" t="e">
        <f t="shared" si="62"/>
        <v>#N/A</v>
      </c>
    </row>
    <row r="529" spans="1:31" ht="12.75" hidden="1" customHeight="1" x14ac:dyDescent="0.3">
      <c r="A529" s="8">
        <v>28</v>
      </c>
      <c r="B529" s="20" t="s">
        <v>98</v>
      </c>
      <c r="C529" s="20" t="s">
        <v>168</v>
      </c>
      <c r="D529" s="20" t="s">
        <v>265</v>
      </c>
      <c r="E529" s="22" t="s">
        <v>232</v>
      </c>
      <c r="F529" s="20" t="s">
        <v>232</v>
      </c>
      <c r="G529" s="22" t="s">
        <v>234</v>
      </c>
      <c r="H529" s="23">
        <v>5935.5</v>
      </c>
      <c r="I529" s="23">
        <v>0</v>
      </c>
      <c r="J529" s="23">
        <v>0</v>
      </c>
      <c r="K529" s="23">
        <v>0</v>
      </c>
      <c r="L529" s="23">
        <v>0</v>
      </c>
      <c r="M529" s="24">
        <v>-38</v>
      </c>
      <c r="N529" s="24">
        <v>0</v>
      </c>
      <c r="O529" s="24">
        <f t="shared" si="56"/>
        <v>5897.5</v>
      </c>
      <c r="P529" s="24">
        <v>-2500</v>
      </c>
      <c r="Q529" s="24">
        <v>0</v>
      </c>
      <c r="R529" s="24">
        <v>-500</v>
      </c>
      <c r="S529" s="24">
        <v>0</v>
      </c>
      <c r="T529" s="24">
        <v>0</v>
      </c>
      <c r="U529" s="24">
        <v>0</v>
      </c>
      <c r="V529" s="23">
        <v>0</v>
      </c>
      <c r="W529" s="23">
        <f t="shared" si="57"/>
        <v>2897.5</v>
      </c>
      <c r="X529" s="23">
        <f t="shared" si="58"/>
        <v>2897.5</v>
      </c>
      <c r="Y529" s="23">
        <f t="shared" si="59"/>
        <v>0</v>
      </c>
      <c r="Z529" s="24">
        <v>0</v>
      </c>
      <c r="AA529" s="23">
        <f t="shared" si="60"/>
        <v>0</v>
      </c>
      <c r="AB529" s="23">
        <f t="shared" si="61"/>
        <v>3000</v>
      </c>
      <c r="AC529" s="20"/>
      <c r="AD529" s="20" t="e">
        <f>VLOOKUP($C529,'[1]CTRL AUTOS'!$E:$AH,2,0)</f>
        <v>#N/A</v>
      </c>
      <c r="AE529" s="11" t="e">
        <f t="shared" si="62"/>
        <v>#N/A</v>
      </c>
    </row>
    <row r="530" spans="1:31" ht="12.75" hidden="1" customHeight="1" x14ac:dyDescent="0.3">
      <c r="A530" s="8">
        <v>29</v>
      </c>
      <c r="B530" s="20" t="s">
        <v>80</v>
      </c>
      <c r="C530" s="20" t="s">
        <v>54</v>
      </c>
      <c r="D530" s="20" t="s">
        <v>318</v>
      </c>
      <c r="E530" s="22" t="s">
        <v>232</v>
      </c>
      <c r="F530" s="20" t="s">
        <v>232</v>
      </c>
      <c r="G530" s="22" t="s">
        <v>234</v>
      </c>
      <c r="H530" s="23">
        <v>1613.4</v>
      </c>
      <c r="I530" s="23">
        <v>0</v>
      </c>
      <c r="J530" s="23">
        <v>0</v>
      </c>
      <c r="K530" s="23">
        <v>0</v>
      </c>
      <c r="L530" s="23">
        <v>-582.61</v>
      </c>
      <c r="M530" s="24">
        <v>-21</v>
      </c>
      <c r="N530" s="24">
        <v>0</v>
      </c>
      <c r="O530" s="24">
        <f t="shared" si="56"/>
        <v>1009.79</v>
      </c>
      <c r="P530" s="24">
        <v>-2500</v>
      </c>
      <c r="Q530" s="24">
        <v>0</v>
      </c>
      <c r="R530" s="24">
        <v>0</v>
      </c>
      <c r="S530" s="24">
        <v>0</v>
      </c>
      <c r="T530" s="24">
        <v>-500</v>
      </c>
      <c r="U530" s="24">
        <v>0</v>
      </c>
      <c r="V530" s="24">
        <v>0</v>
      </c>
      <c r="W530" s="23">
        <f t="shared" si="57"/>
        <v>-1990.21</v>
      </c>
      <c r="X530" s="23">
        <f t="shared" si="58"/>
        <v>0</v>
      </c>
      <c r="Y530" s="23">
        <f t="shared" si="59"/>
        <v>-1990.21</v>
      </c>
      <c r="Z530" s="24">
        <v>1990</v>
      </c>
      <c r="AA530" s="23">
        <f t="shared" si="60"/>
        <v>-0.21000000000003638</v>
      </c>
      <c r="AB530" s="23">
        <f t="shared" si="61"/>
        <v>2999.58</v>
      </c>
      <c r="AC530" s="20"/>
      <c r="AD530" s="20" t="str">
        <f>VLOOKUP($C530,'[1]CTRL AUTOS'!$E:$AH,2,0)</f>
        <v>NZY685B</v>
      </c>
      <c r="AE530" s="11" t="str">
        <f t="shared" si="62"/>
        <v>NZY685B29</v>
      </c>
    </row>
    <row r="531" spans="1:31" ht="12.75" hidden="1" customHeight="1" x14ac:dyDescent="0.3">
      <c r="A531" s="8">
        <v>29</v>
      </c>
      <c r="B531" s="20" t="s">
        <v>323</v>
      </c>
      <c r="C531" s="20" t="s">
        <v>20</v>
      </c>
      <c r="D531" s="20" t="s">
        <v>239</v>
      </c>
      <c r="E531" s="22" t="s">
        <v>232</v>
      </c>
      <c r="F531" s="20" t="s">
        <v>232</v>
      </c>
      <c r="G531" s="22" t="s">
        <v>234</v>
      </c>
      <c r="H531" s="23">
        <v>0</v>
      </c>
      <c r="I531" s="23">
        <v>0</v>
      </c>
      <c r="J531" s="23">
        <v>0</v>
      </c>
      <c r="K531" s="23">
        <v>0</v>
      </c>
      <c r="L531" s="23">
        <v>0</v>
      </c>
      <c r="M531" s="24">
        <v>0</v>
      </c>
      <c r="N531" s="24">
        <v>0</v>
      </c>
      <c r="O531" s="24">
        <f t="shared" si="56"/>
        <v>0</v>
      </c>
      <c r="P531" s="24">
        <v>-2500</v>
      </c>
      <c r="Q531" s="24">
        <v>-1024.8</v>
      </c>
      <c r="R531" s="24">
        <v>3525</v>
      </c>
      <c r="S531" s="24">
        <v>0</v>
      </c>
      <c r="T531" s="24">
        <v>0</v>
      </c>
      <c r="U531" s="24">
        <v>0</v>
      </c>
      <c r="V531" s="24">
        <v>0</v>
      </c>
      <c r="W531" s="23">
        <f t="shared" si="57"/>
        <v>0.1999999999998181</v>
      </c>
      <c r="X531" s="23">
        <f t="shared" si="58"/>
        <v>0.1999999999998181</v>
      </c>
      <c r="Y531" s="23">
        <f t="shared" si="59"/>
        <v>0</v>
      </c>
      <c r="Z531" s="24">
        <v>0</v>
      </c>
      <c r="AA531" s="23">
        <f t="shared" si="60"/>
        <v>0</v>
      </c>
      <c r="AB531" s="23">
        <f t="shared" si="61"/>
        <v>-0.1999999999998181</v>
      </c>
      <c r="AC531" s="20" t="s">
        <v>381</v>
      </c>
      <c r="AD531" s="20" t="str">
        <f>VLOOKUP($C531,'[1]CTRL AUTOS'!$E:$AH,2,0)</f>
        <v>D40BKD</v>
      </c>
      <c r="AE531" s="11" t="str">
        <f t="shared" si="62"/>
        <v>D40BKD29</v>
      </c>
    </row>
    <row r="532" spans="1:31" ht="12.75" hidden="1" customHeight="1" x14ac:dyDescent="0.3">
      <c r="A532" s="8">
        <v>29</v>
      </c>
      <c r="B532" s="20" t="s">
        <v>111</v>
      </c>
      <c r="C532" s="20" t="s">
        <v>63</v>
      </c>
      <c r="D532" s="20" t="s">
        <v>374</v>
      </c>
      <c r="E532" s="20" t="s">
        <v>291</v>
      </c>
      <c r="F532" s="20" t="s">
        <v>291</v>
      </c>
      <c r="G532" s="22" t="s">
        <v>234</v>
      </c>
      <c r="H532" s="23">
        <v>5654.39</v>
      </c>
      <c r="I532" s="23">
        <v>-18.399999999999999</v>
      </c>
      <c r="J532" s="23">
        <v>0</v>
      </c>
      <c r="K532" s="23">
        <v>0</v>
      </c>
      <c r="L532" s="23">
        <v>-2401.8000000000002</v>
      </c>
      <c r="M532" s="24">
        <v>-75</v>
      </c>
      <c r="N532" s="24">
        <v>0</v>
      </c>
      <c r="O532" s="24">
        <f t="shared" si="56"/>
        <v>3159.1900000000005</v>
      </c>
      <c r="P532" s="24">
        <v>-2500</v>
      </c>
      <c r="Q532" s="24">
        <v>0</v>
      </c>
      <c r="R532" s="24">
        <v>0</v>
      </c>
      <c r="S532" s="24">
        <v>0</v>
      </c>
      <c r="T532" s="24">
        <v>-500</v>
      </c>
      <c r="U532" s="24">
        <v>0</v>
      </c>
      <c r="V532" s="24">
        <v>0</v>
      </c>
      <c r="W532" s="23">
        <f t="shared" si="57"/>
        <v>159.19000000000051</v>
      </c>
      <c r="X532" s="23">
        <f t="shared" si="58"/>
        <v>159.19000000000051</v>
      </c>
      <c r="Y532" s="23">
        <f t="shared" si="59"/>
        <v>0</v>
      </c>
      <c r="Z532" s="24">
        <v>0</v>
      </c>
      <c r="AA532" s="23">
        <f t="shared" si="60"/>
        <v>0</v>
      </c>
      <c r="AB532" s="23">
        <f t="shared" si="61"/>
        <v>3000</v>
      </c>
      <c r="AC532" s="20"/>
      <c r="AD532" s="20" t="str">
        <f>VLOOKUP($C532,'[1]CTRL AUTOS'!$E:$AH,2,0)</f>
        <v>X89ALV</v>
      </c>
      <c r="AE532" s="11" t="str">
        <f t="shared" si="62"/>
        <v>X89ALV29</v>
      </c>
    </row>
    <row r="533" spans="1:31" ht="12.75" hidden="1" customHeight="1" x14ac:dyDescent="0.3">
      <c r="A533" s="8">
        <v>29</v>
      </c>
      <c r="B533" s="20" t="s">
        <v>23</v>
      </c>
      <c r="C533" s="20" t="s">
        <v>106</v>
      </c>
      <c r="D533" s="20" t="s">
        <v>322</v>
      </c>
      <c r="E533" s="22" t="s">
        <v>232</v>
      </c>
      <c r="F533" s="20" t="s">
        <v>232</v>
      </c>
      <c r="G533" s="22" t="s">
        <v>234</v>
      </c>
      <c r="H533" s="23">
        <v>6163.15</v>
      </c>
      <c r="I533" s="23">
        <v>-66.400000000000006</v>
      </c>
      <c r="J533" s="23">
        <v>0</v>
      </c>
      <c r="K533" s="23">
        <v>0</v>
      </c>
      <c r="L533" s="23">
        <v>-3473.68</v>
      </c>
      <c r="M533" s="24">
        <v>-56</v>
      </c>
      <c r="N533" s="24">
        <v>0</v>
      </c>
      <c r="O533" s="24">
        <f t="shared" si="56"/>
        <v>2567.0700000000002</v>
      </c>
      <c r="P533" s="24">
        <v>-2500</v>
      </c>
      <c r="Q533" s="24">
        <v>0</v>
      </c>
      <c r="R533" s="24">
        <v>0</v>
      </c>
      <c r="S533" s="24">
        <v>0</v>
      </c>
      <c r="T533" s="24">
        <v>0</v>
      </c>
      <c r="U533" s="24">
        <v>-250</v>
      </c>
      <c r="V533" s="24">
        <v>0</v>
      </c>
      <c r="W533" s="23">
        <f t="shared" si="57"/>
        <v>-182.92999999999984</v>
      </c>
      <c r="X533" s="23">
        <f t="shared" si="58"/>
        <v>0</v>
      </c>
      <c r="Y533" s="23">
        <f t="shared" si="59"/>
        <v>-182.92999999999984</v>
      </c>
      <c r="Z533" s="24">
        <v>183</v>
      </c>
      <c r="AA533" s="23">
        <f t="shared" si="60"/>
        <v>7.0000000000163709E-2</v>
      </c>
      <c r="AB533" s="23">
        <f t="shared" si="61"/>
        <v>2750.1400000000003</v>
      </c>
      <c r="AC533" s="20"/>
      <c r="AD533" s="20" t="str">
        <f>VLOOKUP($C533,'[1]CTRL AUTOS'!$E:$AH,2,0)</f>
        <v>NZU5163</v>
      </c>
      <c r="AE533" s="11" t="str">
        <f t="shared" si="62"/>
        <v>NZU516329</v>
      </c>
    </row>
    <row r="534" spans="1:31" ht="12.75" hidden="1" customHeight="1" x14ac:dyDescent="0.3">
      <c r="A534" s="8">
        <v>29</v>
      </c>
      <c r="B534" s="20" t="s">
        <v>256</v>
      </c>
      <c r="C534" s="20" t="s">
        <v>16</v>
      </c>
      <c r="D534" s="20" t="s">
        <v>314</v>
      </c>
      <c r="E534" s="22" t="s">
        <v>232</v>
      </c>
      <c r="F534" s="20" t="s">
        <v>232</v>
      </c>
      <c r="G534" s="22" t="s">
        <v>234</v>
      </c>
      <c r="H534" s="23">
        <v>930.8</v>
      </c>
      <c r="I534" s="23">
        <v>0</v>
      </c>
      <c r="J534" s="23">
        <v>0</v>
      </c>
      <c r="K534" s="23">
        <v>-13.16</v>
      </c>
      <c r="L534" s="23">
        <v>0</v>
      </c>
      <c r="M534" s="24">
        <v>0</v>
      </c>
      <c r="N534" s="24">
        <v>-222</v>
      </c>
      <c r="O534" s="24">
        <f t="shared" si="56"/>
        <v>695.64</v>
      </c>
      <c r="P534" s="24">
        <v>-1786</v>
      </c>
      <c r="Q534" s="24">
        <v>-790.72</v>
      </c>
      <c r="R534" s="24">
        <v>321</v>
      </c>
      <c r="S534" s="24">
        <v>0</v>
      </c>
      <c r="T534" s="24">
        <v>0</v>
      </c>
      <c r="U534" s="24">
        <v>0</v>
      </c>
      <c r="V534" s="24">
        <v>0</v>
      </c>
      <c r="W534" s="23">
        <f t="shared" si="57"/>
        <v>-1560.0800000000004</v>
      </c>
      <c r="X534" s="23">
        <f t="shared" si="58"/>
        <v>0</v>
      </c>
      <c r="Y534" s="23">
        <f t="shared" si="59"/>
        <v>-1560.0800000000004</v>
      </c>
      <c r="Z534" s="24">
        <v>0</v>
      </c>
      <c r="AA534" s="23">
        <f t="shared" si="60"/>
        <v>-1560.0800000000004</v>
      </c>
      <c r="AB534" s="23">
        <f t="shared" si="61"/>
        <v>-864.4400000000004</v>
      </c>
      <c r="AC534" s="20"/>
      <c r="AD534" s="20" t="str">
        <f>VLOOKUP($C534,'[1]CTRL AUTOS'!$E:$AH,2,0)</f>
        <v>D28BET</v>
      </c>
      <c r="AE534" s="11" t="str">
        <f t="shared" si="62"/>
        <v>D28BET29</v>
      </c>
    </row>
    <row r="535" spans="1:31" ht="12.75" hidden="1" customHeight="1" x14ac:dyDescent="0.3">
      <c r="A535" s="8">
        <v>29</v>
      </c>
      <c r="B535" s="20" t="s">
        <v>25</v>
      </c>
      <c r="C535" s="20" t="s">
        <v>10</v>
      </c>
      <c r="D535" s="20" t="s">
        <v>343</v>
      </c>
      <c r="E535" s="22" t="s">
        <v>232</v>
      </c>
      <c r="F535" s="20" t="s">
        <v>232</v>
      </c>
      <c r="G535" s="22" t="s">
        <v>234</v>
      </c>
      <c r="H535" s="23">
        <v>3217.36</v>
      </c>
      <c r="I535" s="23">
        <v>-0.83</v>
      </c>
      <c r="J535" s="23">
        <v>0</v>
      </c>
      <c r="K535" s="23">
        <v>0</v>
      </c>
      <c r="L535" s="23">
        <v>-1562.17</v>
      </c>
      <c r="M535" s="24">
        <v>-34</v>
      </c>
      <c r="N535" s="24">
        <v>0</v>
      </c>
      <c r="O535" s="24">
        <f t="shared" si="56"/>
        <v>1620.3600000000001</v>
      </c>
      <c r="P535" s="24">
        <v>-2500</v>
      </c>
      <c r="Q535" s="24">
        <v>0</v>
      </c>
      <c r="R535" s="24">
        <v>0</v>
      </c>
      <c r="S535" s="24">
        <v>0</v>
      </c>
      <c r="T535" s="24">
        <v>0</v>
      </c>
      <c r="U535" s="24">
        <v>0</v>
      </c>
      <c r="V535" s="24">
        <v>0</v>
      </c>
      <c r="W535" s="23">
        <f t="shared" si="57"/>
        <v>-879.63999999999987</v>
      </c>
      <c r="X535" s="23">
        <f t="shared" si="58"/>
        <v>0</v>
      </c>
      <c r="Y535" s="23">
        <f t="shared" si="59"/>
        <v>-879.63999999999987</v>
      </c>
      <c r="Z535" s="24">
        <v>0</v>
      </c>
      <c r="AA535" s="23">
        <f t="shared" si="60"/>
        <v>-879.63999999999987</v>
      </c>
      <c r="AB535" s="23">
        <f t="shared" si="61"/>
        <v>740.72000000000025</v>
      </c>
      <c r="AC535" s="20"/>
      <c r="AD535" s="20" t="str">
        <f>VLOOKUP($C535,'[1]CTRL AUTOS'!$E:$AH,2,0)</f>
        <v>LRL009C</v>
      </c>
      <c r="AE535" s="11" t="str">
        <f t="shared" si="62"/>
        <v>LRL009C29</v>
      </c>
    </row>
    <row r="536" spans="1:31" ht="12.75" hidden="1" customHeight="1" x14ac:dyDescent="0.3">
      <c r="A536" s="8">
        <v>29</v>
      </c>
      <c r="B536" s="20" t="s">
        <v>359</v>
      </c>
      <c r="C536" s="20" t="s">
        <v>230</v>
      </c>
      <c r="D536" s="20" t="s">
        <v>231</v>
      </c>
      <c r="E536" s="22" t="s">
        <v>232</v>
      </c>
      <c r="F536" s="20" t="s">
        <v>232</v>
      </c>
      <c r="G536" s="22" t="s">
        <v>234</v>
      </c>
      <c r="H536" s="23">
        <v>1483.24</v>
      </c>
      <c r="I536" s="23">
        <v>0</v>
      </c>
      <c r="J536" s="23">
        <v>0</v>
      </c>
      <c r="K536" s="23">
        <v>0</v>
      </c>
      <c r="L536" s="23">
        <v>0</v>
      </c>
      <c r="M536" s="24">
        <v>-45</v>
      </c>
      <c r="N536" s="24">
        <v>0</v>
      </c>
      <c r="O536" s="24">
        <f t="shared" si="56"/>
        <v>1438.24</v>
      </c>
      <c r="P536" s="24">
        <v>-2500</v>
      </c>
      <c r="Q536" s="24">
        <v>0</v>
      </c>
      <c r="R536" s="24">
        <v>-500</v>
      </c>
      <c r="S536" s="24">
        <v>0</v>
      </c>
      <c r="T536" s="24">
        <v>0</v>
      </c>
      <c r="U536" s="24">
        <v>0</v>
      </c>
      <c r="V536" s="24">
        <v>0</v>
      </c>
      <c r="W536" s="23">
        <f t="shared" si="57"/>
        <v>-1561.76</v>
      </c>
      <c r="X536" s="23">
        <f t="shared" si="58"/>
        <v>0</v>
      </c>
      <c r="Y536" s="23">
        <f t="shared" si="59"/>
        <v>-1561.76</v>
      </c>
      <c r="Z536" s="24">
        <v>1562</v>
      </c>
      <c r="AA536" s="23">
        <f t="shared" si="60"/>
        <v>0.24000000000000909</v>
      </c>
      <c r="AB536" s="23">
        <f t="shared" si="61"/>
        <v>3000.4799999999996</v>
      </c>
      <c r="AC536" s="20"/>
      <c r="AD536" s="20" t="s">
        <v>235</v>
      </c>
      <c r="AE536" s="11" t="str">
        <f t="shared" si="62"/>
        <v>NEB156A29</v>
      </c>
    </row>
    <row r="537" spans="1:31" ht="12.75" hidden="1" customHeight="1" x14ac:dyDescent="0.3">
      <c r="A537" s="8">
        <v>29</v>
      </c>
      <c r="B537" s="20" t="s">
        <v>72</v>
      </c>
      <c r="C537" s="20" t="s">
        <v>73</v>
      </c>
      <c r="D537" s="20" t="s">
        <v>368</v>
      </c>
      <c r="E537" s="22" t="s">
        <v>241</v>
      </c>
      <c r="F537" s="20" t="s">
        <v>291</v>
      </c>
      <c r="G537" s="22" t="s">
        <v>234</v>
      </c>
      <c r="H537" s="23">
        <v>8282.23</v>
      </c>
      <c r="I537" s="23">
        <v>-40</v>
      </c>
      <c r="J537" s="23">
        <v>0</v>
      </c>
      <c r="K537" s="23">
        <v>-88.64</v>
      </c>
      <c r="L537" s="23">
        <v>-4758.1899999999996</v>
      </c>
      <c r="M537" s="24">
        <v>-35</v>
      </c>
      <c r="N537" s="24">
        <v>-554</v>
      </c>
      <c r="O537" s="24">
        <f t="shared" si="56"/>
        <v>2806.3999999999996</v>
      </c>
      <c r="P537" s="24">
        <v>-2500</v>
      </c>
      <c r="Q537" s="24">
        <v>0</v>
      </c>
      <c r="R537" s="24">
        <v>0</v>
      </c>
      <c r="S537" s="24">
        <v>0</v>
      </c>
      <c r="T537" s="24">
        <v>-2900</v>
      </c>
      <c r="U537" s="24">
        <v>0</v>
      </c>
      <c r="V537" s="24">
        <v>0</v>
      </c>
      <c r="W537" s="23">
        <f t="shared" si="57"/>
        <v>-2593.6000000000004</v>
      </c>
      <c r="X537" s="23">
        <f t="shared" si="58"/>
        <v>0</v>
      </c>
      <c r="Y537" s="23">
        <f t="shared" si="59"/>
        <v>-2593.6000000000004</v>
      </c>
      <c r="Z537" s="24">
        <v>0</v>
      </c>
      <c r="AA537" s="23">
        <f t="shared" si="60"/>
        <v>-2593.6000000000004</v>
      </c>
      <c r="AB537" s="23">
        <f t="shared" si="61"/>
        <v>212.79999999999927</v>
      </c>
      <c r="AC537" s="20"/>
      <c r="AD537" s="20" t="str">
        <f>VLOOKUP($C537,'[1]CTRL AUTOS'!$E:$AH,2,0)</f>
        <v>H99BLC</v>
      </c>
      <c r="AE537" s="11" t="str">
        <f t="shared" si="62"/>
        <v>H99BLC29</v>
      </c>
    </row>
    <row r="538" spans="1:31" ht="12.75" hidden="1" customHeight="1" x14ac:dyDescent="0.3">
      <c r="A538" s="8">
        <v>29</v>
      </c>
      <c r="B538" s="20" t="s">
        <v>292</v>
      </c>
      <c r="C538" s="20" t="s">
        <v>52</v>
      </c>
      <c r="D538" s="20" t="s">
        <v>313</v>
      </c>
      <c r="E538" s="22" t="s">
        <v>232</v>
      </c>
      <c r="F538" s="20" t="s">
        <v>232</v>
      </c>
      <c r="G538" s="22" t="s">
        <v>234</v>
      </c>
      <c r="H538" s="23">
        <v>7888.76</v>
      </c>
      <c r="I538" s="23">
        <v>0</v>
      </c>
      <c r="J538" s="23">
        <v>0</v>
      </c>
      <c r="K538" s="23">
        <v>0</v>
      </c>
      <c r="L538" s="23">
        <v>-2241.9899999999998</v>
      </c>
      <c r="M538" s="24">
        <v>-65</v>
      </c>
      <c r="N538" s="24">
        <v>0</v>
      </c>
      <c r="O538" s="24">
        <f t="shared" si="56"/>
        <v>5581.77</v>
      </c>
      <c r="P538" s="24">
        <v>-2500</v>
      </c>
      <c r="Q538" s="24">
        <v>0</v>
      </c>
      <c r="R538" s="24">
        <v>0</v>
      </c>
      <c r="S538" s="24">
        <v>0</v>
      </c>
      <c r="T538" s="24">
        <v>0</v>
      </c>
      <c r="U538" s="24">
        <v>630</v>
      </c>
      <c r="V538" s="24">
        <v>-1000</v>
      </c>
      <c r="W538" s="23">
        <f t="shared" si="57"/>
        <v>2711.7700000000004</v>
      </c>
      <c r="X538" s="23">
        <f t="shared" si="58"/>
        <v>2711.7700000000004</v>
      </c>
      <c r="Y538" s="23">
        <f t="shared" si="59"/>
        <v>0</v>
      </c>
      <c r="Z538" s="24">
        <v>0</v>
      </c>
      <c r="AA538" s="23">
        <f t="shared" si="60"/>
        <v>0</v>
      </c>
      <c r="AB538" s="23">
        <f t="shared" si="61"/>
        <v>2870</v>
      </c>
      <c r="AC538" s="20"/>
      <c r="AD538" s="20" t="str">
        <f>VLOOKUP($C538,'[1]CTRL AUTOS'!$E:$AH,2,0)</f>
        <v>A35BHD</v>
      </c>
      <c r="AE538" s="11" t="str">
        <f t="shared" si="62"/>
        <v>A35BHD29</v>
      </c>
    </row>
    <row r="539" spans="1:31" ht="12.75" hidden="1" customHeight="1" x14ac:dyDescent="0.3">
      <c r="A539" s="8">
        <v>29</v>
      </c>
      <c r="B539" s="20" t="s">
        <v>375</v>
      </c>
      <c r="C539" s="20" t="s">
        <v>40</v>
      </c>
      <c r="D539" s="20" t="s">
        <v>315</v>
      </c>
      <c r="E539" s="22" t="s">
        <v>232</v>
      </c>
      <c r="F539" s="20" t="s">
        <v>232</v>
      </c>
      <c r="G539" s="22" t="s">
        <v>234</v>
      </c>
      <c r="H539" s="23">
        <v>5701.54</v>
      </c>
      <c r="I539" s="23">
        <v>-208</v>
      </c>
      <c r="J539" s="23">
        <v>0</v>
      </c>
      <c r="K539" s="23">
        <v>0</v>
      </c>
      <c r="L539" s="23">
        <v>-764.99</v>
      </c>
      <c r="M539" s="24">
        <v>-62</v>
      </c>
      <c r="N539" s="24">
        <v>0</v>
      </c>
      <c r="O539" s="24">
        <f t="shared" si="56"/>
        <v>4666.55</v>
      </c>
      <c r="P539" s="24">
        <v>-2500</v>
      </c>
      <c r="Q539" s="24">
        <v>0</v>
      </c>
      <c r="R539" s="24">
        <v>-500</v>
      </c>
      <c r="S539" s="24">
        <v>0</v>
      </c>
      <c r="T539" s="24">
        <v>0</v>
      </c>
      <c r="U539" s="24">
        <v>0</v>
      </c>
      <c r="V539" s="24">
        <v>0</v>
      </c>
      <c r="W539" s="23">
        <f t="shared" si="57"/>
        <v>1666.5500000000002</v>
      </c>
      <c r="X539" s="23">
        <f t="shared" si="58"/>
        <v>1666.5500000000002</v>
      </c>
      <c r="Y539" s="23">
        <f t="shared" si="59"/>
        <v>0</v>
      </c>
      <c r="Z539" s="24">
        <v>0</v>
      </c>
      <c r="AA539" s="23">
        <f t="shared" si="60"/>
        <v>0</v>
      </c>
      <c r="AB539" s="23">
        <f t="shared" si="61"/>
        <v>3000</v>
      </c>
      <c r="AC539" s="20"/>
      <c r="AD539" s="20" t="str">
        <f>VLOOKUP($C539,'[1]CTRL AUTOS'!$E:$AH,2,0)</f>
        <v>NEL860A</v>
      </c>
      <c r="AE539" s="11" t="str">
        <f t="shared" si="62"/>
        <v>NEL860A29</v>
      </c>
    </row>
    <row r="540" spans="1:31" ht="12.75" hidden="1" customHeight="1" x14ac:dyDescent="0.3">
      <c r="A540" s="8">
        <v>29</v>
      </c>
      <c r="B540" s="20" t="s">
        <v>57</v>
      </c>
      <c r="C540" s="20" t="s">
        <v>16</v>
      </c>
      <c r="D540" s="20" t="s">
        <v>314</v>
      </c>
      <c r="E540" s="20" t="s">
        <v>232</v>
      </c>
      <c r="F540" s="20" t="s">
        <v>232</v>
      </c>
      <c r="G540" s="22" t="s">
        <v>234</v>
      </c>
      <c r="H540" s="23">
        <v>2820.52</v>
      </c>
      <c r="I540" s="23">
        <v>0</v>
      </c>
      <c r="J540" s="23">
        <v>0</v>
      </c>
      <c r="K540" s="23">
        <v>0</v>
      </c>
      <c r="L540" s="23">
        <v>-1527.94</v>
      </c>
      <c r="M540" s="24">
        <v>-26</v>
      </c>
      <c r="N540" s="23">
        <v>0</v>
      </c>
      <c r="O540" s="24">
        <f t="shared" si="56"/>
        <v>1266.58</v>
      </c>
      <c r="P540" s="23">
        <v>-535.70000000000005</v>
      </c>
      <c r="Q540" s="23">
        <v>0</v>
      </c>
      <c r="R540" s="23">
        <v>-107</v>
      </c>
      <c r="S540" s="23">
        <v>0</v>
      </c>
      <c r="T540" s="23">
        <v>0</v>
      </c>
      <c r="U540" s="23">
        <v>0</v>
      </c>
      <c r="V540" s="23">
        <v>0</v>
      </c>
      <c r="W540" s="23">
        <f t="shared" si="57"/>
        <v>623.87999999999988</v>
      </c>
      <c r="X540" s="23">
        <f t="shared" si="58"/>
        <v>623.87999999999988</v>
      </c>
      <c r="Y540" s="23">
        <f t="shared" si="59"/>
        <v>0</v>
      </c>
      <c r="Z540" s="23">
        <v>0</v>
      </c>
      <c r="AA540" s="23">
        <f t="shared" si="60"/>
        <v>0</v>
      </c>
      <c r="AB540" s="23">
        <f t="shared" si="61"/>
        <v>642.70000000000005</v>
      </c>
      <c r="AC540" s="20"/>
      <c r="AD540" s="20" t="str">
        <f>VLOOKUP($C540,'[1]CTRL AUTOS'!$E:$AH,2,0)</f>
        <v>D28BET</v>
      </c>
      <c r="AE540" s="11" t="str">
        <f t="shared" si="62"/>
        <v>D28BET29</v>
      </c>
    </row>
    <row r="541" spans="1:31" ht="12.75" hidden="1" customHeight="1" x14ac:dyDescent="0.3">
      <c r="A541" s="8">
        <v>29</v>
      </c>
      <c r="B541" s="20" t="s">
        <v>288</v>
      </c>
      <c r="C541" s="20" t="s">
        <v>22</v>
      </c>
      <c r="D541" s="20" t="s">
        <v>319</v>
      </c>
      <c r="E541" s="20" t="s">
        <v>232</v>
      </c>
      <c r="F541" s="20" t="s">
        <v>232</v>
      </c>
      <c r="G541" s="22" t="s">
        <v>234</v>
      </c>
      <c r="H541" s="23">
        <v>8430</v>
      </c>
      <c r="I541" s="23">
        <v>-24</v>
      </c>
      <c r="J541" s="23">
        <v>0</v>
      </c>
      <c r="K541" s="23">
        <v>0</v>
      </c>
      <c r="L541" s="23">
        <v>-2915</v>
      </c>
      <c r="M541" s="24">
        <v>-65</v>
      </c>
      <c r="N541" s="24">
        <v>0</v>
      </c>
      <c r="O541" s="24">
        <f t="shared" si="56"/>
        <v>5426</v>
      </c>
      <c r="P541" s="24">
        <v>-2500</v>
      </c>
      <c r="Q541" s="24">
        <v>0</v>
      </c>
      <c r="R541" s="24">
        <v>0</v>
      </c>
      <c r="S541" s="24">
        <v>0</v>
      </c>
      <c r="T541" s="24">
        <v>0</v>
      </c>
      <c r="U541" s="24">
        <v>-500</v>
      </c>
      <c r="V541" s="24">
        <v>0</v>
      </c>
      <c r="W541" s="23">
        <f t="shared" si="57"/>
        <v>2426</v>
      </c>
      <c r="X541" s="23">
        <f t="shared" si="58"/>
        <v>2426</v>
      </c>
      <c r="Y541" s="23">
        <f t="shared" si="59"/>
        <v>0</v>
      </c>
      <c r="Z541" s="24">
        <v>0</v>
      </c>
      <c r="AA541" s="23">
        <f t="shared" si="60"/>
        <v>0</v>
      </c>
      <c r="AB541" s="23">
        <f t="shared" si="61"/>
        <v>3000</v>
      </c>
      <c r="AC541" s="20"/>
      <c r="AD541" s="20" t="str">
        <f>VLOOKUP($C541,'[1]CTRL AUTOS'!$E:$AH,2,0)</f>
        <v>NCK475B</v>
      </c>
      <c r="AE541" s="11" t="str">
        <f t="shared" si="62"/>
        <v>NCK475B29</v>
      </c>
    </row>
    <row r="542" spans="1:31" ht="12.75" hidden="1" customHeight="1" x14ac:dyDescent="0.3">
      <c r="A542" s="8">
        <v>29</v>
      </c>
      <c r="B542" s="20" t="s">
        <v>35</v>
      </c>
      <c r="C542" s="20" t="s">
        <v>97</v>
      </c>
      <c r="D542" s="20" t="s">
        <v>273</v>
      </c>
      <c r="E542" s="22" t="s">
        <v>232</v>
      </c>
      <c r="F542" s="20" t="s">
        <v>232</v>
      </c>
      <c r="G542" s="22" t="s">
        <v>234</v>
      </c>
      <c r="H542" s="23">
        <v>7772.23</v>
      </c>
      <c r="I542" s="23">
        <v>-113.6</v>
      </c>
      <c r="J542" s="23">
        <v>0</v>
      </c>
      <c r="K542" s="23">
        <v>0</v>
      </c>
      <c r="L542" s="23">
        <v>-4314.76</v>
      </c>
      <c r="M542" s="24">
        <v>-67</v>
      </c>
      <c r="N542" s="24">
        <v>0</v>
      </c>
      <c r="O542" s="24">
        <f t="shared" si="56"/>
        <v>3276.869999999999</v>
      </c>
      <c r="P542" s="24">
        <v>-2500</v>
      </c>
      <c r="Q542" s="24">
        <v>0</v>
      </c>
      <c r="R542" s="24">
        <v>0</v>
      </c>
      <c r="S542" s="24">
        <v>0</v>
      </c>
      <c r="T542" s="24">
        <v>0</v>
      </c>
      <c r="U542" s="24">
        <v>-29</v>
      </c>
      <c r="V542" s="24">
        <v>0</v>
      </c>
      <c r="W542" s="23">
        <f t="shared" si="57"/>
        <v>747.86999999999898</v>
      </c>
      <c r="X542" s="23">
        <f t="shared" si="58"/>
        <v>747.86999999999898</v>
      </c>
      <c r="Y542" s="23">
        <f t="shared" si="59"/>
        <v>0</v>
      </c>
      <c r="Z542" s="24">
        <v>0</v>
      </c>
      <c r="AA542" s="23">
        <f t="shared" si="60"/>
        <v>0</v>
      </c>
      <c r="AB542" s="23">
        <f t="shared" si="61"/>
        <v>2529</v>
      </c>
      <c r="AC542" s="20" t="s">
        <v>382</v>
      </c>
      <c r="AD542" s="20" t="str">
        <f>VLOOKUP($C542,'[1]CTRL AUTOS'!$E:$AH,2,0)</f>
        <v>MUF515A</v>
      </c>
      <c r="AE542" s="11" t="str">
        <f t="shared" si="62"/>
        <v>MUF515A29</v>
      </c>
    </row>
    <row r="543" spans="1:31" ht="12.75" hidden="1" customHeight="1" x14ac:dyDescent="0.3">
      <c r="A543" s="8">
        <v>29</v>
      </c>
      <c r="B543" s="20" t="s">
        <v>37</v>
      </c>
      <c r="C543" s="20" t="s">
        <v>69</v>
      </c>
      <c r="D543" s="20" t="s">
        <v>370</v>
      </c>
      <c r="E543" s="22" t="s">
        <v>241</v>
      </c>
      <c r="F543" s="20" t="s">
        <v>291</v>
      </c>
      <c r="G543" s="22" t="s">
        <v>234</v>
      </c>
      <c r="H543" s="23">
        <v>4079.78</v>
      </c>
      <c r="I543" s="23">
        <v>-0.32</v>
      </c>
      <c r="J543" s="23">
        <v>0</v>
      </c>
      <c r="K543" s="23">
        <v>0</v>
      </c>
      <c r="L543" s="23">
        <v>-1009.89</v>
      </c>
      <c r="M543" s="24">
        <v>-38</v>
      </c>
      <c r="N543" s="24">
        <v>0</v>
      </c>
      <c r="O543" s="24">
        <f t="shared" si="56"/>
        <v>3031.57</v>
      </c>
      <c r="P543" s="24">
        <v>-2500</v>
      </c>
      <c r="Q543" s="24">
        <v>0</v>
      </c>
      <c r="R543" s="24">
        <v>0</v>
      </c>
      <c r="S543" s="24">
        <v>0</v>
      </c>
      <c r="T543" s="24">
        <v>0</v>
      </c>
      <c r="U543" s="24">
        <v>0</v>
      </c>
      <c r="V543" s="24">
        <v>0</v>
      </c>
      <c r="W543" s="23">
        <f t="shared" si="57"/>
        <v>531.57000000000016</v>
      </c>
      <c r="X543" s="23">
        <f t="shared" si="58"/>
        <v>531.57000000000016</v>
      </c>
      <c r="Y543" s="23">
        <f t="shared" si="59"/>
        <v>0</v>
      </c>
      <c r="Z543" s="24">
        <v>0</v>
      </c>
      <c r="AA543" s="23">
        <f t="shared" si="60"/>
        <v>0</v>
      </c>
      <c r="AB543" s="23">
        <f t="shared" si="61"/>
        <v>2500</v>
      </c>
      <c r="AC543" s="20"/>
      <c r="AD543" s="20" t="str">
        <f>VLOOKUP($C543,'[1]CTRL AUTOS'!$E:$AH,2,0)</f>
        <v>R51BKD</v>
      </c>
      <c r="AE543" s="11" t="str">
        <f t="shared" si="62"/>
        <v>R51BKD29</v>
      </c>
    </row>
    <row r="544" spans="1:31" ht="12.75" hidden="1" customHeight="1" x14ac:dyDescent="0.3">
      <c r="A544" s="8">
        <v>29</v>
      </c>
      <c r="B544" s="20" t="s">
        <v>361</v>
      </c>
      <c r="C544" s="20" t="s">
        <v>56</v>
      </c>
      <c r="D544" s="20" t="s">
        <v>336</v>
      </c>
      <c r="E544" s="22" t="s">
        <v>241</v>
      </c>
      <c r="F544" s="20" t="s">
        <v>291</v>
      </c>
      <c r="G544" s="22" t="s">
        <v>234</v>
      </c>
      <c r="H544" s="23">
        <v>2102.11</v>
      </c>
      <c r="I544" s="23">
        <v>0</v>
      </c>
      <c r="J544" s="23">
        <v>0</v>
      </c>
      <c r="K544" s="23">
        <v>0</v>
      </c>
      <c r="L544" s="23">
        <v>-1215.19</v>
      </c>
      <c r="M544" s="24">
        <v>-32</v>
      </c>
      <c r="N544" s="24">
        <v>0</v>
      </c>
      <c r="O544" s="24">
        <f t="shared" si="56"/>
        <v>854.92000000000007</v>
      </c>
      <c r="P544" s="24">
        <v>-714</v>
      </c>
      <c r="Q544" s="24">
        <v>0</v>
      </c>
      <c r="R544" s="24">
        <v>-500</v>
      </c>
      <c r="S544" s="24">
        <v>0</v>
      </c>
      <c r="T544" s="24">
        <v>0</v>
      </c>
      <c r="U544" s="24">
        <v>0</v>
      </c>
      <c r="V544" s="24">
        <v>0</v>
      </c>
      <c r="W544" s="23">
        <f t="shared" si="57"/>
        <v>-359.07999999999993</v>
      </c>
      <c r="X544" s="23">
        <f t="shared" si="58"/>
        <v>0</v>
      </c>
      <c r="Y544" s="23">
        <f t="shared" si="59"/>
        <v>-359.07999999999993</v>
      </c>
      <c r="Z544" s="24">
        <v>359</v>
      </c>
      <c r="AA544" s="23">
        <f t="shared" si="60"/>
        <v>-7.999999999992724E-2</v>
      </c>
      <c r="AB544" s="23">
        <f t="shared" si="61"/>
        <v>1213.8400000000001</v>
      </c>
      <c r="AC544" s="20"/>
      <c r="AD544" s="20" t="str">
        <f>VLOOKUP($C544,'[1]CTRL AUTOS'!$E:$AH,2,0)</f>
        <v>MYE912A</v>
      </c>
      <c r="AE544" s="11" t="str">
        <f t="shared" si="62"/>
        <v>MYE912A29</v>
      </c>
    </row>
    <row r="545" spans="1:31" ht="12.75" hidden="1" customHeight="1" x14ac:dyDescent="0.3">
      <c r="A545" s="8">
        <v>29</v>
      </c>
      <c r="B545" s="20" t="s">
        <v>331</v>
      </c>
      <c r="C545" s="20" t="s">
        <v>46</v>
      </c>
      <c r="D545" s="20" t="s">
        <v>257</v>
      </c>
      <c r="E545" s="22" t="s">
        <v>232</v>
      </c>
      <c r="F545" s="20" t="s">
        <v>232</v>
      </c>
      <c r="G545" s="22" t="s">
        <v>234</v>
      </c>
      <c r="H545" s="23">
        <v>2890.88</v>
      </c>
      <c r="I545" s="23">
        <v>0</v>
      </c>
      <c r="J545" s="23">
        <v>0</v>
      </c>
      <c r="K545" s="23">
        <v>0</v>
      </c>
      <c r="L545" s="23">
        <v>-680.13</v>
      </c>
      <c r="M545" s="24">
        <v>-52</v>
      </c>
      <c r="N545" s="24">
        <v>-70.8</v>
      </c>
      <c r="O545" s="24">
        <f t="shared" si="56"/>
        <v>2087.9499999999998</v>
      </c>
      <c r="P545" s="24">
        <v>-2500</v>
      </c>
      <c r="Q545" s="24">
        <v>-227</v>
      </c>
      <c r="R545" s="24">
        <v>0</v>
      </c>
      <c r="S545" s="24">
        <v>0</v>
      </c>
      <c r="T545" s="24">
        <v>0</v>
      </c>
      <c r="U545" s="24">
        <v>-500</v>
      </c>
      <c r="V545" s="24">
        <v>0</v>
      </c>
      <c r="W545" s="23">
        <f t="shared" si="57"/>
        <v>-1139.0500000000002</v>
      </c>
      <c r="X545" s="23">
        <f t="shared" si="58"/>
        <v>0</v>
      </c>
      <c r="Y545" s="23">
        <f t="shared" si="59"/>
        <v>-1139.0500000000002</v>
      </c>
      <c r="Z545" s="24">
        <v>700</v>
      </c>
      <c r="AA545" s="23">
        <f t="shared" si="60"/>
        <v>-439.05000000000018</v>
      </c>
      <c r="AB545" s="23">
        <f t="shared" si="61"/>
        <v>2348.8999999999996</v>
      </c>
      <c r="AC545" s="20"/>
      <c r="AD545" s="20" t="str">
        <f>VLOOKUP($C545,'[1]CTRL AUTOS'!$E:$AH,2,0)</f>
        <v>R66BER</v>
      </c>
      <c r="AE545" s="11" t="str">
        <f t="shared" si="62"/>
        <v>R66BER29</v>
      </c>
    </row>
    <row r="546" spans="1:31" ht="12.75" hidden="1" customHeight="1" x14ac:dyDescent="0.3">
      <c r="A546" s="8">
        <v>29</v>
      </c>
      <c r="B546" s="20" t="s">
        <v>372</v>
      </c>
      <c r="C546" s="20" t="s">
        <v>4</v>
      </c>
      <c r="D546" s="22" t="s">
        <v>245</v>
      </c>
      <c r="E546" s="22" t="s">
        <v>232</v>
      </c>
      <c r="F546" s="20" t="s">
        <v>232</v>
      </c>
      <c r="G546" s="22" t="s">
        <v>234</v>
      </c>
      <c r="H546" s="23">
        <v>3254.53</v>
      </c>
      <c r="I546" s="23">
        <v>-2.72</v>
      </c>
      <c r="J546" s="23">
        <v>0</v>
      </c>
      <c r="K546" s="23">
        <v>0</v>
      </c>
      <c r="L546" s="23">
        <v>-1273.8499999999999</v>
      </c>
      <c r="M546" s="24">
        <v>-40</v>
      </c>
      <c r="N546" s="24">
        <v>-125</v>
      </c>
      <c r="O546" s="24">
        <f t="shared" si="56"/>
        <v>1812.9600000000005</v>
      </c>
      <c r="P546" s="24">
        <v>-2500</v>
      </c>
      <c r="Q546" s="24">
        <v>-351</v>
      </c>
      <c r="R546" s="24">
        <v>0</v>
      </c>
      <c r="S546" s="24">
        <v>0</v>
      </c>
      <c r="T546" s="24">
        <v>0</v>
      </c>
      <c r="U546" s="24">
        <v>0</v>
      </c>
      <c r="V546" s="24">
        <v>0</v>
      </c>
      <c r="W546" s="23">
        <f t="shared" si="57"/>
        <v>-1038.0399999999995</v>
      </c>
      <c r="X546" s="23">
        <f t="shared" si="58"/>
        <v>0</v>
      </c>
      <c r="Y546" s="23">
        <f t="shared" si="59"/>
        <v>-1038.0399999999995</v>
      </c>
      <c r="Z546" s="24">
        <v>0</v>
      </c>
      <c r="AA546" s="23">
        <f t="shared" si="60"/>
        <v>-1038.0399999999995</v>
      </c>
      <c r="AB546" s="23">
        <f t="shared" si="61"/>
        <v>774.92000000000098</v>
      </c>
      <c r="AC546" s="20"/>
      <c r="AD546" s="20" t="str">
        <f>VLOOKUP($C546,'[1]CTRL AUTOS'!$E:$AH,2,0)</f>
        <v>N15BKD</v>
      </c>
      <c r="AE546" s="11" t="str">
        <f t="shared" si="62"/>
        <v>N15BKD29</v>
      </c>
    </row>
    <row r="547" spans="1:31" ht="12.75" hidden="1" customHeight="1" x14ac:dyDescent="0.3">
      <c r="A547" s="8">
        <v>29</v>
      </c>
      <c r="B547" s="20" t="s">
        <v>45</v>
      </c>
      <c r="C547" s="20" t="s">
        <v>249</v>
      </c>
      <c r="D547" s="20" t="s">
        <v>250</v>
      </c>
      <c r="E547" s="22" t="s">
        <v>232</v>
      </c>
      <c r="F547" s="20" t="s">
        <v>232</v>
      </c>
      <c r="G547" s="22" t="s">
        <v>234</v>
      </c>
      <c r="H547" s="23">
        <v>3454.91</v>
      </c>
      <c r="I547" s="23">
        <v>-16</v>
      </c>
      <c r="J547" s="23">
        <v>0</v>
      </c>
      <c r="K547" s="23">
        <v>0</v>
      </c>
      <c r="L547" s="23">
        <v>-955.87</v>
      </c>
      <c r="M547" s="24">
        <v>-51</v>
      </c>
      <c r="N547" s="24">
        <v>0</v>
      </c>
      <c r="O547" s="24">
        <f t="shared" si="56"/>
        <v>2432.04</v>
      </c>
      <c r="P547" s="24">
        <v>-2300</v>
      </c>
      <c r="Q547" s="24">
        <v>0</v>
      </c>
      <c r="R547" s="24">
        <v>0</v>
      </c>
      <c r="S547" s="24">
        <v>0</v>
      </c>
      <c r="T547" s="24">
        <v>0</v>
      </c>
      <c r="U547" s="24">
        <v>0</v>
      </c>
      <c r="V547" s="24">
        <v>0</v>
      </c>
      <c r="W547" s="23">
        <f t="shared" si="57"/>
        <v>132.03999999999996</v>
      </c>
      <c r="X547" s="23">
        <f t="shared" si="58"/>
        <v>132.03999999999996</v>
      </c>
      <c r="Y547" s="23">
        <f t="shared" si="59"/>
        <v>0</v>
      </c>
      <c r="Z547" s="24">
        <v>0</v>
      </c>
      <c r="AA547" s="23">
        <f t="shared" si="60"/>
        <v>0</v>
      </c>
      <c r="AB547" s="23">
        <f t="shared" si="61"/>
        <v>2300</v>
      </c>
      <c r="AC547" s="20"/>
      <c r="AD547" s="20" t="s">
        <v>251</v>
      </c>
      <c r="AE547" s="11" t="str">
        <f t="shared" si="62"/>
        <v>BAJA DE PLACAS29</v>
      </c>
    </row>
    <row r="548" spans="1:31" ht="12.75" hidden="1" customHeight="1" x14ac:dyDescent="0.3">
      <c r="A548" s="8">
        <v>29</v>
      </c>
      <c r="B548" s="20" t="s">
        <v>5</v>
      </c>
      <c r="C548" s="20" t="s">
        <v>28</v>
      </c>
      <c r="D548" s="20" t="s">
        <v>274</v>
      </c>
      <c r="E548" s="22" t="s">
        <v>232</v>
      </c>
      <c r="F548" s="20" t="s">
        <v>232</v>
      </c>
      <c r="G548" s="22" t="s">
        <v>234</v>
      </c>
      <c r="H548" s="23">
        <v>2319.27</v>
      </c>
      <c r="I548" s="23">
        <v>0</v>
      </c>
      <c r="J548" s="23">
        <v>0</v>
      </c>
      <c r="K548" s="23">
        <v>0</v>
      </c>
      <c r="L548" s="23">
        <v>-824.83</v>
      </c>
      <c r="M548" s="24">
        <v>-30</v>
      </c>
      <c r="N548" s="24">
        <v>0</v>
      </c>
      <c r="O548" s="24">
        <f t="shared" si="56"/>
        <v>1464.44</v>
      </c>
      <c r="P548" s="24">
        <v>-2500</v>
      </c>
      <c r="Q548" s="24">
        <v>-351.68</v>
      </c>
      <c r="R548" s="24">
        <v>0</v>
      </c>
      <c r="S548" s="24">
        <v>0</v>
      </c>
      <c r="T548" s="24">
        <v>0</v>
      </c>
      <c r="U548" s="24">
        <v>290</v>
      </c>
      <c r="V548" s="24">
        <v>0</v>
      </c>
      <c r="W548" s="23">
        <f t="shared" si="57"/>
        <v>-1097.2399999999998</v>
      </c>
      <c r="X548" s="23">
        <f t="shared" si="58"/>
        <v>0</v>
      </c>
      <c r="Y548" s="23">
        <f t="shared" si="59"/>
        <v>-1097.2399999999998</v>
      </c>
      <c r="Z548" s="24">
        <v>300</v>
      </c>
      <c r="AA548" s="23">
        <f t="shared" si="60"/>
        <v>-797.23999999999978</v>
      </c>
      <c r="AB548" s="23">
        <f t="shared" si="61"/>
        <v>967.20000000000027</v>
      </c>
      <c r="AC548" s="20"/>
      <c r="AD548" s="20" t="str">
        <f>VLOOKUP($C548,'[1]CTRL AUTOS'!$E:$AH,2,0)</f>
        <v>NCT814A</v>
      </c>
      <c r="AE548" s="11" t="str">
        <f t="shared" si="62"/>
        <v>NCT814A29</v>
      </c>
    </row>
    <row r="549" spans="1:31" ht="12.75" hidden="1" customHeight="1" x14ac:dyDescent="0.3">
      <c r="A549" s="8">
        <v>29</v>
      </c>
      <c r="B549" s="20" t="s">
        <v>362</v>
      </c>
      <c r="C549" s="20" t="s">
        <v>50</v>
      </c>
      <c r="D549" s="20" t="s">
        <v>267</v>
      </c>
      <c r="E549" s="22" t="s">
        <v>232</v>
      </c>
      <c r="F549" s="20" t="s">
        <v>232</v>
      </c>
      <c r="G549" s="22" t="s">
        <v>234</v>
      </c>
      <c r="H549" s="23">
        <v>2102.6</v>
      </c>
      <c r="I549" s="23">
        <v>0</v>
      </c>
      <c r="J549" s="23">
        <v>0</v>
      </c>
      <c r="K549" s="23">
        <v>0</v>
      </c>
      <c r="L549" s="23">
        <v>0</v>
      </c>
      <c r="M549" s="24">
        <v>-43</v>
      </c>
      <c r="N549" s="24">
        <v>0</v>
      </c>
      <c r="O549" s="24">
        <f t="shared" si="56"/>
        <v>2059.6</v>
      </c>
      <c r="P549" s="24">
        <v>-2500</v>
      </c>
      <c r="Q549" s="24">
        <v>0</v>
      </c>
      <c r="R549" s="24">
        <v>-500</v>
      </c>
      <c r="S549" s="24">
        <v>0</v>
      </c>
      <c r="T549" s="24">
        <v>0</v>
      </c>
      <c r="U549" s="24">
        <v>0</v>
      </c>
      <c r="V549" s="24">
        <v>0</v>
      </c>
      <c r="W549" s="23">
        <f t="shared" si="57"/>
        <v>-940.40000000000009</v>
      </c>
      <c r="X549" s="23">
        <f t="shared" si="58"/>
        <v>0</v>
      </c>
      <c r="Y549" s="23">
        <f t="shared" si="59"/>
        <v>-940.40000000000009</v>
      </c>
      <c r="Z549" s="24">
        <v>940</v>
      </c>
      <c r="AA549" s="23">
        <f t="shared" si="60"/>
        <v>-0.40000000000009095</v>
      </c>
      <c r="AB549" s="23">
        <f t="shared" si="61"/>
        <v>2999.2</v>
      </c>
      <c r="AC549" s="20"/>
      <c r="AD549" s="20" t="str">
        <f>VLOOKUP($C549,'[1]CTRL AUTOS'!$E:$AH,2,0)</f>
        <v>NBS225A</v>
      </c>
      <c r="AE549" s="11" t="str">
        <f t="shared" si="62"/>
        <v>NBS225A29</v>
      </c>
    </row>
    <row r="550" spans="1:31" ht="12.75" hidden="1" customHeight="1" x14ac:dyDescent="0.3">
      <c r="A550" s="8">
        <v>29</v>
      </c>
      <c r="B550" s="20" t="s">
        <v>363</v>
      </c>
      <c r="C550" s="20" t="s">
        <v>8</v>
      </c>
      <c r="D550" s="20" t="s">
        <v>237</v>
      </c>
      <c r="E550" s="22" t="s">
        <v>364</v>
      </c>
      <c r="F550" s="22" t="s">
        <v>364</v>
      </c>
      <c r="G550" s="22" t="s">
        <v>234</v>
      </c>
      <c r="H550" s="23">
        <v>3792.82</v>
      </c>
      <c r="I550" s="23">
        <v>-49.02</v>
      </c>
      <c r="J550" s="23">
        <v>0</v>
      </c>
      <c r="K550" s="23">
        <v>0</v>
      </c>
      <c r="L550" s="23">
        <v>0</v>
      </c>
      <c r="M550" s="24">
        <v>0</v>
      </c>
      <c r="N550" s="23">
        <v>0</v>
      </c>
      <c r="O550" s="24">
        <f t="shared" si="56"/>
        <v>3743.8</v>
      </c>
      <c r="P550" s="23">
        <v>-1964</v>
      </c>
      <c r="Q550" s="23">
        <v>-5</v>
      </c>
      <c r="R550" s="23">
        <v>0</v>
      </c>
      <c r="S550" s="23">
        <v>0</v>
      </c>
      <c r="T550" s="23">
        <v>0</v>
      </c>
      <c r="U550" s="23">
        <v>0</v>
      </c>
      <c r="V550" s="23">
        <v>0</v>
      </c>
      <c r="W550" s="23">
        <f t="shared" si="57"/>
        <v>1774.8000000000002</v>
      </c>
      <c r="X550" s="23">
        <f t="shared" si="58"/>
        <v>1774.8000000000002</v>
      </c>
      <c r="Y550" s="23">
        <f t="shared" si="59"/>
        <v>0</v>
      </c>
      <c r="Z550" s="24">
        <v>0</v>
      </c>
      <c r="AA550" s="23">
        <f t="shared" si="60"/>
        <v>0</v>
      </c>
      <c r="AB550" s="23">
        <f t="shared" si="61"/>
        <v>1969</v>
      </c>
      <c r="AC550" s="20"/>
      <c r="AD550" s="20" t="e">
        <f>VLOOKUP($C550,'[1]CTRL AUTOS'!$E:$AH,2,0)</f>
        <v>#N/A</v>
      </c>
      <c r="AE550" s="11" t="e">
        <f t="shared" si="62"/>
        <v>#N/A</v>
      </c>
    </row>
    <row r="551" spans="1:31" ht="12.75" hidden="1" customHeight="1" x14ac:dyDescent="0.3">
      <c r="A551" s="8">
        <v>29</v>
      </c>
      <c r="B551" s="20" t="s">
        <v>76</v>
      </c>
      <c r="C551" s="20" t="s">
        <v>104</v>
      </c>
      <c r="D551" s="20" t="s">
        <v>367</v>
      </c>
      <c r="E551" s="20" t="s">
        <v>364</v>
      </c>
      <c r="F551" s="22" t="s">
        <v>364</v>
      </c>
      <c r="G551" s="22" t="s">
        <v>234</v>
      </c>
      <c r="H551" s="23">
        <v>2514.67</v>
      </c>
      <c r="I551" s="23">
        <v>0</v>
      </c>
      <c r="J551" s="23">
        <v>0</v>
      </c>
      <c r="K551" s="23">
        <v>-31.91</v>
      </c>
      <c r="L551" s="23">
        <v>-791.49</v>
      </c>
      <c r="M551" s="24">
        <v>0</v>
      </c>
      <c r="N551" s="23">
        <v>0</v>
      </c>
      <c r="O551" s="24">
        <f t="shared" si="56"/>
        <v>1691.2700000000002</v>
      </c>
      <c r="P551" s="23">
        <v>-2500</v>
      </c>
      <c r="Q551" s="23">
        <v>0</v>
      </c>
      <c r="R551" s="23">
        <v>-500</v>
      </c>
      <c r="S551" s="23">
        <v>0</v>
      </c>
      <c r="T551" s="23">
        <v>0</v>
      </c>
      <c r="U551" s="23">
        <v>0</v>
      </c>
      <c r="V551" s="23">
        <v>0</v>
      </c>
      <c r="W551" s="23">
        <f t="shared" si="57"/>
        <v>-1308.7299999999998</v>
      </c>
      <c r="X551" s="23">
        <f t="shared" si="58"/>
        <v>0</v>
      </c>
      <c r="Y551" s="23">
        <f t="shared" si="59"/>
        <v>-1308.7299999999998</v>
      </c>
      <c r="Z551" s="24">
        <v>1309</v>
      </c>
      <c r="AA551" s="23">
        <f t="shared" si="60"/>
        <v>0.27000000000020918</v>
      </c>
      <c r="AB551" s="23">
        <f t="shared" si="61"/>
        <v>3000.5400000000009</v>
      </c>
      <c r="AC551" s="20" t="s">
        <v>383</v>
      </c>
      <c r="AD551" s="20" t="e">
        <f>VLOOKUP($C551,'[1]CTRL AUTOS'!$E:$AH,2,0)</f>
        <v>#N/A</v>
      </c>
      <c r="AE551" s="11" t="e">
        <f t="shared" si="62"/>
        <v>#N/A</v>
      </c>
    </row>
    <row r="552" spans="1:31" ht="12.75" hidden="1" customHeight="1" x14ac:dyDescent="0.3">
      <c r="A552" s="8">
        <v>29</v>
      </c>
      <c r="B552" s="20" t="s">
        <v>98</v>
      </c>
      <c r="C552" s="20" t="s">
        <v>168</v>
      </c>
      <c r="D552" s="20" t="s">
        <v>265</v>
      </c>
      <c r="E552" s="22" t="s">
        <v>232</v>
      </c>
      <c r="F552" s="20" t="s">
        <v>232</v>
      </c>
      <c r="G552" s="22" t="s">
        <v>234</v>
      </c>
      <c r="H552" s="23">
        <v>6819.59</v>
      </c>
      <c r="I552" s="23">
        <v>-208.83</v>
      </c>
      <c r="J552" s="23">
        <v>0</v>
      </c>
      <c r="K552" s="23">
        <v>0</v>
      </c>
      <c r="L552" s="23">
        <v>0</v>
      </c>
      <c r="M552" s="24">
        <v>-66</v>
      </c>
      <c r="N552" s="24">
        <v>0</v>
      </c>
      <c r="O552" s="24">
        <f t="shared" si="56"/>
        <v>6544.76</v>
      </c>
      <c r="P552" s="24">
        <v>-2500</v>
      </c>
      <c r="Q552" s="24">
        <v>0</v>
      </c>
      <c r="R552" s="24">
        <v>-500</v>
      </c>
      <c r="S552" s="24">
        <v>0</v>
      </c>
      <c r="T552" s="24">
        <v>0</v>
      </c>
      <c r="U552" s="24">
        <v>0</v>
      </c>
      <c r="V552" s="24">
        <v>0</v>
      </c>
      <c r="W552" s="23">
        <f t="shared" si="57"/>
        <v>3544.76</v>
      </c>
      <c r="X552" s="23">
        <f t="shared" si="58"/>
        <v>3544.76</v>
      </c>
      <c r="Y552" s="23">
        <f t="shared" si="59"/>
        <v>0</v>
      </c>
      <c r="Z552" s="24">
        <v>0</v>
      </c>
      <c r="AA552" s="23">
        <f t="shared" si="60"/>
        <v>0</v>
      </c>
      <c r="AB552" s="23">
        <f t="shared" si="61"/>
        <v>3000</v>
      </c>
      <c r="AC552" s="20"/>
      <c r="AD552" s="20" t="e">
        <f>VLOOKUP($C552,'[1]CTRL AUTOS'!$E:$AH,2,0)</f>
        <v>#N/A</v>
      </c>
      <c r="AE552" s="11" t="e">
        <f t="shared" si="62"/>
        <v>#N/A</v>
      </c>
    </row>
    <row r="553" spans="1:31" ht="12.75" hidden="1" customHeight="1" x14ac:dyDescent="0.3">
      <c r="A553" s="8">
        <v>30</v>
      </c>
      <c r="B553" s="20" t="s">
        <v>80</v>
      </c>
      <c r="C553" s="20" t="s">
        <v>81</v>
      </c>
      <c r="D553" s="20" t="s">
        <v>317</v>
      </c>
      <c r="E553" s="22" t="s">
        <v>232</v>
      </c>
      <c r="F553" s="20" t="s">
        <v>232</v>
      </c>
      <c r="G553" s="22" t="s">
        <v>234</v>
      </c>
      <c r="H553" s="23">
        <v>1724.37</v>
      </c>
      <c r="I553" s="23">
        <v>-20.8</v>
      </c>
      <c r="J553" s="23">
        <v>0</v>
      </c>
      <c r="K553" s="23">
        <v>0</v>
      </c>
      <c r="L553" s="23">
        <v>-634.95000000000005</v>
      </c>
      <c r="M553" s="23">
        <v>-65</v>
      </c>
      <c r="N553" s="23">
        <v>0</v>
      </c>
      <c r="O553" s="24">
        <f t="shared" si="56"/>
        <v>1003.6199999999999</v>
      </c>
      <c r="P553" s="24">
        <v>-2500</v>
      </c>
      <c r="Q553" s="24">
        <v>0</v>
      </c>
      <c r="R553" s="24">
        <v>0</v>
      </c>
      <c r="S553" s="24">
        <v>0</v>
      </c>
      <c r="T553" s="24">
        <v>-500</v>
      </c>
      <c r="U553" s="24">
        <v>0</v>
      </c>
      <c r="V553" s="24">
        <v>0</v>
      </c>
      <c r="W553" s="23">
        <f t="shared" si="57"/>
        <v>-1996.38</v>
      </c>
      <c r="X553" s="23">
        <f t="shared" si="58"/>
        <v>0</v>
      </c>
      <c r="Y553" s="23">
        <f t="shared" si="59"/>
        <v>-1996.38</v>
      </c>
      <c r="Z553" s="24">
        <v>1996</v>
      </c>
      <c r="AA553" s="23">
        <f t="shared" si="60"/>
        <v>-0.38000000000010914</v>
      </c>
      <c r="AB553" s="23">
        <f t="shared" si="61"/>
        <v>2999.24</v>
      </c>
      <c r="AC553" s="20" t="s">
        <v>297</v>
      </c>
      <c r="AD553" s="20" t="str">
        <f>VLOOKUP($C553,'[1]CTRL AUTOS'!$E:$AH,2,0)</f>
        <v>NLP172B</v>
      </c>
      <c r="AE553" s="11" t="str">
        <f t="shared" si="62"/>
        <v>NLP172B30</v>
      </c>
    </row>
    <row r="554" spans="1:31" ht="12.75" hidden="1" customHeight="1" x14ac:dyDescent="0.3">
      <c r="A554" s="8">
        <v>30</v>
      </c>
      <c r="B554" s="20" t="s">
        <v>111</v>
      </c>
      <c r="C554" s="20" t="s">
        <v>63</v>
      </c>
      <c r="D554" s="20" t="s">
        <v>374</v>
      </c>
      <c r="E554" s="20" t="s">
        <v>291</v>
      </c>
      <c r="F554" s="20" t="s">
        <v>291</v>
      </c>
      <c r="G554" s="22" t="s">
        <v>234</v>
      </c>
      <c r="H554" s="23">
        <v>5455.29</v>
      </c>
      <c r="I554" s="23">
        <v>0</v>
      </c>
      <c r="J554" s="23">
        <v>0</v>
      </c>
      <c r="K554" s="23">
        <v>0</v>
      </c>
      <c r="L554" s="23">
        <v>-1276.28</v>
      </c>
      <c r="M554" s="23">
        <v>-75</v>
      </c>
      <c r="N554" s="23">
        <v>0</v>
      </c>
      <c r="O554" s="24">
        <f t="shared" si="56"/>
        <v>4104.01</v>
      </c>
      <c r="P554" s="24">
        <v>-2500</v>
      </c>
      <c r="Q554" s="24">
        <v>0</v>
      </c>
      <c r="R554" s="24">
        <v>0</v>
      </c>
      <c r="S554" s="24">
        <v>0</v>
      </c>
      <c r="T554" s="24">
        <v>-500</v>
      </c>
      <c r="U554" s="24">
        <v>-600</v>
      </c>
      <c r="V554" s="24">
        <v>0</v>
      </c>
      <c r="W554" s="23">
        <f t="shared" si="57"/>
        <v>504.01000000000022</v>
      </c>
      <c r="X554" s="23">
        <f t="shared" si="58"/>
        <v>504.01000000000022</v>
      </c>
      <c r="Y554" s="23">
        <f t="shared" si="59"/>
        <v>0</v>
      </c>
      <c r="Z554" s="24">
        <v>0</v>
      </c>
      <c r="AA554" s="23">
        <f t="shared" si="60"/>
        <v>0</v>
      </c>
      <c r="AB554" s="23">
        <f t="shared" si="61"/>
        <v>3600</v>
      </c>
      <c r="AC554" s="20"/>
      <c r="AD554" s="20" t="str">
        <f>VLOOKUP($C554,'[1]CTRL AUTOS'!$E:$AH,2,0)</f>
        <v>X89ALV</v>
      </c>
      <c r="AE554" s="11" t="str">
        <f t="shared" si="62"/>
        <v>X89ALV30</v>
      </c>
    </row>
    <row r="555" spans="1:31" ht="12.75" hidden="1" customHeight="1" x14ac:dyDescent="0.3">
      <c r="A555" s="8">
        <v>30</v>
      </c>
      <c r="B555" s="20" t="s">
        <v>23</v>
      </c>
      <c r="C555" s="20" t="s">
        <v>106</v>
      </c>
      <c r="D555" s="20" t="s">
        <v>322</v>
      </c>
      <c r="E555" s="22" t="s">
        <v>232</v>
      </c>
      <c r="F555" s="20" t="s">
        <v>232</v>
      </c>
      <c r="G555" s="22" t="s">
        <v>234</v>
      </c>
      <c r="H555" s="23">
        <v>6842.7</v>
      </c>
      <c r="I555" s="23">
        <v>-29.7</v>
      </c>
      <c r="J555" s="23">
        <v>0</v>
      </c>
      <c r="K555" s="23">
        <v>0</v>
      </c>
      <c r="L555" s="23">
        <v>-4221.3100000000004</v>
      </c>
      <c r="M555" s="23">
        <v>-65</v>
      </c>
      <c r="N555" s="23">
        <v>0</v>
      </c>
      <c r="O555" s="24">
        <f t="shared" si="56"/>
        <v>2526.6899999999996</v>
      </c>
      <c r="P555" s="24">
        <v>-2500</v>
      </c>
      <c r="Q555" s="24">
        <v>0</v>
      </c>
      <c r="R555" s="24">
        <v>0</v>
      </c>
      <c r="S555" s="24">
        <v>0</v>
      </c>
      <c r="T555" s="24">
        <v>0</v>
      </c>
      <c r="U555" s="24">
        <v>0</v>
      </c>
      <c r="V555" s="24">
        <v>0</v>
      </c>
      <c r="W555" s="23">
        <f t="shared" si="57"/>
        <v>26.6899999999996</v>
      </c>
      <c r="X555" s="23">
        <f t="shared" si="58"/>
        <v>26.6899999999996</v>
      </c>
      <c r="Y555" s="23">
        <f t="shared" si="59"/>
        <v>0</v>
      </c>
      <c r="Z555" s="24">
        <v>0</v>
      </c>
      <c r="AA555" s="23">
        <f t="shared" si="60"/>
        <v>0</v>
      </c>
      <c r="AB555" s="23">
        <f t="shared" si="61"/>
        <v>2500</v>
      </c>
      <c r="AC555" s="20"/>
      <c r="AD555" s="20" t="str">
        <f>VLOOKUP($C555,'[1]CTRL AUTOS'!$E:$AH,2,0)</f>
        <v>NZU5163</v>
      </c>
      <c r="AE555" s="11" t="str">
        <f t="shared" si="62"/>
        <v>NZU516330</v>
      </c>
    </row>
    <row r="556" spans="1:31" ht="12.75" hidden="1" customHeight="1" x14ac:dyDescent="0.3">
      <c r="A556" s="8">
        <v>30</v>
      </c>
      <c r="B556" s="20" t="s">
        <v>25</v>
      </c>
      <c r="C556" s="20" t="s">
        <v>10</v>
      </c>
      <c r="D556" s="20" t="s">
        <v>343</v>
      </c>
      <c r="E556" s="22" t="s">
        <v>232</v>
      </c>
      <c r="F556" s="20" t="s">
        <v>232</v>
      </c>
      <c r="G556" s="22" t="s">
        <v>234</v>
      </c>
      <c r="H556" s="23">
        <v>2104.4899999999998</v>
      </c>
      <c r="I556" s="23">
        <v>0</v>
      </c>
      <c r="J556" s="23">
        <v>0</v>
      </c>
      <c r="K556" s="23">
        <v>0</v>
      </c>
      <c r="L556" s="23">
        <v>-554.29</v>
      </c>
      <c r="M556" s="23">
        <v>-65</v>
      </c>
      <c r="N556" s="23">
        <v>0</v>
      </c>
      <c r="O556" s="24">
        <f t="shared" si="56"/>
        <v>1485.1999999999998</v>
      </c>
      <c r="P556" s="24">
        <v>-2500</v>
      </c>
      <c r="Q556" s="24">
        <v>-986</v>
      </c>
      <c r="R556" s="24">
        <v>0</v>
      </c>
      <c r="S556" s="24">
        <v>0</v>
      </c>
      <c r="T556" s="24">
        <v>0</v>
      </c>
      <c r="U556" s="24">
        <v>0</v>
      </c>
      <c r="V556" s="24">
        <v>0</v>
      </c>
      <c r="W556" s="23">
        <f t="shared" si="57"/>
        <v>-2000.8000000000002</v>
      </c>
      <c r="X556" s="23">
        <f t="shared" si="58"/>
        <v>0</v>
      </c>
      <c r="Y556" s="23">
        <f t="shared" si="59"/>
        <v>-2000.8000000000002</v>
      </c>
      <c r="Z556" s="24">
        <v>1500</v>
      </c>
      <c r="AA556" s="23">
        <f t="shared" si="60"/>
        <v>-500.80000000000018</v>
      </c>
      <c r="AB556" s="23">
        <f t="shared" si="61"/>
        <v>2484.3999999999996</v>
      </c>
      <c r="AC556" s="20" t="s">
        <v>384</v>
      </c>
      <c r="AD556" s="20" t="str">
        <f>VLOOKUP($C556,'[1]CTRL AUTOS'!$E:$AH,2,0)</f>
        <v>LRL009C</v>
      </c>
      <c r="AE556" s="11" t="str">
        <f t="shared" si="62"/>
        <v>LRL009C30</v>
      </c>
    </row>
    <row r="557" spans="1:31" ht="12.75" hidden="1" customHeight="1" x14ac:dyDescent="0.3">
      <c r="A557" s="8">
        <v>30</v>
      </c>
      <c r="B557" s="20" t="s">
        <v>359</v>
      </c>
      <c r="C557" s="20" t="s">
        <v>34</v>
      </c>
      <c r="D557" s="20" t="s">
        <v>285</v>
      </c>
      <c r="E557" s="22" t="s">
        <v>232</v>
      </c>
      <c r="F557" s="20" t="s">
        <v>232</v>
      </c>
      <c r="G557" s="22" t="s">
        <v>234</v>
      </c>
      <c r="H557" s="23">
        <v>1091.93</v>
      </c>
      <c r="I557" s="23">
        <v>0</v>
      </c>
      <c r="J557" s="23">
        <v>0</v>
      </c>
      <c r="K557" s="23">
        <v>0</v>
      </c>
      <c r="L557" s="23">
        <v>0</v>
      </c>
      <c r="M557" s="23">
        <v>-75</v>
      </c>
      <c r="N557" s="23">
        <v>-74</v>
      </c>
      <c r="O557" s="24">
        <f t="shared" si="56"/>
        <v>942.93000000000006</v>
      </c>
      <c r="P557" s="24">
        <v>-2500</v>
      </c>
      <c r="Q557" s="24">
        <v>0</v>
      </c>
      <c r="R557" s="24">
        <v>-500</v>
      </c>
      <c r="S557" s="24">
        <v>0</v>
      </c>
      <c r="T557" s="24">
        <v>0</v>
      </c>
      <c r="U557" s="24">
        <v>0</v>
      </c>
      <c r="V557" s="24">
        <v>0</v>
      </c>
      <c r="W557" s="23">
        <f t="shared" si="57"/>
        <v>-2057.0699999999997</v>
      </c>
      <c r="X557" s="23">
        <f t="shared" si="58"/>
        <v>0</v>
      </c>
      <c r="Y557" s="23">
        <f t="shared" si="59"/>
        <v>-2057.0699999999997</v>
      </c>
      <c r="Z557" s="24">
        <v>1500</v>
      </c>
      <c r="AA557" s="23">
        <f t="shared" si="60"/>
        <v>-557.06999999999971</v>
      </c>
      <c r="AB557" s="23">
        <f t="shared" si="61"/>
        <v>1885.8600000000006</v>
      </c>
      <c r="AC557" s="20" t="s">
        <v>297</v>
      </c>
      <c r="AD557" s="20" t="str">
        <f>VLOOKUP($C557,'[1]CTRL AUTOS'!$E:$AH,2,0)</f>
        <v>X59AWG</v>
      </c>
      <c r="AE557" s="11" t="str">
        <f t="shared" si="62"/>
        <v>X59AWG30</v>
      </c>
    </row>
    <row r="558" spans="1:31" ht="12.75" hidden="1" customHeight="1" x14ac:dyDescent="0.3">
      <c r="A558" s="8">
        <v>30</v>
      </c>
      <c r="B558" s="20" t="s">
        <v>72</v>
      </c>
      <c r="C558" s="20" t="s">
        <v>73</v>
      </c>
      <c r="D558" s="20" t="s">
        <v>368</v>
      </c>
      <c r="E558" s="22" t="s">
        <v>241</v>
      </c>
      <c r="F558" s="20" t="s">
        <v>291</v>
      </c>
      <c r="G558" s="22" t="s">
        <v>234</v>
      </c>
      <c r="H558" s="23">
        <v>5169.1000000000004</v>
      </c>
      <c r="I558" s="23">
        <v>-64.06</v>
      </c>
      <c r="J558" s="23">
        <v>0</v>
      </c>
      <c r="K558" s="23">
        <v>0</v>
      </c>
      <c r="L558" s="23">
        <v>-280.70999999999998</v>
      </c>
      <c r="M558" s="23">
        <v>-65</v>
      </c>
      <c r="N558" s="23">
        <v>-200</v>
      </c>
      <c r="O558" s="24">
        <f t="shared" si="56"/>
        <v>4559.33</v>
      </c>
      <c r="P558" s="24">
        <v>-2500</v>
      </c>
      <c r="Q558" s="24">
        <v>-2594</v>
      </c>
      <c r="R558" s="24">
        <v>0</v>
      </c>
      <c r="S558" s="24">
        <v>0</v>
      </c>
      <c r="T558" s="24">
        <v>0</v>
      </c>
      <c r="U558" s="24">
        <v>-300</v>
      </c>
      <c r="V558" s="24">
        <v>0</v>
      </c>
      <c r="W558" s="23">
        <f t="shared" si="57"/>
        <v>-834.67000000000007</v>
      </c>
      <c r="X558" s="23">
        <f t="shared" si="58"/>
        <v>0</v>
      </c>
      <c r="Y558" s="23">
        <f t="shared" si="59"/>
        <v>-834.67000000000007</v>
      </c>
      <c r="Z558" s="24">
        <v>0</v>
      </c>
      <c r="AA558" s="23">
        <f t="shared" si="60"/>
        <v>-834.67000000000007</v>
      </c>
      <c r="AB558" s="23">
        <f t="shared" si="61"/>
        <v>3724.66</v>
      </c>
      <c r="AC558" s="20" t="s">
        <v>385</v>
      </c>
      <c r="AD558" s="20" t="str">
        <f>VLOOKUP($C558,'[1]CTRL AUTOS'!$E:$AH,2,0)</f>
        <v>H99BLC</v>
      </c>
      <c r="AE558" s="11" t="str">
        <f t="shared" si="62"/>
        <v>H99BLC30</v>
      </c>
    </row>
    <row r="559" spans="1:31" ht="12.75" hidden="1" customHeight="1" x14ac:dyDescent="0.3">
      <c r="A559" s="8">
        <v>30</v>
      </c>
      <c r="B559" s="20" t="s">
        <v>292</v>
      </c>
      <c r="C559" s="20" t="s">
        <v>52</v>
      </c>
      <c r="D559" s="20" t="s">
        <v>313</v>
      </c>
      <c r="E559" s="22" t="s">
        <v>232</v>
      </c>
      <c r="F559" s="20" t="s">
        <v>232</v>
      </c>
      <c r="G559" s="22" t="s">
        <v>234</v>
      </c>
      <c r="H559" s="23">
        <v>8124.78</v>
      </c>
      <c r="I559" s="23">
        <v>0</v>
      </c>
      <c r="J559" s="23">
        <v>0</v>
      </c>
      <c r="K559" s="23">
        <v>0</v>
      </c>
      <c r="L559" s="23">
        <v>-2451.79</v>
      </c>
      <c r="M559" s="23">
        <v>-65</v>
      </c>
      <c r="N559" s="23">
        <v>0</v>
      </c>
      <c r="O559" s="24">
        <f t="shared" si="56"/>
        <v>5607.99</v>
      </c>
      <c r="P559" s="24">
        <v>-2500</v>
      </c>
      <c r="Q559" s="24">
        <v>0</v>
      </c>
      <c r="R559" s="24">
        <v>0</v>
      </c>
      <c r="S559" s="24">
        <v>0</v>
      </c>
      <c r="T559" s="24">
        <v>0</v>
      </c>
      <c r="U559" s="24">
        <v>0</v>
      </c>
      <c r="V559" s="24">
        <v>-1000</v>
      </c>
      <c r="W559" s="23">
        <f t="shared" si="57"/>
        <v>2107.9899999999998</v>
      </c>
      <c r="X559" s="23">
        <f t="shared" si="58"/>
        <v>2107.9899999999998</v>
      </c>
      <c r="Y559" s="23">
        <f t="shared" si="59"/>
        <v>0</v>
      </c>
      <c r="Z559" s="24">
        <v>0</v>
      </c>
      <c r="AA559" s="23">
        <f t="shared" si="60"/>
        <v>0</v>
      </c>
      <c r="AB559" s="23">
        <f t="shared" si="61"/>
        <v>3500</v>
      </c>
      <c r="AC559" s="20"/>
      <c r="AD559" s="20" t="str">
        <f>VLOOKUP($C559,'[1]CTRL AUTOS'!$E:$AH,2,0)</f>
        <v>A35BHD</v>
      </c>
      <c r="AE559" s="11" t="str">
        <f t="shared" si="62"/>
        <v>A35BHD30</v>
      </c>
    </row>
    <row r="560" spans="1:31" ht="12.75" hidden="1" customHeight="1" x14ac:dyDescent="0.3">
      <c r="A560" s="8">
        <v>30</v>
      </c>
      <c r="B560" s="20" t="s">
        <v>375</v>
      </c>
      <c r="C560" s="20" t="s">
        <v>40</v>
      </c>
      <c r="D560" s="20" t="s">
        <v>315</v>
      </c>
      <c r="E560" s="22" t="s">
        <v>232</v>
      </c>
      <c r="F560" s="20" t="s">
        <v>232</v>
      </c>
      <c r="G560" s="22" t="s">
        <v>234</v>
      </c>
      <c r="H560" s="23">
        <v>2194.91</v>
      </c>
      <c r="I560" s="23">
        <v>0</v>
      </c>
      <c r="J560" s="23">
        <v>0</v>
      </c>
      <c r="K560" s="23">
        <v>0</v>
      </c>
      <c r="L560" s="23">
        <v>-1169.0999999999999</v>
      </c>
      <c r="M560" s="23">
        <v>-65</v>
      </c>
      <c r="N560" s="23">
        <v>0</v>
      </c>
      <c r="O560" s="24">
        <f t="shared" si="56"/>
        <v>960.81</v>
      </c>
      <c r="P560" s="24">
        <v>-2500</v>
      </c>
      <c r="Q560" s="24">
        <v>0</v>
      </c>
      <c r="R560" s="24">
        <v>-500</v>
      </c>
      <c r="S560" s="24">
        <v>0</v>
      </c>
      <c r="T560" s="24">
        <v>0</v>
      </c>
      <c r="U560" s="24">
        <v>3000</v>
      </c>
      <c r="V560" s="24">
        <v>0</v>
      </c>
      <c r="W560" s="23">
        <f t="shared" si="57"/>
        <v>960.81</v>
      </c>
      <c r="X560" s="23">
        <f t="shared" si="58"/>
        <v>960.81</v>
      </c>
      <c r="Y560" s="23">
        <f t="shared" si="59"/>
        <v>0</v>
      </c>
      <c r="Z560" s="24">
        <v>0</v>
      </c>
      <c r="AA560" s="23">
        <f t="shared" si="60"/>
        <v>0</v>
      </c>
      <c r="AB560" s="23">
        <f t="shared" si="61"/>
        <v>0</v>
      </c>
      <c r="AC560" s="20" t="s">
        <v>386</v>
      </c>
      <c r="AD560" s="20" t="str">
        <f>VLOOKUP($C560,'[1]CTRL AUTOS'!$E:$AH,2,0)</f>
        <v>NEL860A</v>
      </c>
      <c r="AE560" s="11" t="str">
        <f t="shared" si="62"/>
        <v>NEL860A30</v>
      </c>
    </row>
    <row r="561" spans="1:31" ht="12.75" hidden="1" customHeight="1" x14ac:dyDescent="0.3">
      <c r="A561" s="8">
        <v>30</v>
      </c>
      <c r="B561" s="20" t="s">
        <v>57</v>
      </c>
      <c r="C561" s="20" t="s">
        <v>16</v>
      </c>
      <c r="D561" s="20" t="s">
        <v>314</v>
      </c>
      <c r="E561" s="20" t="s">
        <v>232</v>
      </c>
      <c r="F561" s="20" t="s">
        <v>232</v>
      </c>
      <c r="G561" s="22" t="s">
        <v>234</v>
      </c>
      <c r="H561" s="23">
        <v>7395.1</v>
      </c>
      <c r="I561" s="23">
        <v>0</v>
      </c>
      <c r="J561" s="23">
        <v>0</v>
      </c>
      <c r="K561" s="23">
        <v>0</v>
      </c>
      <c r="L561" s="23">
        <v>-3302.18</v>
      </c>
      <c r="M561" s="23">
        <v>-66</v>
      </c>
      <c r="N561" s="23">
        <v>-133</v>
      </c>
      <c r="O561" s="24">
        <f t="shared" si="56"/>
        <v>3893.9200000000005</v>
      </c>
      <c r="P561" s="23">
        <v>-2500</v>
      </c>
      <c r="Q561" s="24">
        <v>0</v>
      </c>
      <c r="R561" s="23">
        <v>-500</v>
      </c>
      <c r="S561" s="23">
        <v>0</v>
      </c>
      <c r="T561" s="23">
        <v>0</v>
      </c>
      <c r="U561" s="24">
        <v>0</v>
      </c>
      <c r="V561" s="23">
        <v>0</v>
      </c>
      <c r="W561" s="23">
        <f t="shared" si="57"/>
        <v>893.92000000000053</v>
      </c>
      <c r="X561" s="23">
        <f t="shared" si="58"/>
        <v>893.92000000000053</v>
      </c>
      <c r="Y561" s="23">
        <f t="shared" si="59"/>
        <v>0</v>
      </c>
      <c r="Z561" s="24">
        <v>0</v>
      </c>
      <c r="AA561" s="23">
        <f t="shared" si="60"/>
        <v>0</v>
      </c>
      <c r="AB561" s="23">
        <f t="shared" si="61"/>
        <v>3000</v>
      </c>
      <c r="AC561" s="20"/>
      <c r="AD561" s="20" t="str">
        <f>VLOOKUP($C561,'[1]CTRL AUTOS'!$E:$AH,2,0)</f>
        <v>D28BET</v>
      </c>
      <c r="AE561" s="11" t="str">
        <f t="shared" si="62"/>
        <v>D28BET30</v>
      </c>
    </row>
    <row r="562" spans="1:31" ht="12.75" hidden="1" customHeight="1" x14ac:dyDescent="0.3">
      <c r="A562" s="8">
        <v>30</v>
      </c>
      <c r="B562" s="20" t="s">
        <v>288</v>
      </c>
      <c r="C562" s="20" t="s">
        <v>22</v>
      </c>
      <c r="D562" s="20" t="s">
        <v>319</v>
      </c>
      <c r="E562" s="20" t="s">
        <v>232</v>
      </c>
      <c r="F562" s="20" t="s">
        <v>232</v>
      </c>
      <c r="G562" s="22" t="s">
        <v>234</v>
      </c>
      <c r="H562" s="23">
        <v>7037.96</v>
      </c>
      <c r="I562" s="23">
        <v>-37.6</v>
      </c>
      <c r="J562" s="23">
        <v>0</v>
      </c>
      <c r="K562" s="23">
        <v>0</v>
      </c>
      <c r="L562" s="23">
        <v>-1380.17</v>
      </c>
      <c r="M562" s="23">
        <v>-60</v>
      </c>
      <c r="N562" s="23">
        <v>0</v>
      </c>
      <c r="O562" s="24">
        <f t="shared" si="56"/>
        <v>5560.19</v>
      </c>
      <c r="P562" s="24">
        <v>-2500</v>
      </c>
      <c r="Q562" s="24">
        <v>0</v>
      </c>
      <c r="R562" s="24">
        <v>0</v>
      </c>
      <c r="S562" s="24">
        <v>0</v>
      </c>
      <c r="T562" s="24">
        <v>0</v>
      </c>
      <c r="U562" s="24">
        <v>-500</v>
      </c>
      <c r="V562" s="24">
        <v>0</v>
      </c>
      <c r="W562" s="23">
        <f t="shared" si="57"/>
        <v>2560.1899999999996</v>
      </c>
      <c r="X562" s="23">
        <f t="shared" si="58"/>
        <v>2560.1899999999996</v>
      </c>
      <c r="Y562" s="23">
        <f t="shared" si="59"/>
        <v>0</v>
      </c>
      <c r="Z562" s="24">
        <v>0</v>
      </c>
      <c r="AA562" s="23">
        <f t="shared" si="60"/>
        <v>0</v>
      </c>
      <c r="AB562" s="23">
        <f t="shared" si="61"/>
        <v>3000</v>
      </c>
      <c r="AC562" s="20"/>
      <c r="AD562" s="20" t="str">
        <f>VLOOKUP($C562,'[1]CTRL AUTOS'!$E:$AH,2,0)</f>
        <v>NCK475B</v>
      </c>
      <c r="AE562" s="11" t="str">
        <f t="shared" si="62"/>
        <v>NCK475B30</v>
      </c>
    </row>
    <row r="563" spans="1:31" ht="12.75" hidden="1" customHeight="1" x14ac:dyDescent="0.3">
      <c r="A563" s="8">
        <v>30</v>
      </c>
      <c r="B563" s="20" t="s">
        <v>35</v>
      </c>
      <c r="C563" s="20" t="s">
        <v>97</v>
      </c>
      <c r="D563" s="20" t="s">
        <v>273</v>
      </c>
      <c r="E563" s="22" t="s">
        <v>232</v>
      </c>
      <c r="F563" s="20" t="s">
        <v>232</v>
      </c>
      <c r="G563" s="22" t="s">
        <v>234</v>
      </c>
      <c r="H563" s="23">
        <v>6029.43</v>
      </c>
      <c r="I563" s="23">
        <v>-48</v>
      </c>
      <c r="J563" s="23">
        <v>0</v>
      </c>
      <c r="K563" s="23">
        <v>0</v>
      </c>
      <c r="L563" s="23">
        <v>-3543.72</v>
      </c>
      <c r="M563" s="23">
        <v>-65</v>
      </c>
      <c r="N563" s="23">
        <v>0</v>
      </c>
      <c r="O563" s="24">
        <f t="shared" si="56"/>
        <v>2372.7100000000005</v>
      </c>
      <c r="P563" s="24">
        <v>-2143</v>
      </c>
      <c r="Q563" s="24">
        <v>-52</v>
      </c>
      <c r="R563" s="24">
        <v>0</v>
      </c>
      <c r="S563" s="24">
        <v>0</v>
      </c>
      <c r="T563" s="24">
        <v>0</v>
      </c>
      <c r="U563" s="24">
        <v>0</v>
      </c>
      <c r="V563" s="24">
        <v>0</v>
      </c>
      <c r="W563" s="23">
        <f t="shared" si="57"/>
        <v>177.71000000000049</v>
      </c>
      <c r="X563" s="23">
        <f t="shared" si="58"/>
        <v>177.71000000000049</v>
      </c>
      <c r="Y563" s="23">
        <f t="shared" si="59"/>
        <v>0</v>
      </c>
      <c r="Z563" s="24">
        <v>0</v>
      </c>
      <c r="AA563" s="23">
        <f t="shared" si="60"/>
        <v>0</v>
      </c>
      <c r="AB563" s="23">
        <f t="shared" si="61"/>
        <v>2195</v>
      </c>
      <c r="AC563" s="20" t="s">
        <v>387</v>
      </c>
      <c r="AD563" s="20" t="str">
        <f>VLOOKUP($C563,'[1]CTRL AUTOS'!$E:$AH,2,0)</f>
        <v>MUF515A</v>
      </c>
      <c r="AE563" s="11" t="str">
        <f t="shared" si="62"/>
        <v>MUF515A30</v>
      </c>
    </row>
    <row r="564" spans="1:31" ht="12.75" hidden="1" customHeight="1" x14ac:dyDescent="0.3">
      <c r="A564" s="8">
        <v>30</v>
      </c>
      <c r="B564" s="20" t="s">
        <v>37</v>
      </c>
      <c r="C564" s="20" t="s">
        <v>246</v>
      </c>
      <c r="D564" s="20" t="s">
        <v>341</v>
      </c>
      <c r="E564" s="22" t="s">
        <v>232</v>
      </c>
      <c r="F564" s="20" t="s">
        <v>291</v>
      </c>
      <c r="G564" s="22" t="s">
        <v>234</v>
      </c>
      <c r="H564" s="23">
        <v>3688.1</v>
      </c>
      <c r="I564" s="23">
        <v>0</v>
      </c>
      <c r="J564" s="23">
        <v>0</v>
      </c>
      <c r="K564" s="23">
        <v>0</v>
      </c>
      <c r="L564" s="23">
        <v>-1225.02</v>
      </c>
      <c r="M564" s="23">
        <v>-65</v>
      </c>
      <c r="N564" s="23">
        <v>0</v>
      </c>
      <c r="O564" s="24">
        <f t="shared" si="56"/>
        <v>2398.08</v>
      </c>
      <c r="P564" s="24">
        <v>-2500</v>
      </c>
      <c r="Q564" s="24">
        <v>0</v>
      </c>
      <c r="R564" s="24">
        <v>0</v>
      </c>
      <c r="S564" s="24">
        <v>0</v>
      </c>
      <c r="T564" s="24">
        <v>-500</v>
      </c>
      <c r="U564" s="24">
        <v>0</v>
      </c>
      <c r="V564" s="24">
        <v>0</v>
      </c>
      <c r="W564" s="23">
        <f t="shared" si="57"/>
        <v>-601.92000000000007</v>
      </c>
      <c r="X564" s="23">
        <f t="shared" si="58"/>
        <v>0</v>
      </c>
      <c r="Y564" s="23">
        <f t="shared" si="59"/>
        <v>-601.92000000000007</v>
      </c>
      <c r="Z564" s="24">
        <v>620</v>
      </c>
      <c r="AA564" s="23">
        <f t="shared" si="60"/>
        <v>18.079999999999927</v>
      </c>
      <c r="AB564" s="23">
        <f t="shared" si="61"/>
        <v>3036.16</v>
      </c>
      <c r="AC564" s="20" t="s">
        <v>297</v>
      </c>
      <c r="AD564" s="20" t="s">
        <v>248</v>
      </c>
      <c r="AE564" s="11" t="str">
        <f t="shared" si="62"/>
        <v>X24APU30</v>
      </c>
    </row>
    <row r="565" spans="1:31" ht="12.75" hidden="1" customHeight="1" x14ac:dyDescent="0.3">
      <c r="A565" s="8">
        <v>30</v>
      </c>
      <c r="B565" s="20" t="s">
        <v>361</v>
      </c>
      <c r="C565" s="20" t="s">
        <v>56</v>
      </c>
      <c r="D565" s="20" t="s">
        <v>336</v>
      </c>
      <c r="E565" s="22" t="s">
        <v>241</v>
      </c>
      <c r="F565" s="20" t="s">
        <v>291</v>
      </c>
      <c r="G565" s="22" t="s">
        <v>234</v>
      </c>
      <c r="H565" s="23">
        <v>5111.74</v>
      </c>
      <c r="I565" s="23">
        <v>-105.6</v>
      </c>
      <c r="J565" s="23">
        <v>0</v>
      </c>
      <c r="K565" s="23">
        <v>0</v>
      </c>
      <c r="L565" s="23">
        <v>-688.44</v>
      </c>
      <c r="M565" s="23">
        <v>-65</v>
      </c>
      <c r="N565" s="23">
        <v>0</v>
      </c>
      <c r="O565" s="24">
        <f t="shared" si="56"/>
        <v>4252.6999999999989</v>
      </c>
      <c r="P565" s="24">
        <v>-2500</v>
      </c>
      <c r="Q565" s="24">
        <v>0</v>
      </c>
      <c r="R565" s="24">
        <v>-500</v>
      </c>
      <c r="S565" s="24">
        <v>0</v>
      </c>
      <c r="T565" s="24">
        <v>0</v>
      </c>
      <c r="U565" s="24">
        <v>0</v>
      </c>
      <c r="V565" s="24">
        <v>0</v>
      </c>
      <c r="W565" s="23">
        <f t="shared" si="57"/>
        <v>1252.6999999999989</v>
      </c>
      <c r="X565" s="23">
        <f t="shared" si="58"/>
        <v>1252.6999999999989</v>
      </c>
      <c r="Y565" s="23">
        <f t="shared" si="59"/>
        <v>0</v>
      </c>
      <c r="Z565" s="24">
        <v>0</v>
      </c>
      <c r="AA565" s="23">
        <f t="shared" si="60"/>
        <v>0</v>
      </c>
      <c r="AB565" s="23">
        <f t="shared" si="61"/>
        <v>3000</v>
      </c>
      <c r="AC565" s="20"/>
      <c r="AD565" s="20" t="str">
        <f>VLOOKUP($C565,'[1]CTRL AUTOS'!$E:$AH,2,0)</f>
        <v>MYE912A</v>
      </c>
      <c r="AE565" s="11" t="str">
        <f t="shared" si="62"/>
        <v>MYE912A30</v>
      </c>
    </row>
    <row r="566" spans="1:31" ht="12.75" hidden="1" customHeight="1" x14ac:dyDescent="0.3">
      <c r="A566" s="8">
        <v>30</v>
      </c>
      <c r="B566" s="20" t="s">
        <v>388</v>
      </c>
      <c r="C566" s="20" t="s">
        <v>69</v>
      </c>
      <c r="D566" s="20" t="s">
        <v>370</v>
      </c>
      <c r="E566" s="22" t="s">
        <v>241</v>
      </c>
      <c r="F566" s="20" t="s">
        <v>291</v>
      </c>
      <c r="G566" s="22" t="s">
        <v>234</v>
      </c>
      <c r="H566" s="23">
        <v>388</v>
      </c>
      <c r="I566" s="23">
        <v>0</v>
      </c>
      <c r="J566" s="23">
        <v>0</v>
      </c>
      <c r="K566" s="23">
        <v>0</v>
      </c>
      <c r="L566" s="23">
        <v>0</v>
      </c>
      <c r="M566" s="23">
        <v>-35</v>
      </c>
      <c r="N566" s="23">
        <v>0</v>
      </c>
      <c r="O566" s="24">
        <f t="shared" si="56"/>
        <v>353</v>
      </c>
      <c r="P566" s="23">
        <v>-714</v>
      </c>
      <c r="Q566" s="24">
        <v>0</v>
      </c>
      <c r="R566" s="23">
        <v>-143</v>
      </c>
      <c r="S566" s="23">
        <v>0</v>
      </c>
      <c r="T566" s="23">
        <v>0</v>
      </c>
      <c r="U566" s="24">
        <v>0</v>
      </c>
      <c r="V566" s="23">
        <v>0</v>
      </c>
      <c r="W566" s="23">
        <f t="shared" si="57"/>
        <v>-504</v>
      </c>
      <c r="X566" s="23">
        <f t="shared" si="58"/>
        <v>0</v>
      </c>
      <c r="Y566" s="23">
        <f t="shared" si="59"/>
        <v>-504</v>
      </c>
      <c r="Z566" s="23">
        <f>1500+1000</f>
        <v>2500</v>
      </c>
      <c r="AA566" s="23">
        <f t="shared" si="60"/>
        <v>1996</v>
      </c>
      <c r="AB566" s="23">
        <f t="shared" si="61"/>
        <v>4849</v>
      </c>
      <c r="AC566" s="20" t="s">
        <v>297</v>
      </c>
      <c r="AD566" s="20" t="str">
        <f>VLOOKUP($C566,'[1]CTRL AUTOS'!$E:$AH,2,0)</f>
        <v>R51BKD</v>
      </c>
      <c r="AE566" s="11" t="str">
        <f t="shared" si="62"/>
        <v>R51BKD30</v>
      </c>
    </row>
    <row r="567" spans="1:31" ht="12.75" hidden="1" customHeight="1" x14ac:dyDescent="0.3">
      <c r="A567" s="8">
        <v>30</v>
      </c>
      <c r="B567" s="20" t="s">
        <v>331</v>
      </c>
      <c r="C567" s="20" t="s">
        <v>46</v>
      </c>
      <c r="D567" s="20" t="s">
        <v>257</v>
      </c>
      <c r="E567" s="22" t="s">
        <v>232</v>
      </c>
      <c r="F567" s="20" t="s">
        <v>232</v>
      </c>
      <c r="G567" s="22" t="s">
        <v>234</v>
      </c>
      <c r="H567" s="23">
        <v>1667.5</v>
      </c>
      <c r="I567" s="23">
        <v>0</v>
      </c>
      <c r="J567" s="23">
        <v>0</v>
      </c>
      <c r="K567" s="23">
        <v>0</v>
      </c>
      <c r="L567" s="23">
        <v>0</v>
      </c>
      <c r="M567" s="23">
        <v>-60</v>
      </c>
      <c r="N567" s="23">
        <v>-170</v>
      </c>
      <c r="O567" s="24">
        <f t="shared" si="56"/>
        <v>1437.5</v>
      </c>
      <c r="P567" s="24">
        <v>-2500</v>
      </c>
      <c r="Q567" s="24">
        <v>-492</v>
      </c>
      <c r="R567" s="24">
        <v>0</v>
      </c>
      <c r="S567" s="24">
        <v>0</v>
      </c>
      <c r="T567" s="24">
        <v>0</v>
      </c>
      <c r="U567" s="24">
        <v>0</v>
      </c>
      <c r="V567" s="24">
        <v>0</v>
      </c>
      <c r="W567" s="23">
        <f t="shared" si="57"/>
        <v>-1554.5</v>
      </c>
      <c r="X567" s="23">
        <f t="shared" si="58"/>
        <v>0</v>
      </c>
      <c r="Y567" s="23">
        <f t="shared" si="59"/>
        <v>-1554.5</v>
      </c>
      <c r="Z567" s="24">
        <v>0</v>
      </c>
      <c r="AA567" s="23">
        <f t="shared" si="60"/>
        <v>-1554.5</v>
      </c>
      <c r="AB567" s="23">
        <f t="shared" si="61"/>
        <v>-117</v>
      </c>
      <c r="AC567" s="20"/>
      <c r="AD567" s="20" t="str">
        <f>VLOOKUP($C567,'[1]CTRL AUTOS'!$E:$AH,2,0)</f>
        <v>R66BER</v>
      </c>
      <c r="AE567" s="11" t="str">
        <f t="shared" si="62"/>
        <v>R66BER30</v>
      </c>
    </row>
    <row r="568" spans="1:31" ht="12.75" hidden="1" customHeight="1" x14ac:dyDescent="0.3">
      <c r="A568" s="8">
        <v>30</v>
      </c>
      <c r="B568" s="20" t="s">
        <v>372</v>
      </c>
      <c r="C568" s="20" t="s">
        <v>4</v>
      </c>
      <c r="D568" s="22" t="s">
        <v>245</v>
      </c>
      <c r="E568" s="22" t="s">
        <v>232</v>
      </c>
      <c r="F568" s="20" t="s">
        <v>232</v>
      </c>
      <c r="G568" s="22" t="s">
        <v>234</v>
      </c>
      <c r="H568" s="23">
        <v>643.41999999999996</v>
      </c>
      <c r="I568" s="23">
        <v>0</v>
      </c>
      <c r="J568" s="23">
        <v>0</v>
      </c>
      <c r="K568" s="23">
        <v>0</v>
      </c>
      <c r="L568" s="23">
        <v>-20</v>
      </c>
      <c r="M568" s="23">
        <v>-75</v>
      </c>
      <c r="N568" s="23">
        <v>-164</v>
      </c>
      <c r="O568" s="24">
        <f t="shared" si="56"/>
        <v>384.41999999999996</v>
      </c>
      <c r="P568" s="24">
        <v>-2500</v>
      </c>
      <c r="Q568" s="24">
        <v>-1038</v>
      </c>
      <c r="R568" s="24">
        <v>0</v>
      </c>
      <c r="S568" s="24">
        <v>0</v>
      </c>
      <c r="T568" s="24">
        <v>0</v>
      </c>
      <c r="U568" s="24">
        <v>0</v>
      </c>
      <c r="V568" s="24">
        <v>0</v>
      </c>
      <c r="W568" s="23">
        <f t="shared" si="57"/>
        <v>-3153.58</v>
      </c>
      <c r="X568" s="23">
        <f t="shared" si="58"/>
        <v>0</v>
      </c>
      <c r="Y568" s="23">
        <f t="shared" si="59"/>
        <v>-3153.58</v>
      </c>
      <c r="Z568" s="24">
        <v>0</v>
      </c>
      <c r="AA568" s="23">
        <f t="shared" si="60"/>
        <v>-3153.58</v>
      </c>
      <c r="AB568" s="23">
        <f t="shared" si="61"/>
        <v>-2769.16</v>
      </c>
      <c r="AC568" s="20"/>
      <c r="AD568" s="20" t="str">
        <f>VLOOKUP($C568,'[1]CTRL AUTOS'!$E:$AH,2,0)</f>
        <v>N15BKD</v>
      </c>
      <c r="AE568" s="11" t="str">
        <f t="shared" si="62"/>
        <v>N15BKD30</v>
      </c>
    </row>
    <row r="569" spans="1:31" ht="12.75" hidden="1" customHeight="1" x14ac:dyDescent="0.3">
      <c r="A569" s="8">
        <v>30</v>
      </c>
      <c r="B569" s="20" t="s">
        <v>293</v>
      </c>
      <c r="C569" s="20" t="s">
        <v>34</v>
      </c>
      <c r="D569" s="20" t="s">
        <v>285</v>
      </c>
      <c r="E569" s="22" t="s">
        <v>232</v>
      </c>
      <c r="F569" s="23" t="s">
        <v>232</v>
      </c>
      <c r="G569" s="22" t="s">
        <v>234</v>
      </c>
      <c r="H569" s="23">
        <v>0</v>
      </c>
      <c r="I569" s="23">
        <v>0</v>
      </c>
      <c r="J569" s="23">
        <v>0</v>
      </c>
      <c r="K569" s="23">
        <v>0</v>
      </c>
      <c r="L569" s="23">
        <v>0</v>
      </c>
      <c r="M569" s="23">
        <v>0</v>
      </c>
      <c r="N569" s="23">
        <v>0</v>
      </c>
      <c r="O569" s="24">
        <f t="shared" si="56"/>
        <v>0</v>
      </c>
      <c r="P569" s="23">
        <v>0</v>
      </c>
      <c r="Q569" s="23">
        <v>0</v>
      </c>
      <c r="R569" s="23">
        <v>500</v>
      </c>
      <c r="S569" s="23">
        <v>0</v>
      </c>
      <c r="T569" s="23">
        <v>0</v>
      </c>
      <c r="U569" s="23">
        <v>0</v>
      </c>
      <c r="V569" s="23">
        <v>0</v>
      </c>
      <c r="W569" s="23">
        <f t="shared" si="57"/>
        <v>500</v>
      </c>
      <c r="X569" s="23">
        <f t="shared" si="58"/>
        <v>500</v>
      </c>
      <c r="Y569" s="23">
        <f t="shared" si="59"/>
        <v>0</v>
      </c>
      <c r="Z569" s="23">
        <v>0</v>
      </c>
      <c r="AA569" s="23">
        <f t="shared" si="60"/>
        <v>0</v>
      </c>
      <c r="AB569" s="23">
        <f t="shared" si="61"/>
        <v>-500</v>
      </c>
      <c r="AC569" s="20"/>
      <c r="AD569" s="20" t="str">
        <f>VLOOKUP($C569,'[1]CTRL AUTOS'!$E:$AH,2,0)</f>
        <v>X59AWG</v>
      </c>
      <c r="AE569" s="11" t="str">
        <f t="shared" si="62"/>
        <v>X59AWG30</v>
      </c>
    </row>
    <row r="570" spans="1:31" ht="12.75" hidden="1" customHeight="1" x14ac:dyDescent="0.3">
      <c r="A570" s="8">
        <v>30</v>
      </c>
      <c r="B570" s="20" t="s">
        <v>45</v>
      </c>
      <c r="C570" s="20" t="s">
        <v>249</v>
      </c>
      <c r="D570" s="20" t="s">
        <v>250</v>
      </c>
      <c r="E570" s="22" t="s">
        <v>232</v>
      </c>
      <c r="F570" s="20" t="s">
        <v>232</v>
      </c>
      <c r="G570" s="22" t="s">
        <v>234</v>
      </c>
      <c r="H570" s="23">
        <v>2561.3200000000002</v>
      </c>
      <c r="I570" s="23">
        <v>0</v>
      </c>
      <c r="J570" s="23">
        <v>0</v>
      </c>
      <c r="K570" s="23">
        <v>0</v>
      </c>
      <c r="L570" s="23">
        <v>-817.54</v>
      </c>
      <c r="M570" s="23">
        <v>-54</v>
      </c>
      <c r="N570" s="23">
        <v>0</v>
      </c>
      <c r="O570" s="24">
        <f t="shared" si="56"/>
        <v>1689.7800000000002</v>
      </c>
      <c r="P570" s="24">
        <v>-2300</v>
      </c>
      <c r="Q570" s="24">
        <v>0</v>
      </c>
      <c r="R570" s="24">
        <v>0</v>
      </c>
      <c r="S570" s="24">
        <v>0</v>
      </c>
      <c r="T570" s="24">
        <v>0</v>
      </c>
      <c r="U570" s="24">
        <v>0</v>
      </c>
      <c r="V570" s="24">
        <v>0</v>
      </c>
      <c r="W570" s="23">
        <f t="shared" si="57"/>
        <v>-610.2199999999998</v>
      </c>
      <c r="X570" s="23">
        <f t="shared" si="58"/>
        <v>0</v>
      </c>
      <c r="Y570" s="23">
        <f t="shared" si="59"/>
        <v>-610.2199999999998</v>
      </c>
      <c r="Z570" s="24">
        <v>610</v>
      </c>
      <c r="AA570" s="23">
        <f t="shared" si="60"/>
        <v>-0.21999999999979991</v>
      </c>
      <c r="AB570" s="23">
        <f t="shared" si="61"/>
        <v>2299.5600000000004</v>
      </c>
      <c r="AC570" s="20" t="s">
        <v>297</v>
      </c>
      <c r="AD570" s="20" t="s">
        <v>251</v>
      </c>
      <c r="AE570" s="11" t="str">
        <f t="shared" si="62"/>
        <v>BAJA DE PLACAS30</v>
      </c>
    </row>
    <row r="571" spans="1:31" ht="12.75" hidden="1" customHeight="1" x14ac:dyDescent="0.3">
      <c r="A571" s="8">
        <v>30</v>
      </c>
      <c r="B571" s="20" t="s">
        <v>5</v>
      </c>
      <c r="C571" s="20" t="s">
        <v>28</v>
      </c>
      <c r="D571" s="20" t="s">
        <v>274</v>
      </c>
      <c r="E571" s="22" t="s">
        <v>232</v>
      </c>
      <c r="F571" s="20" t="s">
        <v>232</v>
      </c>
      <c r="G571" s="22" t="s">
        <v>234</v>
      </c>
      <c r="H571" s="23">
        <v>2670.57</v>
      </c>
      <c r="I571" s="23">
        <v>-19.2</v>
      </c>
      <c r="J571" s="23">
        <v>0</v>
      </c>
      <c r="K571" s="23">
        <v>0</v>
      </c>
      <c r="L571" s="23">
        <v>-89.98</v>
      </c>
      <c r="M571" s="23">
        <v>-65</v>
      </c>
      <c r="N571" s="23">
        <v>0</v>
      </c>
      <c r="O571" s="24">
        <f t="shared" si="56"/>
        <v>2496.3900000000003</v>
      </c>
      <c r="P571" s="24">
        <v>-2500</v>
      </c>
      <c r="Q571" s="24">
        <v>-893</v>
      </c>
      <c r="R571" s="24">
        <v>0</v>
      </c>
      <c r="S571" s="24">
        <v>0</v>
      </c>
      <c r="T571" s="24">
        <v>0</v>
      </c>
      <c r="U571" s="24">
        <v>0</v>
      </c>
      <c r="V571" s="24">
        <v>0</v>
      </c>
      <c r="W571" s="23">
        <f t="shared" si="57"/>
        <v>-896.60999999999967</v>
      </c>
      <c r="X571" s="23">
        <f t="shared" si="58"/>
        <v>0</v>
      </c>
      <c r="Y571" s="23">
        <f t="shared" si="59"/>
        <v>-896.60999999999967</v>
      </c>
      <c r="Z571" s="24">
        <v>400</v>
      </c>
      <c r="AA571" s="23">
        <f t="shared" si="60"/>
        <v>-496.60999999999967</v>
      </c>
      <c r="AB571" s="23">
        <f t="shared" si="61"/>
        <v>2399.7800000000007</v>
      </c>
      <c r="AC571" s="20" t="s">
        <v>297</v>
      </c>
      <c r="AD571" s="20" t="str">
        <f>VLOOKUP($C571,'[1]CTRL AUTOS'!$E:$AH,2,0)</f>
        <v>NCT814A</v>
      </c>
      <c r="AE571" s="11" t="str">
        <f t="shared" si="62"/>
        <v>NCT814A30</v>
      </c>
    </row>
    <row r="572" spans="1:31" ht="12.75" hidden="1" customHeight="1" x14ac:dyDescent="0.3">
      <c r="A572" s="8">
        <v>30</v>
      </c>
      <c r="B572" s="20" t="s">
        <v>362</v>
      </c>
      <c r="C572" s="20" t="s">
        <v>50</v>
      </c>
      <c r="D572" s="20" t="s">
        <v>267</v>
      </c>
      <c r="E572" s="22" t="s">
        <v>232</v>
      </c>
      <c r="F572" s="20" t="s">
        <v>232</v>
      </c>
      <c r="G572" s="22" t="s">
        <v>234</v>
      </c>
      <c r="H572" s="23">
        <v>1740.04</v>
      </c>
      <c r="I572" s="23">
        <v>0</v>
      </c>
      <c r="J572" s="23">
        <v>0</v>
      </c>
      <c r="K572" s="23">
        <v>0</v>
      </c>
      <c r="L572" s="23">
        <v>-380.5</v>
      </c>
      <c r="M572" s="23">
        <v>-65</v>
      </c>
      <c r="N572" s="23">
        <v>0</v>
      </c>
      <c r="O572" s="24">
        <f t="shared" si="56"/>
        <v>1294.54</v>
      </c>
      <c r="P572" s="24">
        <v>-2500</v>
      </c>
      <c r="Q572" s="24">
        <v>0</v>
      </c>
      <c r="R572" s="24">
        <v>-500</v>
      </c>
      <c r="S572" s="24">
        <v>0</v>
      </c>
      <c r="T572" s="24">
        <v>0</v>
      </c>
      <c r="U572" s="24">
        <v>0</v>
      </c>
      <c r="V572" s="24">
        <v>0</v>
      </c>
      <c r="W572" s="23">
        <f t="shared" si="57"/>
        <v>-1705.46</v>
      </c>
      <c r="X572" s="23">
        <f t="shared" si="58"/>
        <v>0</v>
      </c>
      <c r="Y572" s="23">
        <f t="shared" si="59"/>
        <v>-1705.46</v>
      </c>
      <c r="Z572" s="24">
        <f>885+320</f>
        <v>1205</v>
      </c>
      <c r="AA572" s="23">
        <f t="shared" si="60"/>
        <v>-500.46000000000004</v>
      </c>
      <c r="AB572" s="23">
        <f t="shared" si="61"/>
        <v>1999.08</v>
      </c>
      <c r="AC572" s="20" t="s">
        <v>297</v>
      </c>
      <c r="AD572" s="20" t="str">
        <f>VLOOKUP($C572,'[1]CTRL AUTOS'!$E:$AH,2,0)</f>
        <v>NBS225A</v>
      </c>
      <c r="AE572" s="11" t="str">
        <f t="shared" si="62"/>
        <v>NBS225A30</v>
      </c>
    </row>
    <row r="573" spans="1:31" ht="12.75" hidden="1" customHeight="1" x14ac:dyDescent="0.3">
      <c r="A573" s="8">
        <v>30</v>
      </c>
      <c r="B573" s="20" t="s">
        <v>76</v>
      </c>
      <c r="C573" s="20" t="s">
        <v>104</v>
      </c>
      <c r="D573" s="20" t="s">
        <v>367</v>
      </c>
      <c r="E573" s="20" t="s">
        <v>364</v>
      </c>
      <c r="F573" s="22" t="s">
        <v>364</v>
      </c>
      <c r="G573" s="22" t="s">
        <v>234</v>
      </c>
      <c r="H573" s="23">
        <v>2520</v>
      </c>
      <c r="I573" s="23">
        <v>0</v>
      </c>
      <c r="J573" s="23">
        <v>0</v>
      </c>
      <c r="K573" s="23">
        <v>-25.47</v>
      </c>
      <c r="L573" s="23">
        <v>-1056.54</v>
      </c>
      <c r="M573" s="23">
        <v>0</v>
      </c>
      <c r="N573" s="23">
        <v>0</v>
      </c>
      <c r="O573" s="24">
        <f t="shared" si="56"/>
        <v>1437.9900000000002</v>
      </c>
      <c r="P573" s="23">
        <v>-2500</v>
      </c>
      <c r="Q573" s="24">
        <v>0</v>
      </c>
      <c r="R573" s="23">
        <v>-500</v>
      </c>
      <c r="S573" s="23">
        <v>0</v>
      </c>
      <c r="T573" s="23">
        <v>0</v>
      </c>
      <c r="U573" s="24">
        <v>609</v>
      </c>
      <c r="V573" s="23">
        <v>0</v>
      </c>
      <c r="W573" s="23">
        <f t="shared" si="57"/>
        <v>-953.00999999999976</v>
      </c>
      <c r="X573" s="23">
        <f t="shared" si="58"/>
        <v>0</v>
      </c>
      <c r="Y573" s="23">
        <f t="shared" si="59"/>
        <v>-953.00999999999976</v>
      </c>
      <c r="Z573" s="24">
        <v>0</v>
      </c>
      <c r="AA573" s="23">
        <f t="shared" si="60"/>
        <v>-953.00999999999976</v>
      </c>
      <c r="AB573" s="23">
        <f t="shared" si="61"/>
        <v>484.98000000000047</v>
      </c>
      <c r="AC573" s="20"/>
      <c r="AD573" s="20" t="e">
        <f>VLOOKUP($C573,'[1]CTRL AUTOS'!$E:$AH,2,0)</f>
        <v>#N/A</v>
      </c>
      <c r="AE573" s="11" t="e">
        <f t="shared" si="62"/>
        <v>#N/A</v>
      </c>
    </row>
    <row r="574" spans="1:31" ht="12.75" hidden="1" customHeight="1" x14ac:dyDescent="0.3">
      <c r="A574" s="8">
        <v>30</v>
      </c>
      <c r="B574" s="20" t="s">
        <v>98</v>
      </c>
      <c r="C574" s="20" t="s">
        <v>168</v>
      </c>
      <c r="D574" s="20" t="s">
        <v>265</v>
      </c>
      <c r="E574" s="22" t="s">
        <v>232</v>
      </c>
      <c r="F574" s="20" t="s">
        <v>232</v>
      </c>
      <c r="G574" s="22" t="s">
        <v>234</v>
      </c>
      <c r="H574" s="23">
        <v>4148.82</v>
      </c>
      <c r="I574" s="23">
        <v>0</v>
      </c>
      <c r="J574" s="23">
        <v>0</v>
      </c>
      <c r="K574" s="23">
        <v>0</v>
      </c>
      <c r="L574" s="23">
        <v>0</v>
      </c>
      <c r="M574" s="23">
        <v>-65</v>
      </c>
      <c r="N574" s="23">
        <v>0</v>
      </c>
      <c r="O574" s="24">
        <f t="shared" si="56"/>
        <v>4083.8199999999997</v>
      </c>
      <c r="P574" s="24">
        <v>-2500</v>
      </c>
      <c r="Q574" s="24">
        <v>0</v>
      </c>
      <c r="R574" s="24">
        <v>-500</v>
      </c>
      <c r="S574" s="24">
        <v>0</v>
      </c>
      <c r="T574" s="24">
        <v>0</v>
      </c>
      <c r="U574" s="24">
        <v>0</v>
      </c>
      <c r="V574" s="24">
        <v>0</v>
      </c>
      <c r="W574" s="23">
        <f t="shared" si="57"/>
        <v>1083.8199999999997</v>
      </c>
      <c r="X574" s="23">
        <f t="shared" si="58"/>
        <v>1083.8199999999997</v>
      </c>
      <c r="Y574" s="23">
        <f t="shared" si="59"/>
        <v>0</v>
      </c>
      <c r="Z574" s="24">
        <v>0</v>
      </c>
      <c r="AA574" s="23">
        <f t="shared" si="60"/>
        <v>0</v>
      </c>
      <c r="AB574" s="23">
        <f t="shared" si="61"/>
        <v>3000</v>
      </c>
      <c r="AC574" s="20" t="s">
        <v>389</v>
      </c>
      <c r="AD574" s="20" t="e">
        <f>VLOOKUP($C574,'[1]CTRL AUTOS'!$E:$AH,2,0)</f>
        <v>#N/A</v>
      </c>
      <c r="AE574" s="11" t="e">
        <f t="shared" si="62"/>
        <v>#N/A</v>
      </c>
    </row>
    <row r="575" spans="1:31" ht="12.75" hidden="1" customHeight="1" x14ac:dyDescent="0.3">
      <c r="A575" s="8">
        <v>31</v>
      </c>
      <c r="B575" s="20" t="s">
        <v>80</v>
      </c>
      <c r="C575" s="20" t="s">
        <v>81</v>
      </c>
      <c r="D575" s="20" t="s">
        <v>317</v>
      </c>
      <c r="E575" s="22" t="s">
        <v>232</v>
      </c>
      <c r="F575" s="20" t="s">
        <v>232</v>
      </c>
      <c r="G575" s="22" t="s">
        <v>234</v>
      </c>
      <c r="H575" s="23">
        <v>517.02</v>
      </c>
      <c r="I575" s="23">
        <v>0</v>
      </c>
      <c r="J575" s="23">
        <v>0</v>
      </c>
      <c r="K575" s="23">
        <v>0</v>
      </c>
      <c r="L575" s="23">
        <v>-256.83</v>
      </c>
      <c r="M575" s="23">
        <v>-65</v>
      </c>
      <c r="N575" s="23">
        <v>0</v>
      </c>
      <c r="O575" s="24">
        <f t="shared" si="56"/>
        <v>195.19</v>
      </c>
      <c r="P575" s="24">
        <v>-2500</v>
      </c>
      <c r="Q575" s="24">
        <v>0</v>
      </c>
      <c r="R575" s="24">
        <v>0</v>
      </c>
      <c r="S575" s="24">
        <v>0</v>
      </c>
      <c r="T575" s="24">
        <v>-500</v>
      </c>
      <c r="U575" s="24">
        <v>0</v>
      </c>
      <c r="V575" s="24">
        <v>0</v>
      </c>
      <c r="W575" s="23">
        <f t="shared" si="57"/>
        <v>-2804.81</v>
      </c>
      <c r="X575" s="23">
        <f t="shared" si="58"/>
        <v>0</v>
      </c>
      <c r="Y575" s="23">
        <f t="shared" si="59"/>
        <v>-2804.81</v>
      </c>
      <c r="Z575" s="24">
        <v>2805</v>
      </c>
      <c r="AA575" s="23">
        <f t="shared" si="60"/>
        <v>0.19000000000005457</v>
      </c>
      <c r="AB575" s="23">
        <f t="shared" si="61"/>
        <v>3000.38</v>
      </c>
      <c r="AC575" s="20"/>
      <c r="AD575" s="20" t="str">
        <f>VLOOKUP($C575,'[1]CTRL AUTOS'!$E:$AH,2,0)</f>
        <v>NLP172B</v>
      </c>
      <c r="AE575" s="11" t="str">
        <f t="shared" si="62"/>
        <v>NLP172B31</v>
      </c>
    </row>
    <row r="576" spans="1:31" ht="12.75" hidden="1" customHeight="1" x14ac:dyDescent="0.3">
      <c r="A576" s="8">
        <v>31</v>
      </c>
      <c r="B576" s="20" t="s">
        <v>111</v>
      </c>
      <c r="C576" s="20" t="s">
        <v>63</v>
      </c>
      <c r="D576" s="20" t="s">
        <v>374</v>
      </c>
      <c r="E576" s="20" t="s">
        <v>291</v>
      </c>
      <c r="F576" s="20" t="s">
        <v>291</v>
      </c>
      <c r="G576" s="22" t="s">
        <v>234</v>
      </c>
      <c r="H576" s="23">
        <v>6215.22</v>
      </c>
      <c r="I576" s="23">
        <v>0</v>
      </c>
      <c r="J576" s="23">
        <v>0</v>
      </c>
      <c r="K576" s="23">
        <v>0</v>
      </c>
      <c r="L576" s="23">
        <v>-2114.19</v>
      </c>
      <c r="M576" s="23">
        <v>-75</v>
      </c>
      <c r="N576" s="23">
        <v>0</v>
      </c>
      <c r="O576" s="24">
        <f t="shared" si="56"/>
        <v>4026.0300000000007</v>
      </c>
      <c r="P576" s="24">
        <v>-2500</v>
      </c>
      <c r="Q576" s="24">
        <v>0</v>
      </c>
      <c r="R576" s="24">
        <v>0</v>
      </c>
      <c r="S576" s="24">
        <v>0</v>
      </c>
      <c r="T576" s="24">
        <v>-500</v>
      </c>
      <c r="U576" s="24">
        <v>0</v>
      </c>
      <c r="V576" s="24">
        <v>0</v>
      </c>
      <c r="W576" s="23">
        <f t="shared" si="57"/>
        <v>1026.0300000000007</v>
      </c>
      <c r="X576" s="23">
        <f t="shared" si="58"/>
        <v>1026.0300000000007</v>
      </c>
      <c r="Y576" s="23">
        <f t="shared" si="59"/>
        <v>0</v>
      </c>
      <c r="Z576" s="24">
        <v>0</v>
      </c>
      <c r="AA576" s="23">
        <f t="shared" si="60"/>
        <v>0</v>
      </c>
      <c r="AB576" s="23">
        <f t="shared" si="61"/>
        <v>3000</v>
      </c>
      <c r="AC576" s="20"/>
      <c r="AD576" s="20" t="str">
        <f>VLOOKUP($C576,'[1]CTRL AUTOS'!$E:$AH,2,0)</f>
        <v>X89ALV</v>
      </c>
      <c r="AE576" s="11" t="str">
        <f t="shared" si="62"/>
        <v>X89ALV31</v>
      </c>
    </row>
    <row r="577" spans="1:31" ht="12.75" hidden="1" customHeight="1" x14ac:dyDescent="0.3">
      <c r="A577" s="8">
        <v>31</v>
      </c>
      <c r="B577" s="20" t="s">
        <v>23</v>
      </c>
      <c r="C577" s="20" t="s">
        <v>106</v>
      </c>
      <c r="D577" s="20" t="s">
        <v>322</v>
      </c>
      <c r="E577" s="22" t="s">
        <v>232</v>
      </c>
      <c r="F577" s="20" t="s">
        <v>232</v>
      </c>
      <c r="G577" s="22" t="s">
        <v>234</v>
      </c>
      <c r="H577" s="23">
        <v>8227.48</v>
      </c>
      <c r="I577" s="23">
        <v>-32.799999999999997</v>
      </c>
      <c r="J577" s="23">
        <v>0</v>
      </c>
      <c r="K577" s="23">
        <v>0</v>
      </c>
      <c r="L577" s="23">
        <v>-4971.41</v>
      </c>
      <c r="M577" s="23">
        <v>-84.55</v>
      </c>
      <c r="N577" s="23">
        <v>0</v>
      </c>
      <c r="O577" s="24">
        <f t="shared" si="56"/>
        <v>3138.7200000000003</v>
      </c>
      <c r="P577" s="24">
        <v>-2500</v>
      </c>
      <c r="Q577" s="24">
        <v>0</v>
      </c>
      <c r="R577" s="24">
        <v>0</v>
      </c>
      <c r="S577" s="24">
        <v>0</v>
      </c>
      <c r="T577" s="24">
        <v>0</v>
      </c>
      <c r="U577" s="24">
        <v>0</v>
      </c>
      <c r="V577" s="24">
        <v>0</v>
      </c>
      <c r="W577" s="23">
        <f t="shared" si="57"/>
        <v>638.72000000000025</v>
      </c>
      <c r="X577" s="23">
        <f t="shared" si="58"/>
        <v>638.72000000000025</v>
      </c>
      <c r="Y577" s="23">
        <f t="shared" si="59"/>
        <v>0</v>
      </c>
      <c r="Z577" s="24">
        <v>0</v>
      </c>
      <c r="AA577" s="23">
        <f t="shared" si="60"/>
        <v>0</v>
      </c>
      <c r="AB577" s="23">
        <f t="shared" si="61"/>
        <v>2500</v>
      </c>
      <c r="AC577" s="20"/>
      <c r="AD577" s="20" t="str">
        <f>VLOOKUP($C577,'[1]CTRL AUTOS'!$E:$AH,2,0)</f>
        <v>NZU5163</v>
      </c>
      <c r="AE577" s="11" t="str">
        <f t="shared" si="62"/>
        <v>NZU516331</v>
      </c>
    </row>
    <row r="578" spans="1:31" ht="12.75" hidden="1" customHeight="1" x14ac:dyDescent="0.3">
      <c r="A578" s="8">
        <v>31</v>
      </c>
      <c r="B578" s="20" t="s">
        <v>25</v>
      </c>
      <c r="C578" s="20" t="s">
        <v>10</v>
      </c>
      <c r="D578" s="20" t="s">
        <v>343</v>
      </c>
      <c r="E578" s="22" t="s">
        <v>232</v>
      </c>
      <c r="F578" s="20" t="s">
        <v>232</v>
      </c>
      <c r="G578" s="22" t="s">
        <v>234</v>
      </c>
      <c r="H578" s="23">
        <v>3727.72</v>
      </c>
      <c r="I578" s="23">
        <v>0</v>
      </c>
      <c r="J578" s="23">
        <v>0</v>
      </c>
      <c r="K578" s="23">
        <v>0</v>
      </c>
      <c r="L578" s="23">
        <v>-1714.41</v>
      </c>
      <c r="M578" s="23">
        <v>-65</v>
      </c>
      <c r="N578" s="23">
        <v>0</v>
      </c>
      <c r="O578" s="24">
        <f t="shared" si="56"/>
        <v>1948.3099999999997</v>
      </c>
      <c r="P578" s="24">
        <v>-2500</v>
      </c>
      <c r="Q578" s="24">
        <v>-561.12</v>
      </c>
      <c r="R578" s="24">
        <v>0</v>
      </c>
      <c r="S578" s="24">
        <v>0</v>
      </c>
      <c r="T578" s="24">
        <v>0</v>
      </c>
      <c r="U578" s="24">
        <v>0</v>
      </c>
      <c r="V578" s="24">
        <v>0</v>
      </c>
      <c r="W578" s="23">
        <f t="shared" si="57"/>
        <v>-1112.8100000000002</v>
      </c>
      <c r="X578" s="23">
        <f t="shared" si="58"/>
        <v>0</v>
      </c>
      <c r="Y578" s="23">
        <f t="shared" si="59"/>
        <v>-1112.8100000000002</v>
      </c>
      <c r="Z578" s="24">
        <v>500</v>
      </c>
      <c r="AA578" s="23">
        <f t="shared" si="60"/>
        <v>-612.81000000000017</v>
      </c>
      <c r="AB578" s="23">
        <f t="shared" si="61"/>
        <v>1835.4999999999993</v>
      </c>
      <c r="AC578" s="20"/>
      <c r="AD578" s="20" t="str">
        <f>VLOOKUP($C578,'[1]CTRL AUTOS'!$E:$AH,2,0)</f>
        <v>LRL009C</v>
      </c>
      <c r="AE578" s="11" t="str">
        <f t="shared" si="62"/>
        <v>LRL009C31</v>
      </c>
    </row>
    <row r="579" spans="1:31" ht="12.75" hidden="1" customHeight="1" x14ac:dyDescent="0.3">
      <c r="A579" s="8">
        <v>31</v>
      </c>
      <c r="B579" s="20" t="s">
        <v>359</v>
      </c>
      <c r="C579" s="20" t="s">
        <v>34</v>
      </c>
      <c r="D579" s="20" t="s">
        <v>285</v>
      </c>
      <c r="E579" s="22" t="s">
        <v>232</v>
      </c>
      <c r="F579" s="20" t="s">
        <v>232</v>
      </c>
      <c r="G579" s="22" t="s">
        <v>234</v>
      </c>
      <c r="H579" s="23">
        <v>1895.78</v>
      </c>
      <c r="I579" s="23">
        <v>-18.399999999999999</v>
      </c>
      <c r="J579" s="23">
        <v>0</v>
      </c>
      <c r="K579" s="23">
        <v>0</v>
      </c>
      <c r="L579" s="23">
        <v>0</v>
      </c>
      <c r="M579" s="23">
        <v>-75</v>
      </c>
      <c r="N579" s="23">
        <v>0</v>
      </c>
      <c r="O579" s="24">
        <f t="shared" ref="O579:O642" si="63">SUM(H579:N579)</f>
        <v>1802.3799999999999</v>
      </c>
      <c r="P579" s="24">
        <v>-2143</v>
      </c>
      <c r="Q579" s="24">
        <v>-623.84</v>
      </c>
      <c r="R579" s="24">
        <v>-500</v>
      </c>
      <c r="S579" s="24">
        <v>0</v>
      </c>
      <c r="T579" s="24">
        <v>0</v>
      </c>
      <c r="U579" s="24">
        <v>0</v>
      </c>
      <c r="V579" s="24">
        <v>0</v>
      </c>
      <c r="W579" s="23">
        <f t="shared" ref="W579:W642" si="64">+O579+SUM(P579:V579)</f>
        <v>-1464.4600000000003</v>
      </c>
      <c r="X579" s="23">
        <f t="shared" ref="X579:X642" si="65">IF(W579&gt;=0,W579,0)</f>
        <v>0</v>
      </c>
      <c r="Y579" s="23">
        <f t="shared" ref="Y579:Y642" si="66">IF(W579&lt;=0,W579,0)</f>
        <v>-1464.4600000000003</v>
      </c>
      <c r="Z579" s="24">
        <f>1064+400</f>
        <v>1464</v>
      </c>
      <c r="AA579" s="23">
        <f t="shared" ref="AA579:AA642" si="67">+Y579+Z579</f>
        <v>-0.46000000000026375</v>
      </c>
      <c r="AB579" s="23">
        <f t="shared" ref="AB579:AB642" si="68">+O579-X579+Z579+AA579</f>
        <v>3265.92</v>
      </c>
      <c r="AC579" s="20"/>
      <c r="AD579" s="20" t="str">
        <f>VLOOKUP($C579,'[1]CTRL AUTOS'!$E:$AH,2,0)</f>
        <v>X59AWG</v>
      </c>
      <c r="AE579" s="11" t="str">
        <f t="shared" si="62"/>
        <v>X59AWG31</v>
      </c>
    </row>
    <row r="580" spans="1:31" ht="12.75" hidden="1" customHeight="1" x14ac:dyDescent="0.3">
      <c r="A580" s="8">
        <v>31</v>
      </c>
      <c r="B580" s="20" t="s">
        <v>72</v>
      </c>
      <c r="C580" s="20" t="s">
        <v>73</v>
      </c>
      <c r="D580" s="20" t="s">
        <v>368</v>
      </c>
      <c r="E580" s="22" t="s">
        <v>241</v>
      </c>
      <c r="F580" s="20" t="s">
        <v>291</v>
      </c>
      <c r="G580" s="22" t="s">
        <v>234</v>
      </c>
      <c r="H580" s="23">
        <v>7518.16</v>
      </c>
      <c r="I580" s="23">
        <v>0</v>
      </c>
      <c r="J580" s="23">
        <v>0</v>
      </c>
      <c r="K580" s="23">
        <v>-80.05</v>
      </c>
      <c r="L580" s="23">
        <v>-3682.56</v>
      </c>
      <c r="M580" s="23">
        <v>-65</v>
      </c>
      <c r="N580" s="23">
        <v>-300.86</v>
      </c>
      <c r="O580" s="24">
        <f t="shared" si="63"/>
        <v>3389.6899999999996</v>
      </c>
      <c r="P580" s="24">
        <v>-2500</v>
      </c>
      <c r="Q580" s="24">
        <v>-418</v>
      </c>
      <c r="R580" s="24">
        <v>0</v>
      </c>
      <c r="S580" s="24">
        <v>0</v>
      </c>
      <c r="T580" s="24">
        <v>0</v>
      </c>
      <c r="U580" s="24">
        <v>-800</v>
      </c>
      <c r="V580" s="24">
        <v>0</v>
      </c>
      <c r="W580" s="23">
        <f t="shared" si="64"/>
        <v>-328.3100000000004</v>
      </c>
      <c r="X580" s="23">
        <f t="shared" si="65"/>
        <v>0</v>
      </c>
      <c r="Y580" s="23">
        <f t="shared" si="66"/>
        <v>-328.3100000000004</v>
      </c>
      <c r="Z580" s="24">
        <f>270+58</f>
        <v>328</v>
      </c>
      <c r="AA580" s="23">
        <f t="shared" si="67"/>
        <v>-0.31000000000040018</v>
      </c>
      <c r="AB580" s="23">
        <f t="shared" si="68"/>
        <v>3717.3799999999992</v>
      </c>
      <c r="AC580" s="20" t="s">
        <v>390</v>
      </c>
      <c r="AD580" s="20" t="str">
        <f>VLOOKUP($C580,'[1]CTRL AUTOS'!$E:$AH,2,0)</f>
        <v>H99BLC</v>
      </c>
      <c r="AE580" s="11" t="str">
        <f t="shared" ref="AE580:AE643" si="69">AD580&amp;A580</f>
        <v>H99BLC31</v>
      </c>
    </row>
    <row r="581" spans="1:31" ht="12.75" hidden="1" customHeight="1" x14ac:dyDescent="0.3">
      <c r="A581" s="8">
        <v>31</v>
      </c>
      <c r="B581" s="20" t="s">
        <v>292</v>
      </c>
      <c r="C581" s="20" t="s">
        <v>52</v>
      </c>
      <c r="D581" s="20" t="s">
        <v>313</v>
      </c>
      <c r="E581" s="22" t="s">
        <v>232</v>
      </c>
      <c r="F581" s="20" t="s">
        <v>232</v>
      </c>
      <c r="G581" s="22" t="s">
        <v>234</v>
      </c>
      <c r="H581" s="23">
        <v>9006.56</v>
      </c>
      <c r="I581" s="23">
        <v>0</v>
      </c>
      <c r="J581" s="23">
        <v>0</v>
      </c>
      <c r="K581" s="23">
        <v>0</v>
      </c>
      <c r="L581" s="23">
        <v>-2378.9</v>
      </c>
      <c r="M581" s="23">
        <v>-69.760000000000005</v>
      </c>
      <c r="N581" s="23">
        <v>0</v>
      </c>
      <c r="O581" s="24">
        <f t="shared" si="63"/>
        <v>6557.9</v>
      </c>
      <c r="P581" s="24">
        <v>-2500</v>
      </c>
      <c r="Q581" s="24">
        <v>0</v>
      </c>
      <c r="R581" s="24">
        <v>0</v>
      </c>
      <c r="S581" s="24">
        <v>0</v>
      </c>
      <c r="T581" s="24">
        <v>0</v>
      </c>
      <c r="U581" s="24">
        <v>0</v>
      </c>
      <c r="V581" s="24">
        <v>-1000</v>
      </c>
      <c r="W581" s="23">
        <f t="shared" si="64"/>
        <v>3057.8999999999996</v>
      </c>
      <c r="X581" s="23">
        <f t="shared" si="65"/>
        <v>3057.8999999999996</v>
      </c>
      <c r="Y581" s="23">
        <f t="shared" si="66"/>
        <v>0</v>
      </c>
      <c r="Z581" s="24">
        <v>0</v>
      </c>
      <c r="AA581" s="23">
        <f t="shared" si="67"/>
        <v>0</v>
      </c>
      <c r="AB581" s="23">
        <f t="shared" si="68"/>
        <v>3500</v>
      </c>
      <c r="AC581" s="20"/>
      <c r="AD581" s="20" t="str">
        <f>VLOOKUP($C581,'[1]CTRL AUTOS'!$E:$AH,2,0)</f>
        <v>A35BHD</v>
      </c>
      <c r="AE581" s="11" t="str">
        <f t="shared" si="69"/>
        <v>A35BHD31</v>
      </c>
    </row>
    <row r="582" spans="1:31" ht="12.75" hidden="1" customHeight="1" x14ac:dyDescent="0.3">
      <c r="A582" s="8">
        <v>31</v>
      </c>
      <c r="B582" s="20" t="s">
        <v>375</v>
      </c>
      <c r="C582" s="20" t="s">
        <v>40</v>
      </c>
      <c r="D582" s="20" t="s">
        <v>315</v>
      </c>
      <c r="E582" s="22" t="s">
        <v>232</v>
      </c>
      <c r="F582" s="20" t="s">
        <v>232</v>
      </c>
      <c r="G582" s="22" t="s">
        <v>234</v>
      </c>
      <c r="H582" s="23">
        <v>0</v>
      </c>
      <c r="I582" s="23">
        <v>0</v>
      </c>
      <c r="J582" s="23">
        <v>0</v>
      </c>
      <c r="K582" s="23">
        <v>0</v>
      </c>
      <c r="L582" s="23">
        <v>0</v>
      </c>
      <c r="M582" s="23">
        <v>0</v>
      </c>
      <c r="N582" s="23">
        <v>0</v>
      </c>
      <c r="O582" s="24">
        <f t="shared" si="63"/>
        <v>0</v>
      </c>
      <c r="P582" s="24">
        <v>-2500</v>
      </c>
      <c r="Q582" s="24">
        <v>0</v>
      </c>
      <c r="R582" s="24">
        <v>-500</v>
      </c>
      <c r="S582" s="24">
        <v>0</v>
      </c>
      <c r="T582" s="24">
        <v>0</v>
      </c>
      <c r="U582" s="24">
        <v>0</v>
      </c>
      <c r="V582" s="24">
        <v>0</v>
      </c>
      <c r="W582" s="23">
        <f t="shared" si="64"/>
        <v>-3000</v>
      </c>
      <c r="X582" s="23">
        <f t="shared" si="65"/>
        <v>0</v>
      </c>
      <c r="Y582" s="23">
        <f t="shared" si="66"/>
        <v>-3000</v>
      </c>
      <c r="Z582" s="24">
        <v>3000</v>
      </c>
      <c r="AA582" s="23">
        <f t="shared" si="67"/>
        <v>0</v>
      </c>
      <c r="AB582" s="23">
        <f t="shared" si="68"/>
        <v>3000</v>
      </c>
      <c r="AC582" s="20"/>
      <c r="AD582" s="20" t="str">
        <f>VLOOKUP($C582,'[1]CTRL AUTOS'!$E:$AH,2,0)</f>
        <v>NEL860A</v>
      </c>
      <c r="AE582" s="11" t="str">
        <f t="shared" si="69"/>
        <v>NEL860A31</v>
      </c>
    </row>
    <row r="583" spans="1:31" ht="12.75" hidden="1" customHeight="1" x14ac:dyDescent="0.3">
      <c r="A583" s="8">
        <v>31</v>
      </c>
      <c r="B583" s="20" t="s">
        <v>57</v>
      </c>
      <c r="C583" s="20" t="s">
        <v>16</v>
      </c>
      <c r="D583" s="20" t="s">
        <v>314</v>
      </c>
      <c r="E583" s="20" t="s">
        <v>232</v>
      </c>
      <c r="F583" s="20" t="s">
        <v>232</v>
      </c>
      <c r="G583" s="22" t="s">
        <v>234</v>
      </c>
      <c r="H583" s="23">
        <v>9007.9</v>
      </c>
      <c r="I583" s="23">
        <v>0</v>
      </c>
      <c r="J583" s="23">
        <v>0</v>
      </c>
      <c r="K583" s="23">
        <v>0</v>
      </c>
      <c r="L583" s="23">
        <v>-2226.63</v>
      </c>
      <c r="M583" s="23">
        <v>-66</v>
      </c>
      <c r="N583" s="23">
        <v>0</v>
      </c>
      <c r="O583" s="24">
        <f t="shared" si="63"/>
        <v>6715.2699999999995</v>
      </c>
      <c r="P583" s="23">
        <v>-2500</v>
      </c>
      <c r="Q583" s="24">
        <v>0</v>
      </c>
      <c r="R583" s="23">
        <v>-500</v>
      </c>
      <c r="S583" s="23">
        <v>0</v>
      </c>
      <c r="T583" s="23">
        <v>0</v>
      </c>
      <c r="U583" s="24">
        <v>0</v>
      </c>
      <c r="V583" s="23">
        <v>0</v>
      </c>
      <c r="W583" s="23">
        <f t="shared" si="64"/>
        <v>3715.2699999999995</v>
      </c>
      <c r="X583" s="23">
        <f t="shared" si="65"/>
        <v>3715.2699999999995</v>
      </c>
      <c r="Y583" s="23">
        <f t="shared" si="66"/>
        <v>0</v>
      </c>
      <c r="Z583" s="24">
        <v>0</v>
      </c>
      <c r="AA583" s="23">
        <f t="shared" si="67"/>
        <v>0</v>
      </c>
      <c r="AB583" s="23">
        <f t="shared" si="68"/>
        <v>3000</v>
      </c>
      <c r="AC583" s="20"/>
      <c r="AD583" s="20" t="str">
        <f>VLOOKUP($C583,'[1]CTRL AUTOS'!$E:$AH,2,0)</f>
        <v>D28BET</v>
      </c>
      <c r="AE583" s="11" t="str">
        <f t="shared" si="69"/>
        <v>D28BET31</v>
      </c>
    </row>
    <row r="584" spans="1:31" ht="12.75" hidden="1" customHeight="1" x14ac:dyDescent="0.3">
      <c r="A584" s="8">
        <v>31</v>
      </c>
      <c r="B584" s="20" t="s">
        <v>288</v>
      </c>
      <c r="C584" s="20" t="s">
        <v>22</v>
      </c>
      <c r="D584" s="20" t="s">
        <v>319</v>
      </c>
      <c r="E584" s="20" t="s">
        <v>232</v>
      </c>
      <c r="F584" s="20" t="s">
        <v>232</v>
      </c>
      <c r="G584" s="22" t="s">
        <v>234</v>
      </c>
      <c r="H584" s="23">
        <v>5977.48</v>
      </c>
      <c r="I584" s="23">
        <v>0</v>
      </c>
      <c r="J584" s="23">
        <v>0</v>
      </c>
      <c r="K584" s="23">
        <v>0</v>
      </c>
      <c r="L584" s="23">
        <v>-1371.15</v>
      </c>
      <c r="M584" s="23">
        <v>-60</v>
      </c>
      <c r="N584" s="23">
        <v>-228</v>
      </c>
      <c r="O584" s="24">
        <f t="shared" si="63"/>
        <v>4318.33</v>
      </c>
      <c r="P584" s="24">
        <v>-2500</v>
      </c>
      <c r="Q584" s="24">
        <v>0</v>
      </c>
      <c r="R584" s="24">
        <v>0</v>
      </c>
      <c r="S584" s="24">
        <v>0</v>
      </c>
      <c r="T584" s="24">
        <v>0</v>
      </c>
      <c r="U584" s="24">
        <v>-500</v>
      </c>
      <c r="V584" s="24">
        <v>0</v>
      </c>
      <c r="W584" s="23">
        <f t="shared" si="64"/>
        <v>1318.33</v>
      </c>
      <c r="X584" s="23">
        <f t="shared" si="65"/>
        <v>1318.33</v>
      </c>
      <c r="Y584" s="23">
        <f t="shared" si="66"/>
        <v>0</v>
      </c>
      <c r="Z584" s="24">
        <v>0</v>
      </c>
      <c r="AA584" s="23">
        <f t="shared" si="67"/>
        <v>0</v>
      </c>
      <c r="AB584" s="23">
        <f t="shared" si="68"/>
        <v>3000</v>
      </c>
      <c r="AC584" s="20"/>
      <c r="AD584" s="20" t="str">
        <f>VLOOKUP($C584,'[1]CTRL AUTOS'!$E:$AH,2,0)</f>
        <v>NCK475B</v>
      </c>
      <c r="AE584" s="11" t="str">
        <f t="shared" si="69"/>
        <v>NCK475B31</v>
      </c>
    </row>
    <row r="585" spans="1:31" ht="12.75" hidden="1" customHeight="1" x14ac:dyDescent="0.3">
      <c r="A585" s="8">
        <v>31</v>
      </c>
      <c r="B585" s="20" t="s">
        <v>35</v>
      </c>
      <c r="C585" s="20" t="s">
        <v>97</v>
      </c>
      <c r="D585" s="20" t="s">
        <v>273</v>
      </c>
      <c r="E585" s="22" t="s">
        <v>232</v>
      </c>
      <c r="F585" s="20" t="s">
        <v>232</v>
      </c>
      <c r="G585" s="22" t="s">
        <v>234</v>
      </c>
      <c r="H585" s="23">
        <v>8256.3700000000008</v>
      </c>
      <c r="I585" s="23">
        <v>-150.4</v>
      </c>
      <c r="J585" s="23">
        <v>0</v>
      </c>
      <c r="K585" s="23">
        <v>0</v>
      </c>
      <c r="L585" s="23">
        <v>-4309.72</v>
      </c>
      <c r="M585" s="23">
        <v>-65</v>
      </c>
      <c r="N585" s="23">
        <v>0</v>
      </c>
      <c r="O585" s="24">
        <f t="shared" si="63"/>
        <v>3731.2500000000009</v>
      </c>
      <c r="P585" s="24">
        <v>-2500</v>
      </c>
      <c r="Q585" s="24">
        <v>-22</v>
      </c>
      <c r="R585" s="24">
        <v>0</v>
      </c>
      <c r="S585" s="24">
        <v>0</v>
      </c>
      <c r="T585" s="24">
        <v>0</v>
      </c>
      <c r="U585" s="24">
        <v>-500</v>
      </c>
      <c r="V585" s="24">
        <v>0</v>
      </c>
      <c r="W585" s="23">
        <f t="shared" si="64"/>
        <v>709.25000000000091</v>
      </c>
      <c r="X585" s="23">
        <f t="shared" si="65"/>
        <v>709.25000000000091</v>
      </c>
      <c r="Y585" s="23">
        <f t="shared" si="66"/>
        <v>0</v>
      </c>
      <c r="Z585" s="24">
        <v>0</v>
      </c>
      <c r="AA585" s="23">
        <f t="shared" si="67"/>
        <v>0</v>
      </c>
      <c r="AB585" s="23">
        <f t="shared" si="68"/>
        <v>3022</v>
      </c>
      <c r="AC585" s="20"/>
      <c r="AD585" s="20" t="str">
        <f>VLOOKUP($C585,'[1]CTRL AUTOS'!$E:$AH,2,0)</f>
        <v>MUF515A</v>
      </c>
      <c r="AE585" s="11" t="str">
        <f t="shared" si="69"/>
        <v>MUF515A31</v>
      </c>
    </row>
    <row r="586" spans="1:31" ht="12.75" hidden="1" customHeight="1" x14ac:dyDescent="0.3">
      <c r="A586" s="8">
        <v>31</v>
      </c>
      <c r="B586" s="20" t="s">
        <v>37</v>
      </c>
      <c r="C586" s="20" t="s">
        <v>246</v>
      </c>
      <c r="D586" s="20" t="s">
        <v>341</v>
      </c>
      <c r="E586" s="22" t="s">
        <v>232</v>
      </c>
      <c r="F586" s="20" t="s">
        <v>291</v>
      </c>
      <c r="G586" s="22" t="s">
        <v>234</v>
      </c>
      <c r="H586" s="23">
        <v>3385.22</v>
      </c>
      <c r="I586" s="23">
        <v>0</v>
      </c>
      <c r="J586" s="23">
        <v>0</v>
      </c>
      <c r="K586" s="23">
        <v>0</v>
      </c>
      <c r="L586" s="23">
        <v>-1222.45</v>
      </c>
      <c r="M586" s="23">
        <v>-65</v>
      </c>
      <c r="N586" s="23">
        <v>0</v>
      </c>
      <c r="O586" s="24">
        <f t="shared" si="63"/>
        <v>2097.7699999999995</v>
      </c>
      <c r="P586" s="24">
        <v>-2500</v>
      </c>
      <c r="Q586" s="24">
        <v>0</v>
      </c>
      <c r="R586" s="24">
        <v>0</v>
      </c>
      <c r="S586" s="24">
        <v>0</v>
      </c>
      <c r="T586" s="24">
        <v>-500</v>
      </c>
      <c r="U586" s="24">
        <v>0</v>
      </c>
      <c r="V586" s="24">
        <v>0</v>
      </c>
      <c r="W586" s="23">
        <f t="shared" si="64"/>
        <v>-902.23000000000047</v>
      </c>
      <c r="X586" s="23">
        <f t="shared" si="65"/>
        <v>0</v>
      </c>
      <c r="Y586" s="23">
        <f t="shared" si="66"/>
        <v>-902.23000000000047</v>
      </c>
      <c r="Z586" s="24">
        <v>900</v>
      </c>
      <c r="AA586" s="23">
        <f t="shared" si="67"/>
        <v>-2.2300000000004729</v>
      </c>
      <c r="AB586" s="23">
        <f t="shared" si="68"/>
        <v>2995.5399999999991</v>
      </c>
      <c r="AC586" s="20"/>
      <c r="AD586" s="20" t="s">
        <v>248</v>
      </c>
      <c r="AE586" s="11" t="str">
        <f t="shared" si="69"/>
        <v>X24APU31</v>
      </c>
    </row>
    <row r="587" spans="1:31" ht="12.75" hidden="1" customHeight="1" x14ac:dyDescent="0.3">
      <c r="A587" s="8">
        <v>31</v>
      </c>
      <c r="B587" s="20" t="s">
        <v>361</v>
      </c>
      <c r="C587" s="20" t="s">
        <v>56</v>
      </c>
      <c r="D587" s="20" t="s">
        <v>336</v>
      </c>
      <c r="E587" s="22" t="s">
        <v>241</v>
      </c>
      <c r="F587" s="20" t="s">
        <v>291</v>
      </c>
      <c r="G587" s="22" t="s">
        <v>234</v>
      </c>
      <c r="H587" s="23">
        <v>6733.78</v>
      </c>
      <c r="I587" s="23">
        <v>-134.4</v>
      </c>
      <c r="J587" s="23">
        <v>0</v>
      </c>
      <c r="K587" s="23">
        <v>0</v>
      </c>
      <c r="L587" s="23">
        <v>-1008.31</v>
      </c>
      <c r="M587" s="23">
        <v>-65</v>
      </c>
      <c r="N587" s="23">
        <v>0</v>
      </c>
      <c r="O587" s="24">
        <f t="shared" si="63"/>
        <v>5526.07</v>
      </c>
      <c r="P587" s="24">
        <v>-2500</v>
      </c>
      <c r="Q587" s="24">
        <v>0</v>
      </c>
      <c r="R587" s="24">
        <v>-500</v>
      </c>
      <c r="S587" s="24">
        <v>0</v>
      </c>
      <c r="T587" s="24">
        <v>0</v>
      </c>
      <c r="U587" s="24">
        <v>0</v>
      </c>
      <c r="V587" s="24">
        <v>0</v>
      </c>
      <c r="W587" s="23">
        <f t="shared" si="64"/>
        <v>2526.0699999999997</v>
      </c>
      <c r="X587" s="23">
        <f t="shared" si="65"/>
        <v>2526.0699999999997</v>
      </c>
      <c r="Y587" s="23">
        <f t="shared" si="66"/>
        <v>0</v>
      </c>
      <c r="Z587" s="24">
        <v>0</v>
      </c>
      <c r="AA587" s="23">
        <f t="shared" si="67"/>
        <v>0</v>
      </c>
      <c r="AB587" s="23">
        <f t="shared" si="68"/>
        <v>3000</v>
      </c>
      <c r="AC587" s="20"/>
      <c r="AD587" s="20" t="str">
        <f>VLOOKUP($C587,'[1]CTRL AUTOS'!$E:$AH,2,0)</f>
        <v>MYE912A</v>
      </c>
      <c r="AE587" s="11" t="str">
        <f t="shared" si="69"/>
        <v>MYE912A31</v>
      </c>
    </row>
    <row r="588" spans="1:31" ht="12.75" hidden="1" customHeight="1" x14ac:dyDescent="0.3">
      <c r="A588" s="8">
        <v>31</v>
      </c>
      <c r="B588" s="20" t="s">
        <v>388</v>
      </c>
      <c r="C588" s="20" t="s">
        <v>69</v>
      </c>
      <c r="D588" s="20" t="s">
        <v>370</v>
      </c>
      <c r="E588" s="22" t="s">
        <v>241</v>
      </c>
      <c r="F588" s="20" t="s">
        <v>291</v>
      </c>
      <c r="G588" s="22" t="s">
        <v>234</v>
      </c>
      <c r="H588" s="23">
        <v>808.16</v>
      </c>
      <c r="I588" s="23">
        <v>0</v>
      </c>
      <c r="J588" s="23">
        <v>0</v>
      </c>
      <c r="K588" s="23">
        <v>0</v>
      </c>
      <c r="L588" s="23">
        <v>0</v>
      </c>
      <c r="M588" s="23">
        <v>-65</v>
      </c>
      <c r="N588" s="23">
        <v>0</v>
      </c>
      <c r="O588" s="24">
        <f t="shared" si="63"/>
        <v>743.16</v>
      </c>
      <c r="P588" s="23">
        <v>-2500</v>
      </c>
      <c r="Q588" s="24">
        <v>1996</v>
      </c>
      <c r="R588" s="23">
        <v>-500</v>
      </c>
      <c r="S588" s="23">
        <v>0</v>
      </c>
      <c r="T588" s="23">
        <v>0</v>
      </c>
      <c r="U588" s="24">
        <v>1260</v>
      </c>
      <c r="V588" s="23">
        <v>0</v>
      </c>
      <c r="W588" s="23">
        <f t="shared" si="64"/>
        <v>999.16</v>
      </c>
      <c r="X588" s="23">
        <f t="shared" si="65"/>
        <v>999.16</v>
      </c>
      <c r="Y588" s="23">
        <f t="shared" si="66"/>
        <v>0</v>
      </c>
      <c r="Z588" s="23">
        <v>0</v>
      </c>
      <c r="AA588" s="23">
        <f t="shared" si="67"/>
        <v>0</v>
      </c>
      <c r="AB588" s="23">
        <f t="shared" si="68"/>
        <v>-256</v>
      </c>
      <c r="AC588" s="20" t="s">
        <v>391</v>
      </c>
      <c r="AD588" s="20" t="str">
        <f>VLOOKUP($C588,'[1]CTRL AUTOS'!$E:$AH,2,0)</f>
        <v>R51BKD</v>
      </c>
      <c r="AE588" s="11" t="str">
        <f t="shared" si="69"/>
        <v>R51BKD31</v>
      </c>
    </row>
    <row r="589" spans="1:31" ht="12.75" hidden="1" customHeight="1" x14ac:dyDescent="0.3">
      <c r="A589" s="8">
        <v>31</v>
      </c>
      <c r="B589" s="20" t="s">
        <v>331</v>
      </c>
      <c r="C589" s="20" t="s">
        <v>46</v>
      </c>
      <c r="D589" s="20" t="s">
        <v>257</v>
      </c>
      <c r="E589" s="22" t="s">
        <v>232</v>
      </c>
      <c r="F589" s="20" t="s">
        <v>232</v>
      </c>
      <c r="G589" s="22" t="s">
        <v>234</v>
      </c>
      <c r="H589" s="23">
        <v>2305.08</v>
      </c>
      <c r="I589" s="23">
        <v>0</v>
      </c>
      <c r="J589" s="23">
        <v>0</v>
      </c>
      <c r="K589" s="23">
        <v>0</v>
      </c>
      <c r="L589" s="23">
        <v>0</v>
      </c>
      <c r="M589" s="23">
        <v>-60</v>
      </c>
      <c r="N589" s="23">
        <v>-377.25</v>
      </c>
      <c r="O589" s="24">
        <f t="shared" si="63"/>
        <v>1867.83</v>
      </c>
      <c r="P589" s="24">
        <v>-2500</v>
      </c>
      <c r="Q589" s="24">
        <v>-1741.6</v>
      </c>
      <c r="R589" s="24">
        <v>0</v>
      </c>
      <c r="S589" s="24">
        <v>0</v>
      </c>
      <c r="T589" s="24">
        <v>0</v>
      </c>
      <c r="U589" s="24">
        <v>0</v>
      </c>
      <c r="V589" s="24">
        <v>0</v>
      </c>
      <c r="W589" s="23">
        <f t="shared" si="64"/>
        <v>-2373.7700000000004</v>
      </c>
      <c r="X589" s="23">
        <f t="shared" si="65"/>
        <v>0</v>
      </c>
      <c r="Y589" s="23">
        <f t="shared" si="66"/>
        <v>-2373.7700000000004</v>
      </c>
      <c r="Z589" s="24">
        <v>0</v>
      </c>
      <c r="AA589" s="23">
        <f t="shared" si="67"/>
        <v>-2373.7700000000004</v>
      </c>
      <c r="AB589" s="23">
        <f t="shared" si="68"/>
        <v>-505.94000000000051</v>
      </c>
      <c r="AC589" s="20"/>
      <c r="AD589" s="20" t="str">
        <f>VLOOKUP($C589,'[1]CTRL AUTOS'!$E:$AH,2,0)</f>
        <v>R66BER</v>
      </c>
      <c r="AE589" s="11" t="str">
        <f t="shared" si="69"/>
        <v>R66BER31</v>
      </c>
    </row>
    <row r="590" spans="1:31" ht="12.75" hidden="1" customHeight="1" x14ac:dyDescent="0.3">
      <c r="A590" s="8">
        <v>31</v>
      </c>
      <c r="B590" s="20" t="s">
        <v>372</v>
      </c>
      <c r="C590" s="20" t="s">
        <v>4</v>
      </c>
      <c r="D590" s="20" t="s">
        <v>245</v>
      </c>
      <c r="E590" s="22" t="s">
        <v>232</v>
      </c>
      <c r="F590" s="20" t="s">
        <v>232</v>
      </c>
      <c r="G590" s="22" t="s">
        <v>234</v>
      </c>
      <c r="H590" s="23">
        <v>0</v>
      </c>
      <c r="I590" s="23">
        <v>0</v>
      </c>
      <c r="J590" s="23">
        <v>0</v>
      </c>
      <c r="K590" s="23">
        <v>0</v>
      </c>
      <c r="L590" s="23">
        <v>0</v>
      </c>
      <c r="M590" s="23">
        <v>0</v>
      </c>
      <c r="N590" s="23">
        <v>-108</v>
      </c>
      <c r="O590" s="24">
        <f t="shared" si="63"/>
        <v>-108</v>
      </c>
      <c r="P590" s="24">
        <v>-1428.5</v>
      </c>
      <c r="Q590" s="24">
        <v>-3154</v>
      </c>
      <c r="R590" s="24">
        <v>1000</v>
      </c>
      <c r="S590" s="24">
        <v>0</v>
      </c>
      <c r="T590" s="24">
        <v>0</v>
      </c>
      <c r="U590" s="24">
        <v>1320</v>
      </c>
      <c r="V590" s="24">
        <v>0</v>
      </c>
      <c r="W590" s="23">
        <f t="shared" si="64"/>
        <v>-2370.5</v>
      </c>
      <c r="X590" s="23">
        <f t="shared" si="65"/>
        <v>0</v>
      </c>
      <c r="Y590" s="23">
        <f t="shared" si="66"/>
        <v>-2370.5</v>
      </c>
      <c r="Z590" s="24">
        <v>0</v>
      </c>
      <c r="AA590" s="23">
        <f t="shared" si="67"/>
        <v>-2370.5</v>
      </c>
      <c r="AB590" s="23">
        <f t="shared" si="68"/>
        <v>-2478.5</v>
      </c>
      <c r="AC590" s="20" t="s">
        <v>307</v>
      </c>
      <c r="AD590" s="20" t="str">
        <f>VLOOKUP($C590,'[1]CTRL AUTOS'!$E:$AH,2,0)</f>
        <v>N15BKD</v>
      </c>
      <c r="AE590" s="11" t="str">
        <f t="shared" si="69"/>
        <v>N15BKD31</v>
      </c>
    </row>
    <row r="591" spans="1:31" ht="12.75" hidden="1" customHeight="1" x14ac:dyDescent="0.3">
      <c r="A591" s="8">
        <v>31</v>
      </c>
      <c r="B591" s="20" t="s">
        <v>293</v>
      </c>
      <c r="C591" s="20" t="s">
        <v>34</v>
      </c>
      <c r="D591" s="20" t="s">
        <v>285</v>
      </c>
      <c r="E591" s="22" t="s">
        <v>232</v>
      </c>
      <c r="F591" s="23" t="s">
        <v>232</v>
      </c>
      <c r="G591" s="22" t="s">
        <v>234</v>
      </c>
      <c r="H591" s="23">
        <v>0</v>
      </c>
      <c r="I591" s="23">
        <v>0</v>
      </c>
      <c r="J591" s="23">
        <v>0</v>
      </c>
      <c r="K591" s="23">
        <v>0</v>
      </c>
      <c r="L591" s="23">
        <v>0</v>
      </c>
      <c r="M591" s="23">
        <v>0</v>
      </c>
      <c r="N591" s="23">
        <v>0</v>
      </c>
      <c r="O591" s="24">
        <f t="shared" si="63"/>
        <v>0</v>
      </c>
      <c r="P591" s="23">
        <v>0</v>
      </c>
      <c r="Q591" s="23">
        <v>0</v>
      </c>
      <c r="R591" s="23">
        <v>500</v>
      </c>
      <c r="S591" s="23">
        <v>0</v>
      </c>
      <c r="T591" s="23">
        <v>0</v>
      </c>
      <c r="U591" s="23">
        <v>0</v>
      </c>
      <c r="V591" s="23">
        <v>0</v>
      </c>
      <c r="W591" s="23">
        <f t="shared" si="64"/>
        <v>500</v>
      </c>
      <c r="X591" s="23">
        <f t="shared" si="65"/>
        <v>500</v>
      </c>
      <c r="Y591" s="23">
        <f t="shared" si="66"/>
        <v>0</v>
      </c>
      <c r="Z591" s="23">
        <v>0</v>
      </c>
      <c r="AA591" s="23">
        <f t="shared" si="67"/>
        <v>0</v>
      </c>
      <c r="AB591" s="23">
        <f t="shared" si="68"/>
        <v>-500</v>
      </c>
      <c r="AC591" s="20"/>
      <c r="AD591" s="20" t="str">
        <f>VLOOKUP($C591,'[1]CTRL AUTOS'!$E:$AH,2,0)</f>
        <v>X59AWG</v>
      </c>
      <c r="AE591" s="11" t="str">
        <f t="shared" si="69"/>
        <v>X59AWG31</v>
      </c>
    </row>
    <row r="592" spans="1:31" ht="12.75" hidden="1" customHeight="1" x14ac:dyDescent="0.3">
      <c r="A592" s="8">
        <v>31</v>
      </c>
      <c r="B592" s="20" t="s">
        <v>45</v>
      </c>
      <c r="C592" s="20" t="s">
        <v>249</v>
      </c>
      <c r="D592" s="20" t="s">
        <v>250</v>
      </c>
      <c r="E592" s="22" t="s">
        <v>232</v>
      </c>
      <c r="F592" s="20" t="s">
        <v>232</v>
      </c>
      <c r="G592" s="22" t="s">
        <v>234</v>
      </c>
      <c r="H592" s="23">
        <v>2489.13</v>
      </c>
      <c r="I592" s="23">
        <v>0</v>
      </c>
      <c r="J592" s="23">
        <v>0</v>
      </c>
      <c r="K592" s="23">
        <v>0</v>
      </c>
      <c r="L592" s="23">
        <v>-353.92</v>
      </c>
      <c r="M592" s="23">
        <v>-54</v>
      </c>
      <c r="N592" s="23">
        <v>0</v>
      </c>
      <c r="O592" s="24">
        <f t="shared" si="63"/>
        <v>2081.21</v>
      </c>
      <c r="P592" s="24">
        <v>-2300</v>
      </c>
      <c r="Q592" s="24">
        <v>0</v>
      </c>
      <c r="R592" s="24">
        <v>0</v>
      </c>
      <c r="S592" s="24">
        <v>0</v>
      </c>
      <c r="T592" s="24">
        <v>0</v>
      </c>
      <c r="U592" s="24">
        <v>0</v>
      </c>
      <c r="V592" s="24">
        <v>0</v>
      </c>
      <c r="W592" s="23">
        <f t="shared" si="64"/>
        <v>-218.78999999999996</v>
      </c>
      <c r="X592" s="23">
        <f t="shared" si="65"/>
        <v>0</v>
      </c>
      <c r="Y592" s="23">
        <f t="shared" si="66"/>
        <v>-218.78999999999996</v>
      </c>
      <c r="Z592" s="24">
        <v>219</v>
      </c>
      <c r="AA592" s="23">
        <f t="shared" si="67"/>
        <v>0.21000000000003638</v>
      </c>
      <c r="AB592" s="23">
        <f t="shared" si="68"/>
        <v>2300.42</v>
      </c>
      <c r="AC592" s="20"/>
      <c r="AD592" s="20" t="s">
        <v>251</v>
      </c>
      <c r="AE592" s="11" t="str">
        <f t="shared" si="69"/>
        <v>BAJA DE PLACAS31</v>
      </c>
    </row>
    <row r="593" spans="1:31" ht="12.75" hidden="1" customHeight="1" x14ac:dyDescent="0.3">
      <c r="A593" s="8">
        <v>31</v>
      </c>
      <c r="B593" s="20" t="s">
        <v>5</v>
      </c>
      <c r="C593" s="20" t="s">
        <v>28</v>
      </c>
      <c r="D593" s="20" t="s">
        <v>274</v>
      </c>
      <c r="E593" s="22" t="s">
        <v>232</v>
      </c>
      <c r="F593" s="20" t="s">
        <v>232</v>
      </c>
      <c r="G593" s="22" t="s">
        <v>234</v>
      </c>
      <c r="H593" s="23">
        <v>2723.65</v>
      </c>
      <c r="I593" s="23">
        <v>-31.2</v>
      </c>
      <c r="J593" s="23">
        <v>0</v>
      </c>
      <c r="K593" s="23">
        <v>0</v>
      </c>
      <c r="L593" s="23">
        <v>0</v>
      </c>
      <c r="M593" s="23">
        <v>-65</v>
      </c>
      <c r="N593" s="23">
        <v>-88</v>
      </c>
      <c r="O593" s="24">
        <f t="shared" si="63"/>
        <v>2539.4500000000003</v>
      </c>
      <c r="P593" s="24">
        <v>-2500</v>
      </c>
      <c r="Q593" s="24">
        <v>-556.64</v>
      </c>
      <c r="R593" s="24">
        <v>0</v>
      </c>
      <c r="S593" s="24">
        <v>0</v>
      </c>
      <c r="T593" s="24">
        <v>0</v>
      </c>
      <c r="U593" s="24">
        <v>0</v>
      </c>
      <c r="V593" s="24">
        <v>0</v>
      </c>
      <c r="W593" s="23">
        <f t="shared" si="64"/>
        <v>-517.1899999999996</v>
      </c>
      <c r="X593" s="23">
        <f t="shared" si="65"/>
        <v>0</v>
      </c>
      <c r="Y593" s="23">
        <f t="shared" si="66"/>
        <v>-517.1899999999996</v>
      </c>
      <c r="Z593" s="24">
        <v>0</v>
      </c>
      <c r="AA593" s="23">
        <f t="shared" si="67"/>
        <v>-517.1899999999996</v>
      </c>
      <c r="AB593" s="23">
        <f t="shared" si="68"/>
        <v>2022.2600000000007</v>
      </c>
      <c r="AC593" s="20"/>
      <c r="AD593" s="20" t="str">
        <f>VLOOKUP($C593,'[1]CTRL AUTOS'!$E:$AH,2,0)</f>
        <v>NCT814A</v>
      </c>
      <c r="AE593" s="11" t="str">
        <f t="shared" si="69"/>
        <v>NCT814A31</v>
      </c>
    </row>
    <row r="594" spans="1:31" ht="12.75" hidden="1" customHeight="1" x14ac:dyDescent="0.3">
      <c r="A594" s="8">
        <v>31</v>
      </c>
      <c r="B594" s="20" t="s">
        <v>362</v>
      </c>
      <c r="C594" s="20" t="s">
        <v>50</v>
      </c>
      <c r="D594" s="20" t="s">
        <v>267</v>
      </c>
      <c r="E594" s="22" t="s">
        <v>232</v>
      </c>
      <c r="F594" s="20" t="s">
        <v>232</v>
      </c>
      <c r="G594" s="22" t="s">
        <v>234</v>
      </c>
      <c r="H594" s="23">
        <v>2385.73</v>
      </c>
      <c r="I594" s="23">
        <v>0</v>
      </c>
      <c r="J594" s="23">
        <v>0</v>
      </c>
      <c r="K594" s="23">
        <v>0</v>
      </c>
      <c r="L594" s="23">
        <v>-648.05999999999995</v>
      </c>
      <c r="M594" s="23">
        <v>-65</v>
      </c>
      <c r="N594" s="23">
        <v>0</v>
      </c>
      <c r="O594" s="24">
        <f t="shared" si="63"/>
        <v>1672.67</v>
      </c>
      <c r="P594" s="24">
        <v>-2500</v>
      </c>
      <c r="Q594" s="24">
        <v>-560</v>
      </c>
      <c r="R594" s="24">
        <v>-500</v>
      </c>
      <c r="S594" s="24">
        <v>0</v>
      </c>
      <c r="T594" s="24">
        <v>0</v>
      </c>
      <c r="U594" s="24">
        <v>0</v>
      </c>
      <c r="V594" s="24">
        <v>0</v>
      </c>
      <c r="W594" s="23">
        <f t="shared" si="64"/>
        <v>-1887.33</v>
      </c>
      <c r="X594" s="23">
        <f t="shared" si="65"/>
        <v>0</v>
      </c>
      <c r="Y594" s="23">
        <f t="shared" si="66"/>
        <v>-1887.33</v>
      </c>
      <c r="Z594" s="24">
        <f>1444+290+128</f>
        <v>1862</v>
      </c>
      <c r="AA594" s="23">
        <f t="shared" si="67"/>
        <v>-25.329999999999927</v>
      </c>
      <c r="AB594" s="23">
        <f t="shared" si="68"/>
        <v>3509.34</v>
      </c>
      <c r="AC594" s="20"/>
      <c r="AD594" s="20" t="str">
        <f>VLOOKUP($C594,'[1]CTRL AUTOS'!$E:$AH,2,0)</f>
        <v>NBS225A</v>
      </c>
      <c r="AE594" s="11" t="str">
        <f t="shared" si="69"/>
        <v>NBS225A31</v>
      </c>
    </row>
    <row r="595" spans="1:31" ht="12.75" hidden="1" customHeight="1" x14ac:dyDescent="0.3">
      <c r="A595" s="8">
        <v>31</v>
      </c>
      <c r="B595" s="20" t="s">
        <v>363</v>
      </c>
      <c r="C595" s="20" t="s">
        <v>8</v>
      </c>
      <c r="D595" s="20" t="s">
        <v>237</v>
      </c>
      <c r="E595" s="22" t="s">
        <v>364</v>
      </c>
      <c r="F595" s="22" t="s">
        <v>364</v>
      </c>
      <c r="G595" s="22" t="s">
        <v>234</v>
      </c>
      <c r="H595" s="23">
        <v>0</v>
      </c>
      <c r="I595" s="23">
        <v>0</v>
      </c>
      <c r="J595" s="23">
        <v>0</v>
      </c>
      <c r="K595" s="23">
        <v>0</v>
      </c>
      <c r="L595" s="23">
        <v>0</v>
      </c>
      <c r="M595" s="24">
        <v>0</v>
      </c>
      <c r="N595" s="23">
        <v>0</v>
      </c>
      <c r="O595" s="24">
        <f t="shared" si="63"/>
        <v>0</v>
      </c>
      <c r="P595" s="23">
        <v>0</v>
      </c>
      <c r="Q595" s="23">
        <v>0</v>
      </c>
      <c r="R595" s="23">
        <v>500</v>
      </c>
      <c r="S595" s="23">
        <v>0</v>
      </c>
      <c r="T595" s="23">
        <v>0</v>
      </c>
      <c r="U595" s="23">
        <v>0</v>
      </c>
      <c r="V595" s="23">
        <v>0</v>
      </c>
      <c r="W595" s="23">
        <f t="shared" si="64"/>
        <v>500</v>
      </c>
      <c r="X595" s="23">
        <f t="shared" si="65"/>
        <v>500</v>
      </c>
      <c r="Y595" s="23">
        <f t="shared" si="66"/>
        <v>0</v>
      </c>
      <c r="Z595" s="24">
        <v>0</v>
      </c>
      <c r="AA595" s="23">
        <f t="shared" si="67"/>
        <v>0</v>
      </c>
      <c r="AB595" s="23">
        <f t="shared" si="68"/>
        <v>-500</v>
      </c>
      <c r="AC595" s="20" t="s">
        <v>392</v>
      </c>
      <c r="AD595" s="20" t="e">
        <f>VLOOKUP($C595,'[1]CTRL AUTOS'!$E:$AH,2,0)</f>
        <v>#N/A</v>
      </c>
      <c r="AE595" s="11" t="e">
        <f t="shared" si="69"/>
        <v>#N/A</v>
      </c>
    </row>
    <row r="596" spans="1:31" ht="12.75" hidden="1" customHeight="1" x14ac:dyDescent="0.3">
      <c r="A596" s="8">
        <v>31</v>
      </c>
      <c r="B596" s="20" t="s">
        <v>74</v>
      </c>
      <c r="C596" s="20" t="s">
        <v>8</v>
      </c>
      <c r="D596" s="20" t="s">
        <v>237</v>
      </c>
      <c r="E596" s="22" t="s">
        <v>364</v>
      </c>
      <c r="F596" s="22" t="s">
        <v>364</v>
      </c>
      <c r="G596" s="22" t="s">
        <v>234</v>
      </c>
      <c r="H596" s="23">
        <v>3350.09</v>
      </c>
      <c r="I596" s="23">
        <v>0</v>
      </c>
      <c r="J596" s="23">
        <v>0</v>
      </c>
      <c r="K596" s="23">
        <v>0</v>
      </c>
      <c r="L596" s="23">
        <v>0</v>
      </c>
      <c r="M596" s="23">
        <v>0</v>
      </c>
      <c r="N596" s="23">
        <v>0</v>
      </c>
      <c r="O596" s="24">
        <f t="shared" si="63"/>
        <v>3350.09</v>
      </c>
      <c r="P596" s="23">
        <v>-2500</v>
      </c>
      <c r="Q596" s="24">
        <v>0</v>
      </c>
      <c r="R596" s="23">
        <v>-500</v>
      </c>
      <c r="S596" s="23">
        <v>0</v>
      </c>
      <c r="T596" s="23">
        <v>0</v>
      </c>
      <c r="U596" s="24">
        <v>0</v>
      </c>
      <c r="V596" s="23">
        <v>0</v>
      </c>
      <c r="W596" s="23">
        <f t="shared" si="64"/>
        <v>350.09000000000015</v>
      </c>
      <c r="X596" s="23">
        <f t="shared" si="65"/>
        <v>350.09000000000015</v>
      </c>
      <c r="Y596" s="23">
        <f t="shared" si="66"/>
        <v>0</v>
      </c>
      <c r="Z596" s="24">
        <v>0</v>
      </c>
      <c r="AA596" s="23">
        <f t="shared" si="67"/>
        <v>0</v>
      </c>
      <c r="AB596" s="23">
        <f t="shared" si="68"/>
        <v>3000</v>
      </c>
      <c r="AC596" s="20" t="s">
        <v>392</v>
      </c>
      <c r="AD596" s="20" t="e">
        <f>VLOOKUP($C596,'[1]CTRL AUTOS'!$E:$AH,2,0)</f>
        <v>#N/A</v>
      </c>
      <c r="AE596" s="11" t="e">
        <f t="shared" si="69"/>
        <v>#N/A</v>
      </c>
    </row>
    <row r="597" spans="1:31" ht="12.75" hidden="1" customHeight="1" x14ac:dyDescent="0.3">
      <c r="A597" s="8">
        <v>31</v>
      </c>
      <c r="B597" s="20" t="s">
        <v>76</v>
      </c>
      <c r="C597" s="20" t="s">
        <v>104</v>
      </c>
      <c r="D597" s="20" t="s">
        <v>367</v>
      </c>
      <c r="E597" s="20" t="s">
        <v>364</v>
      </c>
      <c r="F597" s="22" t="s">
        <v>364</v>
      </c>
      <c r="G597" s="22" t="s">
        <v>234</v>
      </c>
      <c r="H597" s="23">
        <v>4497.17</v>
      </c>
      <c r="I597" s="23">
        <v>0</v>
      </c>
      <c r="J597" s="23">
        <v>0</v>
      </c>
      <c r="K597" s="23">
        <v>-49.34</v>
      </c>
      <c r="L597" s="23">
        <v>-2082.2399999999998</v>
      </c>
      <c r="M597" s="23">
        <v>0</v>
      </c>
      <c r="N597" s="23">
        <v>0</v>
      </c>
      <c r="O597" s="24">
        <f t="shared" si="63"/>
        <v>2365.59</v>
      </c>
      <c r="P597" s="23">
        <v>-2500</v>
      </c>
      <c r="Q597" s="24">
        <v>-1067</v>
      </c>
      <c r="R597" s="23">
        <v>-500</v>
      </c>
      <c r="S597" s="23">
        <v>0</v>
      </c>
      <c r="T597" s="23">
        <v>0</v>
      </c>
      <c r="U597" s="24">
        <v>0</v>
      </c>
      <c r="V597" s="23">
        <v>0</v>
      </c>
      <c r="W597" s="23">
        <f t="shared" si="64"/>
        <v>-1701.4099999999999</v>
      </c>
      <c r="X597" s="23">
        <f t="shared" si="65"/>
        <v>0</v>
      </c>
      <c r="Y597" s="23">
        <f t="shared" si="66"/>
        <v>-1701.4099999999999</v>
      </c>
      <c r="Z597" s="24">
        <v>1700</v>
      </c>
      <c r="AA597" s="23">
        <f t="shared" si="67"/>
        <v>-1.4099999999998545</v>
      </c>
      <c r="AB597" s="23">
        <f t="shared" si="68"/>
        <v>4064.1800000000003</v>
      </c>
      <c r="AC597" s="20" t="s">
        <v>393</v>
      </c>
      <c r="AD597" s="20" t="e">
        <f>VLOOKUP($C597,'[1]CTRL AUTOS'!$E:$AH,2,0)</f>
        <v>#N/A</v>
      </c>
      <c r="AE597" s="11" t="e">
        <f t="shared" si="69"/>
        <v>#N/A</v>
      </c>
    </row>
    <row r="598" spans="1:31" ht="12.75" hidden="1" customHeight="1" x14ac:dyDescent="0.3">
      <c r="A598" s="8">
        <v>31</v>
      </c>
      <c r="B598" s="20" t="s">
        <v>98</v>
      </c>
      <c r="C598" s="20" t="s">
        <v>168</v>
      </c>
      <c r="D598" s="20" t="s">
        <v>265</v>
      </c>
      <c r="E598" s="22" t="s">
        <v>232</v>
      </c>
      <c r="F598" s="20" t="s">
        <v>232</v>
      </c>
      <c r="G598" s="22" t="s">
        <v>234</v>
      </c>
      <c r="H598" s="23">
        <v>0</v>
      </c>
      <c r="I598" s="23">
        <v>0</v>
      </c>
      <c r="J598" s="23">
        <v>0</v>
      </c>
      <c r="K598" s="23">
        <v>0</v>
      </c>
      <c r="L598" s="23">
        <v>0</v>
      </c>
      <c r="M598" s="23">
        <v>0</v>
      </c>
      <c r="N598" s="23">
        <v>0</v>
      </c>
      <c r="O598" s="24">
        <f t="shared" si="63"/>
        <v>0</v>
      </c>
      <c r="P598" s="24">
        <v>0</v>
      </c>
      <c r="Q598" s="24">
        <v>0</v>
      </c>
      <c r="R598" s="24">
        <v>0</v>
      </c>
      <c r="S598" s="24">
        <v>0</v>
      </c>
      <c r="T598" s="24">
        <v>0</v>
      </c>
      <c r="U598" s="24">
        <v>0</v>
      </c>
      <c r="V598" s="24">
        <v>0</v>
      </c>
      <c r="W598" s="23">
        <f t="shared" si="64"/>
        <v>0</v>
      </c>
      <c r="X598" s="23">
        <f t="shared" si="65"/>
        <v>0</v>
      </c>
      <c r="Y598" s="23">
        <f t="shared" si="66"/>
        <v>0</v>
      </c>
      <c r="Z598" s="24">
        <v>0</v>
      </c>
      <c r="AA598" s="23">
        <f t="shared" si="67"/>
        <v>0</v>
      </c>
      <c r="AB598" s="23">
        <f t="shared" si="68"/>
        <v>0</v>
      </c>
      <c r="AC598" s="20"/>
      <c r="AD598" s="20" t="e">
        <f>VLOOKUP($C598,'[1]CTRL AUTOS'!$E:$AH,2,0)</f>
        <v>#N/A</v>
      </c>
      <c r="AE598" s="11" t="e">
        <f t="shared" si="69"/>
        <v>#N/A</v>
      </c>
    </row>
    <row r="599" spans="1:31" ht="12.75" hidden="1" customHeight="1" x14ac:dyDescent="0.3">
      <c r="A599" s="8">
        <v>32</v>
      </c>
      <c r="B599" s="20" t="s">
        <v>80</v>
      </c>
      <c r="C599" s="20" t="s">
        <v>81</v>
      </c>
      <c r="D599" s="20" t="s">
        <v>317</v>
      </c>
      <c r="E599" s="22" t="s">
        <v>232</v>
      </c>
      <c r="F599" s="20" t="s">
        <v>232</v>
      </c>
      <c r="G599" s="22" t="s">
        <v>234</v>
      </c>
      <c r="H599" s="23">
        <v>830.34</v>
      </c>
      <c r="I599" s="23">
        <v>0</v>
      </c>
      <c r="J599" s="23">
        <v>0</v>
      </c>
      <c r="K599" s="23">
        <v>0</v>
      </c>
      <c r="L599" s="23">
        <v>-30</v>
      </c>
      <c r="M599" s="23">
        <v>-25</v>
      </c>
      <c r="N599" s="23">
        <v>0</v>
      </c>
      <c r="O599" s="24">
        <f t="shared" si="63"/>
        <v>775.34</v>
      </c>
      <c r="P599" s="24">
        <v>-2500</v>
      </c>
      <c r="Q599" s="24">
        <v>0</v>
      </c>
      <c r="R599" s="24">
        <v>0</v>
      </c>
      <c r="S599" s="24">
        <v>0</v>
      </c>
      <c r="T599" s="24">
        <v>-500</v>
      </c>
      <c r="U599" s="24">
        <v>0</v>
      </c>
      <c r="V599" s="24">
        <v>0</v>
      </c>
      <c r="W599" s="23">
        <f t="shared" si="64"/>
        <v>-2224.66</v>
      </c>
      <c r="X599" s="23">
        <f t="shared" si="65"/>
        <v>0</v>
      </c>
      <c r="Y599" s="23">
        <f t="shared" si="66"/>
        <v>-2224.66</v>
      </c>
      <c r="Z599" s="24">
        <v>2225</v>
      </c>
      <c r="AA599" s="23">
        <f t="shared" si="67"/>
        <v>0.34000000000014552</v>
      </c>
      <c r="AB599" s="23">
        <f t="shared" si="68"/>
        <v>3000.6800000000003</v>
      </c>
      <c r="AC599" s="20" t="s">
        <v>394</v>
      </c>
      <c r="AD599" s="20" t="str">
        <f>VLOOKUP($C599,'[1]CTRL AUTOS'!$E:$AH,2,0)</f>
        <v>NLP172B</v>
      </c>
      <c r="AE599" s="11" t="str">
        <f t="shared" si="69"/>
        <v>NLP172B32</v>
      </c>
    </row>
    <row r="600" spans="1:31" ht="12.75" hidden="1" customHeight="1" x14ac:dyDescent="0.3">
      <c r="A600" s="8">
        <v>32</v>
      </c>
      <c r="B600" s="20" t="s">
        <v>111</v>
      </c>
      <c r="C600" s="20" t="s">
        <v>63</v>
      </c>
      <c r="D600" s="20" t="s">
        <v>374</v>
      </c>
      <c r="E600" s="20" t="s">
        <v>291</v>
      </c>
      <c r="F600" s="20" t="s">
        <v>291</v>
      </c>
      <c r="G600" s="22" t="s">
        <v>234</v>
      </c>
      <c r="H600" s="23">
        <v>3067.95</v>
      </c>
      <c r="I600" s="23">
        <v>0</v>
      </c>
      <c r="J600" s="23">
        <v>0</v>
      </c>
      <c r="K600" s="23">
        <v>0</v>
      </c>
      <c r="L600" s="23">
        <v>-288.67</v>
      </c>
      <c r="M600" s="23">
        <v>-38</v>
      </c>
      <c r="N600" s="23">
        <v>0</v>
      </c>
      <c r="O600" s="24">
        <f t="shared" si="63"/>
        <v>2741.2799999999997</v>
      </c>
      <c r="P600" s="24">
        <v>-2500</v>
      </c>
      <c r="Q600" s="24">
        <v>0</v>
      </c>
      <c r="R600" s="24">
        <v>0</v>
      </c>
      <c r="S600" s="24">
        <v>0</v>
      </c>
      <c r="T600" s="24">
        <v>-500</v>
      </c>
      <c r="U600" s="24">
        <v>-880</v>
      </c>
      <c r="V600" s="24">
        <v>0</v>
      </c>
      <c r="W600" s="23">
        <f t="shared" si="64"/>
        <v>-1138.7200000000003</v>
      </c>
      <c r="X600" s="23">
        <f t="shared" si="65"/>
        <v>0</v>
      </c>
      <c r="Y600" s="23">
        <f t="shared" si="66"/>
        <v>-1138.7200000000003</v>
      </c>
      <c r="Z600" s="24">
        <v>0</v>
      </c>
      <c r="AA600" s="23">
        <f t="shared" si="67"/>
        <v>-1138.7200000000003</v>
      </c>
      <c r="AB600" s="23">
        <f t="shared" si="68"/>
        <v>1602.5599999999995</v>
      </c>
      <c r="AC600" s="20" t="s">
        <v>395</v>
      </c>
      <c r="AD600" s="20" t="str">
        <f>VLOOKUP($C600,'[1]CTRL AUTOS'!$E:$AH,2,0)</f>
        <v>X89ALV</v>
      </c>
      <c r="AE600" s="11" t="str">
        <f t="shared" si="69"/>
        <v>X89ALV32</v>
      </c>
    </row>
    <row r="601" spans="1:31" ht="12.75" hidden="1" customHeight="1" x14ac:dyDescent="0.3">
      <c r="A601" s="8">
        <v>32</v>
      </c>
      <c r="B601" s="20" t="s">
        <v>19</v>
      </c>
      <c r="C601" s="20" t="s">
        <v>54</v>
      </c>
      <c r="D601" s="20" t="s">
        <v>318</v>
      </c>
      <c r="E601" s="22" t="s">
        <v>232</v>
      </c>
      <c r="F601" s="20" t="s">
        <v>232</v>
      </c>
      <c r="G601" s="22" t="s">
        <v>234</v>
      </c>
      <c r="H601" s="23">
        <v>7881.25</v>
      </c>
      <c r="I601" s="23">
        <v>-54.4</v>
      </c>
      <c r="J601" s="23">
        <v>0</v>
      </c>
      <c r="K601" s="23">
        <v>0</v>
      </c>
      <c r="L601" s="23">
        <v>-1951.49</v>
      </c>
      <c r="M601" s="23">
        <v>-28</v>
      </c>
      <c r="N601" s="23">
        <v>0</v>
      </c>
      <c r="O601" s="24">
        <f t="shared" si="63"/>
        <v>5847.3600000000006</v>
      </c>
      <c r="P601" s="23">
        <v>-2500</v>
      </c>
      <c r="Q601" s="23">
        <v>0</v>
      </c>
      <c r="R601" s="23">
        <v>-500</v>
      </c>
      <c r="S601" s="23">
        <v>0</v>
      </c>
      <c r="T601" s="23">
        <v>0</v>
      </c>
      <c r="U601" s="23">
        <v>0</v>
      </c>
      <c r="V601" s="23">
        <v>0</v>
      </c>
      <c r="W601" s="23">
        <f t="shared" si="64"/>
        <v>2847.3600000000006</v>
      </c>
      <c r="X601" s="23">
        <f t="shared" si="65"/>
        <v>2847.3600000000006</v>
      </c>
      <c r="Y601" s="23">
        <f t="shared" si="66"/>
        <v>0</v>
      </c>
      <c r="Z601" s="23">
        <v>0</v>
      </c>
      <c r="AA601" s="23">
        <f t="shared" si="67"/>
        <v>0</v>
      </c>
      <c r="AB601" s="23">
        <f t="shared" si="68"/>
        <v>3000</v>
      </c>
      <c r="AC601" s="20"/>
      <c r="AD601" s="20" t="str">
        <f>VLOOKUP($C601,'[1]CTRL AUTOS'!$E:$AH,2,0)</f>
        <v>NZY685B</v>
      </c>
      <c r="AE601" s="11" t="str">
        <f t="shared" si="69"/>
        <v>NZY685B32</v>
      </c>
    </row>
    <row r="602" spans="1:31" ht="12.75" hidden="1" customHeight="1" x14ac:dyDescent="0.3">
      <c r="A602" s="8">
        <v>32</v>
      </c>
      <c r="B602" s="20" t="s">
        <v>396</v>
      </c>
      <c r="C602" s="20" t="s">
        <v>75</v>
      </c>
      <c r="D602" s="20" t="s">
        <v>333</v>
      </c>
      <c r="E602" s="22" t="s">
        <v>241</v>
      </c>
      <c r="F602" s="20" t="s">
        <v>291</v>
      </c>
      <c r="G602" s="22" t="s">
        <v>234</v>
      </c>
      <c r="H602" s="23">
        <v>1275.29</v>
      </c>
      <c r="I602" s="23">
        <v>0</v>
      </c>
      <c r="J602" s="23">
        <v>0</v>
      </c>
      <c r="K602" s="23">
        <v>0</v>
      </c>
      <c r="L602" s="23">
        <v>0</v>
      </c>
      <c r="M602" s="23">
        <v>-15</v>
      </c>
      <c r="N602" s="23">
        <v>0</v>
      </c>
      <c r="O602" s="24">
        <f t="shared" si="63"/>
        <v>1260.29</v>
      </c>
      <c r="P602" s="23">
        <v>-536</v>
      </c>
      <c r="Q602" s="23">
        <v>0</v>
      </c>
      <c r="R602" s="23">
        <v>-107</v>
      </c>
      <c r="S602" s="23">
        <v>0</v>
      </c>
      <c r="T602" s="23">
        <v>0</v>
      </c>
      <c r="U602" s="23">
        <v>0</v>
      </c>
      <c r="V602" s="23">
        <v>0</v>
      </c>
      <c r="W602" s="23">
        <f t="shared" si="64"/>
        <v>617.29</v>
      </c>
      <c r="X602" s="23">
        <f t="shared" si="65"/>
        <v>617.29</v>
      </c>
      <c r="Y602" s="23">
        <f t="shared" si="66"/>
        <v>0</v>
      </c>
      <c r="Z602" s="23">
        <v>0</v>
      </c>
      <c r="AA602" s="23">
        <f t="shared" si="67"/>
        <v>0</v>
      </c>
      <c r="AB602" s="23">
        <f t="shared" si="68"/>
        <v>643</v>
      </c>
      <c r="AC602" s="20"/>
      <c r="AD602" s="20" t="str">
        <f>VLOOKUP($C602,'[1]CTRL AUTOS'!$E:$AH,2,0)</f>
        <v>NFN014B</v>
      </c>
      <c r="AE602" s="11" t="str">
        <f t="shared" si="69"/>
        <v>NFN014B32</v>
      </c>
    </row>
    <row r="603" spans="1:31" ht="12.75" hidden="1" customHeight="1" x14ac:dyDescent="0.3">
      <c r="A603" s="8">
        <v>32</v>
      </c>
      <c r="B603" s="20" t="s">
        <v>23</v>
      </c>
      <c r="C603" s="20" t="s">
        <v>106</v>
      </c>
      <c r="D603" s="20" t="s">
        <v>322</v>
      </c>
      <c r="E603" s="22" t="s">
        <v>232</v>
      </c>
      <c r="F603" s="20" t="s">
        <v>232</v>
      </c>
      <c r="G603" s="22" t="s">
        <v>234</v>
      </c>
      <c r="H603" s="23">
        <v>7913.54</v>
      </c>
      <c r="I603" s="23">
        <v>-70.400000000000006</v>
      </c>
      <c r="J603" s="23">
        <v>0</v>
      </c>
      <c r="K603" s="23">
        <v>0</v>
      </c>
      <c r="L603" s="23">
        <v>-5285.96</v>
      </c>
      <c r="M603" s="23">
        <v>-25</v>
      </c>
      <c r="N603" s="23">
        <v>0</v>
      </c>
      <c r="O603" s="24">
        <f t="shared" si="63"/>
        <v>2532.1800000000003</v>
      </c>
      <c r="P603" s="24">
        <v>-2500</v>
      </c>
      <c r="Q603" s="24">
        <v>0</v>
      </c>
      <c r="R603" s="24">
        <v>0</v>
      </c>
      <c r="S603" s="24">
        <v>0</v>
      </c>
      <c r="T603" s="24">
        <v>0</v>
      </c>
      <c r="U603" s="24">
        <v>0</v>
      </c>
      <c r="V603" s="24">
        <v>0</v>
      </c>
      <c r="W603" s="23">
        <f t="shared" si="64"/>
        <v>32.180000000000291</v>
      </c>
      <c r="X603" s="23">
        <f t="shared" si="65"/>
        <v>32.180000000000291</v>
      </c>
      <c r="Y603" s="23">
        <f t="shared" si="66"/>
        <v>0</v>
      </c>
      <c r="Z603" s="24">
        <v>0</v>
      </c>
      <c r="AA603" s="23">
        <f t="shared" si="67"/>
        <v>0</v>
      </c>
      <c r="AB603" s="23">
        <f t="shared" si="68"/>
        <v>2500</v>
      </c>
      <c r="AC603" s="20"/>
      <c r="AD603" s="20" t="str">
        <f>VLOOKUP($C603,'[1]CTRL AUTOS'!$E:$AH,2,0)</f>
        <v>NZU5163</v>
      </c>
      <c r="AE603" s="11" t="str">
        <f t="shared" si="69"/>
        <v>NZU516332</v>
      </c>
    </row>
    <row r="604" spans="1:31" ht="12.75" hidden="1" customHeight="1" x14ac:dyDescent="0.3">
      <c r="A604" s="8">
        <v>32</v>
      </c>
      <c r="B604" s="20" t="s">
        <v>25</v>
      </c>
      <c r="C604" s="20" t="s">
        <v>10</v>
      </c>
      <c r="D604" s="20" t="s">
        <v>343</v>
      </c>
      <c r="E604" s="22" t="s">
        <v>232</v>
      </c>
      <c r="F604" s="20" t="s">
        <v>232</v>
      </c>
      <c r="G604" s="22" t="s">
        <v>234</v>
      </c>
      <c r="H604" s="23">
        <v>3382.05</v>
      </c>
      <c r="I604" s="23">
        <v>0</v>
      </c>
      <c r="J604" s="23">
        <v>0</v>
      </c>
      <c r="K604" s="23">
        <v>0</v>
      </c>
      <c r="L604" s="23">
        <v>-1369.23</v>
      </c>
      <c r="M604" s="23">
        <v>-25</v>
      </c>
      <c r="N604" s="23">
        <v>0</v>
      </c>
      <c r="O604" s="24">
        <f t="shared" si="63"/>
        <v>1987.8200000000002</v>
      </c>
      <c r="P604" s="24">
        <v>-2500</v>
      </c>
      <c r="Q604" s="24">
        <v>-686.56</v>
      </c>
      <c r="R604" s="24">
        <v>0</v>
      </c>
      <c r="S604" s="24">
        <v>0</v>
      </c>
      <c r="T604" s="24">
        <v>0</v>
      </c>
      <c r="U604" s="24">
        <v>0</v>
      </c>
      <c r="V604" s="24">
        <v>0</v>
      </c>
      <c r="W604" s="23">
        <f t="shared" si="64"/>
        <v>-1198.7399999999998</v>
      </c>
      <c r="X604" s="23">
        <f t="shared" si="65"/>
        <v>0</v>
      </c>
      <c r="Y604" s="23">
        <f t="shared" si="66"/>
        <v>-1198.7399999999998</v>
      </c>
      <c r="Z604" s="24">
        <v>600</v>
      </c>
      <c r="AA604" s="23">
        <f t="shared" si="67"/>
        <v>-598.73999999999978</v>
      </c>
      <c r="AB604" s="23">
        <f t="shared" si="68"/>
        <v>1989.0800000000004</v>
      </c>
      <c r="AC604" s="20" t="s">
        <v>394</v>
      </c>
      <c r="AD604" s="20" t="str">
        <f>VLOOKUP($C604,'[1]CTRL AUTOS'!$E:$AH,2,0)</f>
        <v>LRL009C</v>
      </c>
      <c r="AE604" s="11" t="str">
        <f t="shared" si="69"/>
        <v>LRL009C32</v>
      </c>
    </row>
    <row r="605" spans="1:31" ht="12.75" hidden="1" customHeight="1" x14ac:dyDescent="0.3">
      <c r="A605" s="8">
        <v>32</v>
      </c>
      <c r="B605" s="20" t="s">
        <v>359</v>
      </c>
      <c r="C605" s="20" t="s">
        <v>34</v>
      </c>
      <c r="D605" s="20" t="s">
        <v>285</v>
      </c>
      <c r="E605" s="22" t="s">
        <v>232</v>
      </c>
      <c r="F605" s="20" t="s">
        <v>232</v>
      </c>
      <c r="G605" s="22" t="s">
        <v>234</v>
      </c>
      <c r="H605" s="23">
        <v>1452.57</v>
      </c>
      <c r="I605" s="23">
        <v>0</v>
      </c>
      <c r="J605" s="23">
        <v>0</v>
      </c>
      <c r="K605" s="23">
        <v>0</v>
      </c>
      <c r="L605" s="23">
        <v>0</v>
      </c>
      <c r="M605" s="23">
        <v>-35</v>
      </c>
      <c r="N605" s="23">
        <v>0</v>
      </c>
      <c r="O605" s="24">
        <f t="shared" si="63"/>
        <v>1417.57</v>
      </c>
      <c r="P605" s="24">
        <v>-2500</v>
      </c>
      <c r="Q605" s="24">
        <v>0</v>
      </c>
      <c r="R605" s="24">
        <v>-500</v>
      </c>
      <c r="S605" s="24">
        <v>0</v>
      </c>
      <c r="T605" s="24">
        <v>0</v>
      </c>
      <c r="U605" s="24">
        <v>0</v>
      </c>
      <c r="V605" s="24">
        <v>0</v>
      </c>
      <c r="W605" s="23">
        <f t="shared" si="64"/>
        <v>-1582.43</v>
      </c>
      <c r="X605" s="23">
        <f t="shared" si="65"/>
        <v>0</v>
      </c>
      <c r="Y605" s="23">
        <f t="shared" si="66"/>
        <v>-1582.43</v>
      </c>
      <c r="Z605" s="24">
        <v>1582</v>
      </c>
      <c r="AA605" s="23">
        <f t="shared" si="67"/>
        <v>-0.43000000000006366</v>
      </c>
      <c r="AB605" s="23">
        <f t="shared" si="68"/>
        <v>2999.1399999999994</v>
      </c>
      <c r="AC605" s="20" t="s">
        <v>397</v>
      </c>
      <c r="AD605" s="20" t="str">
        <f>VLOOKUP($C605,'[1]CTRL AUTOS'!$E:$AH,2,0)</f>
        <v>X59AWG</v>
      </c>
      <c r="AE605" s="11" t="str">
        <f t="shared" si="69"/>
        <v>X59AWG32</v>
      </c>
    </row>
    <row r="606" spans="1:31" ht="12.75" hidden="1" customHeight="1" x14ac:dyDescent="0.3">
      <c r="A606" s="8">
        <v>32</v>
      </c>
      <c r="B606" s="20" t="s">
        <v>72</v>
      </c>
      <c r="C606" s="20" t="s">
        <v>73</v>
      </c>
      <c r="D606" s="20" t="s">
        <v>368</v>
      </c>
      <c r="E606" s="22" t="s">
        <v>241</v>
      </c>
      <c r="F606" s="20" t="s">
        <v>291</v>
      </c>
      <c r="G606" s="22" t="s">
        <v>234</v>
      </c>
      <c r="H606" s="23">
        <v>8638.0499999999993</v>
      </c>
      <c r="I606" s="23">
        <v>-63.2</v>
      </c>
      <c r="J606" s="23">
        <v>0</v>
      </c>
      <c r="K606" s="23">
        <v>-81.010000000000005</v>
      </c>
      <c r="L606" s="23">
        <v>-4609.8900000000003</v>
      </c>
      <c r="M606" s="23">
        <v>-32</v>
      </c>
      <c r="N606" s="23">
        <v>-672</v>
      </c>
      <c r="O606" s="24">
        <f t="shared" si="63"/>
        <v>3179.949999999998</v>
      </c>
      <c r="P606" s="24">
        <v>-2500</v>
      </c>
      <c r="Q606" s="24">
        <v>-417</v>
      </c>
      <c r="R606" s="24">
        <v>0</v>
      </c>
      <c r="S606" s="24">
        <v>0</v>
      </c>
      <c r="T606" s="24">
        <v>0</v>
      </c>
      <c r="U606" s="24">
        <v>0</v>
      </c>
      <c r="V606" s="24">
        <v>0</v>
      </c>
      <c r="W606" s="23">
        <f t="shared" si="64"/>
        <v>262.949999999998</v>
      </c>
      <c r="X606" s="23">
        <f t="shared" si="65"/>
        <v>262.949999999998</v>
      </c>
      <c r="Y606" s="23">
        <f t="shared" si="66"/>
        <v>0</v>
      </c>
      <c r="Z606" s="24">
        <v>0</v>
      </c>
      <c r="AA606" s="23">
        <f t="shared" si="67"/>
        <v>0</v>
      </c>
      <c r="AB606" s="23">
        <f t="shared" si="68"/>
        <v>2917</v>
      </c>
      <c r="AC606" s="20"/>
      <c r="AD606" s="20" t="str">
        <f>VLOOKUP($C606,'[1]CTRL AUTOS'!$E:$AH,2,0)</f>
        <v>H99BLC</v>
      </c>
      <c r="AE606" s="11" t="str">
        <f t="shared" si="69"/>
        <v>H99BLC32</v>
      </c>
    </row>
    <row r="607" spans="1:31" ht="12.75" hidden="1" customHeight="1" x14ac:dyDescent="0.3">
      <c r="A607" s="8">
        <v>32</v>
      </c>
      <c r="B607" s="20" t="s">
        <v>292</v>
      </c>
      <c r="C607" s="20" t="s">
        <v>52</v>
      </c>
      <c r="D607" s="20" t="s">
        <v>313</v>
      </c>
      <c r="E607" s="22" t="s">
        <v>232</v>
      </c>
      <c r="F607" s="20" t="s">
        <v>232</v>
      </c>
      <c r="G607" s="22" t="s">
        <v>234</v>
      </c>
      <c r="H607" s="23">
        <v>8152.29</v>
      </c>
      <c r="I607" s="23">
        <v>0</v>
      </c>
      <c r="J607" s="23">
        <v>0</v>
      </c>
      <c r="K607" s="23">
        <v>0</v>
      </c>
      <c r="L607" s="23">
        <v>-2222</v>
      </c>
      <c r="M607" s="23">
        <v>-25</v>
      </c>
      <c r="N607" s="23">
        <v>0</v>
      </c>
      <c r="O607" s="24">
        <f t="shared" si="63"/>
        <v>5905.29</v>
      </c>
      <c r="P607" s="24">
        <v>-2500</v>
      </c>
      <c r="Q607" s="24">
        <v>0</v>
      </c>
      <c r="R607" s="24">
        <v>0</v>
      </c>
      <c r="S607" s="24">
        <v>0</v>
      </c>
      <c r="T607" s="24">
        <v>0</v>
      </c>
      <c r="U607" s="24">
        <v>0</v>
      </c>
      <c r="V607" s="24">
        <v>-1000</v>
      </c>
      <c r="W607" s="23">
        <f t="shared" si="64"/>
        <v>2405.29</v>
      </c>
      <c r="X607" s="23">
        <f t="shared" si="65"/>
        <v>2405.29</v>
      </c>
      <c r="Y607" s="23">
        <f t="shared" si="66"/>
        <v>0</v>
      </c>
      <c r="Z607" s="24">
        <v>0</v>
      </c>
      <c r="AA607" s="23">
        <f t="shared" si="67"/>
        <v>0</v>
      </c>
      <c r="AB607" s="23">
        <f t="shared" si="68"/>
        <v>3500</v>
      </c>
      <c r="AC607" s="20"/>
      <c r="AD607" s="20" t="str">
        <f>VLOOKUP($C607,'[1]CTRL AUTOS'!$E:$AH,2,0)</f>
        <v>A35BHD</v>
      </c>
      <c r="AE607" s="11" t="str">
        <f t="shared" si="69"/>
        <v>A35BHD32</v>
      </c>
    </row>
    <row r="608" spans="1:31" ht="12.75" hidden="1" customHeight="1" x14ac:dyDescent="0.3">
      <c r="A608" s="8">
        <v>32</v>
      </c>
      <c r="B608" s="20" t="s">
        <v>375</v>
      </c>
      <c r="C608" s="20" t="s">
        <v>40</v>
      </c>
      <c r="D608" s="20" t="s">
        <v>315</v>
      </c>
      <c r="E608" s="22" t="s">
        <v>232</v>
      </c>
      <c r="F608" s="20" t="s">
        <v>232</v>
      </c>
      <c r="G608" s="22" t="s">
        <v>234</v>
      </c>
      <c r="H608" s="23">
        <v>0</v>
      </c>
      <c r="I608" s="23">
        <v>0</v>
      </c>
      <c r="J608" s="23">
        <v>0</v>
      </c>
      <c r="K608" s="23">
        <v>0</v>
      </c>
      <c r="L608" s="23">
        <v>0</v>
      </c>
      <c r="M608" s="23">
        <v>0</v>
      </c>
      <c r="N608" s="23">
        <v>0</v>
      </c>
      <c r="O608" s="24">
        <f t="shared" si="63"/>
        <v>0</v>
      </c>
      <c r="P608" s="24">
        <v>-2500</v>
      </c>
      <c r="Q608" s="24">
        <v>0</v>
      </c>
      <c r="R608" s="24">
        <v>-500</v>
      </c>
      <c r="S608" s="24">
        <v>0</v>
      </c>
      <c r="T608" s="24">
        <v>0</v>
      </c>
      <c r="U608" s="24">
        <v>0</v>
      </c>
      <c r="V608" s="24">
        <v>0</v>
      </c>
      <c r="W608" s="23">
        <f t="shared" si="64"/>
        <v>-3000</v>
      </c>
      <c r="X608" s="23">
        <f t="shared" si="65"/>
        <v>0</v>
      </c>
      <c r="Y608" s="23">
        <f t="shared" si="66"/>
        <v>-3000</v>
      </c>
      <c r="Z608" s="24">
        <v>3000</v>
      </c>
      <c r="AA608" s="23">
        <f t="shared" si="67"/>
        <v>0</v>
      </c>
      <c r="AB608" s="23">
        <f t="shared" si="68"/>
        <v>3000</v>
      </c>
      <c r="AC608" s="20" t="s">
        <v>397</v>
      </c>
      <c r="AD608" s="20" t="str">
        <f>VLOOKUP($C608,'[1]CTRL AUTOS'!$E:$AH,2,0)</f>
        <v>NEL860A</v>
      </c>
      <c r="AE608" s="11" t="str">
        <f t="shared" si="69"/>
        <v>NEL860A32</v>
      </c>
    </row>
    <row r="609" spans="1:31" ht="12.75" hidden="1" customHeight="1" x14ac:dyDescent="0.3">
      <c r="A609" s="8">
        <v>32</v>
      </c>
      <c r="B609" s="20" t="s">
        <v>57</v>
      </c>
      <c r="C609" s="20" t="s">
        <v>16</v>
      </c>
      <c r="D609" s="20" t="s">
        <v>314</v>
      </c>
      <c r="E609" s="20" t="s">
        <v>232</v>
      </c>
      <c r="F609" s="20" t="s">
        <v>232</v>
      </c>
      <c r="G609" s="22" t="s">
        <v>234</v>
      </c>
      <c r="H609" s="23">
        <v>7934.92</v>
      </c>
      <c r="I609" s="23">
        <v>-320</v>
      </c>
      <c r="J609" s="23">
        <v>0</v>
      </c>
      <c r="K609" s="23">
        <v>0</v>
      </c>
      <c r="L609" s="23">
        <v>-2802.75</v>
      </c>
      <c r="M609" s="23">
        <v>-32</v>
      </c>
      <c r="N609" s="23">
        <v>-95</v>
      </c>
      <c r="O609" s="24">
        <f t="shared" si="63"/>
        <v>4685.17</v>
      </c>
      <c r="P609" s="23">
        <v>-2500</v>
      </c>
      <c r="Q609" s="24">
        <v>0</v>
      </c>
      <c r="R609" s="23">
        <v>-500</v>
      </c>
      <c r="S609" s="23">
        <v>0</v>
      </c>
      <c r="T609" s="23">
        <v>0</v>
      </c>
      <c r="U609" s="24">
        <v>0</v>
      </c>
      <c r="V609" s="23">
        <v>0</v>
      </c>
      <c r="W609" s="23">
        <f t="shared" si="64"/>
        <v>1685.17</v>
      </c>
      <c r="X609" s="23">
        <f t="shared" si="65"/>
        <v>1685.17</v>
      </c>
      <c r="Y609" s="23">
        <f t="shared" si="66"/>
        <v>0</v>
      </c>
      <c r="Z609" s="24">
        <v>0</v>
      </c>
      <c r="AA609" s="23">
        <f t="shared" si="67"/>
        <v>0</v>
      </c>
      <c r="AB609" s="23">
        <f t="shared" si="68"/>
        <v>3000</v>
      </c>
      <c r="AC609" s="20"/>
      <c r="AD609" s="20" t="str">
        <f>VLOOKUP($C609,'[1]CTRL AUTOS'!$E:$AH,2,0)</f>
        <v>D28BET</v>
      </c>
      <c r="AE609" s="11" t="str">
        <f t="shared" si="69"/>
        <v>D28BET32</v>
      </c>
    </row>
    <row r="610" spans="1:31" ht="12.75" hidden="1" customHeight="1" x14ac:dyDescent="0.3">
      <c r="A610" s="8">
        <v>32</v>
      </c>
      <c r="B610" s="20" t="s">
        <v>288</v>
      </c>
      <c r="C610" s="20" t="s">
        <v>22</v>
      </c>
      <c r="D610" s="20" t="s">
        <v>319</v>
      </c>
      <c r="E610" s="20" t="s">
        <v>232</v>
      </c>
      <c r="F610" s="20" t="s">
        <v>232</v>
      </c>
      <c r="G610" s="22" t="s">
        <v>234</v>
      </c>
      <c r="H610" s="23">
        <v>7306.02</v>
      </c>
      <c r="I610" s="23">
        <v>-60.8</v>
      </c>
      <c r="J610" s="23">
        <v>0</v>
      </c>
      <c r="K610" s="23">
        <v>0</v>
      </c>
      <c r="L610" s="23">
        <v>-2127.9299999999998</v>
      </c>
      <c r="M610" s="23">
        <v>-25</v>
      </c>
      <c r="N610" s="23">
        <v>-154</v>
      </c>
      <c r="O610" s="24">
        <f t="shared" si="63"/>
        <v>4938.2900000000009</v>
      </c>
      <c r="P610" s="24">
        <v>-2500</v>
      </c>
      <c r="Q610" s="24">
        <v>0</v>
      </c>
      <c r="R610" s="24">
        <v>0</v>
      </c>
      <c r="S610" s="24">
        <v>0</v>
      </c>
      <c r="T610" s="24">
        <v>0</v>
      </c>
      <c r="U610" s="24">
        <v>-500</v>
      </c>
      <c r="V610" s="24">
        <v>0</v>
      </c>
      <c r="W610" s="23">
        <f t="shared" si="64"/>
        <v>1938.2900000000009</v>
      </c>
      <c r="X610" s="23">
        <f t="shared" si="65"/>
        <v>1938.2900000000009</v>
      </c>
      <c r="Y610" s="23">
        <f t="shared" si="66"/>
        <v>0</v>
      </c>
      <c r="Z610" s="24">
        <v>0</v>
      </c>
      <c r="AA610" s="23">
        <f t="shared" si="67"/>
        <v>0</v>
      </c>
      <c r="AB610" s="23">
        <f t="shared" si="68"/>
        <v>3000</v>
      </c>
      <c r="AC610" s="20"/>
      <c r="AD610" s="20" t="str">
        <f>VLOOKUP($C610,'[1]CTRL AUTOS'!$E:$AH,2,0)</f>
        <v>NCK475B</v>
      </c>
      <c r="AE610" s="11" t="str">
        <f t="shared" si="69"/>
        <v>NCK475B32</v>
      </c>
    </row>
    <row r="611" spans="1:31" ht="12.75" hidden="1" customHeight="1" x14ac:dyDescent="0.3">
      <c r="A611" s="8">
        <v>32</v>
      </c>
      <c r="B611" s="20" t="s">
        <v>35</v>
      </c>
      <c r="C611" s="20" t="s">
        <v>97</v>
      </c>
      <c r="D611" s="20" t="s">
        <v>273</v>
      </c>
      <c r="E611" s="22" t="s">
        <v>232</v>
      </c>
      <c r="F611" s="20" t="s">
        <v>232</v>
      </c>
      <c r="G611" s="22" t="s">
        <v>234</v>
      </c>
      <c r="H611" s="23">
        <v>8848.77</v>
      </c>
      <c r="I611" s="23">
        <v>-126.4</v>
      </c>
      <c r="J611" s="23">
        <v>0</v>
      </c>
      <c r="K611" s="23">
        <v>0</v>
      </c>
      <c r="L611" s="23">
        <v>-4742.68</v>
      </c>
      <c r="M611" s="23">
        <v>-25</v>
      </c>
      <c r="N611" s="23">
        <v>0</v>
      </c>
      <c r="O611" s="24">
        <f t="shared" si="63"/>
        <v>3954.6900000000005</v>
      </c>
      <c r="P611" s="24">
        <v>-2500</v>
      </c>
      <c r="Q611" s="24">
        <v>7</v>
      </c>
      <c r="R611" s="24">
        <v>0</v>
      </c>
      <c r="S611" s="24">
        <v>0</v>
      </c>
      <c r="T611" s="24">
        <v>0</v>
      </c>
      <c r="U611" s="24">
        <v>-500</v>
      </c>
      <c r="V611" s="24">
        <v>0</v>
      </c>
      <c r="W611" s="23">
        <f t="shared" si="64"/>
        <v>961.69000000000051</v>
      </c>
      <c r="X611" s="23">
        <f t="shared" si="65"/>
        <v>961.69000000000051</v>
      </c>
      <c r="Y611" s="23">
        <f t="shared" si="66"/>
        <v>0</v>
      </c>
      <c r="Z611" s="24">
        <v>0</v>
      </c>
      <c r="AA611" s="23">
        <f t="shared" si="67"/>
        <v>0</v>
      </c>
      <c r="AB611" s="23">
        <f t="shared" si="68"/>
        <v>2993</v>
      </c>
      <c r="AC611" s="20" t="s">
        <v>398</v>
      </c>
      <c r="AD611" s="20" t="str">
        <f>VLOOKUP($C611,'[1]CTRL AUTOS'!$E:$AH,2,0)</f>
        <v>MUF515A</v>
      </c>
      <c r="AE611" s="11" t="str">
        <f t="shared" si="69"/>
        <v>MUF515A32</v>
      </c>
    </row>
    <row r="612" spans="1:31" ht="12.75" hidden="1" customHeight="1" x14ac:dyDescent="0.3">
      <c r="A612" s="8">
        <v>32</v>
      </c>
      <c r="B612" s="20" t="s">
        <v>37</v>
      </c>
      <c r="C612" s="20" t="s">
        <v>246</v>
      </c>
      <c r="D612" s="20" t="s">
        <v>341</v>
      </c>
      <c r="E612" s="22" t="s">
        <v>232</v>
      </c>
      <c r="F612" s="20" t="s">
        <v>291</v>
      </c>
      <c r="G612" s="22" t="s">
        <v>234</v>
      </c>
      <c r="H612" s="23">
        <v>2821.61</v>
      </c>
      <c r="I612" s="23">
        <v>0</v>
      </c>
      <c r="J612" s="23">
        <v>0</v>
      </c>
      <c r="K612" s="23">
        <v>0</v>
      </c>
      <c r="L612" s="23">
        <v>-243.22</v>
      </c>
      <c r="M612" s="23">
        <v>-38</v>
      </c>
      <c r="N612" s="23">
        <v>0</v>
      </c>
      <c r="O612" s="24">
        <f t="shared" si="63"/>
        <v>2540.3900000000003</v>
      </c>
      <c r="P612" s="24">
        <v>-2500</v>
      </c>
      <c r="Q612" s="24">
        <v>-2</v>
      </c>
      <c r="R612" s="24">
        <v>0</v>
      </c>
      <c r="S612" s="24">
        <v>0</v>
      </c>
      <c r="T612" s="24">
        <v>-500</v>
      </c>
      <c r="U612" s="24">
        <v>0</v>
      </c>
      <c r="V612" s="24">
        <v>0</v>
      </c>
      <c r="W612" s="23">
        <f t="shared" si="64"/>
        <v>-461.60999999999967</v>
      </c>
      <c r="X612" s="23">
        <f t="shared" si="65"/>
        <v>0</v>
      </c>
      <c r="Y612" s="23">
        <f t="shared" si="66"/>
        <v>-461.60999999999967</v>
      </c>
      <c r="Z612" s="24">
        <v>470</v>
      </c>
      <c r="AA612" s="23">
        <f t="shared" si="67"/>
        <v>8.3900000000003274</v>
      </c>
      <c r="AB612" s="23">
        <f t="shared" si="68"/>
        <v>3018.7800000000007</v>
      </c>
      <c r="AC612" s="20" t="s">
        <v>397</v>
      </c>
      <c r="AD612" s="20" t="s">
        <v>248</v>
      </c>
      <c r="AE612" s="11" t="str">
        <f t="shared" si="69"/>
        <v>X24APU32</v>
      </c>
    </row>
    <row r="613" spans="1:31" ht="12.75" hidden="1" customHeight="1" x14ac:dyDescent="0.3">
      <c r="A613" s="8">
        <v>32</v>
      </c>
      <c r="B613" s="20" t="s">
        <v>361</v>
      </c>
      <c r="C613" s="20" t="s">
        <v>56</v>
      </c>
      <c r="D613" s="20" t="s">
        <v>336</v>
      </c>
      <c r="E613" s="22" t="s">
        <v>241</v>
      </c>
      <c r="F613" s="20" t="s">
        <v>291</v>
      </c>
      <c r="G613" s="22" t="s">
        <v>234</v>
      </c>
      <c r="H613" s="23">
        <v>8079.78</v>
      </c>
      <c r="I613" s="23">
        <v>-166.4</v>
      </c>
      <c r="J613" s="23">
        <v>0</v>
      </c>
      <c r="K613" s="23">
        <v>0</v>
      </c>
      <c r="L613" s="23">
        <v>-2054.9</v>
      </c>
      <c r="M613" s="23">
        <v>-28</v>
      </c>
      <c r="N613" s="23">
        <v>0</v>
      </c>
      <c r="O613" s="24">
        <f t="shared" si="63"/>
        <v>5830.48</v>
      </c>
      <c r="P613" s="24">
        <v>-2500</v>
      </c>
      <c r="Q613" s="24">
        <v>0</v>
      </c>
      <c r="R613" s="24">
        <v>0</v>
      </c>
      <c r="S613" s="24">
        <v>0</v>
      </c>
      <c r="T613" s="24">
        <v>0</v>
      </c>
      <c r="U613" s="24">
        <v>0</v>
      </c>
      <c r="V613" s="24">
        <v>0</v>
      </c>
      <c r="W613" s="23">
        <f t="shared" si="64"/>
        <v>3330.4799999999996</v>
      </c>
      <c r="X613" s="23">
        <f t="shared" si="65"/>
        <v>3330.4799999999996</v>
      </c>
      <c r="Y613" s="23">
        <f t="shared" si="66"/>
        <v>0</v>
      </c>
      <c r="Z613" s="24">
        <v>0</v>
      </c>
      <c r="AA613" s="23">
        <f t="shared" si="67"/>
        <v>0</v>
      </c>
      <c r="AB613" s="23">
        <f t="shared" si="68"/>
        <v>2500</v>
      </c>
      <c r="AC613" s="20"/>
      <c r="AD613" s="20" t="str">
        <f>VLOOKUP($C613,'[1]CTRL AUTOS'!$E:$AH,2,0)</f>
        <v>MYE912A</v>
      </c>
      <c r="AE613" s="11" t="str">
        <f t="shared" si="69"/>
        <v>MYE912A32</v>
      </c>
    </row>
    <row r="614" spans="1:31" ht="12.75" hidden="1" customHeight="1" x14ac:dyDescent="0.3">
      <c r="A614" s="8">
        <v>32</v>
      </c>
      <c r="B614" s="20" t="s">
        <v>388</v>
      </c>
      <c r="C614" s="20" t="s">
        <v>69</v>
      </c>
      <c r="D614" s="20" t="s">
        <v>370</v>
      </c>
      <c r="E614" s="22" t="s">
        <v>241</v>
      </c>
      <c r="F614" s="20" t="s">
        <v>291</v>
      </c>
      <c r="G614" s="22" t="s">
        <v>234</v>
      </c>
      <c r="H614" s="23">
        <v>1055.6600000000001</v>
      </c>
      <c r="I614" s="23">
        <v>0</v>
      </c>
      <c r="J614" s="23">
        <v>0</v>
      </c>
      <c r="K614" s="23">
        <v>0</v>
      </c>
      <c r="L614" s="23">
        <v>-747.58</v>
      </c>
      <c r="M614" s="23">
        <v>-35</v>
      </c>
      <c r="N614" s="23">
        <v>0</v>
      </c>
      <c r="O614" s="24">
        <f t="shared" si="63"/>
        <v>273.08000000000004</v>
      </c>
      <c r="P614" s="23">
        <v>-2500</v>
      </c>
      <c r="Q614" s="24">
        <v>1699</v>
      </c>
      <c r="R614" s="23">
        <v>-500</v>
      </c>
      <c r="S614" s="23">
        <v>0</v>
      </c>
      <c r="T614" s="23">
        <v>0</v>
      </c>
      <c r="U614" s="24">
        <v>0</v>
      </c>
      <c r="V614" s="23">
        <v>0</v>
      </c>
      <c r="W614" s="23">
        <f t="shared" si="64"/>
        <v>-1027.92</v>
      </c>
      <c r="X614" s="23">
        <f t="shared" si="65"/>
        <v>0</v>
      </c>
      <c r="Y614" s="23">
        <f t="shared" si="66"/>
        <v>-1027.92</v>
      </c>
      <c r="Z614" s="23">
        <v>1000</v>
      </c>
      <c r="AA614" s="23">
        <f t="shared" si="67"/>
        <v>-27.920000000000073</v>
      </c>
      <c r="AB614" s="23">
        <f t="shared" si="68"/>
        <v>1245.1599999999999</v>
      </c>
      <c r="AC614" s="20" t="s">
        <v>399</v>
      </c>
      <c r="AD614" s="20" t="str">
        <f>VLOOKUP($C614,'[1]CTRL AUTOS'!$E:$AH,2,0)</f>
        <v>R51BKD</v>
      </c>
      <c r="AE614" s="11" t="str">
        <f t="shared" si="69"/>
        <v>R51BKD32</v>
      </c>
    </row>
    <row r="615" spans="1:31" ht="12.75" hidden="1" customHeight="1" x14ac:dyDescent="0.3">
      <c r="A615" s="8">
        <v>32</v>
      </c>
      <c r="B615" s="20" t="s">
        <v>331</v>
      </c>
      <c r="C615" s="20" t="s">
        <v>46</v>
      </c>
      <c r="D615" s="20" t="s">
        <v>257</v>
      </c>
      <c r="E615" s="22" t="s">
        <v>232</v>
      </c>
      <c r="F615" s="20" t="s">
        <v>232</v>
      </c>
      <c r="G615" s="22" t="s">
        <v>234</v>
      </c>
      <c r="H615" s="23">
        <v>93</v>
      </c>
      <c r="I615" s="23">
        <v>0</v>
      </c>
      <c r="J615" s="23">
        <v>0</v>
      </c>
      <c r="K615" s="23">
        <v>0</v>
      </c>
      <c r="L615" s="23">
        <v>0</v>
      </c>
      <c r="M615" s="23">
        <v>0</v>
      </c>
      <c r="N615" s="23">
        <v>-294</v>
      </c>
      <c r="O615" s="24">
        <f t="shared" si="63"/>
        <v>-201</v>
      </c>
      <c r="P615" s="24">
        <v>-1071.42</v>
      </c>
      <c r="Q615" s="24">
        <v>-2374</v>
      </c>
      <c r="R615" s="24">
        <v>3646</v>
      </c>
      <c r="S615" s="24">
        <v>0</v>
      </c>
      <c r="T615" s="24">
        <v>0</v>
      </c>
      <c r="U615" s="24">
        <v>0</v>
      </c>
      <c r="V615" s="24">
        <v>0</v>
      </c>
      <c r="W615" s="23">
        <f t="shared" si="64"/>
        <v>-0.42000000000007276</v>
      </c>
      <c r="X615" s="23">
        <f t="shared" si="65"/>
        <v>0</v>
      </c>
      <c r="Y615" s="23">
        <f t="shared" si="66"/>
        <v>-0.42000000000007276</v>
      </c>
      <c r="Z615" s="24">
        <v>0</v>
      </c>
      <c r="AA615" s="23">
        <f t="shared" si="67"/>
        <v>-0.42000000000007276</v>
      </c>
      <c r="AB615" s="23">
        <f t="shared" si="68"/>
        <v>-201.42000000000007</v>
      </c>
      <c r="AC615" s="20"/>
      <c r="AD615" s="20" t="str">
        <f>VLOOKUP($C615,'[1]CTRL AUTOS'!$E:$AH,2,0)</f>
        <v>R66BER</v>
      </c>
      <c r="AE615" s="11" t="str">
        <f t="shared" si="69"/>
        <v>R66BER32</v>
      </c>
    </row>
    <row r="616" spans="1:31" ht="12.75" hidden="1" customHeight="1" x14ac:dyDescent="0.3">
      <c r="A616" s="8">
        <v>32</v>
      </c>
      <c r="B616" s="20" t="s">
        <v>372</v>
      </c>
      <c r="C616" s="20" t="s">
        <v>4</v>
      </c>
      <c r="D616" s="20" t="s">
        <v>245</v>
      </c>
      <c r="E616" s="22" t="s">
        <v>232</v>
      </c>
      <c r="F616" s="20" t="s">
        <v>232</v>
      </c>
      <c r="G616" s="22" t="s">
        <v>234</v>
      </c>
      <c r="H616" s="23">
        <v>0</v>
      </c>
      <c r="I616" s="23">
        <v>0</v>
      </c>
      <c r="J616" s="23">
        <v>0</v>
      </c>
      <c r="K616" s="23">
        <v>0</v>
      </c>
      <c r="L616" s="23">
        <v>0</v>
      </c>
      <c r="M616" s="23">
        <v>0</v>
      </c>
      <c r="N616" s="23">
        <v>-30</v>
      </c>
      <c r="O616" s="24">
        <f t="shared" si="63"/>
        <v>-30</v>
      </c>
      <c r="P616" s="24">
        <v>0</v>
      </c>
      <c r="Q616" s="24">
        <v>-2371</v>
      </c>
      <c r="R616" s="24">
        <v>0</v>
      </c>
      <c r="S616" s="24">
        <v>0</v>
      </c>
      <c r="T616" s="24">
        <v>0</v>
      </c>
      <c r="U616" s="24">
        <v>0</v>
      </c>
      <c r="V616" s="24">
        <v>0</v>
      </c>
      <c r="W616" s="23">
        <f t="shared" si="64"/>
        <v>-2401</v>
      </c>
      <c r="X616" s="23">
        <f t="shared" si="65"/>
        <v>0</v>
      </c>
      <c r="Y616" s="23">
        <f t="shared" si="66"/>
        <v>-2401</v>
      </c>
      <c r="Z616" s="24">
        <v>0</v>
      </c>
      <c r="AA616" s="23">
        <f t="shared" si="67"/>
        <v>-2401</v>
      </c>
      <c r="AB616" s="23">
        <f t="shared" si="68"/>
        <v>-2431</v>
      </c>
      <c r="AC616" s="20" t="s">
        <v>400</v>
      </c>
      <c r="AD616" s="20" t="str">
        <f>VLOOKUP($C616,'[1]CTRL AUTOS'!$E:$AH,2,0)</f>
        <v>N15BKD</v>
      </c>
      <c r="AE616" s="11" t="str">
        <f t="shared" si="69"/>
        <v>N15BKD32</v>
      </c>
    </row>
    <row r="617" spans="1:31" ht="12.75" hidden="1" customHeight="1" x14ac:dyDescent="0.3">
      <c r="A617" s="8">
        <v>32</v>
      </c>
      <c r="B617" s="20" t="s">
        <v>293</v>
      </c>
      <c r="C617" s="20" t="s">
        <v>34</v>
      </c>
      <c r="D617" s="20" t="s">
        <v>285</v>
      </c>
      <c r="E617" s="22" t="s">
        <v>232</v>
      </c>
      <c r="F617" s="23" t="s">
        <v>232</v>
      </c>
      <c r="G617" s="22" t="s">
        <v>234</v>
      </c>
      <c r="H617" s="23">
        <v>0</v>
      </c>
      <c r="I617" s="23">
        <v>0</v>
      </c>
      <c r="J617" s="23">
        <v>0</v>
      </c>
      <c r="K617" s="23">
        <v>0</v>
      </c>
      <c r="L617" s="23">
        <v>0</v>
      </c>
      <c r="M617" s="23">
        <v>0</v>
      </c>
      <c r="N617" s="23">
        <v>0</v>
      </c>
      <c r="O617" s="24">
        <f t="shared" si="63"/>
        <v>0</v>
      </c>
      <c r="P617" s="23">
        <v>0</v>
      </c>
      <c r="Q617" s="23">
        <v>0</v>
      </c>
      <c r="R617" s="23">
        <v>500</v>
      </c>
      <c r="S617" s="23">
        <v>0</v>
      </c>
      <c r="T617" s="23">
        <v>0</v>
      </c>
      <c r="U617" s="23">
        <v>0</v>
      </c>
      <c r="V617" s="23">
        <v>0</v>
      </c>
      <c r="W617" s="23">
        <f t="shared" si="64"/>
        <v>500</v>
      </c>
      <c r="X617" s="23">
        <f t="shared" si="65"/>
        <v>500</v>
      </c>
      <c r="Y617" s="23">
        <f t="shared" si="66"/>
        <v>0</v>
      </c>
      <c r="Z617" s="23">
        <v>0</v>
      </c>
      <c r="AA617" s="23">
        <f t="shared" si="67"/>
        <v>0</v>
      </c>
      <c r="AB617" s="23">
        <f t="shared" si="68"/>
        <v>-500</v>
      </c>
      <c r="AC617" s="20"/>
      <c r="AD617" s="20" t="str">
        <f>VLOOKUP($C617,'[1]CTRL AUTOS'!$E:$AH,2,0)</f>
        <v>X59AWG</v>
      </c>
      <c r="AE617" s="11" t="str">
        <f t="shared" si="69"/>
        <v>X59AWG32</v>
      </c>
    </row>
    <row r="618" spans="1:31" ht="12.75" hidden="1" customHeight="1" x14ac:dyDescent="0.3">
      <c r="A618" s="8">
        <v>32</v>
      </c>
      <c r="B618" s="20" t="s">
        <v>45</v>
      </c>
      <c r="C618" s="20" t="s">
        <v>249</v>
      </c>
      <c r="D618" s="20" t="s">
        <v>250</v>
      </c>
      <c r="E618" s="22" t="s">
        <v>232</v>
      </c>
      <c r="F618" s="20" t="s">
        <v>232</v>
      </c>
      <c r="G618" s="22" t="s">
        <v>234</v>
      </c>
      <c r="H618" s="23">
        <v>3301.17</v>
      </c>
      <c r="I618" s="23">
        <v>-16</v>
      </c>
      <c r="J618" s="23">
        <v>0</v>
      </c>
      <c r="K618" s="23">
        <v>0</v>
      </c>
      <c r="L618" s="23">
        <v>-1564.77</v>
      </c>
      <c r="M618" s="23">
        <v>-35</v>
      </c>
      <c r="N618" s="23">
        <v>0</v>
      </c>
      <c r="O618" s="24">
        <f t="shared" si="63"/>
        <v>1685.4</v>
      </c>
      <c r="P618" s="24">
        <v>-2300</v>
      </c>
      <c r="Q618" s="24">
        <v>0</v>
      </c>
      <c r="R618" s="24">
        <v>0</v>
      </c>
      <c r="S618" s="24">
        <v>0</v>
      </c>
      <c r="T618" s="24">
        <v>0</v>
      </c>
      <c r="U618" s="24">
        <v>0</v>
      </c>
      <c r="V618" s="24">
        <v>0</v>
      </c>
      <c r="W618" s="23">
        <f t="shared" si="64"/>
        <v>-614.59999999999991</v>
      </c>
      <c r="X618" s="23">
        <f t="shared" si="65"/>
        <v>0</v>
      </c>
      <c r="Y618" s="23">
        <f t="shared" si="66"/>
        <v>-614.59999999999991</v>
      </c>
      <c r="Z618" s="24">
        <v>615</v>
      </c>
      <c r="AA618" s="23">
        <f t="shared" si="67"/>
        <v>0.40000000000009095</v>
      </c>
      <c r="AB618" s="23">
        <f t="shared" si="68"/>
        <v>2300.8000000000002</v>
      </c>
      <c r="AC618" s="20" t="s">
        <v>397</v>
      </c>
      <c r="AD618" s="20" t="s">
        <v>251</v>
      </c>
      <c r="AE618" s="11" t="str">
        <f t="shared" si="69"/>
        <v>BAJA DE PLACAS32</v>
      </c>
    </row>
    <row r="619" spans="1:31" ht="12.75" hidden="1" customHeight="1" x14ac:dyDescent="0.3">
      <c r="A619" s="8">
        <v>32</v>
      </c>
      <c r="B619" s="20" t="s">
        <v>5</v>
      </c>
      <c r="C619" s="20" t="s">
        <v>28</v>
      </c>
      <c r="D619" s="20" t="s">
        <v>274</v>
      </c>
      <c r="E619" s="22" t="s">
        <v>232</v>
      </c>
      <c r="F619" s="20" t="s">
        <v>232</v>
      </c>
      <c r="G619" s="22" t="s">
        <v>234</v>
      </c>
      <c r="H619" s="23">
        <v>2935.89</v>
      </c>
      <c r="I619" s="23">
        <v>0</v>
      </c>
      <c r="J619" s="23">
        <v>0</v>
      </c>
      <c r="K619" s="23">
        <v>0</v>
      </c>
      <c r="L619" s="23">
        <v>-900.27</v>
      </c>
      <c r="M619" s="23">
        <v>-38</v>
      </c>
      <c r="N619" s="23">
        <v>-13</v>
      </c>
      <c r="O619" s="24">
        <f t="shared" si="63"/>
        <v>1984.62</v>
      </c>
      <c r="P619" s="24">
        <v>-2500</v>
      </c>
      <c r="Q619" s="24">
        <v>-579</v>
      </c>
      <c r="R619" s="24">
        <v>0</v>
      </c>
      <c r="S619" s="24">
        <v>0</v>
      </c>
      <c r="T619" s="24">
        <v>0</v>
      </c>
      <c r="U619" s="24">
        <v>0</v>
      </c>
      <c r="V619" s="24">
        <v>0</v>
      </c>
      <c r="W619" s="23">
        <f t="shared" si="64"/>
        <v>-1094.3800000000001</v>
      </c>
      <c r="X619" s="23">
        <f t="shared" si="65"/>
        <v>0</v>
      </c>
      <c r="Y619" s="23">
        <f t="shared" si="66"/>
        <v>-1094.3800000000001</v>
      </c>
      <c r="Z619" s="24">
        <f>400+400+294</f>
        <v>1094</v>
      </c>
      <c r="AA619" s="23">
        <f t="shared" si="67"/>
        <v>-0.38000000000010914</v>
      </c>
      <c r="AB619" s="23">
        <f t="shared" si="68"/>
        <v>3078.24</v>
      </c>
      <c r="AC619" s="20" t="s">
        <v>397</v>
      </c>
      <c r="AD619" s="20" t="str">
        <f>VLOOKUP($C619,'[1]CTRL AUTOS'!$E:$AH,2,0)</f>
        <v>NCT814A</v>
      </c>
      <c r="AE619" s="11" t="str">
        <f t="shared" si="69"/>
        <v>NCT814A32</v>
      </c>
    </row>
    <row r="620" spans="1:31" ht="12.75" hidden="1" customHeight="1" x14ac:dyDescent="0.3">
      <c r="A620" s="8">
        <v>32</v>
      </c>
      <c r="B620" s="20" t="s">
        <v>362</v>
      </c>
      <c r="C620" s="20" t="s">
        <v>50</v>
      </c>
      <c r="D620" s="20" t="s">
        <v>267</v>
      </c>
      <c r="E620" s="22" t="s">
        <v>232</v>
      </c>
      <c r="F620" s="20" t="s">
        <v>232</v>
      </c>
      <c r="G620" s="22" t="s">
        <v>234</v>
      </c>
      <c r="H620" s="23">
        <v>3486.14</v>
      </c>
      <c r="I620" s="23">
        <v>0</v>
      </c>
      <c r="J620" s="23">
        <v>0</v>
      </c>
      <c r="K620" s="23">
        <v>0</v>
      </c>
      <c r="L620" s="23">
        <v>-2104.5100000000002</v>
      </c>
      <c r="M620" s="23">
        <v>-38</v>
      </c>
      <c r="N620" s="23">
        <v>0</v>
      </c>
      <c r="O620" s="24">
        <f t="shared" si="63"/>
        <v>1343.6299999999997</v>
      </c>
      <c r="P620" s="24">
        <v>-2500</v>
      </c>
      <c r="Q620" s="24">
        <v>-28</v>
      </c>
      <c r="R620" s="24">
        <v>-500</v>
      </c>
      <c r="S620" s="24">
        <v>0</v>
      </c>
      <c r="T620" s="24">
        <v>0</v>
      </c>
      <c r="U620" s="24">
        <v>0</v>
      </c>
      <c r="V620" s="24">
        <v>0</v>
      </c>
      <c r="W620" s="23">
        <f t="shared" si="64"/>
        <v>-1684.3700000000003</v>
      </c>
      <c r="X620" s="23">
        <f t="shared" si="65"/>
        <v>0</v>
      </c>
      <c r="Y620" s="23">
        <f t="shared" si="66"/>
        <v>-1684.3700000000003</v>
      </c>
      <c r="Z620" s="24">
        <f>1256+428</f>
        <v>1684</v>
      </c>
      <c r="AA620" s="23">
        <f t="shared" si="67"/>
        <v>-0.37000000000034561</v>
      </c>
      <c r="AB620" s="23">
        <f t="shared" si="68"/>
        <v>3027.2599999999993</v>
      </c>
      <c r="AC620" s="20" t="s">
        <v>394</v>
      </c>
      <c r="AD620" s="20" t="str">
        <f>VLOOKUP($C620,'[1]CTRL AUTOS'!$E:$AH,2,0)</f>
        <v>NBS225A</v>
      </c>
      <c r="AE620" s="11" t="str">
        <f t="shared" si="69"/>
        <v>NBS225A32</v>
      </c>
    </row>
    <row r="621" spans="1:31" ht="12.75" hidden="1" customHeight="1" x14ac:dyDescent="0.3">
      <c r="A621" s="8">
        <v>32</v>
      </c>
      <c r="B621" s="20" t="s">
        <v>363</v>
      </c>
      <c r="C621" s="20" t="s">
        <v>8</v>
      </c>
      <c r="D621" s="20" t="s">
        <v>237</v>
      </c>
      <c r="E621" s="22" t="s">
        <v>364</v>
      </c>
      <c r="F621" s="22" t="s">
        <v>364</v>
      </c>
      <c r="G621" s="22" t="s">
        <v>234</v>
      </c>
      <c r="H621" s="23">
        <v>0</v>
      </c>
      <c r="I621" s="23">
        <v>0</v>
      </c>
      <c r="J621" s="23">
        <v>0</v>
      </c>
      <c r="K621" s="23">
        <v>0</v>
      </c>
      <c r="L621" s="23">
        <v>0</v>
      </c>
      <c r="M621" s="24">
        <v>0</v>
      </c>
      <c r="N621" s="23">
        <v>0</v>
      </c>
      <c r="O621" s="24">
        <f t="shared" si="63"/>
        <v>0</v>
      </c>
      <c r="P621" s="23">
        <v>0</v>
      </c>
      <c r="Q621" s="23">
        <v>0</v>
      </c>
      <c r="R621" s="23">
        <v>500</v>
      </c>
      <c r="S621" s="23">
        <v>0</v>
      </c>
      <c r="T621" s="23">
        <v>0</v>
      </c>
      <c r="U621" s="23">
        <v>0</v>
      </c>
      <c r="V621" s="23">
        <v>0</v>
      </c>
      <c r="W621" s="23">
        <f t="shared" si="64"/>
        <v>500</v>
      </c>
      <c r="X621" s="23">
        <f t="shared" si="65"/>
        <v>500</v>
      </c>
      <c r="Y621" s="23">
        <f t="shared" si="66"/>
        <v>0</v>
      </c>
      <c r="Z621" s="24">
        <v>0</v>
      </c>
      <c r="AA621" s="23">
        <f t="shared" si="67"/>
        <v>0</v>
      </c>
      <c r="AB621" s="23">
        <f t="shared" si="68"/>
        <v>-500</v>
      </c>
      <c r="AC621" s="20" t="s">
        <v>401</v>
      </c>
      <c r="AD621" s="20" t="e">
        <f>VLOOKUP($C621,'[1]CTRL AUTOS'!$E:$AH,2,0)</f>
        <v>#N/A</v>
      </c>
      <c r="AE621" s="11" t="e">
        <f t="shared" si="69"/>
        <v>#N/A</v>
      </c>
    </row>
    <row r="622" spans="1:31" ht="12.75" hidden="1" customHeight="1" x14ac:dyDescent="0.3">
      <c r="A622" s="8">
        <v>32</v>
      </c>
      <c r="B622" s="20" t="s">
        <v>74</v>
      </c>
      <c r="C622" s="20" t="s">
        <v>104</v>
      </c>
      <c r="D622" s="20" t="s">
        <v>402</v>
      </c>
      <c r="E622" s="20" t="s">
        <v>364</v>
      </c>
      <c r="F622" s="22" t="s">
        <v>364</v>
      </c>
      <c r="G622" s="22" t="s">
        <v>234</v>
      </c>
      <c r="H622" s="23">
        <v>6229.17</v>
      </c>
      <c r="I622" s="23">
        <v>0</v>
      </c>
      <c r="J622" s="23">
        <v>0</v>
      </c>
      <c r="K622" s="23">
        <v>0</v>
      </c>
      <c r="L622" s="23">
        <v>0</v>
      </c>
      <c r="M622" s="23">
        <v>0</v>
      </c>
      <c r="N622" s="23">
        <v>0</v>
      </c>
      <c r="O622" s="24">
        <f t="shared" si="63"/>
        <v>6229.17</v>
      </c>
      <c r="P622" s="23">
        <v>-2500</v>
      </c>
      <c r="Q622" s="24">
        <v>0</v>
      </c>
      <c r="R622" s="23">
        <v>-500</v>
      </c>
      <c r="S622" s="23">
        <v>0</v>
      </c>
      <c r="T622" s="23">
        <v>0</v>
      </c>
      <c r="U622" s="24">
        <v>0</v>
      </c>
      <c r="V622" s="23">
        <v>0</v>
      </c>
      <c r="W622" s="23">
        <f t="shared" si="64"/>
        <v>3229.17</v>
      </c>
      <c r="X622" s="23">
        <f t="shared" si="65"/>
        <v>3229.17</v>
      </c>
      <c r="Y622" s="23">
        <f t="shared" si="66"/>
        <v>0</v>
      </c>
      <c r="Z622" s="24">
        <v>0</v>
      </c>
      <c r="AA622" s="23">
        <f t="shared" si="67"/>
        <v>0</v>
      </c>
      <c r="AB622" s="23">
        <f t="shared" si="68"/>
        <v>3000</v>
      </c>
      <c r="AC622" s="20" t="s">
        <v>401</v>
      </c>
      <c r="AD622" s="20" t="e">
        <f>VLOOKUP($C622,'[1]CTRL AUTOS'!$E:$AH,2,0)</f>
        <v>#N/A</v>
      </c>
      <c r="AE622" s="11" t="e">
        <f t="shared" si="69"/>
        <v>#N/A</v>
      </c>
    </row>
    <row r="623" spans="1:31" ht="12.75" hidden="1" customHeight="1" x14ac:dyDescent="0.3">
      <c r="A623" s="8">
        <v>32</v>
      </c>
      <c r="B623" s="20" t="s">
        <v>76</v>
      </c>
      <c r="C623" s="20" t="s">
        <v>8</v>
      </c>
      <c r="D623" s="20" t="s">
        <v>367</v>
      </c>
      <c r="E623" s="20" t="s">
        <v>364</v>
      </c>
      <c r="F623" s="22" t="s">
        <v>364</v>
      </c>
      <c r="G623" s="22" t="s">
        <v>234</v>
      </c>
      <c r="H623" s="23">
        <v>942.55</v>
      </c>
      <c r="I623" s="23">
        <v>0</v>
      </c>
      <c r="J623" s="23">
        <v>0</v>
      </c>
      <c r="K623" s="23">
        <v>-10.56</v>
      </c>
      <c r="L623" s="23">
        <v>-495.15</v>
      </c>
      <c r="M623" s="23">
        <v>0</v>
      </c>
      <c r="N623" s="23">
        <v>0</v>
      </c>
      <c r="O623" s="24">
        <f t="shared" si="63"/>
        <v>436.84000000000003</v>
      </c>
      <c r="P623" s="23">
        <v>-2500</v>
      </c>
      <c r="Q623" s="24">
        <v>-1</v>
      </c>
      <c r="R623" s="23">
        <v>-500</v>
      </c>
      <c r="S623" s="23">
        <v>0</v>
      </c>
      <c r="T623" s="23">
        <v>0</v>
      </c>
      <c r="U623" s="24">
        <v>0</v>
      </c>
      <c r="V623" s="23">
        <v>0</v>
      </c>
      <c r="W623" s="23">
        <f t="shared" si="64"/>
        <v>-2564.16</v>
      </c>
      <c r="X623" s="23">
        <f t="shared" si="65"/>
        <v>0</v>
      </c>
      <c r="Y623" s="23">
        <f t="shared" si="66"/>
        <v>-2564.16</v>
      </c>
      <c r="Z623" s="24">
        <f>2000+564</f>
        <v>2564</v>
      </c>
      <c r="AA623" s="23">
        <f t="shared" si="67"/>
        <v>-0.15999999999985448</v>
      </c>
      <c r="AB623" s="23">
        <f t="shared" si="68"/>
        <v>3000.6800000000003</v>
      </c>
      <c r="AC623" s="20" t="s">
        <v>383</v>
      </c>
      <c r="AD623" s="20" t="e">
        <f>VLOOKUP($C623,'[1]CTRL AUTOS'!$E:$AH,2,0)</f>
        <v>#N/A</v>
      </c>
      <c r="AE623" s="11" t="e">
        <f t="shared" si="69"/>
        <v>#N/A</v>
      </c>
    </row>
    <row r="624" spans="1:31" ht="12.75" hidden="1" customHeight="1" x14ac:dyDescent="0.3">
      <c r="A624" s="8">
        <v>33</v>
      </c>
      <c r="B624" s="20" t="s">
        <v>80</v>
      </c>
      <c r="C624" s="20" t="s">
        <v>81</v>
      </c>
      <c r="D624" s="20" t="s">
        <v>317</v>
      </c>
      <c r="E624" s="22" t="s">
        <v>232</v>
      </c>
      <c r="F624" s="20" t="s">
        <v>232</v>
      </c>
      <c r="G624" s="22" t="s">
        <v>234</v>
      </c>
      <c r="H624" s="23">
        <v>392.25</v>
      </c>
      <c r="I624" s="23">
        <v>0</v>
      </c>
      <c r="J624" s="23">
        <v>0</v>
      </c>
      <c r="K624" s="23">
        <v>0</v>
      </c>
      <c r="L624" s="23">
        <v>0</v>
      </c>
      <c r="M624" s="23">
        <v>-32</v>
      </c>
      <c r="N624" s="23">
        <v>0</v>
      </c>
      <c r="O624" s="24">
        <f t="shared" si="63"/>
        <v>360.25</v>
      </c>
      <c r="P624" s="24">
        <v>-2500</v>
      </c>
      <c r="Q624" s="24">
        <v>0</v>
      </c>
      <c r="R624" s="24">
        <v>0</v>
      </c>
      <c r="S624" s="24">
        <v>0</v>
      </c>
      <c r="T624" s="24">
        <v>-500</v>
      </c>
      <c r="U624" s="24">
        <v>0</v>
      </c>
      <c r="V624" s="24">
        <v>0</v>
      </c>
      <c r="W624" s="23">
        <f t="shared" si="64"/>
        <v>-2639.75</v>
      </c>
      <c r="X624" s="23">
        <f t="shared" si="65"/>
        <v>0</v>
      </c>
      <c r="Y624" s="23">
        <f t="shared" si="66"/>
        <v>-2639.75</v>
      </c>
      <c r="Z624" s="24">
        <f>2460+180</f>
        <v>2640</v>
      </c>
      <c r="AA624" s="23">
        <f t="shared" si="67"/>
        <v>0.25</v>
      </c>
      <c r="AB624" s="23">
        <f t="shared" si="68"/>
        <v>3000.5</v>
      </c>
      <c r="AC624" s="20" t="s">
        <v>394</v>
      </c>
      <c r="AD624" s="20" t="str">
        <f>VLOOKUP($C624,'[1]CTRL AUTOS'!$E:$AH,2,0)</f>
        <v>NLP172B</v>
      </c>
      <c r="AE624" s="11" t="str">
        <f t="shared" si="69"/>
        <v>NLP172B33</v>
      </c>
    </row>
    <row r="625" spans="1:31" ht="12.75" hidden="1" customHeight="1" x14ac:dyDescent="0.3">
      <c r="A625" s="8">
        <v>33</v>
      </c>
      <c r="B625" s="20" t="s">
        <v>13</v>
      </c>
      <c r="C625" s="20" t="s">
        <v>40</v>
      </c>
      <c r="D625" s="20" t="s">
        <v>315</v>
      </c>
      <c r="E625" s="20" t="s">
        <v>232</v>
      </c>
      <c r="F625" s="20" t="s">
        <v>232</v>
      </c>
      <c r="G625" s="22" t="s">
        <v>234</v>
      </c>
      <c r="H625" s="23">
        <v>6354.28</v>
      </c>
      <c r="I625" s="23">
        <v>-235.2</v>
      </c>
      <c r="J625" s="23">
        <v>0</v>
      </c>
      <c r="K625" s="23">
        <v>0</v>
      </c>
      <c r="L625" s="23">
        <v>0</v>
      </c>
      <c r="M625" s="23">
        <v>-25</v>
      </c>
      <c r="N625" s="23">
        <v>0</v>
      </c>
      <c r="O625" s="24">
        <f t="shared" si="63"/>
        <v>6094.08</v>
      </c>
      <c r="P625" s="24">
        <v>-1250</v>
      </c>
      <c r="Q625" s="23">
        <v>0</v>
      </c>
      <c r="R625" s="24">
        <v>-250</v>
      </c>
      <c r="S625" s="24">
        <v>0</v>
      </c>
      <c r="T625" s="24">
        <v>0</v>
      </c>
      <c r="U625" s="24">
        <v>0</v>
      </c>
      <c r="V625" s="24">
        <v>0</v>
      </c>
      <c r="W625" s="23">
        <f t="shared" si="64"/>
        <v>4594.08</v>
      </c>
      <c r="X625" s="23">
        <f t="shared" si="65"/>
        <v>4594.08</v>
      </c>
      <c r="Y625" s="23">
        <f t="shared" si="66"/>
        <v>0</v>
      </c>
      <c r="Z625" s="24">
        <v>0</v>
      </c>
      <c r="AA625" s="23">
        <f t="shared" si="67"/>
        <v>0</v>
      </c>
      <c r="AB625" s="23">
        <f t="shared" si="68"/>
        <v>1500</v>
      </c>
      <c r="AC625" s="20"/>
      <c r="AD625" s="20" t="str">
        <f>VLOOKUP($C625,'[1]CTRL AUTOS'!$E:$AH,2,0)</f>
        <v>NEL860A</v>
      </c>
      <c r="AE625" s="11" t="str">
        <f t="shared" si="69"/>
        <v>NEL860A33</v>
      </c>
    </row>
    <row r="626" spans="1:31" ht="12.75" hidden="1" customHeight="1" x14ac:dyDescent="0.3">
      <c r="A626" s="8">
        <v>33</v>
      </c>
      <c r="B626" s="20" t="s">
        <v>111</v>
      </c>
      <c r="C626" s="20" t="s">
        <v>63</v>
      </c>
      <c r="D626" s="20" t="s">
        <v>374</v>
      </c>
      <c r="E626" s="20" t="s">
        <v>291</v>
      </c>
      <c r="F626" s="20" t="s">
        <v>291</v>
      </c>
      <c r="G626" s="22" t="s">
        <v>234</v>
      </c>
      <c r="H626" s="23">
        <v>7418.45</v>
      </c>
      <c r="I626" s="23">
        <v>0</v>
      </c>
      <c r="J626" s="23">
        <v>0</v>
      </c>
      <c r="K626" s="23">
        <v>0</v>
      </c>
      <c r="L626" s="23">
        <v>-2196.85</v>
      </c>
      <c r="M626" s="23">
        <v>-48</v>
      </c>
      <c r="N626" s="23">
        <v>0</v>
      </c>
      <c r="O626" s="24">
        <f t="shared" si="63"/>
        <v>5173.6000000000004</v>
      </c>
      <c r="P626" s="24">
        <v>-2500</v>
      </c>
      <c r="Q626" s="24">
        <v>-1275.68</v>
      </c>
      <c r="R626" s="24">
        <v>0</v>
      </c>
      <c r="S626" s="24">
        <v>0</v>
      </c>
      <c r="T626" s="24">
        <v>-500</v>
      </c>
      <c r="U626" s="24">
        <v>0</v>
      </c>
      <c r="V626" s="24">
        <v>0</v>
      </c>
      <c r="W626" s="23">
        <f t="shared" si="64"/>
        <v>897.92000000000007</v>
      </c>
      <c r="X626" s="23">
        <f t="shared" si="65"/>
        <v>897.92000000000007</v>
      </c>
      <c r="Y626" s="23">
        <f t="shared" si="66"/>
        <v>0</v>
      </c>
      <c r="Z626" s="24">
        <v>0</v>
      </c>
      <c r="AA626" s="23">
        <f t="shared" si="67"/>
        <v>0</v>
      </c>
      <c r="AB626" s="23">
        <f t="shared" si="68"/>
        <v>4275.68</v>
      </c>
      <c r="AC626" s="20"/>
      <c r="AD626" s="20" t="str">
        <f>VLOOKUP($C626,'[1]CTRL AUTOS'!$E:$AH,2,0)</f>
        <v>X89ALV</v>
      </c>
      <c r="AE626" s="11" t="str">
        <f t="shared" si="69"/>
        <v>X89ALV33</v>
      </c>
    </row>
    <row r="627" spans="1:31" ht="12.75" hidden="1" customHeight="1" x14ac:dyDescent="0.3">
      <c r="A627" s="8">
        <v>33</v>
      </c>
      <c r="B627" s="20" t="s">
        <v>19</v>
      </c>
      <c r="C627" s="20" t="s">
        <v>20</v>
      </c>
      <c r="D627" s="20" t="s">
        <v>239</v>
      </c>
      <c r="E627" s="22" t="s">
        <v>232</v>
      </c>
      <c r="F627" s="20" t="s">
        <v>232</v>
      </c>
      <c r="G627" s="22" t="s">
        <v>234</v>
      </c>
      <c r="H627" s="23">
        <v>5008.55</v>
      </c>
      <c r="I627" s="23">
        <v>0</v>
      </c>
      <c r="J627" s="23">
        <v>0</v>
      </c>
      <c r="K627" s="23">
        <v>0</v>
      </c>
      <c r="L627" s="23">
        <v>0</v>
      </c>
      <c r="M627" s="23">
        <v>-38</v>
      </c>
      <c r="N627" s="23">
        <v>0</v>
      </c>
      <c r="O627" s="24">
        <f t="shared" si="63"/>
        <v>4970.55</v>
      </c>
      <c r="P627" s="23">
        <v>-1428.56</v>
      </c>
      <c r="Q627" s="23">
        <v>0</v>
      </c>
      <c r="R627" s="23">
        <v>-500</v>
      </c>
      <c r="S627" s="23">
        <v>0</v>
      </c>
      <c r="T627" s="23">
        <v>0</v>
      </c>
      <c r="U627" s="23">
        <v>0</v>
      </c>
      <c r="V627" s="23">
        <v>0</v>
      </c>
      <c r="W627" s="23">
        <f t="shared" si="64"/>
        <v>3041.9900000000002</v>
      </c>
      <c r="X627" s="23">
        <f t="shared" si="65"/>
        <v>3041.9900000000002</v>
      </c>
      <c r="Y627" s="23">
        <f t="shared" si="66"/>
        <v>0</v>
      </c>
      <c r="Z627" s="23">
        <v>0</v>
      </c>
      <c r="AA627" s="23">
        <f t="shared" si="67"/>
        <v>0</v>
      </c>
      <c r="AB627" s="23">
        <f t="shared" si="68"/>
        <v>1928.56</v>
      </c>
      <c r="AC627" s="20"/>
      <c r="AD627" s="20" t="str">
        <f>VLOOKUP($C627,'[1]CTRL AUTOS'!$E:$AH,2,0)</f>
        <v>D40BKD</v>
      </c>
      <c r="AE627" s="11" t="str">
        <f t="shared" si="69"/>
        <v>D40BKD33</v>
      </c>
    </row>
    <row r="628" spans="1:31" ht="12.75" hidden="1" customHeight="1" x14ac:dyDescent="0.3">
      <c r="A628" s="8">
        <v>33</v>
      </c>
      <c r="B628" s="20" t="s">
        <v>396</v>
      </c>
      <c r="C628" s="20" t="s">
        <v>75</v>
      </c>
      <c r="D628" s="20" t="s">
        <v>333</v>
      </c>
      <c r="E628" s="22" t="s">
        <v>241</v>
      </c>
      <c r="F628" s="20" t="s">
        <v>291</v>
      </c>
      <c r="G628" s="22" t="s">
        <v>234</v>
      </c>
      <c r="H628" s="23">
        <v>5981.93</v>
      </c>
      <c r="I628" s="23">
        <v>0</v>
      </c>
      <c r="J628" s="23">
        <v>0</v>
      </c>
      <c r="K628" s="23">
        <v>0</v>
      </c>
      <c r="L628" s="23">
        <v>-3736.05</v>
      </c>
      <c r="M628" s="23">
        <v>-32</v>
      </c>
      <c r="N628" s="23">
        <v>0</v>
      </c>
      <c r="O628" s="24">
        <f t="shared" si="63"/>
        <v>2213.88</v>
      </c>
      <c r="P628" s="23">
        <v>-2500</v>
      </c>
      <c r="Q628" s="23">
        <v>0</v>
      </c>
      <c r="R628" s="23">
        <v>-500</v>
      </c>
      <c r="S628" s="23">
        <v>0</v>
      </c>
      <c r="T628" s="23">
        <v>0</v>
      </c>
      <c r="U628" s="23">
        <v>0</v>
      </c>
      <c r="V628" s="23">
        <v>0</v>
      </c>
      <c r="W628" s="23">
        <f t="shared" si="64"/>
        <v>-786.11999999999989</v>
      </c>
      <c r="X628" s="23">
        <f t="shared" si="65"/>
        <v>0</v>
      </c>
      <c r="Y628" s="23">
        <f t="shared" si="66"/>
        <v>-786.11999999999989</v>
      </c>
      <c r="Z628" s="23">
        <v>786</v>
      </c>
      <c r="AA628" s="23">
        <f t="shared" si="67"/>
        <v>-0.11999999999989086</v>
      </c>
      <c r="AB628" s="23">
        <f t="shared" si="68"/>
        <v>2999.76</v>
      </c>
      <c r="AC628" s="20" t="s">
        <v>297</v>
      </c>
      <c r="AD628" s="20" t="str">
        <f>VLOOKUP($C628,'[1]CTRL AUTOS'!$E:$AH,2,0)</f>
        <v>NFN014B</v>
      </c>
      <c r="AE628" s="11" t="str">
        <f t="shared" si="69"/>
        <v>NFN014B33</v>
      </c>
    </row>
    <row r="629" spans="1:31" ht="12.75" hidden="1" customHeight="1" x14ac:dyDescent="0.3">
      <c r="A629" s="8">
        <v>33</v>
      </c>
      <c r="B629" s="20" t="s">
        <v>23</v>
      </c>
      <c r="C629" s="20" t="s">
        <v>106</v>
      </c>
      <c r="D629" s="20" t="s">
        <v>322</v>
      </c>
      <c r="E629" s="22" t="s">
        <v>232</v>
      </c>
      <c r="F629" s="20" t="s">
        <v>232</v>
      </c>
      <c r="G629" s="22" t="s">
        <v>234</v>
      </c>
      <c r="H629" s="23">
        <v>7901.8</v>
      </c>
      <c r="I629" s="23">
        <v>-40.799999999999997</v>
      </c>
      <c r="J629" s="23">
        <v>0</v>
      </c>
      <c r="K629" s="23">
        <v>0</v>
      </c>
      <c r="L629" s="23">
        <v>-4933.17</v>
      </c>
      <c r="M629" s="23">
        <v>-32</v>
      </c>
      <c r="N629" s="23">
        <v>0</v>
      </c>
      <c r="O629" s="24">
        <f t="shared" si="63"/>
        <v>2895.83</v>
      </c>
      <c r="P629" s="24">
        <v>-2500</v>
      </c>
      <c r="Q629" s="24">
        <v>0</v>
      </c>
      <c r="R629" s="24">
        <v>0</v>
      </c>
      <c r="S629" s="24">
        <v>0</v>
      </c>
      <c r="T629" s="24">
        <v>0</v>
      </c>
      <c r="U629" s="24">
        <v>0</v>
      </c>
      <c r="V629" s="24">
        <v>0</v>
      </c>
      <c r="W629" s="23">
        <f t="shared" si="64"/>
        <v>395.82999999999993</v>
      </c>
      <c r="X629" s="23">
        <f t="shared" si="65"/>
        <v>395.82999999999993</v>
      </c>
      <c r="Y629" s="23">
        <f t="shared" si="66"/>
        <v>0</v>
      </c>
      <c r="Z629" s="24">
        <v>0</v>
      </c>
      <c r="AA629" s="23">
        <f t="shared" si="67"/>
        <v>0</v>
      </c>
      <c r="AB629" s="23">
        <f t="shared" si="68"/>
        <v>2500</v>
      </c>
      <c r="AC629" s="20"/>
      <c r="AD629" s="20" t="str">
        <f>VLOOKUP($C629,'[1]CTRL AUTOS'!$E:$AH,2,0)</f>
        <v>NZU5163</v>
      </c>
      <c r="AE629" s="11" t="str">
        <f t="shared" si="69"/>
        <v>NZU516333</v>
      </c>
    </row>
    <row r="630" spans="1:31" ht="12.75" hidden="1" customHeight="1" x14ac:dyDescent="0.3">
      <c r="A630" s="8">
        <v>33</v>
      </c>
      <c r="B630" s="20" t="s">
        <v>25</v>
      </c>
      <c r="C630" s="20" t="s">
        <v>10</v>
      </c>
      <c r="D630" s="20" t="s">
        <v>343</v>
      </c>
      <c r="E630" s="22" t="s">
        <v>232</v>
      </c>
      <c r="F630" s="20" t="s">
        <v>232</v>
      </c>
      <c r="G630" s="22" t="s">
        <v>234</v>
      </c>
      <c r="H630" s="23">
        <v>3366.06</v>
      </c>
      <c r="I630" s="23">
        <v>0</v>
      </c>
      <c r="J630" s="23">
        <v>0</v>
      </c>
      <c r="K630" s="23">
        <v>0</v>
      </c>
      <c r="L630" s="23">
        <v>-1247.21</v>
      </c>
      <c r="M630" s="23">
        <v>-32</v>
      </c>
      <c r="N630" s="23">
        <v>0</v>
      </c>
      <c r="O630" s="24">
        <f t="shared" si="63"/>
        <v>2086.85</v>
      </c>
      <c r="P630" s="24">
        <v>-2500</v>
      </c>
      <c r="Q630" s="24">
        <v>-670.88</v>
      </c>
      <c r="R630" s="24">
        <v>0</v>
      </c>
      <c r="S630" s="24">
        <v>0</v>
      </c>
      <c r="T630" s="24">
        <v>0</v>
      </c>
      <c r="U630" s="24">
        <v>-525</v>
      </c>
      <c r="V630" s="24">
        <v>0</v>
      </c>
      <c r="W630" s="23">
        <f t="shared" si="64"/>
        <v>-1609.0300000000002</v>
      </c>
      <c r="X630" s="23">
        <f t="shared" si="65"/>
        <v>0</v>
      </c>
      <c r="Y630" s="23">
        <f t="shared" si="66"/>
        <v>-1609.0300000000002</v>
      </c>
      <c r="Z630" s="24">
        <f>900+379+330</f>
        <v>1609</v>
      </c>
      <c r="AA630" s="23">
        <f t="shared" si="67"/>
        <v>-3.0000000000200089E-2</v>
      </c>
      <c r="AB630" s="23">
        <f t="shared" si="68"/>
        <v>3695.8199999999997</v>
      </c>
      <c r="AC630" s="20" t="s">
        <v>403</v>
      </c>
      <c r="AD630" s="20" t="str">
        <f>VLOOKUP($C630,'[1]CTRL AUTOS'!$E:$AH,2,0)</f>
        <v>LRL009C</v>
      </c>
      <c r="AE630" s="11" t="str">
        <f t="shared" si="69"/>
        <v>LRL009C33</v>
      </c>
    </row>
    <row r="631" spans="1:31" ht="12.75" hidden="1" customHeight="1" x14ac:dyDescent="0.3">
      <c r="A631" s="8">
        <v>33</v>
      </c>
      <c r="B631" s="20" t="s">
        <v>359</v>
      </c>
      <c r="C631" s="20" t="s">
        <v>34</v>
      </c>
      <c r="D631" s="20" t="s">
        <v>285</v>
      </c>
      <c r="E631" s="22" t="s">
        <v>232</v>
      </c>
      <c r="F631" s="20" t="s">
        <v>232</v>
      </c>
      <c r="G631" s="22" t="s">
        <v>234</v>
      </c>
      <c r="H631" s="23">
        <v>0</v>
      </c>
      <c r="I631" s="23">
        <v>0</v>
      </c>
      <c r="J631" s="23">
        <v>0</v>
      </c>
      <c r="K631" s="23">
        <v>0</v>
      </c>
      <c r="L631" s="23">
        <v>0</v>
      </c>
      <c r="M631" s="23">
        <v>0</v>
      </c>
      <c r="N631" s="23">
        <v>0</v>
      </c>
      <c r="O631" s="24">
        <f t="shared" si="63"/>
        <v>0</v>
      </c>
      <c r="P631" s="24">
        <v>-2500</v>
      </c>
      <c r="Q631" s="23">
        <v>0</v>
      </c>
      <c r="R631" s="24">
        <v>-500</v>
      </c>
      <c r="S631" s="24">
        <v>0</v>
      </c>
      <c r="T631" s="24">
        <v>0</v>
      </c>
      <c r="U631" s="24">
        <v>0</v>
      </c>
      <c r="V631" s="24">
        <v>0</v>
      </c>
      <c r="W631" s="23">
        <f t="shared" si="64"/>
        <v>-3000</v>
      </c>
      <c r="X631" s="23">
        <f t="shared" si="65"/>
        <v>0</v>
      </c>
      <c r="Y631" s="23">
        <f t="shared" si="66"/>
        <v>-3000</v>
      </c>
      <c r="Z631" s="24">
        <v>1300</v>
      </c>
      <c r="AA631" s="23">
        <f t="shared" si="67"/>
        <v>-1700</v>
      </c>
      <c r="AB631" s="23">
        <f t="shared" si="68"/>
        <v>-400</v>
      </c>
      <c r="AC631" s="20" t="s">
        <v>404</v>
      </c>
      <c r="AD631" s="20" t="str">
        <f>VLOOKUP($C631,'[1]CTRL AUTOS'!$E:$AH,2,0)</f>
        <v>X59AWG</v>
      </c>
      <c r="AE631" s="11" t="str">
        <f t="shared" si="69"/>
        <v>X59AWG33</v>
      </c>
    </row>
    <row r="632" spans="1:31" ht="12.75" hidden="1" customHeight="1" x14ac:dyDescent="0.3">
      <c r="A632" s="8">
        <v>33</v>
      </c>
      <c r="B632" s="20" t="s">
        <v>72</v>
      </c>
      <c r="C632" s="20" t="s">
        <v>73</v>
      </c>
      <c r="D632" s="20" t="s">
        <v>368</v>
      </c>
      <c r="E632" s="22" t="s">
        <v>241</v>
      </c>
      <c r="F632" s="20" t="s">
        <v>291</v>
      </c>
      <c r="G632" s="22" t="s">
        <v>234</v>
      </c>
      <c r="H632" s="23">
        <v>9290.33</v>
      </c>
      <c r="I632" s="23">
        <v>0</v>
      </c>
      <c r="J632" s="23">
        <v>0</v>
      </c>
      <c r="K632" s="23">
        <v>-89.96</v>
      </c>
      <c r="L632" s="23">
        <v>-5272.62</v>
      </c>
      <c r="M632" s="23">
        <v>-32</v>
      </c>
      <c r="N632" s="23">
        <v>-206.4</v>
      </c>
      <c r="O632" s="24">
        <f t="shared" si="63"/>
        <v>3689.3500000000008</v>
      </c>
      <c r="P632" s="24">
        <v>-2500</v>
      </c>
      <c r="Q632" s="24">
        <v>0</v>
      </c>
      <c r="R632" s="24">
        <v>0</v>
      </c>
      <c r="S632" s="24">
        <v>0</v>
      </c>
      <c r="T632" s="24">
        <v>0</v>
      </c>
      <c r="U632" s="24">
        <v>0</v>
      </c>
      <c r="V632" s="24">
        <v>0</v>
      </c>
      <c r="W632" s="23">
        <f t="shared" si="64"/>
        <v>1189.3500000000008</v>
      </c>
      <c r="X632" s="23">
        <f t="shared" si="65"/>
        <v>1189.3500000000008</v>
      </c>
      <c r="Y632" s="23">
        <f t="shared" si="66"/>
        <v>0</v>
      </c>
      <c r="Z632" s="24">
        <v>0</v>
      </c>
      <c r="AA632" s="23">
        <f t="shared" si="67"/>
        <v>0</v>
      </c>
      <c r="AB632" s="23">
        <f t="shared" si="68"/>
        <v>2500</v>
      </c>
      <c r="AC632" s="20" t="s">
        <v>405</v>
      </c>
      <c r="AD632" s="20" t="str">
        <f>VLOOKUP($C632,'[1]CTRL AUTOS'!$E:$AH,2,0)</f>
        <v>H99BLC</v>
      </c>
      <c r="AE632" s="11" t="str">
        <f t="shared" si="69"/>
        <v>H99BLC33</v>
      </c>
    </row>
    <row r="633" spans="1:31" ht="12.75" hidden="1" customHeight="1" x14ac:dyDescent="0.3">
      <c r="A633" s="8">
        <v>33</v>
      </c>
      <c r="B633" s="20" t="s">
        <v>292</v>
      </c>
      <c r="C633" s="20" t="s">
        <v>52</v>
      </c>
      <c r="D633" s="20" t="s">
        <v>313</v>
      </c>
      <c r="E633" s="22" t="s">
        <v>232</v>
      </c>
      <c r="F633" s="20" t="s">
        <v>232</v>
      </c>
      <c r="G633" s="22" t="s">
        <v>234</v>
      </c>
      <c r="H633" s="23">
        <v>6919.27</v>
      </c>
      <c r="I633" s="23">
        <v>0</v>
      </c>
      <c r="J633" s="23">
        <v>0</v>
      </c>
      <c r="K633" s="23">
        <v>0</v>
      </c>
      <c r="L633" s="23">
        <v>-1971.96</v>
      </c>
      <c r="M633" s="23">
        <v>-38</v>
      </c>
      <c r="N633" s="23">
        <v>0</v>
      </c>
      <c r="O633" s="24">
        <f t="shared" si="63"/>
        <v>4909.3100000000004</v>
      </c>
      <c r="P633" s="24">
        <v>-2500</v>
      </c>
      <c r="Q633" s="23">
        <v>0</v>
      </c>
      <c r="R633" s="24">
        <v>0</v>
      </c>
      <c r="S633" s="24">
        <v>0</v>
      </c>
      <c r="T633" s="24">
        <v>0</v>
      </c>
      <c r="U633" s="24">
        <v>0</v>
      </c>
      <c r="V633" s="24">
        <v>-1000</v>
      </c>
      <c r="W633" s="23">
        <f t="shared" si="64"/>
        <v>1409.3100000000004</v>
      </c>
      <c r="X633" s="23">
        <f t="shared" si="65"/>
        <v>1409.3100000000004</v>
      </c>
      <c r="Y633" s="23">
        <f t="shared" si="66"/>
        <v>0</v>
      </c>
      <c r="Z633" s="24">
        <v>0</v>
      </c>
      <c r="AA633" s="23">
        <f t="shared" si="67"/>
        <v>0</v>
      </c>
      <c r="AB633" s="23">
        <f t="shared" si="68"/>
        <v>3500</v>
      </c>
      <c r="AC633" s="20"/>
      <c r="AD633" s="20" t="str">
        <f>VLOOKUP($C633,'[1]CTRL AUTOS'!$E:$AH,2,0)</f>
        <v>A35BHD</v>
      </c>
      <c r="AE633" s="11" t="str">
        <f t="shared" si="69"/>
        <v>A35BHD33</v>
      </c>
    </row>
    <row r="634" spans="1:31" ht="12.75" hidden="1" customHeight="1" x14ac:dyDescent="0.3">
      <c r="A634" s="8">
        <v>33</v>
      </c>
      <c r="B634" s="20" t="s">
        <v>57</v>
      </c>
      <c r="C634" s="20" t="s">
        <v>16</v>
      </c>
      <c r="D634" s="20" t="s">
        <v>314</v>
      </c>
      <c r="E634" s="20" t="s">
        <v>232</v>
      </c>
      <c r="F634" s="20" t="s">
        <v>232</v>
      </c>
      <c r="G634" s="22" t="s">
        <v>234</v>
      </c>
      <c r="H634" s="23">
        <v>9013.9699999999993</v>
      </c>
      <c r="I634" s="23">
        <v>-33.6</v>
      </c>
      <c r="J634" s="23">
        <v>0</v>
      </c>
      <c r="K634" s="23">
        <v>0</v>
      </c>
      <c r="L634" s="23">
        <v>-4777.2299999999996</v>
      </c>
      <c r="M634" s="23">
        <v>-38</v>
      </c>
      <c r="N634" s="23">
        <v>0</v>
      </c>
      <c r="O634" s="24">
        <f t="shared" si="63"/>
        <v>4165.1399999999994</v>
      </c>
      <c r="P634" s="23">
        <v>-2500</v>
      </c>
      <c r="Q634" s="23">
        <v>0</v>
      </c>
      <c r="R634" s="23">
        <v>-500</v>
      </c>
      <c r="S634" s="23">
        <v>0</v>
      </c>
      <c r="T634" s="23">
        <v>0</v>
      </c>
      <c r="U634" s="24">
        <v>0</v>
      </c>
      <c r="V634" s="23">
        <v>0</v>
      </c>
      <c r="W634" s="23">
        <f t="shared" si="64"/>
        <v>1165.1399999999994</v>
      </c>
      <c r="X634" s="23">
        <f t="shared" si="65"/>
        <v>1165.1399999999994</v>
      </c>
      <c r="Y634" s="23">
        <f t="shared" si="66"/>
        <v>0</v>
      </c>
      <c r="Z634" s="24">
        <v>0</v>
      </c>
      <c r="AA634" s="23">
        <f t="shared" si="67"/>
        <v>0</v>
      </c>
      <c r="AB634" s="23">
        <f t="shared" si="68"/>
        <v>3000</v>
      </c>
      <c r="AC634" s="20"/>
      <c r="AD634" s="20" t="str">
        <f>VLOOKUP($C634,'[1]CTRL AUTOS'!$E:$AH,2,0)</f>
        <v>D28BET</v>
      </c>
      <c r="AE634" s="11" t="str">
        <f t="shared" si="69"/>
        <v>D28BET33</v>
      </c>
    </row>
    <row r="635" spans="1:31" ht="12.75" hidden="1" customHeight="1" x14ac:dyDescent="0.3">
      <c r="A635" s="8">
        <v>33</v>
      </c>
      <c r="B635" s="20" t="s">
        <v>288</v>
      </c>
      <c r="C635" s="20" t="s">
        <v>22</v>
      </c>
      <c r="D635" s="20" t="s">
        <v>319</v>
      </c>
      <c r="E635" s="20" t="s">
        <v>232</v>
      </c>
      <c r="F635" s="20" t="s">
        <v>232</v>
      </c>
      <c r="G635" s="22" t="s">
        <v>234</v>
      </c>
      <c r="H635" s="23">
        <v>9163.36</v>
      </c>
      <c r="I635" s="23">
        <v>-48.8</v>
      </c>
      <c r="J635" s="23">
        <v>0</v>
      </c>
      <c r="K635" s="23">
        <v>0</v>
      </c>
      <c r="L635" s="23">
        <v>-1652.48</v>
      </c>
      <c r="M635" s="23">
        <v>-35</v>
      </c>
      <c r="N635" s="23">
        <v>-40</v>
      </c>
      <c r="O635" s="24">
        <f t="shared" si="63"/>
        <v>7387.0800000000017</v>
      </c>
      <c r="P635" s="24">
        <v>-2500</v>
      </c>
      <c r="Q635" s="23">
        <v>0</v>
      </c>
      <c r="R635" s="24">
        <v>0</v>
      </c>
      <c r="S635" s="24">
        <v>0</v>
      </c>
      <c r="T635" s="24">
        <v>0</v>
      </c>
      <c r="U635" s="24">
        <v>0</v>
      </c>
      <c r="V635" s="24">
        <v>0</v>
      </c>
      <c r="W635" s="23">
        <f t="shared" si="64"/>
        <v>4887.0800000000017</v>
      </c>
      <c r="X635" s="23">
        <f t="shared" si="65"/>
        <v>4887.0800000000017</v>
      </c>
      <c r="Y635" s="23">
        <f t="shared" si="66"/>
        <v>0</v>
      </c>
      <c r="Z635" s="24">
        <v>0</v>
      </c>
      <c r="AA635" s="23">
        <f t="shared" si="67"/>
        <v>0</v>
      </c>
      <c r="AB635" s="23">
        <f t="shared" si="68"/>
        <v>2500</v>
      </c>
      <c r="AC635" s="20"/>
      <c r="AD635" s="20" t="str">
        <f>VLOOKUP($C635,'[1]CTRL AUTOS'!$E:$AH,2,0)</f>
        <v>NCK475B</v>
      </c>
      <c r="AE635" s="11" t="str">
        <f t="shared" si="69"/>
        <v>NCK475B33</v>
      </c>
    </row>
    <row r="636" spans="1:31" ht="12.75" hidden="1" customHeight="1" x14ac:dyDescent="0.3">
      <c r="A636" s="8">
        <v>33</v>
      </c>
      <c r="B636" s="20" t="s">
        <v>35</v>
      </c>
      <c r="C636" s="20" t="s">
        <v>97</v>
      </c>
      <c r="D636" s="20" t="s">
        <v>273</v>
      </c>
      <c r="E636" s="22" t="s">
        <v>232</v>
      </c>
      <c r="F636" s="20" t="s">
        <v>232</v>
      </c>
      <c r="G636" s="22" t="s">
        <v>234</v>
      </c>
      <c r="H636" s="23">
        <v>9029.82</v>
      </c>
      <c r="I636" s="23">
        <v>-112.8</v>
      </c>
      <c r="J636" s="23">
        <v>0</v>
      </c>
      <c r="K636" s="23">
        <v>0</v>
      </c>
      <c r="L636" s="23">
        <v>-4824.3</v>
      </c>
      <c r="M636" s="23">
        <v>-32</v>
      </c>
      <c r="N636" s="23">
        <v>0</v>
      </c>
      <c r="O636" s="24">
        <f t="shared" si="63"/>
        <v>4060.7200000000003</v>
      </c>
      <c r="P636" s="24">
        <v>-2500</v>
      </c>
      <c r="Q636" s="23">
        <v>-38</v>
      </c>
      <c r="R636" s="24">
        <v>0</v>
      </c>
      <c r="S636" s="24">
        <v>0</v>
      </c>
      <c r="T636" s="24">
        <v>0</v>
      </c>
      <c r="U636" s="24">
        <v>-500</v>
      </c>
      <c r="V636" s="24">
        <v>0</v>
      </c>
      <c r="W636" s="23">
        <f t="shared" si="64"/>
        <v>1022.7200000000003</v>
      </c>
      <c r="X636" s="23">
        <f t="shared" si="65"/>
        <v>1022.7200000000003</v>
      </c>
      <c r="Y636" s="23">
        <f t="shared" si="66"/>
        <v>0</v>
      </c>
      <c r="Z636" s="24">
        <v>0</v>
      </c>
      <c r="AA636" s="23">
        <f t="shared" si="67"/>
        <v>0</v>
      </c>
      <c r="AB636" s="23">
        <f t="shared" si="68"/>
        <v>3038</v>
      </c>
      <c r="AC636" s="20" t="s">
        <v>406</v>
      </c>
      <c r="AD636" s="20" t="str">
        <f>VLOOKUP($C636,'[1]CTRL AUTOS'!$E:$AH,2,0)</f>
        <v>MUF515A</v>
      </c>
      <c r="AE636" s="11" t="str">
        <f t="shared" si="69"/>
        <v>MUF515A33</v>
      </c>
    </row>
    <row r="637" spans="1:31" ht="12.75" hidden="1" customHeight="1" x14ac:dyDescent="0.3">
      <c r="A637" s="8">
        <v>33</v>
      </c>
      <c r="B637" s="20" t="s">
        <v>37</v>
      </c>
      <c r="C637" s="20" t="s">
        <v>246</v>
      </c>
      <c r="D637" s="20" t="s">
        <v>341</v>
      </c>
      <c r="E637" s="22" t="s">
        <v>232</v>
      </c>
      <c r="F637" s="20" t="s">
        <v>291</v>
      </c>
      <c r="G637" s="22" t="s">
        <v>234</v>
      </c>
      <c r="H637" s="23">
        <v>3415.69</v>
      </c>
      <c r="I637" s="23">
        <v>0</v>
      </c>
      <c r="J637" s="23">
        <v>0</v>
      </c>
      <c r="K637" s="23">
        <v>0</v>
      </c>
      <c r="L637" s="23">
        <v>-1025.1199999999999</v>
      </c>
      <c r="M637" s="23">
        <v>-38</v>
      </c>
      <c r="N637" s="23">
        <v>0</v>
      </c>
      <c r="O637" s="24">
        <f t="shared" si="63"/>
        <v>2352.5700000000002</v>
      </c>
      <c r="P637" s="24">
        <v>-2500</v>
      </c>
      <c r="Q637" s="24">
        <v>8</v>
      </c>
      <c r="R637" s="24">
        <v>0</v>
      </c>
      <c r="S637" s="24">
        <v>0</v>
      </c>
      <c r="T637" s="24">
        <v>-500</v>
      </c>
      <c r="U637" s="24">
        <v>0</v>
      </c>
      <c r="V637" s="24">
        <v>0</v>
      </c>
      <c r="W637" s="23">
        <f t="shared" si="64"/>
        <v>-639.42999999999984</v>
      </c>
      <c r="X637" s="23">
        <f t="shared" si="65"/>
        <v>0</v>
      </c>
      <c r="Y637" s="23">
        <f t="shared" si="66"/>
        <v>-639.42999999999984</v>
      </c>
      <c r="Z637" s="24">
        <v>600</v>
      </c>
      <c r="AA637" s="23">
        <f t="shared" si="67"/>
        <v>-39.429999999999836</v>
      </c>
      <c r="AB637" s="23">
        <f t="shared" si="68"/>
        <v>2913.1400000000003</v>
      </c>
      <c r="AC637" s="20" t="s">
        <v>407</v>
      </c>
      <c r="AD637" s="20" t="s">
        <v>248</v>
      </c>
      <c r="AE637" s="11" t="str">
        <f t="shared" si="69"/>
        <v>X24APU33</v>
      </c>
    </row>
    <row r="638" spans="1:31" ht="12.75" hidden="1" customHeight="1" x14ac:dyDescent="0.3">
      <c r="A638" s="8">
        <v>33</v>
      </c>
      <c r="B638" s="20" t="s">
        <v>361</v>
      </c>
      <c r="C638" s="20" t="s">
        <v>56</v>
      </c>
      <c r="D638" s="20" t="s">
        <v>336</v>
      </c>
      <c r="E638" s="22" t="s">
        <v>241</v>
      </c>
      <c r="F638" s="20" t="s">
        <v>291</v>
      </c>
      <c r="G638" s="22" t="s">
        <v>234</v>
      </c>
      <c r="H638" s="23">
        <v>5710.91</v>
      </c>
      <c r="I638" s="23">
        <v>0</v>
      </c>
      <c r="J638" s="23">
        <v>0</v>
      </c>
      <c r="K638" s="23">
        <v>0</v>
      </c>
      <c r="L638" s="23">
        <v>-1417.82</v>
      </c>
      <c r="M638" s="23">
        <v>-32</v>
      </c>
      <c r="N638" s="23">
        <v>0</v>
      </c>
      <c r="O638" s="24">
        <f t="shared" si="63"/>
        <v>4261.09</v>
      </c>
      <c r="P638" s="24">
        <v>-2500</v>
      </c>
      <c r="Q638" s="24">
        <v>0</v>
      </c>
      <c r="R638" s="24">
        <v>0</v>
      </c>
      <c r="S638" s="24">
        <v>0</v>
      </c>
      <c r="T638" s="24">
        <v>0</v>
      </c>
      <c r="U638" s="24">
        <v>0</v>
      </c>
      <c r="V638" s="24">
        <v>0</v>
      </c>
      <c r="W638" s="23">
        <f t="shared" si="64"/>
        <v>1761.0900000000001</v>
      </c>
      <c r="X638" s="23">
        <f t="shared" si="65"/>
        <v>1761.0900000000001</v>
      </c>
      <c r="Y638" s="23">
        <f t="shared" si="66"/>
        <v>0</v>
      </c>
      <c r="Z638" s="24">
        <v>0</v>
      </c>
      <c r="AA638" s="23">
        <f t="shared" si="67"/>
        <v>0</v>
      </c>
      <c r="AB638" s="23">
        <f t="shared" si="68"/>
        <v>2500</v>
      </c>
      <c r="AC638" s="20" t="s">
        <v>408</v>
      </c>
      <c r="AD638" s="20" t="str">
        <f>VLOOKUP($C638,'[1]CTRL AUTOS'!$E:$AH,2,0)</f>
        <v>MYE912A</v>
      </c>
      <c r="AE638" s="11" t="str">
        <f t="shared" si="69"/>
        <v>MYE912A33</v>
      </c>
    </row>
    <row r="639" spans="1:31" ht="12.75" hidden="1" customHeight="1" x14ac:dyDescent="0.3">
      <c r="A639" s="8">
        <v>33</v>
      </c>
      <c r="B639" s="20" t="s">
        <v>388</v>
      </c>
      <c r="C639" s="20" t="s">
        <v>69</v>
      </c>
      <c r="D639" s="20" t="s">
        <v>370</v>
      </c>
      <c r="E639" s="22" t="s">
        <v>241</v>
      </c>
      <c r="F639" s="20" t="s">
        <v>291</v>
      </c>
      <c r="G639" s="22" t="s">
        <v>234</v>
      </c>
      <c r="H639" s="23">
        <v>1599.4</v>
      </c>
      <c r="I639" s="23">
        <v>0</v>
      </c>
      <c r="J639" s="23">
        <v>0</v>
      </c>
      <c r="K639" s="23">
        <v>0</v>
      </c>
      <c r="L639" s="23">
        <v>-927.5</v>
      </c>
      <c r="M639" s="23">
        <v>-35</v>
      </c>
      <c r="N639" s="23">
        <v>0</v>
      </c>
      <c r="O639" s="24">
        <f t="shared" si="63"/>
        <v>636.90000000000009</v>
      </c>
      <c r="P639" s="23">
        <v>-2500</v>
      </c>
      <c r="Q639" s="24">
        <v>-28</v>
      </c>
      <c r="R639" s="23">
        <v>-500</v>
      </c>
      <c r="S639" s="23">
        <v>0</v>
      </c>
      <c r="T639" s="23">
        <v>0</v>
      </c>
      <c r="U639" s="24">
        <v>0</v>
      </c>
      <c r="V639" s="23">
        <v>0</v>
      </c>
      <c r="W639" s="23">
        <f t="shared" si="64"/>
        <v>-2391.1</v>
      </c>
      <c r="X639" s="23">
        <f t="shared" si="65"/>
        <v>0</v>
      </c>
      <c r="Y639" s="23">
        <f t="shared" si="66"/>
        <v>-2391.1</v>
      </c>
      <c r="Z639" s="23">
        <f>1500+1000</f>
        <v>2500</v>
      </c>
      <c r="AA639" s="23">
        <f t="shared" si="67"/>
        <v>108.90000000000009</v>
      </c>
      <c r="AB639" s="23">
        <f t="shared" si="68"/>
        <v>3245.8</v>
      </c>
      <c r="AC639" s="20" t="s">
        <v>297</v>
      </c>
      <c r="AD639" s="20" t="str">
        <f>VLOOKUP($C639,'[1]CTRL AUTOS'!$E:$AH,2,0)</f>
        <v>R51BKD</v>
      </c>
      <c r="AE639" s="11" t="str">
        <f t="shared" si="69"/>
        <v>R51BKD33</v>
      </c>
    </row>
    <row r="640" spans="1:31" ht="12.75" hidden="1" customHeight="1" x14ac:dyDescent="0.3">
      <c r="A640" s="8">
        <v>33</v>
      </c>
      <c r="B640" s="20" t="s">
        <v>293</v>
      </c>
      <c r="C640" s="20" t="s">
        <v>34</v>
      </c>
      <c r="D640" s="20" t="s">
        <v>285</v>
      </c>
      <c r="E640" s="22" t="s">
        <v>232</v>
      </c>
      <c r="F640" s="23" t="s">
        <v>232</v>
      </c>
      <c r="G640" s="22" t="s">
        <v>234</v>
      </c>
      <c r="H640" s="23">
        <v>0</v>
      </c>
      <c r="I640" s="23">
        <v>0</v>
      </c>
      <c r="J640" s="23">
        <v>0</v>
      </c>
      <c r="K640" s="23">
        <v>0</v>
      </c>
      <c r="L640" s="23">
        <v>0</v>
      </c>
      <c r="M640" s="23">
        <v>0</v>
      </c>
      <c r="N640" s="23">
        <v>0</v>
      </c>
      <c r="O640" s="24">
        <f t="shared" si="63"/>
        <v>0</v>
      </c>
      <c r="P640" s="23">
        <v>0</v>
      </c>
      <c r="Q640" s="23">
        <v>0</v>
      </c>
      <c r="R640" s="23">
        <v>500</v>
      </c>
      <c r="S640" s="23">
        <v>0</v>
      </c>
      <c r="T640" s="23">
        <v>0</v>
      </c>
      <c r="U640" s="23">
        <v>0</v>
      </c>
      <c r="V640" s="23">
        <v>0</v>
      </c>
      <c r="W640" s="23">
        <f t="shared" si="64"/>
        <v>500</v>
      </c>
      <c r="X640" s="23">
        <f t="shared" si="65"/>
        <v>500</v>
      </c>
      <c r="Y640" s="23">
        <f t="shared" si="66"/>
        <v>0</v>
      </c>
      <c r="Z640" s="23">
        <v>0</v>
      </c>
      <c r="AA640" s="23">
        <f t="shared" si="67"/>
        <v>0</v>
      </c>
      <c r="AB640" s="23">
        <f t="shared" si="68"/>
        <v>-500</v>
      </c>
      <c r="AC640" s="20"/>
      <c r="AD640" s="20" t="str">
        <f>VLOOKUP($C640,'[1]CTRL AUTOS'!$E:$AH,2,0)</f>
        <v>X59AWG</v>
      </c>
      <c r="AE640" s="11" t="str">
        <f t="shared" si="69"/>
        <v>X59AWG33</v>
      </c>
    </row>
    <row r="641" spans="1:31" ht="12.75" hidden="1" customHeight="1" x14ac:dyDescent="0.3">
      <c r="A641" s="8">
        <v>33</v>
      </c>
      <c r="B641" s="20" t="s">
        <v>45</v>
      </c>
      <c r="C641" s="20" t="s">
        <v>46</v>
      </c>
      <c r="D641" s="20" t="s">
        <v>257</v>
      </c>
      <c r="E641" s="22" t="s">
        <v>232</v>
      </c>
      <c r="F641" s="20" t="s">
        <v>232</v>
      </c>
      <c r="G641" s="22" t="s">
        <v>234</v>
      </c>
      <c r="H641" s="23">
        <v>4002.67</v>
      </c>
      <c r="I641" s="23">
        <v>0</v>
      </c>
      <c r="J641" s="23">
        <v>0</v>
      </c>
      <c r="K641" s="23">
        <v>0</v>
      </c>
      <c r="L641" s="23">
        <v>-1069.8499999999999</v>
      </c>
      <c r="M641" s="23">
        <v>-44.79</v>
      </c>
      <c r="N641" s="23">
        <v>0</v>
      </c>
      <c r="O641" s="24">
        <f t="shared" si="63"/>
        <v>2888.03</v>
      </c>
      <c r="P641" s="24">
        <v>-2500</v>
      </c>
      <c r="Q641" s="23">
        <v>0</v>
      </c>
      <c r="R641" s="24">
        <v>0</v>
      </c>
      <c r="S641" s="24">
        <v>0</v>
      </c>
      <c r="T641" s="24">
        <v>0</v>
      </c>
      <c r="U641" s="24">
        <v>0</v>
      </c>
      <c r="V641" s="24">
        <v>0</v>
      </c>
      <c r="W641" s="23">
        <f t="shared" si="64"/>
        <v>388.0300000000002</v>
      </c>
      <c r="X641" s="23">
        <f t="shared" si="65"/>
        <v>388.0300000000002</v>
      </c>
      <c r="Y641" s="23">
        <f t="shared" si="66"/>
        <v>0</v>
      </c>
      <c r="Z641" s="24">
        <v>0</v>
      </c>
      <c r="AA641" s="23">
        <f t="shared" si="67"/>
        <v>0</v>
      </c>
      <c r="AB641" s="23">
        <f t="shared" si="68"/>
        <v>2500</v>
      </c>
      <c r="AC641" s="20"/>
      <c r="AD641" s="20" t="str">
        <f>VLOOKUP($C641,'[1]CTRL AUTOS'!$E:$AH,2,0)</f>
        <v>R66BER</v>
      </c>
      <c r="AE641" s="11" t="str">
        <f t="shared" si="69"/>
        <v>R66BER33</v>
      </c>
    </row>
    <row r="642" spans="1:31" ht="12.75" hidden="1" customHeight="1" x14ac:dyDescent="0.3">
      <c r="A642" s="8">
        <v>33</v>
      </c>
      <c r="B642" s="20" t="s">
        <v>5</v>
      </c>
      <c r="C642" s="20" t="s">
        <v>28</v>
      </c>
      <c r="D642" s="20" t="s">
        <v>274</v>
      </c>
      <c r="E642" s="22" t="s">
        <v>232</v>
      </c>
      <c r="F642" s="20" t="s">
        <v>232</v>
      </c>
      <c r="G642" s="22" t="s">
        <v>234</v>
      </c>
      <c r="H642" s="23">
        <v>2310.36</v>
      </c>
      <c r="I642" s="23">
        <v>0</v>
      </c>
      <c r="J642" s="23">
        <v>0</v>
      </c>
      <c r="K642" s="23">
        <v>0</v>
      </c>
      <c r="L642" s="23">
        <v>-389.49</v>
      </c>
      <c r="M642" s="23">
        <v>-40</v>
      </c>
      <c r="N642" s="23">
        <v>0</v>
      </c>
      <c r="O642" s="24">
        <f t="shared" si="63"/>
        <v>1880.8700000000001</v>
      </c>
      <c r="P642" s="24">
        <v>-2500</v>
      </c>
      <c r="Q642" s="23">
        <v>0</v>
      </c>
      <c r="R642" s="24">
        <v>0</v>
      </c>
      <c r="S642" s="24">
        <v>0</v>
      </c>
      <c r="T642" s="24">
        <v>0</v>
      </c>
      <c r="U642" s="24">
        <v>0</v>
      </c>
      <c r="V642" s="24">
        <v>0</v>
      </c>
      <c r="W642" s="23">
        <f t="shared" si="64"/>
        <v>-619.12999999999988</v>
      </c>
      <c r="X642" s="23">
        <f t="shared" si="65"/>
        <v>0</v>
      </c>
      <c r="Y642" s="23">
        <f t="shared" si="66"/>
        <v>-619.12999999999988</v>
      </c>
      <c r="Z642" s="24">
        <v>600</v>
      </c>
      <c r="AA642" s="23">
        <f t="shared" si="67"/>
        <v>-19.129999999999882</v>
      </c>
      <c r="AB642" s="23">
        <f t="shared" si="68"/>
        <v>2461.7399999999998</v>
      </c>
      <c r="AC642" s="20" t="s">
        <v>409</v>
      </c>
      <c r="AD642" s="20" t="str">
        <f>VLOOKUP($C642,'[1]CTRL AUTOS'!$E:$AH,2,0)</f>
        <v>NCT814A</v>
      </c>
      <c r="AE642" s="11" t="str">
        <f t="shared" si="69"/>
        <v>NCT814A33</v>
      </c>
    </row>
    <row r="643" spans="1:31" ht="12.75" hidden="1" customHeight="1" x14ac:dyDescent="0.3">
      <c r="A643" s="8">
        <v>33</v>
      </c>
      <c r="B643" s="20" t="s">
        <v>362</v>
      </c>
      <c r="C643" s="20" t="s">
        <v>50</v>
      </c>
      <c r="D643" s="20" t="s">
        <v>267</v>
      </c>
      <c r="E643" s="22" t="s">
        <v>232</v>
      </c>
      <c r="F643" s="20" t="s">
        <v>232</v>
      </c>
      <c r="G643" s="22" t="s">
        <v>234</v>
      </c>
      <c r="H643" s="23">
        <v>3016.05</v>
      </c>
      <c r="I643" s="23">
        <v>0</v>
      </c>
      <c r="J643" s="23">
        <v>0</v>
      </c>
      <c r="K643" s="23">
        <v>0</v>
      </c>
      <c r="L643" s="23">
        <v>-2286.12</v>
      </c>
      <c r="M643" s="23">
        <v>-38</v>
      </c>
      <c r="N643" s="23">
        <v>0</v>
      </c>
      <c r="O643" s="24">
        <f t="shared" ref="O643:O706" si="70">SUM(H643:N643)</f>
        <v>691.93000000000029</v>
      </c>
      <c r="P643" s="24">
        <v>-2500</v>
      </c>
      <c r="Q643" s="23">
        <v>0</v>
      </c>
      <c r="R643" s="24">
        <v>-500</v>
      </c>
      <c r="S643" s="24">
        <v>0</v>
      </c>
      <c r="T643" s="24">
        <v>0</v>
      </c>
      <c r="U643" s="24">
        <v>0</v>
      </c>
      <c r="V643" s="24">
        <v>0</v>
      </c>
      <c r="W643" s="23">
        <f t="shared" ref="W643:W706" si="71">+O643+SUM(P643:V643)</f>
        <v>-2308.0699999999997</v>
      </c>
      <c r="X643" s="23">
        <f t="shared" ref="X643:X706" si="72">IF(W643&gt;=0,W643,0)</f>
        <v>0</v>
      </c>
      <c r="Y643" s="23">
        <f t="shared" ref="Y643:Y706" si="73">IF(W643&lt;=0,W643,0)</f>
        <v>-2308.0699999999997</v>
      </c>
      <c r="Z643" s="24">
        <v>1800</v>
      </c>
      <c r="AA643" s="23">
        <f t="shared" ref="AA643:AA706" si="74">+Y643+Z643</f>
        <v>-508.06999999999971</v>
      </c>
      <c r="AB643" s="23">
        <f t="shared" ref="AB643:AB706" si="75">+O643-X643+Z643+AA643</f>
        <v>1983.8600000000006</v>
      </c>
      <c r="AC643" s="20" t="s">
        <v>394</v>
      </c>
      <c r="AD643" s="20" t="str">
        <f>VLOOKUP($C643,'[1]CTRL AUTOS'!$E:$AH,2,0)</f>
        <v>NBS225A</v>
      </c>
      <c r="AE643" s="11" t="str">
        <f t="shared" si="69"/>
        <v>NBS225A33</v>
      </c>
    </row>
    <row r="644" spans="1:31" ht="12.75" hidden="1" customHeight="1" x14ac:dyDescent="0.3">
      <c r="A644" s="8">
        <v>33</v>
      </c>
      <c r="B644" s="20" t="s">
        <v>363</v>
      </c>
      <c r="C644" s="20" t="s">
        <v>8</v>
      </c>
      <c r="D644" s="20" t="s">
        <v>237</v>
      </c>
      <c r="E644" s="22" t="s">
        <v>364</v>
      </c>
      <c r="F644" s="22" t="s">
        <v>364</v>
      </c>
      <c r="G644" s="22" t="s">
        <v>234</v>
      </c>
      <c r="H644" s="23">
        <v>0</v>
      </c>
      <c r="I644" s="23">
        <v>0</v>
      </c>
      <c r="J644" s="23">
        <v>0</v>
      </c>
      <c r="K644" s="23">
        <v>0</v>
      </c>
      <c r="L644" s="23">
        <v>0</v>
      </c>
      <c r="M644" s="24">
        <v>0</v>
      </c>
      <c r="N644" s="23">
        <v>0</v>
      </c>
      <c r="O644" s="24">
        <f t="shared" si="70"/>
        <v>0</v>
      </c>
      <c r="P644" s="23">
        <v>0</v>
      </c>
      <c r="Q644" s="23">
        <v>0</v>
      </c>
      <c r="R644" s="23">
        <v>321</v>
      </c>
      <c r="S644" s="23">
        <v>0</v>
      </c>
      <c r="T644" s="23">
        <v>0</v>
      </c>
      <c r="U644" s="23">
        <v>0</v>
      </c>
      <c r="V644" s="23">
        <v>0</v>
      </c>
      <c r="W644" s="23">
        <f t="shared" si="71"/>
        <v>321</v>
      </c>
      <c r="X644" s="23">
        <f t="shared" si="72"/>
        <v>321</v>
      </c>
      <c r="Y644" s="23">
        <f t="shared" si="73"/>
        <v>0</v>
      </c>
      <c r="Z644" s="24">
        <v>0</v>
      </c>
      <c r="AA644" s="23">
        <f t="shared" si="74"/>
        <v>0</v>
      </c>
      <c r="AB644" s="23">
        <f t="shared" si="75"/>
        <v>-321</v>
      </c>
      <c r="AC644" s="20" t="s">
        <v>401</v>
      </c>
      <c r="AD644" s="20" t="e">
        <f>VLOOKUP($C644,'[1]CTRL AUTOS'!$E:$AH,2,0)</f>
        <v>#N/A</v>
      </c>
      <c r="AE644" s="11" t="e">
        <f t="shared" ref="AE644:AE707" si="76">AD644&amp;A644</f>
        <v>#N/A</v>
      </c>
    </row>
    <row r="645" spans="1:31" ht="12.75" hidden="1" customHeight="1" x14ac:dyDescent="0.3">
      <c r="A645" s="8">
        <v>33</v>
      </c>
      <c r="B645" s="20" t="s">
        <v>74</v>
      </c>
      <c r="C645" s="20" t="s">
        <v>104</v>
      </c>
      <c r="D645" s="20" t="s">
        <v>402</v>
      </c>
      <c r="E645" s="20" t="s">
        <v>364</v>
      </c>
      <c r="F645" s="22" t="s">
        <v>364</v>
      </c>
      <c r="G645" s="22" t="s">
        <v>234</v>
      </c>
      <c r="H645" s="23">
        <v>3029.06</v>
      </c>
      <c r="I645" s="23" t="s">
        <v>410</v>
      </c>
      <c r="J645" s="23">
        <v>0</v>
      </c>
      <c r="K645" s="23">
        <v>0</v>
      </c>
      <c r="L645" s="23">
        <v>0</v>
      </c>
      <c r="M645" s="23">
        <v>0</v>
      </c>
      <c r="N645" s="23">
        <v>0</v>
      </c>
      <c r="O645" s="24">
        <f t="shared" si="70"/>
        <v>3029.06</v>
      </c>
      <c r="P645" s="23">
        <v>-2500</v>
      </c>
      <c r="Q645" s="24">
        <v>0</v>
      </c>
      <c r="R645" s="23">
        <v>-500</v>
      </c>
      <c r="S645" s="23">
        <v>0</v>
      </c>
      <c r="T645" s="23">
        <v>0</v>
      </c>
      <c r="U645" s="24">
        <v>0</v>
      </c>
      <c r="V645" s="23">
        <v>0</v>
      </c>
      <c r="W645" s="23">
        <f t="shared" si="71"/>
        <v>29.059999999999945</v>
      </c>
      <c r="X645" s="23">
        <f t="shared" si="72"/>
        <v>29.059999999999945</v>
      </c>
      <c r="Y645" s="23">
        <f t="shared" si="73"/>
        <v>0</v>
      </c>
      <c r="Z645" s="24">
        <v>0</v>
      </c>
      <c r="AA645" s="23">
        <f t="shared" si="74"/>
        <v>0</v>
      </c>
      <c r="AB645" s="23">
        <f t="shared" si="75"/>
        <v>3000</v>
      </c>
      <c r="AC645" s="20" t="s">
        <v>401</v>
      </c>
      <c r="AD645" s="20" t="e">
        <f>VLOOKUP($C645,'[1]CTRL AUTOS'!$E:$AH,2,0)</f>
        <v>#N/A</v>
      </c>
      <c r="AE645" s="11" t="e">
        <f t="shared" si="76"/>
        <v>#N/A</v>
      </c>
    </row>
    <row r="646" spans="1:31" ht="12.75" hidden="1" customHeight="1" x14ac:dyDescent="0.3">
      <c r="A646" s="8">
        <v>33</v>
      </c>
      <c r="B646" s="20" t="s">
        <v>76</v>
      </c>
      <c r="C646" s="20" t="s">
        <v>8</v>
      </c>
      <c r="D646" s="20" t="s">
        <v>367</v>
      </c>
      <c r="E646" s="20" t="s">
        <v>364</v>
      </c>
      <c r="F646" s="22" t="s">
        <v>364</v>
      </c>
      <c r="G646" s="22" t="s">
        <v>234</v>
      </c>
      <c r="H646" s="23">
        <v>3329.45</v>
      </c>
      <c r="I646" s="23">
        <v>0</v>
      </c>
      <c r="J646" s="23">
        <v>0</v>
      </c>
      <c r="K646" s="23">
        <v>-31.36</v>
      </c>
      <c r="L646" s="23">
        <v>-1494.53</v>
      </c>
      <c r="M646" s="23">
        <v>0</v>
      </c>
      <c r="N646" s="23">
        <v>0</v>
      </c>
      <c r="O646" s="24">
        <f t="shared" si="70"/>
        <v>1803.5599999999997</v>
      </c>
      <c r="P646" s="23">
        <v>-2500</v>
      </c>
      <c r="Q646" s="24">
        <v>0</v>
      </c>
      <c r="R646" s="23">
        <v>-500</v>
      </c>
      <c r="S646" s="23">
        <v>0</v>
      </c>
      <c r="T646" s="23">
        <v>0</v>
      </c>
      <c r="U646" s="24">
        <v>1710</v>
      </c>
      <c r="V646" s="23">
        <v>0</v>
      </c>
      <c r="W646" s="23">
        <f t="shared" si="71"/>
        <v>513.55999999999972</v>
      </c>
      <c r="X646" s="23">
        <f t="shared" si="72"/>
        <v>513.55999999999972</v>
      </c>
      <c r="Y646" s="23">
        <f t="shared" si="73"/>
        <v>0</v>
      </c>
      <c r="Z646" s="24">
        <v>0</v>
      </c>
      <c r="AA646" s="23">
        <f t="shared" si="74"/>
        <v>0</v>
      </c>
      <c r="AB646" s="23">
        <f t="shared" si="75"/>
        <v>1290</v>
      </c>
      <c r="AC646" s="20"/>
      <c r="AD646" s="20" t="e">
        <f>VLOOKUP($C646,'[1]CTRL AUTOS'!$E:$AH,2,0)</f>
        <v>#N/A</v>
      </c>
      <c r="AE646" s="11" t="e">
        <f t="shared" si="76"/>
        <v>#N/A</v>
      </c>
    </row>
    <row r="647" spans="1:31" ht="12.75" hidden="1" customHeight="1" x14ac:dyDescent="0.3">
      <c r="A647" s="8">
        <v>33</v>
      </c>
      <c r="B647" s="20" t="s">
        <v>98</v>
      </c>
      <c r="C647" s="20" t="s">
        <v>249</v>
      </c>
      <c r="D647" s="20" t="s">
        <v>250</v>
      </c>
      <c r="E647" s="22" t="s">
        <v>232</v>
      </c>
      <c r="F647" s="20" t="s">
        <v>232</v>
      </c>
      <c r="G647" s="22" t="s">
        <v>234</v>
      </c>
      <c r="H647" s="23">
        <v>2412.38</v>
      </c>
      <c r="I647" s="23">
        <v>0</v>
      </c>
      <c r="J647" s="23">
        <v>0</v>
      </c>
      <c r="K647" s="23">
        <v>0</v>
      </c>
      <c r="L647" s="23">
        <v>0</v>
      </c>
      <c r="M647" s="24">
        <v>-35</v>
      </c>
      <c r="N647" s="23">
        <v>0</v>
      </c>
      <c r="O647" s="24">
        <f t="shared" si="70"/>
        <v>2377.38</v>
      </c>
      <c r="P647" s="23">
        <v>-1071.42</v>
      </c>
      <c r="Q647" s="23">
        <v>0</v>
      </c>
      <c r="R647" s="23">
        <v>-500</v>
      </c>
      <c r="S647" s="23">
        <v>0</v>
      </c>
      <c r="T647" s="23">
        <v>0</v>
      </c>
      <c r="U647" s="23">
        <v>0</v>
      </c>
      <c r="V647" s="23">
        <v>0</v>
      </c>
      <c r="W647" s="23">
        <f t="shared" si="71"/>
        <v>805.96</v>
      </c>
      <c r="X647" s="23">
        <f t="shared" si="72"/>
        <v>805.96</v>
      </c>
      <c r="Y647" s="23">
        <f t="shared" si="73"/>
        <v>0</v>
      </c>
      <c r="Z647" s="23">
        <v>0</v>
      </c>
      <c r="AA647" s="23">
        <f t="shared" si="74"/>
        <v>0</v>
      </c>
      <c r="AB647" s="23">
        <f t="shared" si="75"/>
        <v>1571.42</v>
      </c>
      <c r="AC647" s="20"/>
      <c r="AD647" s="20" t="s">
        <v>251</v>
      </c>
      <c r="AE647" s="11" t="str">
        <f t="shared" si="76"/>
        <v>BAJA DE PLACAS33</v>
      </c>
    </row>
    <row r="648" spans="1:31" ht="14.25" hidden="1" customHeight="1" x14ac:dyDescent="0.3">
      <c r="A648" s="8">
        <v>34</v>
      </c>
      <c r="B648" s="20" t="s">
        <v>80</v>
      </c>
      <c r="C648" s="20" t="s">
        <v>81</v>
      </c>
      <c r="D648" s="20" t="s">
        <v>317</v>
      </c>
      <c r="E648" s="22" t="s">
        <v>232</v>
      </c>
      <c r="F648" s="20" t="s">
        <v>232</v>
      </c>
      <c r="G648" s="22" t="s">
        <v>234</v>
      </c>
      <c r="H648" s="23">
        <v>0</v>
      </c>
      <c r="I648" s="23">
        <v>0</v>
      </c>
      <c r="J648" s="23">
        <v>0</v>
      </c>
      <c r="K648" s="23">
        <v>0</v>
      </c>
      <c r="L648" s="23">
        <v>0</v>
      </c>
      <c r="M648" s="23">
        <v>0</v>
      </c>
      <c r="N648" s="23">
        <v>0</v>
      </c>
      <c r="O648" s="24">
        <f t="shared" si="70"/>
        <v>0</v>
      </c>
      <c r="P648" s="24">
        <v>-2500</v>
      </c>
      <c r="Q648" s="24">
        <v>0</v>
      </c>
      <c r="R648" s="24">
        <v>0</v>
      </c>
      <c r="S648" s="24">
        <v>0</v>
      </c>
      <c r="T648" s="24">
        <v>-500</v>
      </c>
      <c r="U648" s="24">
        <v>0</v>
      </c>
      <c r="V648" s="24">
        <v>0</v>
      </c>
      <c r="W648" s="23">
        <f t="shared" si="71"/>
        <v>-3000</v>
      </c>
      <c r="X648" s="23">
        <f t="shared" si="72"/>
        <v>0</v>
      </c>
      <c r="Y648" s="23">
        <f t="shared" si="73"/>
        <v>-3000</v>
      </c>
      <c r="Z648" s="24">
        <v>3000</v>
      </c>
      <c r="AA648" s="23">
        <f t="shared" si="74"/>
        <v>0</v>
      </c>
      <c r="AB648" s="23">
        <f t="shared" si="75"/>
        <v>3000</v>
      </c>
      <c r="AC648" s="20" t="s">
        <v>394</v>
      </c>
      <c r="AD648" s="20" t="str">
        <f>VLOOKUP($C648,'[1]CTRL AUTOS'!$E:$AH,2,0)</f>
        <v>NLP172B</v>
      </c>
      <c r="AE648" s="11" t="str">
        <f t="shared" si="76"/>
        <v>NLP172B34</v>
      </c>
    </row>
    <row r="649" spans="1:31" ht="12.75" hidden="1" customHeight="1" x14ac:dyDescent="0.3">
      <c r="A649" s="8">
        <v>34</v>
      </c>
      <c r="B649" s="20" t="s">
        <v>13</v>
      </c>
      <c r="C649" s="20" t="s">
        <v>40</v>
      </c>
      <c r="D649" s="20" t="s">
        <v>315</v>
      </c>
      <c r="E649" s="20" t="s">
        <v>232</v>
      </c>
      <c r="F649" s="20" t="s">
        <v>232</v>
      </c>
      <c r="G649" s="22" t="s">
        <v>234</v>
      </c>
      <c r="H649" s="23">
        <v>12063.16</v>
      </c>
      <c r="I649" s="23">
        <v>-598.4</v>
      </c>
      <c r="J649" s="23">
        <v>0</v>
      </c>
      <c r="K649" s="23">
        <v>0</v>
      </c>
      <c r="L649" s="23">
        <v>0</v>
      </c>
      <c r="M649" s="23">
        <v>-38</v>
      </c>
      <c r="N649" s="23">
        <v>0</v>
      </c>
      <c r="O649" s="24">
        <f t="shared" si="70"/>
        <v>11426.76</v>
      </c>
      <c r="P649" s="24">
        <v>-2500</v>
      </c>
      <c r="Q649" s="23">
        <v>0</v>
      </c>
      <c r="R649" s="24">
        <v>-500</v>
      </c>
      <c r="S649" s="24">
        <v>0</v>
      </c>
      <c r="T649" s="24">
        <v>0</v>
      </c>
      <c r="U649" s="24">
        <v>0</v>
      </c>
      <c r="V649" s="24">
        <v>0</v>
      </c>
      <c r="W649" s="23">
        <f t="shared" si="71"/>
        <v>8426.76</v>
      </c>
      <c r="X649" s="23">
        <f t="shared" si="72"/>
        <v>8426.76</v>
      </c>
      <c r="Y649" s="23">
        <f t="shared" si="73"/>
        <v>0</v>
      </c>
      <c r="Z649" s="24">
        <v>0</v>
      </c>
      <c r="AA649" s="23">
        <f t="shared" si="74"/>
        <v>0</v>
      </c>
      <c r="AB649" s="23">
        <f t="shared" si="75"/>
        <v>3000</v>
      </c>
      <c r="AC649" s="20"/>
      <c r="AD649" s="20" t="str">
        <f>VLOOKUP($C649,'[1]CTRL AUTOS'!$E:$AH,2,0)</f>
        <v>NEL860A</v>
      </c>
      <c r="AE649" s="11" t="str">
        <f t="shared" si="76"/>
        <v>NEL860A34</v>
      </c>
    </row>
    <row r="650" spans="1:31" ht="12.75" hidden="1" customHeight="1" x14ac:dyDescent="0.3">
      <c r="A650" s="8">
        <v>34</v>
      </c>
      <c r="B650" s="20" t="s">
        <v>111</v>
      </c>
      <c r="C650" s="20" t="s">
        <v>63</v>
      </c>
      <c r="D650" s="20" t="s">
        <v>374</v>
      </c>
      <c r="E650" s="20" t="s">
        <v>291</v>
      </c>
      <c r="F650" s="20" t="s">
        <v>291</v>
      </c>
      <c r="G650" s="22" t="s">
        <v>234</v>
      </c>
      <c r="H650" s="23">
        <v>5636</v>
      </c>
      <c r="I650" s="23">
        <v>0</v>
      </c>
      <c r="J650" s="23">
        <v>0</v>
      </c>
      <c r="K650" s="23">
        <v>0</v>
      </c>
      <c r="L650" s="23">
        <v>-1759.14</v>
      </c>
      <c r="M650" s="23">
        <v>-56</v>
      </c>
      <c r="N650" s="23">
        <v>0</v>
      </c>
      <c r="O650" s="24">
        <f t="shared" si="70"/>
        <v>3820.8599999999997</v>
      </c>
      <c r="P650" s="24">
        <v>-2500</v>
      </c>
      <c r="Q650" s="24">
        <v>0</v>
      </c>
      <c r="R650" s="24">
        <v>0</v>
      </c>
      <c r="S650" s="24">
        <v>0</v>
      </c>
      <c r="T650" s="24">
        <v>-500</v>
      </c>
      <c r="U650" s="24">
        <v>0</v>
      </c>
      <c r="V650" s="24">
        <v>0</v>
      </c>
      <c r="W650" s="23">
        <f t="shared" si="71"/>
        <v>820.85999999999967</v>
      </c>
      <c r="X650" s="23">
        <f t="shared" si="72"/>
        <v>820.85999999999967</v>
      </c>
      <c r="Y650" s="23">
        <f t="shared" si="73"/>
        <v>0</v>
      </c>
      <c r="Z650" s="24">
        <v>0</v>
      </c>
      <c r="AA650" s="23">
        <f t="shared" si="74"/>
        <v>0</v>
      </c>
      <c r="AB650" s="23">
        <f t="shared" si="75"/>
        <v>3000</v>
      </c>
      <c r="AC650" s="20"/>
      <c r="AD650" s="20" t="str">
        <f>VLOOKUP($C650,'[1]CTRL AUTOS'!$E:$AH,2,0)</f>
        <v>X89ALV</v>
      </c>
      <c r="AE650" s="11" t="str">
        <f t="shared" si="76"/>
        <v>X89ALV34</v>
      </c>
    </row>
    <row r="651" spans="1:31" ht="12.75" hidden="1" customHeight="1" x14ac:dyDescent="0.3">
      <c r="A651" s="8">
        <v>34</v>
      </c>
      <c r="B651" s="20" t="s">
        <v>17</v>
      </c>
      <c r="C651" s="20" t="s">
        <v>4</v>
      </c>
      <c r="D651" s="20" t="s">
        <v>245</v>
      </c>
      <c r="E651" s="22" t="s">
        <v>232</v>
      </c>
      <c r="F651" s="20" t="s">
        <v>232</v>
      </c>
      <c r="G651" s="22" t="s">
        <v>234</v>
      </c>
      <c r="H651" s="23">
        <v>5239.6499999999996</v>
      </c>
      <c r="I651" s="23">
        <v>0</v>
      </c>
      <c r="J651" s="23">
        <v>0</v>
      </c>
      <c r="K651" s="23">
        <v>0</v>
      </c>
      <c r="L651" s="23">
        <v>0</v>
      </c>
      <c r="M651" s="24">
        <v>-25</v>
      </c>
      <c r="N651" s="23">
        <v>0</v>
      </c>
      <c r="O651" s="24">
        <f t="shared" si="70"/>
        <v>5214.6499999999996</v>
      </c>
      <c r="P651" s="23">
        <v>-2143</v>
      </c>
      <c r="Q651" s="23">
        <v>0</v>
      </c>
      <c r="R651" s="23">
        <v>-500</v>
      </c>
      <c r="S651" s="23">
        <v>0</v>
      </c>
      <c r="T651" s="23">
        <v>0</v>
      </c>
      <c r="U651" s="23">
        <v>0</v>
      </c>
      <c r="V651" s="23">
        <v>0</v>
      </c>
      <c r="W651" s="23">
        <f t="shared" si="71"/>
        <v>2571.6499999999996</v>
      </c>
      <c r="X651" s="23">
        <f t="shared" si="72"/>
        <v>2571.6499999999996</v>
      </c>
      <c r="Y651" s="23">
        <f t="shared" si="73"/>
        <v>0</v>
      </c>
      <c r="Z651" s="23">
        <v>0</v>
      </c>
      <c r="AA651" s="23">
        <f t="shared" si="74"/>
        <v>0</v>
      </c>
      <c r="AB651" s="23">
        <f t="shared" si="75"/>
        <v>2643</v>
      </c>
      <c r="AC651" s="20"/>
      <c r="AD651" s="20" t="str">
        <f>VLOOKUP($C651,'[1]CTRL AUTOS'!$E:$AH,2,0)</f>
        <v>N15BKD</v>
      </c>
      <c r="AE651" s="11" t="str">
        <f t="shared" si="76"/>
        <v>N15BKD34</v>
      </c>
    </row>
    <row r="652" spans="1:31" ht="12.75" hidden="1" customHeight="1" x14ac:dyDescent="0.3">
      <c r="A652" s="8">
        <v>34</v>
      </c>
      <c r="B652" s="20" t="s">
        <v>19</v>
      </c>
      <c r="C652" s="20" t="s">
        <v>20</v>
      </c>
      <c r="D652" s="20" t="s">
        <v>239</v>
      </c>
      <c r="E652" s="22" t="s">
        <v>232</v>
      </c>
      <c r="F652" s="20" t="s">
        <v>232</v>
      </c>
      <c r="G652" s="22" t="s">
        <v>234</v>
      </c>
      <c r="H652" s="23">
        <v>7703.78</v>
      </c>
      <c r="I652" s="23">
        <v>0</v>
      </c>
      <c r="J652" s="23">
        <v>0</v>
      </c>
      <c r="K652" s="23">
        <v>0</v>
      </c>
      <c r="L652" s="23">
        <v>-70.7</v>
      </c>
      <c r="M652" s="23">
        <v>-32</v>
      </c>
      <c r="N652" s="23">
        <v>0</v>
      </c>
      <c r="O652" s="24">
        <f t="shared" si="70"/>
        <v>7601.08</v>
      </c>
      <c r="P652" s="23">
        <v>-2500</v>
      </c>
      <c r="Q652" s="23">
        <v>0</v>
      </c>
      <c r="R652" s="23">
        <v>-500</v>
      </c>
      <c r="S652" s="23">
        <v>0</v>
      </c>
      <c r="T652" s="23">
        <v>0</v>
      </c>
      <c r="U652" s="23">
        <v>0</v>
      </c>
      <c r="V652" s="23">
        <v>0</v>
      </c>
      <c r="W652" s="23">
        <f t="shared" si="71"/>
        <v>4601.08</v>
      </c>
      <c r="X652" s="23">
        <f t="shared" si="72"/>
        <v>4601.08</v>
      </c>
      <c r="Y652" s="23">
        <f t="shared" si="73"/>
        <v>0</v>
      </c>
      <c r="Z652" s="23">
        <v>0</v>
      </c>
      <c r="AA652" s="23">
        <f t="shared" si="74"/>
        <v>0</v>
      </c>
      <c r="AB652" s="23">
        <f t="shared" si="75"/>
        <v>3000</v>
      </c>
      <c r="AC652" s="20"/>
      <c r="AD652" s="20" t="str">
        <f>VLOOKUP($C652,'[1]CTRL AUTOS'!$E:$AH,2,0)</f>
        <v>D40BKD</v>
      </c>
      <c r="AE652" s="11" t="str">
        <f t="shared" si="76"/>
        <v>D40BKD34</v>
      </c>
    </row>
    <row r="653" spans="1:31" ht="12.75" hidden="1" customHeight="1" x14ac:dyDescent="0.3">
      <c r="A653" s="8">
        <v>34</v>
      </c>
      <c r="B653" s="20" t="s">
        <v>396</v>
      </c>
      <c r="C653" s="20" t="s">
        <v>75</v>
      </c>
      <c r="D653" s="20" t="s">
        <v>333</v>
      </c>
      <c r="E653" s="22" t="s">
        <v>241</v>
      </c>
      <c r="F653" s="20" t="s">
        <v>291</v>
      </c>
      <c r="G653" s="22" t="s">
        <v>234</v>
      </c>
      <c r="H653" s="23">
        <v>7450.85</v>
      </c>
      <c r="I653" s="23">
        <v>-320</v>
      </c>
      <c r="J653" s="23">
        <v>0</v>
      </c>
      <c r="K653" s="23">
        <v>0</v>
      </c>
      <c r="L653" s="23">
        <v>-2279.91</v>
      </c>
      <c r="M653" s="23">
        <v>-40</v>
      </c>
      <c r="N653" s="23">
        <v>0</v>
      </c>
      <c r="O653" s="24">
        <f t="shared" si="70"/>
        <v>4810.9400000000005</v>
      </c>
      <c r="P653" s="23">
        <v>-2500</v>
      </c>
      <c r="Q653" s="23">
        <v>0</v>
      </c>
      <c r="R653" s="23">
        <v>-500</v>
      </c>
      <c r="S653" s="23">
        <v>0</v>
      </c>
      <c r="T653" s="23">
        <v>0</v>
      </c>
      <c r="U653" s="23">
        <v>0</v>
      </c>
      <c r="V653" s="23">
        <v>0</v>
      </c>
      <c r="W653" s="23">
        <f t="shared" si="71"/>
        <v>1810.9400000000005</v>
      </c>
      <c r="X653" s="23">
        <f t="shared" si="72"/>
        <v>1810.9400000000005</v>
      </c>
      <c r="Y653" s="23">
        <f t="shared" si="73"/>
        <v>0</v>
      </c>
      <c r="Z653" s="23">
        <v>0</v>
      </c>
      <c r="AA653" s="23">
        <f t="shared" si="74"/>
        <v>0</v>
      </c>
      <c r="AB653" s="23">
        <f t="shared" si="75"/>
        <v>3000</v>
      </c>
      <c r="AC653" s="20"/>
      <c r="AD653" s="20" t="str">
        <f>VLOOKUP($C653,'[1]CTRL AUTOS'!$E:$AH,2,0)</f>
        <v>NFN014B</v>
      </c>
      <c r="AE653" s="11" t="str">
        <f t="shared" si="76"/>
        <v>NFN014B34</v>
      </c>
    </row>
    <row r="654" spans="1:31" ht="12.75" hidden="1" customHeight="1" x14ac:dyDescent="0.3">
      <c r="A654" s="8">
        <v>34</v>
      </c>
      <c r="B654" s="20" t="s">
        <v>23</v>
      </c>
      <c r="C654" s="20" t="s">
        <v>106</v>
      </c>
      <c r="D654" s="20" t="s">
        <v>322</v>
      </c>
      <c r="E654" s="22" t="s">
        <v>232</v>
      </c>
      <c r="F654" s="20" t="s">
        <v>232</v>
      </c>
      <c r="G654" s="22" t="s">
        <v>234</v>
      </c>
      <c r="H654" s="23">
        <v>5820.59</v>
      </c>
      <c r="I654" s="23">
        <v>-24.8</v>
      </c>
      <c r="J654" s="23">
        <v>0</v>
      </c>
      <c r="K654" s="23">
        <v>0</v>
      </c>
      <c r="L654" s="23">
        <v>-3117.86</v>
      </c>
      <c r="M654" s="23">
        <v>-67.84</v>
      </c>
      <c r="N654" s="23">
        <v>-110</v>
      </c>
      <c r="O654" s="24">
        <f t="shared" si="70"/>
        <v>2500.0899999999997</v>
      </c>
      <c r="P654" s="24">
        <v>-2500</v>
      </c>
      <c r="Q654" s="24">
        <v>0</v>
      </c>
      <c r="R654" s="24">
        <v>0</v>
      </c>
      <c r="S654" s="24">
        <v>0</v>
      </c>
      <c r="T654" s="24">
        <v>0</v>
      </c>
      <c r="U654" s="24">
        <v>0</v>
      </c>
      <c r="V654" s="24">
        <v>0</v>
      </c>
      <c r="W654" s="23">
        <f t="shared" si="71"/>
        <v>8.9999999999690772E-2</v>
      </c>
      <c r="X654" s="23">
        <f t="shared" si="72"/>
        <v>8.9999999999690772E-2</v>
      </c>
      <c r="Y654" s="23">
        <f t="shared" si="73"/>
        <v>0</v>
      </c>
      <c r="Z654" s="24">
        <v>0</v>
      </c>
      <c r="AA654" s="23">
        <f t="shared" si="74"/>
        <v>0</v>
      </c>
      <c r="AB654" s="23">
        <f t="shared" si="75"/>
        <v>2500</v>
      </c>
      <c r="AC654" s="20"/>
      <c r="AD654" s="20" t="str">
        <f>VLOOKUP($C654,'[1]CTRL AUTOS'!$E:$AH,2,0)</f>
        <v>NZU5163</v>
      </c>
      <c r="AE654" s="11" t="str">
        <f t="shared" si="76"/>
        <v>NZU516334</v>
      </c>
    </row>
    <row r="655" spans="1:31" ht="12.75" hidden="1" customHeight="1" x14ac:dyDescent="0.3">
      <c r="A655" s="8">
        <v>34</v>
      </c>
      <c r="B655" s="20" t="s">
        <v>25</v>
      </c>
      <c r="C655" s="20" t="s">
        <v>10</v>
      </c>
      <c r="D655" s="20" t="s">
        <v>343</v>
      </c>
      <c r="E655" s="22" t="s">
        <v>232</v>
      </c>
      <c r="F655" s="20" t="s">
        <v>232</v>
      </c>
      <c r="G655" s="22" t="s">
        <v>234</v>
      </c>
      <c r="H655" s="23">
        <v>1091.98</v>
      </c>
      <c r="I655" s="23">
        <v>0</v>
      </c>
      <c r="J655" s="23">
        <v>0</v>
      </c>
      <c r="K655" s="23">
        <v>0</v>
      </c>
      <c r="L655" s="23">
        <v>-295</v>
      </c>
      <c r="M655" s="23">
        <v>-32</v>
      </c>
      <c r="N655" s="23">
        <v>0</v>
      </c>
      <c r="O655" s="24">
        <f t="shared" si="70"/>
        <v>764.98</v>
      </c>
      <c r="P655" s="24">
        <v>-2500</v>
      </c>
      <c r="Q655" s="24">
        <v>0</v>
      </c>
      <c r="R655" s="24">
        <v>0</v>
      </c>
      <c r="S655" s="24">
        <v>0</v>
      </c>
      <c r="T655" s="24">
        <v>0</v>
      </c>
      <c r="U655" s="24">
        <v>0</v>
      </c>
      <c r="V655" s="24">
        <v>0</v>
      </c>
      <c r="W655" s="23">
        <f t="shared" si="71"/>
        <v>-1735.02</v>
      </c>
      <c r="X655" s="23">
        <f t="shared" si="72"/>
        <v>0</v>
      </c>
      <c r="Y655" s="23">
        <f t="shared" si="73"/>
        <v>-1735.02</v>
      </c>
      <c r="Z655" s="24">
        <v>1500</v>
      </c>
      <c r="AA655" s="23">
        <f t="shared" si="74"/>
        <v>-235.01999999999998</v>
      </c>
      <c r="AB655" s="23">
        <f t="shared" si="75"/>
        <v>2029.96</v>
      </c>
      <c r="AC655" s="20" t="s">
        <v>394</v>
      </c>
      <c r="AD655" s="20" t="str">
        <f>VLOOKUP($C655,'[1]CTRL AUTOS'!$E:$AH,2,0)</f>
        <v>LRL009C</v>
      </c>
      <c r="AE655" s="11" t="str">
        <f t="shared" si="76"/>
        <v>LRL009C34</v>
      </c>
    </row>
    <row r="656" spans="1:31" ht="12.75" hidden="1" customHeight="1" x14ac:dyDescent="0.3">
      <c r="A656" s="8">
        <v>34</v>
      </c>
      <c r="B656" s="20" t="s">
        <v>359</v>
      </c>
      <c r="C656" s="20" t="s">
        <v>34</v>
      </c>
      <c r="D656" s="20" t="s">
        <v>285</v>
      </c>
      <c r="E656" s="22" t="s">
        <v>232</v>
      </c>
      <c r="F656" s="20" t="s">
        <v>232</v>
      </c>
      <c r="G656" s="22" t="s">
        <v>234</v>
      </c>
      <c r="H656" s="23">
        <v>816.97</v>
      </c>
      <c r="I656" s="23">
        <v>0</v>
      </c>
      <c r="J656" s="23">
        <v>0</v>
      </c>
      <c r="K656" s="23">
        <v>0</v>
      </c>
      <c r="L656" s="23">
        <v>0</v>
      </c>
      <c r="M656" s="23">
        <v>-45</v>
      </c>
      <c r="N656" s="23">
        <v>0</v>
      </c>
      <c r="O656" s="24">
        <f t="shared" si="70"/>
        <v>771.97</v>
      </c>
      <c r="P656" s="24">
        <v>-2500</v>
      </c>
      <c r="Q656" s="23">
        <v>-1904</v>
      </c>
      <c r="R656" s="24">
        <v>-500</v>
      </c>
      <c r="S656" s="24">
        <v>0</v>
      </c>
      <c r="T656" s="24">
        <v>0</v>
      </c>
      <c r="U656" s="24">
        <v>0</v>
      </c>
      <c r="V656" s="24">
        <v>0</v>
      </c>
      <c r="W656" s="23">
        <f t="shared" si="71"/>
        <v>-4132.03</v>
      </c>
      <c r="X656" s="23">
        <f t="shared" si="72"/>
        <v>0</v>
      </c>
      <c r="Y656" s="23">
        <f t="shared" si="73"/>
        <v>-4132.03</v>
      </c>
      <c r="Z656" s="24">
        <v>1700</v>
      </c>
      <c r="AA656" s="23">
        <f t="shared" si="74"/>
        <v>-2432.0299999999997</v>
      </c>
      <c r="AB656" s="23">
        <f t="shared" si="75"/>
        <v>39.940000000000509</v>
      </c>
      <c r="AC656" s="20" t="s">
        <v>411</v>
      </c>
      <c r="AD656" s="20" t="str">
        <f>VLOOKUP($C656,'[1]CTRL AUTOS'!$E:$AH,2,0)</f>
        <v>X59AWG</v>
      </c>
      <c r="AE656" s="11" t="str">
        <f t="shared" si="76"/>
        <v>X59AWG34</v>
      </c>
    </row>
    <row r="657" spans="1:31" ht="12.75" hidden="1" customHeight="1" x14ac:dyDescent="0.3">
      <c r="A657" s="8">
        <v>34</v>
      </c>
      <c r="B657" s="20" t="s">
        <v>72</v>
      </c>
      <c r="C657" s="20" t="s">
        <v>73</v>
      </c>
      <c r="D657" s="20" t="s">
        <v>368</v>
      </c>
      <c r="E657" s="22" t="s">
        <v>241</v>
      </c>
      <c r="F657" s="20" t="s">
        <v>291</v>
      </c>
      <c r="G657" s="22" t="s">
        <v>234</v>
      </c>
      <c r="H657" s="23">
        <v>7712.34</v>
      </c>
      <c r="I657" s="23">
        <v>0</v>
      </c>
      <c r="J657" s="23">
        <v>0</v>
      </c>
      <c r="K657" s="23">
        <v>-82.7</v>
      </c>
      <c r="L657" s="23">
        <v>-4157.95</v>
      </c>
      <c r="M657" s="23">
        <v>-56</v>
      </c>
      <c r="N657" s="23">
        <v>-79</v>
      </c>
      <c r="O657" s="24">
        <f t="shared" si="70"/>
        <v>3336.6900000000005</v>
      </c>
      <c r="P657" s="24">
        <v>-2500</v>
      </c>
      <c r="Q657" s="24">
        <v>0</v>
      </c>
      <c r="R657" s="24">
        <v>0</v>
      </c>
      <c r="S657" s="24">
        <v>0</v>
      </c>
      <c r="T657" s="24">
        <v>0</v>
      </c>
      <c r="U657" s="24">
        <v>-600</v>
      </c>
      <c r="V657" s="24">
        <v>0</v>
      </c>
      <c r="W657" s="23">
        <f t="shared" si="71"/>
        <v>236.69000000000051</v>
      </c>
      <c r="X657" s="23">
        <f t="shared" si="72"/>
        <v>236.69000000000051</v>
      </c>
      <c r="Y657" s="23">
        <f t="shared" si="73"/>
        <v>0</v>
      </c>
      <c r="Z657" s="24">
        <v>0</v>
      </c>
      <c r="AA657" s="23">
        <f t="shared" si="74"/>
        <v>0</v>
      </c>
      <c r="AB657" s="23">
        <f t="shared" si="75"/>
        <v>3100</v>
      </c>
      <c r="AC657" s="20"/>
      <c r="AD657" s="20" t="str">
        <f>VLOOKUP($C657,'[1]CTRL AUTOS'!$E:$AH,2,0)</f>
        <v>H99BLC</v>
      </c>
      <c r="AE657" s="11" t="str">
        <f t="shared" si="76"/>
        <v>H99BLC34</v>
      </c>
    </row>
    <row r="658" spans="1:31" ht="12.75" hidden="1" customHeight="1" x14ac:dyDescent="0.3">
      <c r="A658" s="8">
        <v>34</v>
      </c>
      <c r="B658" s="20" t="s">
        <v>292</v>
      </c>
      <c r="C658" s="20" t="s">
        <v>52</v>
      </c>
      <c r="D658" s="20" t="s">
        <v>313</v>
      </c>
      <c r="E658" s="22" t="s">
        <v>232</v>
      </c>
      <c r="F658" s="20" t="s">
        <v>232</v>
      </c>
      <c r="G658" s="22" t="s">
        <v>234</v>
      </c>
      <c r="H658" s="23">
        <v>6008.03</v>
      </c>
      <c r="I658" s="23">
        <v>0</v>
      </c>
      <c r="J658" s="23">
        <v>0</v>
      </c>
      <c r="K658" s="23">
        <v>0</v>
      </c>
      <c r="L658" s="23">
        <v>-2039.13</v>
      </c>
      <c r="M658" s="23">
        <v>-52</v>
      </c>
      <c r="N658" s="23">
        <v>-69</v>
      </c>
      <c r="O658" s="24">
        <f t="shared" si="70"/>
        <v>3847.8999999999996</v>
      </c>
      <c r="P658" s="24">
        <v>-2500</v>
      </c>
      <c r="Q658" s="23">
        <v>0</v>
      </c>
      <c r="R658" s="24">
        <v>0</v>
      </c>
      <c r="S658" s="24">
        <v>0</v>
      </c>
      <c r="T658" s="24">
        <v>0</v>
      </c>
      <c r="U658" s="24">
        <v>-300</v>
      </c>
      <c r="V658" s="24">
        <v>0</v>
      </c>
      <c r="W658" s="23">
        <f t="shared" si="71"/>
        <v>1047.8999999999996</v>
      </c>
      <c r="X658" s="23">
        <f t="shared" si="72"/>
        <v>1047.8999999999996</v>
      </c>
      <c r="Y658" s="23">
        <f t="shared" si="73"/>
        <v>0</v>
      </c>
      <c r="Z658" s="24">
        <v>0</v>
      </c>
      <c r="AA658" s="23">
        <f t="shared" si="74"/>
        <v>0</v>
      </c>
      <c r="AB658" s="23">
        <f t="shared" si="75"/>
        <v>2800</v>
      </c>
      <c r="AC658" s="20"/>
      <c r="AD658" s="20" t="str">
        <f>VLOOKUP($C658,'[1]CTRL AUTOS'!$E:$AH,2,0)</f>
        <v>A35BHD</v>
      </c>
      <c r="AE658" s="11" t="str">
        <f t="shared" si="76"/>
        <v>A35BHD34</v>
      </c>
    </row>
    <row r="659" spans="1:31" ht="12.75" hidden="1" customHeight="1" x14ac:dyDescent="0.3">
      <c r="A659" s="8">
        <v>34</v>
      </c>
      <c r="B659" s="20" t="s">
        <v>57</v>
      </c>
      <c r="C659" s="20" t="s">
        <v>16</v>
      </c>
      <c r="D659" s="20" t="s">
        <v>314</v>
      </c>
      <c r="E659" s="20" t="s">
        <v>232</v>
      </c>
      <c r="F659" s="20" t="s">
        <v>232</v>
      </c>
      <c r="G659" s="22" t="s">
        <v>234</v>
      </c>
      <c r="H659" s="23">
        <v>4368.84</v>
      </c>
      <c r="I659" s="23">
        <v>0</v>
      </c>
      <c r="J659" s="23">
        <v>0</v>
      </c>
      <c r="K659" s="23">
        <v>0</v>
      </c>
      <c r="L659" s="23">
        <v>-1598.71</v>
      </c>
      <c r="M659" s="23">
        <v>-42</v>
      </c>
      <c r="N659" s="23">
        <v>0</v>
      </c>
      <c r="O659" s="24">
        <f t="shared" si="70"/>
        <v>2728.13</v>
      </c>
      <c r="P659" s="23">
        <v>-2500</v>
      </c>
      <c r="Q659" s="23">
        <v>0</v>
      </c>
      <c r="R659" s="23">
        <v>-500</v>
      </c>
      <c r="S659" s="23">
        <v>0</v>
      </c>
      <c r="T659" s="23">
        <v>0</v>
      </c>
      <c r="U659" s="24">
        <v>0</v>
      </c>
      <c r="V659" s="23">
        <v>0</v>
      </c>
      <c r="W659" s="23">
        <f t="shared" si="71"/>
        <v>-271.86999999999989</v>
      </c>
      <c r="X659" s="23">
        <f t="shared" si="72"/>
        <v>0</v>
      </c>
      <c r="Y659" s="23">
        <f t="shared" si="73"/>
        <v>-271.86999999999989</v>
      </c>
      <c r="Z659" s="24">
        <v>272</v>
      </c>
      <c r="AA659" s="23">
        <f t="shared" si="74"/>
        <v>0.13000000000010914</v>
      </c>
      <c r="AB659" s="23">
        <f t="shared" si="75"/>
        <v>3000.26</v>
      </c>
      <c r="AC659" s="20"/>
      <c r="AD659" s="20" t="str">
        <f>VLOOKUP($C659,'[1]CTRL AUTOS'!$E:$AH,2,0)</f>
        <v>D28BET</v>
      </c>
      <c r="AE659" s="11" t="str">
        <f t="shared" si="76"/>
        <v>D28BET34</v>
      </c>
    </row>
    <row r="660" spans="1:31" ht="12.75" hidden="1" customHeight="1" x14ac:dyDescent="0.3">
      <c r="A660" s="8">
        <v>34</v>
      </c>
      <c r="B660" s="20" t="s">
        <v>288</v>
      </c>
      <c r="C660" s="20" t="s">
        <v>22</v>
      </c>
      <c r="D660" s="20" t="s">
        <v>319</v>
      </c>
      <c r="E660" s="20" t="s">
        <v>232</v>
      </c>
      <c r="F660" s="20" t="s">
        <v>232</v>
      </c>
      <c r="G660" s="22" t="s">
        <v>234</v>
      </c>
      <c r="H660" s="23">
        <v>5975.26</v>
      </c>
      <c r="I660" s="23">
        <v>0</v>
      </c>
      <c r="J660" s="23">
        <v>0</v>
      </c>
      <c r="K660" s="23">
        <v>0</v>
      </c>
      <c r="L660" s="23">
        <v>-1232.8399999999999</v>
      </c>
      <c r="M660" s="23">
        <v>-36</v>
      </c>
      <c r="N660" s="23">
        <v>0</v>
      </c>
      <c r="O660" s="24">
        <f t="shared" si="70"/>
        <v>4706.42</v>
      </c>
      <c r="P660" s="24">
        <v>-2500</v>
      </c>
      <c r="Q660" s="23">
        <v>0</v>
      </c>
      <c r="R660" s="24">
        <v>0</v>
      </c>
      <c r="S660" s="24">
        <v>0</v>
      </c>
      <c r="T660" s="24">
        <v>0</v>
      </c>
      <c r="U660" s="24">
        <v>0</v>
      </c>
      <c r="V660" s="24">
        <v>0</v>
      </c>
      <c r="W660" s="23">
        <f t="shared" si="71"/>
        <v>2206.42</v>
      </c>
      <c r="X660" s="23">
        <f t="shared" si="72"/>
        <v>2206.42</v>
      </c>
      <c r="Y660" s="23">
        <f t="shared" si="73"/>
        <v>0</v>
      </c>
      <c r="Z660" s="24">
        <v>0</v>
      </c>
      <c r="AA660" s="23">
        <f t="shared" si="74"/>
        <v>0</v>
      </c>
      <c r="AB660" s="23">
        <f t="shared" si="75"/>
        <v>2500</v>
      </c>
      <c r="AC660" s="20"/>
      <c r="AD660" s="20" t="str">
        <f>VLOOKUP($C660,'[1]CTRL AUTOS'!$E:$AH,2,0)</f>
        <v>NCK475B</v>
      </c>
      <c r="AE660" s="11" t="str">
        <f t="shared" si="76"/>
        <v>NCK475B34</v>
      </c>
    </row>
    <row r="661" spans="1:31" ht="12.75" hidden="1" customHeight="1" x14ac:dyDescent="0.3">
      <c r="A661" s="8">
        <v>34</v>
      </c>
      <c r="B661" s="20" t="s">
        <v>35</v>
      </c>
      <c r="C661" s="20" t="s">
        <v>97</v>
      </c>
      <c r="D661" s="20" t="s">
        <v>273</v>
      </c>
      <c r="E661" s="22" t="s">
        <v>232</v>
      </c>
      <c r="F661" s="20" t="s">
        <v>232</v>
      </c>
      <c r="G661" s="22" t="s">
        <v>234</v>
      </c>
      <c r="H661" s="23">
        <v>8675.59</v>
      </c>
      <c r="I661" s="23">
        <v>-125.6</v>
      </c>
      <c r="J661" s="23">
        <v>0</v>
      </c>
      <c r="K661" s="23">
        <v>0</v>
      </c>
      <c r="L661" s="23">
        <v>-4548.76</v>
      </c>
      <c r="M661" s="23">
        <v>-38</v>
      </c>
      <c r="N661" s="23">
        <v>0</v>
      </c>
      <c r="O661" s="24">
        <f t="shared" si="70"/>
        <v>3963.2299999999996</v>
      </c>
      <c r="P661" s="24">
        <v>-2500</v>
      </c>
      <c r="Q661" s="23">
        <v>23</v>
      </c>
      <c r="R661" s="24">
        <v>0</v>
      </c>
      <c r="S661" s="24">
        <v>0</v>
      </c>
      <c r="T661" s="24">
        <v>0</v>
      </c>
      <c r="U661" s="24">
        <v>-500</v>
      </c>
      <c r="V661" s="24">
        <v>0</v>
      </c>
      <c r="W661" s="23">
        <f t="shared" si="71"/>
        <v>986.22999999999956</v>
      </c>
      <c r="X661" s="23">
        <f t="shared" si="72"/>
        <v>986.22999999999956</v>
      </c>
      <c r="Y661" s="23">
        <f t="shared" si="73"/>
        <v>0</v>
      </c>
      <c r="Z661" s="24">
        <v>0</v>
      </c>
      <c r="AA661" s="23">
        <f t="shared" si="74"/>
        <v>0</v>
      </c>
      <c r="AB661" s="23">
        <f t="shared" si="75"/>
        <v>2977</v>
      </c>
      <c r="AC661" s="20" t="s">
        <v>412</v>
      </c>
      <c r="AD661" s="20" t="str">
        <f>VLOOKUP($C661,'[1]CTRL AUTOS'!$E:$AH,2,0)</f>
        <v>MUF515A</v>
      </c>
      <c r="AE661" s="11" t="str">
        <f t="shared" si="76"/>
        <v>MUF515A34</v>
      </c>
    </row>
    <row r="662" spans="1:31" ht="12" hidden="1" customHeight="1" x14ac:dyDescent="0.3">
      <c r="A662" s="8">
        <v>34</v>
      </c>
      <c r="B662" s="20" t="s">
        <v>37</v>
      </c>
      <c r="C662" s="20" t="s">
        <v>30</v>
      </c>
      <c r="D662" s="20" t="s">
        <v>237</v>
      </c>
      <c r="E662" s="22" t="s">
        <v>232</v>
      </c>
      <c r="F662" s="20" t="s">
        <v>291</v>
      </c>
      <c r="G662" s="22" t="s">
        <v>234</v>
      </c>
      <c r="H662" s="23">
        <v>3704.67</v>
      </c>
      <c r="I662" s="23">
        <v>0</v>
      </c>
      <c r="J662" s="23">
        <v>0</v>
      </c>
      <c r="K662" s="23">
        <v>0</v>
      </c>
      <c r="L662" s="23">
        <v>-950.54</v>
      </c>
      <c r="M662" s="23">
        <v>-40</v>
      </c>
      <c r="N662" s="23">
        <v>0</v>
      </c>
      <c r="O662" s="24">
        <f t="shared" si="70"/>
        <v>2714.13</v>
      </c>
      <c r="P662" s="24">
        <v>-2143</v>
      </c>
      <c r="Q662" s="24">
        <v>-44</v>
      </c>
      <c r="R662" s="24">
        <v>0</v>
      </c>
      <c r="S662" s="24">
        <v>0</v>
      </c>
      <c r="T662" s="24">
        <v>0</v>
      </c>
      <c r="U662" s="24">
        <v>0</v>
      </c>
      <c r="V662" s="24">
        <v>0</v>
      </c>
      <c r="W662" s="23">
        <f t="shared" si="71"/>
        <v>527.13000000000011</v>
      </c>
      <c r="X662" s="23">
        <f t="shared" si="72"/>
        <v>527.13000000000011</v>
      </c>
      <c r="Y662" s="23">
        <f t="shared" si="73"/>
        <v>0</v>
      </c>
      <c r="Z662" s="24">
        <v>0</v>
      </c>
      <c r="AA662" s="23">
        <f t="shared" si="74"/>
        <v>0</v>
      </c>
      <c r="AB662" s="23">
        <f t="shared" si="75"/>
        <v>2187</v>
      </c>
      <c r="AC662" s="20"/>
      <c r="AD662" s="20" t="str">
        <f>VLOOKUP($C662,'[1]CTRL AUTOS'!$E:$AH,2,0)</f>
        <v>D51BHV</v>
      </c>
      <c r="AE662" s="11" t="str">
        <f t="shared" si="76"/>
        <v>D51BHV34</v>
      </c>
    </row>
    <row r="663" spans="1:31" ht="12.75" hidden="1" customHeight="1" x14ac:dyDescent="0.3">
      <c r="A663" s="8">
        <v>34</v>
      </c>
      <c r="B663" s="20" t="s">
        <v>37</v>
      </c>
      <c r="C663" s="20" t="s">
        <v>168</v>
      </c>
      <c r="D663" s="20" t="s">
        <v>265</v>
      </c>
      <c r="E663" s="22" t="s">
        <v>232</v>
      </c>
      <c r="F663" s="20" t="s">
        <v>232</v>
      </c>
      <c r="G663" s="22" t="s">
        <v>234</v>
      </c>
      <c r="H663" s="23">
        <v>123</v>
      </c>
      <c r="I663" s="23">
        <v>0</v>
      </c>
      <c r="J663" s="23">
        <v>0</v>
      </c>
      <c r="K663" s="23">
        <v>0</v>
      </c>
      <c r="L663" s="23">
        <v>-25.29</v>
      </c>
      <c r="M663" s="23">
        <v>0</v>
      </c>
      <c r="N663" s="23">
        <v>0</v>
      </c>
      <c r="O663" s="24">
        <f t="shared" si="70"/>
        <v>97.710000000000008</v>
      </c>
      <c r="P663" s="24">
        <v>-357</v>
      </c>
      <c r="Q663" s="24">
        <v>0</v>
      </c>
      <c r="R663" s="24">
        <v>0</v>
      </c>
      <c r="S663" s="24">
        <v>0</v>
      </c>
      <c r="T663" s="24">
        <v>0</v>
      </c>
      <c r="U663" s="24">
        <v>0</v>
      </c>
      <c r="V663" s="24">
        <v>0</v>
      </c>
      <c r="W663" s="23">
        <f t="shared" si="71"/>
        <v>-259.28999999999996</v>
      </c>
      <c r="X663" s="23">
        <f t="shared" si="72"/>
        <v>0</v>
      </c>
      <c r="Y663" s="23">
        <f t="shared" si="73"/>
        <v>-259.28999999999996</v>
      </c>
      <c r="Z663" s="24">
        <v>0</v>
      </c>
      <c r="AA663" s="23">
        <f t="shared" si="74"/>
        <v>-259.28999999999996</v>
      </c>
      <c r="AB663" s="23">
        <f t="shared" si="75"/>
        <v>-161.57999999999996</v>
      </c>
      <c r="AC663" s="20"/>
      <c r="AD663" s="20" t="e">
        <f>VLOOKUP($C663,'[1]CTRL AUTOS'!$E:$AH,2,0)</f>
        <v>#N/A</v>
      </c>
      <c r="AE663" s="11" t="e">
        <f t="shared" si="76"/>
        <v>#N/A</v>
      </c>
    </row>
    <row r="664" spans="1:31" ht="12.75" hidden="1" customHeight="1" x14ac:dyDescent="0.3">
      <c r="A664" s="8">
        <v>34</v>
      </c>
      <c r="B664" s="20" t="s">
        <v>361</v>
      </c>
      <c r="C664" s="20" t="s">
        <v>56</v>
      </c>
      <c r="D664" s="20" t="s">
        <v>336</v>
      </c>
      <c r="E664" s="22" t="s">
        <v>241</v>
      </c>
      <c r="F664" s="20" t="s">
        <v>291</v>
      </c>
      <c r="G664" s="22" t="s">
        <v>234</v>
      </c>
      <c r="H664" s="23">
        <v>5257.81</v>
      </c>
      <c r="I664" s="23">
        <v>-33.270000000000003</v>
      </c>
      <c r="J664" s="23">
        <v>0</v>
      </c>
      <c r="K664" s="23">
        <v>0</v>
      </c>
      <c r="L664" s="23">
        <v>-1225.8399999999999</v>
      </c>
      <c r="M664" s="23">
        <v>-40</v>
      </c>
      <c r="N664" s="23">
        <v>0</v>
      </c>
      <c r="O664" s="24">
        <f t="shared" si="70"/>
        <v>3958.7</v>
      </c>
      <c r="P664" s="24">
        <v>-2500</v>
      </c>
      <c r="Q664" s="24">
        <v>0</v>
      </c>
      <c r="R664" s="24">
        <v>0</v>
      </c>
      <c r="S664" s="24">
        <v>0</v>
      </c>
      <c r="T664" s="24">
        <v>0</v>
      </c>
      <c r="U664" s="24">
        <v>0</v>
      </c>
      <c r="V664" s="24">
        <v>0</v>
      </c>
      <c r="W664" s="23">
        <f t="shared" si="71"/>
        <v>1458.6999999999998</v>
      </c>
      <c r="X664" s="23">
        <f t="shared" si="72"/>
        <v>1458.6999999999998</v>
      </c>
      <c r="Y664" s="23">
        <f t="shared" si="73"/>
        <v>0</v>
      </c>
      <c r="Z664" s="24">
        <v>0</v>
      </c>
      <c r="AA664" s="23">
        <f t="shared" si="74"/>
        <v>0</v>
      </c>
      <c r="AB664" s="23">
        <f t="shared" si="75"/>
        <v>2500</v>
      </c>
      <c r="AC664" s="20"/>
      <c r="AD664" s="20" t="str">
        <f>VLOOKUP($C664,'[1]CTRL AUTOS'!$E:$AH,2,0)</f>
        <v>MYE912A</v>
      </c>
      <c r="AE664" s="11" t="str">
        <f t="shared" si="76"/>
        <v>MYE912A34</v>
      </c>
    </row>
    <row r="665" spans="1:31" ht="12.75" hidden="1" customHeight="1" x14ac:dyDescent="0.3">
      <c r="A665" s="8">
        <v>34</v>
      </c>
      <c r="B665" s="20" t="s">
        <v>388</v>
      </c>
      <c r="C665" s="20" t="s">
        <v>69</v>
      </c>
      <c r="D665" s="20" t="s">
        <v>370</v>
      </c>
      <c r="E665" s="22" t="s">
        <v>241</v>
      </c>
      <c r="F665" s="20" t="s">
        <v>291</v>
      </c>
      <c r="G665" s="22" t="s">
        <v>234</v>
      </c>
      <c r="H665" s="23">
        <v>1523.62</v>
      </c>
      <c r="I665" s="23">
        <v>0</v>
      </c>
      <c r="J665" s="23">
        <v>0</v>
      </c>
      <c r="K665" s="23">
        <v>0</v>
      </c>
      <c r="L665" s="23">
        <v>-611.94000000000005</v>
      </c>
      <c r="M665" s="23">
        <v>-40</v>
      </c>
      <c r="N665" s="23">
        <v>0</v>
      </c>
      <c r="O665" s="24">
        <f t="shared" si="70"/>
        <v>871.67999999999984</v>
      </c>
      <c r="P665" s="23">
        <v>-2500</v>
      </c>
      <c r="Q665" s="24">
        <v>109</v>
      </c>
      <c r="R665" s="23">
        <v>-500</v>
      </c>
      <c r="S665" s="23">
        <v>0</v>
      </c>
      <c r="T665" s="23">
        <v>0</v>
      </c>
      <c r="U665" s="24">
        <v>0</v>
      </c>
      <c r="V665" s="23">
        <v>0</v>
      </c>
      <c r="W665" s="23">
        <f t="shared" si="71"/>
        <v>-2019.3200000000002</v>
      </c>
      <c r="X665" s="23">
        <f t="shared" si="72"/>
        <v>0</v>
      </c>
      <c r="Y665" s="23">
        <f t="shared" si="73"/>
        <v>-2019.3200000000002</v>
      </c>
      <c r="Z665" s="23">
        <f>1000+1000+1000</f>
        <v>3000</v>
      </c>
      <c r="AA665" s="23">
        <f t="shared" si="74"/>
        <v>980.67999999999984</v>
      </c>
      <c r="AB665" s="23">
        <f t="shared" si="75"/>
        <v>4852.3599999999997</v>
      </c>
      <c r="AC665" s="20"/>
      <c r="AD665" s="20" t="str">
        <f>VLOOKUP($C665,'[1]CTRL AUTOS'!$E:$AH,2,0)</f>
        <v>R51BKD</v>
      </c>
      <c r="AE665" s="11" t="str">
        <f t="shared" si="76"/>
        <v>R51BKD34</v>
      </c>
    </row>
    <row r="666" spans="1:31" ht="12.75" hidden="1" customHeight="1" x14ac:dyDescent="0.3">
      <c r="A666" s="8">
        <v>34</v>
      </c>
      <c r="B666" s="20" t="s">
        <v>293</v>
      </c>
      <c r="C666" s="20" t="s">
        <v>34</v>
      </c>
      <c r="D666" s="20" t="s">
        <v>285</v>
      </c>
      <c r="E666" s="22" t="s">
        <v>232</v>
      </c>
      <c r="F666" s="23" t="s">
        <v>232</v>
      </c>
      <c r="G666" s="22" t="s">
        <v>234</v>
      </c>
      <c r="H666" s="23">
        <v>0</v>
      </c>
      <c r="I666" s="23">
        <v>0</v>
      </c>
      <c r="J666" s="23">
        <v>0</v>
      </c>
      <c r="K666" s="23">
        <v>0</v>
      </c>
      <c r="L666" s="23">
        <v>0</v>
      </c>
      <c r="M666" s="23">
        <v>0</v>
      </c>
      <c r="N666" s="23">
        <v>0</v>
      </c>
      <c r="O666" s="24">
        <f t="shared" si="70"/>
        <v>0</v>
      </c>
      <c r="P666" s="23">
        <v>0</v>
      </c>
      <c r="Q666" s="23">
        <v>0</v>
      </c>
      <c r="R666" s="23">
        <v>500</v>
      </c>
      <c r="S666" s="23">
        <v>0</v>
      </c>
      <c r="T666" s="23">
        <v>0</v>
      </c>
      <c r="U666" s="23">
        <v>0</v>
      </c>
      <c r="V666" s="23">
        <v>0</v>
      </c>
      <c r="W666" s="23">
        <f t="shared" si="71"/>
        <v>500</v>
      </c>
      <c r="X666" s="23">
        <f t="shared" si="72"/>
        <v>500</v>
      </c>
      <c r="Y666" s="23">
        <f t="shared" si="73"/>
        <v>0</v>
      </c>
      <c r="Z666" s="23">
        <v>0</v>
      </c>
      <c r="AA666" s="23">
        <f t="shared" si="74"/>
        <v>0</v>
      </c>
      <c r="AB666" s="23">
        <f t="shared" si="75"/>
        <v>-500</v>
      </c>
      <c r="AC666" s="20"/>
      <c r="AD666" s="20" t="str">
        <f>VLOOKUP($C666,'[1]CTRL AUTOS'!$E:$AH,2,0)</f>
        <v>X59AWG</v>
      </c>
      <c r="AE666" s="11" t="str">
        <f t="shared" si="76"/>
        <v>X59AWG34</v>
      </c>
    </row>
    <row r="667" spans="1:31" ht="12.75" hidden="1" customHeight="1" x14ac:dyDescent="0.3">
      <c r="A667" s="8">
        <v>34</v>
      </c>
      <c r="B667" s="20" t="s">
        <v>45</v>
      </c>
      <c r="C667" s="20" t="s">
        <v>46</v>
      </c>
      <c r="D667" s="20" t="s">
        <v>257</v>
      </c>
      <c r="E667" s="22" t="s">
        <v>232</v>
      </c>
      <c r="F667" s="20" t="s">
        <v>232</v>
      </c>
      <c r="G667" s="22" t="s">
        <v>234</v>
      </c>
      <c r="H667" s="23">
        <v>4113.05</v>
      </c>
      <c r="I667" s="23">
        <v>0</v>
      </c>
      <c r="J667" s="23">
        <v>0</v>
      </c>
      <c r="K667" s="23">
        <v>0</v>
      </c>
      <c r="L667" s="23">
        <v>-2268.4</v>
      </c>
      <c r="M667" s="23">
        <v>-32</v>
      </c>
      <c r="N667" s="23">
        <v>0</v>
      </c>
      <c r="O667" s="24">
        <f t="shared" si="70"/>
        <v>1812.65</v>
      </c>
      <c r="P667" s="24">
        <v>-2500</v>
      </c>
      <c r="Q667" s="23">
        <v>0</v>
      </c>
      <c r="R667" s="24">
        <v>0</v>
      </c>
      <c r="S667" s="24">
        <v>0</v>
      </c>
      <c r="T667" s="24">
        <v>0</v>
      </c>
      <c r="U667" s="24">
        <v>0</v>
      </c>
      <c r="V667" s="24">
        <v>0</v>
      </c>
      <c r="W667" s="23">
        <f t="shared" si="71"/>
        <v>-687.34999999999991</v>
      </c>
      <c r="X667" s="23">
        <f t="shared" si="72"/>
        <v>0</v>
      </c>
      <c r="Y667" s="23">
        <f t="shared" si="73"/>
        <v>-687.34999999999991</v>
      </c>
      <c r="Z667" s="24">
        <v>687</v>
      </c>
      <c r="AA667" s="23">
        <f t="shared" si="74"/>
        <v>-0.34999999999990905</v>
      </c>
      <c r="AB667" s="23">
        <f t="shared" si="75"/>
        <v>2499.3000000000002</v>
      </c>
      <c r="AC667" s="20" t="s">
        <v>413</v>
      </c>
      <c r="AD667" s="20" t="str">
        <f>VLOOKUP($C667,'[1]CTRL AUTOS'!$E:$AH,2,0)</f>
        <v>R66BER</v>
      </c>
      <c r="AE667" s="11" t="str">
        <f t="shared" si="76"/>
        <v>R66BER34</v>
      </c>
    </row>
    <row r="668" spans="1:31" ht="12.75" hidden="1" customHeight="1" x14ac:dyDescent="0.3">
      <c r="A668" s="8">
        <v>34</v>
      </c>
      <c r="B668" s="20" t="s">
        <v>5</v>
      </c>
      <c r="C668" s="20" t="s">
        <v>28</v>
      </c>
      <c r="D668" s="20" t="s">
        <v>274</v>
      </c>
      <c r="E668" s="22" t="s">
        <v>232</v>
      </c>
      <c r="F668" s="20" t="s">
        <v>232</v>
      </c>
      <c r="G668" s="22" t="s">
        <v>234</v>
      </c>
      <c r="H668" s="23">
        <v>1910.78</v>
      </c>
      <c r="I668" s="23">
        <v>0</v>
      </c>
      <c r="J668" s="23">
        <v>0</v>
      </c>
      <c r="K668" s="23">
        <v>0</v>
      </c>
      <c r="L668" s="23">
        <v>-489.89</v>
      </c>
      <c r="M668" s="23">
        <v>-38</v>
      </c>
      <c r="N668" s="23">
        <v>-10</v>
      </c>
      <c r="O668" s="24">
        <f t="shared" si="70"/>
        <v>1372.8899999999999</v>
      </c>
      <c r="P668" s="24">
        <v>-2500</v>
      </c>
      <c r="Q668" s="23">
        <v>-21</v>
      </c>
      <c r="R668" s="24">
        <v>0</v>
      </c>
      <c r="S668" s="24">
        <v>0</v>
      </c>
      <c r="T668" s="24">
        <v>0</v>
      </c>
      <c r="U668" s="24">
        <v>0</v>
      </c>
      <c r="V668" s="24">
        <v>0</v>
      </c>
      <c r="W668" s="23">
        <f t="shared" si="71"/>
        <v>-1148.1100000000001</v>
      </c>
      <c r="X668" s="23">
        <f t="shared" si="72"/>
        <v>0</v>
      </c>
      <c r="Y668" s="23">
        <f t="shared" si="73"/>
        <v>-1148.1100000000001</v>
      </c>
      <c r="Z668" s="24">
        <v>500</v>
      </c>
      <c r="AA668" s="23">
        <f t="shared" si="74"/>
        <v>-648.11000000000013</v>
      </c>
      <c r="AB668" s="23">
        <f t="shared" si="75"/>
        <v>1224.7799999999997</v>
      </c>
      <c r="AC668" s="20" t="s">
        <v>413</v>
      </c>
      <c r="AD668" s="20" t="str">
        <f>VLOOKUP($C668,'[1]CTRL AUTOS'!$E:$AH,2,0)</f>
        <v>NCT814A</v>
      </c>
      <c r="AE668" s="11" t="str">
        <f t="shared" si="76"/>
        <v>NCT814A34</v>
      </c>
    </row>
    <row r="669" spans="1:31" ht="12.75" hidden="1" customHeight="1" x14ac:dyDescent="0.3">
      <c r="A669" s="8">
        <v>34</v>
      </c>
      <c r="B669" s="20" t="s">
        <v>362</v>
      </c>
      <c r="C669" s="20" t="s">
        <v>50</v>
      </c>
      <c r="D669" s="20" t="s">
        <v>267</v>
      </c>
      <c r="E669" s="22" t="s">
        <v>232</v>
      </c>
      <c r="F669" s="20" t="s">
        <v>232</v>
      </c>
      <c r="G669" s="22" t="s">
        <v>234</v>
      </c>
      <c r="H669" s="23">
        <v>2849.42</v>
      </c>
      <c r="I669" s="23">
        <v>0</v>
      </c>
      <c r="J669" s="23">
        <v>0</v>
      </c>
      <c r="K669" s="23">
        <v>0</v>
      </c>
      <c r="L669" s="23">
        <v>-2254.08</v>
      </c>
      <c r="M669" s="23">
        <v>-38</v>
      </c>
      <c r="N669" s="23">
        <v>0</v>
      </c>
      <c r="O669" s="24">
        <f t="shared" si="70"/>
        <v>557.34000000000015</v>
      </c>
      <c r="P669" s="24">
        <v>-2500</v>
      </c>
      <c r="Q669" s="23">
        <v>-569</v>
      </c>
      <c r="R669" s="24">
        <v>-500</v>
      </c>
      <c r="S669" s="24">
        <v>0</v>
      </c>
      <c r="T669" s="24">
        <v>0</v>
      </c>
      <c r="U669" s="24">
        <v>0</v>
      </c>
      <c r="V669" s="24">
        <v>0</v>
      </c>
      <c r="W669" s="23">
        <f t="shared" si="71"/>
        <v>-3011.66</v>
      </c>
      <c r="X669" s="23">
        <f t="shared" si="72"/>
        <v>0</v>
      </c>
      <c r="Y669" s="23">
        <f t="shared" si="73"/>
        <v>-3011.66</v>
      </c>
      <c r="Z669" s="24">
        <f>1492+800</f>
        <v>2292</v>
      </c>
      <c r="AA669" s="23">
        <f t="shared" si="74"/>
        <v>-719.65999999999985</v>
      </c>
      <c r="AB669" s="23">
        <f t="shared" si="75"/>
        <v>2129.6800000000003</v>
      </c>
      <c r="AC669" s="20" t="s">
        <v>394</v>
      </c>
      <c r="AD669" s="20" t="str">
        <f>VLOOKUP($C669,'[1]CTRL AUTOS'!$E:$AH,2,0)</f>
        <v>NBS225A</v>
      </c>
      <c r="AE669" s="11" t="str">
        <f t="shared" si="76"/>
        <v>NBS225A34</v>
      </c>
    </row>
    <row r="670" spans="1:31" ht="12.75" hidden="1" customHeight="1" x14ac:dyDescent="0.3">
      <c r="A670" s="8">
        <v>34</v>
      </c>
      <c r="B670" s="20" t="s">
        <v>414</v>
      </c>
      <c r="C670" s="20" t="s">
        <v>168</v>
      </c>
      <c r="D670" s="20" t="s">
        <v>265</v>
      </c>
      <c r="E670" s="20" t="s">
        <v>232</v>
      </c>
      <c r="F670" s="20" t="s">
        <v>232</v>
      </c>
      <c r="G670" s="22" t="s">
        <v>234</v>
      </c>
      <c r="H670" s="23">
        <v>4992.76</v>
      </c>
      <c r="I670" s="23">
        <v>-54.4</v>
      </c>
      <c r="J670" s="23">
        <v>0</v>
      </c>
      <c r="K670" s="23">
        <v>0</v>
      </c>
      <c r="L670" s="23">
        <v>-2707.32</v>
      </c>
      <c r="M670" s="24">
        <v>-25</v>
      </c>
      <c r="N670" s="23">
        <v>0</v>
      </c>
      <c r="O670" s="24">
        <f t="shared" si="70"/>
        <v>2206.0400000000004</v>
      </c>
      <c r="P670" s="23">
        <v>-1071.42</v>
      </c>
      <c r="Q670" s="23">
        <v>0</v>
      </c>
      <c r="R670" s="23">
        <v>-500</v>
      </c>
      <c r="S670" s="23">
        <v>0</v>
      </c>
      <c r="T670" s="23">
        <v>0</v>
      </c>
      <c r="U670" s="23">
        <v>0</v>
      </c>
      <c r="V670" s="23">
        <v>0</v>
      </c>
      <c r="W670" s="23">
        <f t="shared" si="71"/>
        <v>634.62000000000035</v>
      </c>
      <c r="X670" s="23">
        <f t="shared" si="72"/>
        <v>634.62000000000035</v>
      </c>
      <c r="Y670" s="23">
        <f t="shared" si="73"/>
        <v>0</v>
      </c>
      <c r="Z670" s="23">
        <v>0</v>
      </c>
      <c r="AA670" s="23">
        <f t="shared" si="74"/>
        <v>0</v>
      </c>
      <c r="AB670" s="23">
        <f t="shared" si="75"/>
        <v>1571.42</v>
      </c>
      <c r="AC670" s="20"/>
      <c r="AD670" s="20" t="e">
        <f>VLOOKUP($C670,'[1]CTRL AUTOS'!$E:$AH,2,0)</f>
        <v>#N/A</v>
      </c>
      <c r="AE670" s="11" t="e">
        <f t="shared" si="76"/>
        <v>#N/A</v>
      </c>
    </row>
    <row r="671" spans="1:31" ht="12.75" hidden="1" customHeight="1" x14ac:dyDescent="0.3">
      <c r="A671" s="8">
        <v>34</v>
      </c>
      <c r="B671" s="20" t="s">
        <v>74</v>
      </c>
      <c r="C671" s="20" t="s">
        <v>104</v>
      </c>
      <c r="D671" s="20" t="s">
        <v>402</v>
      </c>
      <c r="E671" s="20" t="s">
        <v>364</v>
      </c>
      <c r="F671" s="22" t="s">
        <v>364</v>
      </c>
      <c r="G671" s="22" t="s">
        <v>234</v>
      </c>
      <c r="H671" s="23">
        <v>4155.24</v>
      </c>
      <c r="I671" s="23">
        <v>0</v>
      </c>
      <c r="J671" s="23">
        <v>0</v>
      </c>
      <c r="K671" s="23">
        <v>0</v>
      </c>
      <c r="L671" s="23">
        <v>0</v>
      </c>
      <c r="M671" s="23">
        <v>0</v>
      </c>
      <c r="N671" s="23">
        <v>0</v>
      </c>
      <c r="O671" s="24">
        <f t="shared" si="70"/>
        <v>4155.24</v>
      </c>
      <c r="P671" s="23">
        <v>-2500</v>
      </c>
      <c r="Q671" s="24">
        <v>0</v>
      </c>
      <c r="R671" s="23">
        <v>-500</v>
      </c>
      <c r="S671" s="23">
        <v>0</v>
      </c>
      <c r="T671" s="23">
        <v>0</v>
      </c>
      <c r="U671" s="24">
        <v>0</v>
      </c>
      <c r="V671" s="23">
        <v>0</v>
      </c>
      <c r="W671" s="23">
        <f t="shared" si="71"/>
        <v>1155.2399999999998</v>
      </c>
      <c r="X671" s="23">
        <f t="shared" si="72"/>
        <v>1155.2399999999998</v>
      </c>
      <c r="Y671" s="23">
        <f t="shared" si="73"/>
        <v>0</v>
      </c>
      <c r="Z671" s="24">
        <v>0</v>
      </c>
      <c r="AA671" s="23">
        <f t="shared" si="74"/>
        <v>0</v>
      </c>
      <c r="AB671" s="23">
        <f t="shared" si="75"/>
        <v>3000</v>
      </c>
      <c r="AC671" s="20"/>
      <c r="AD671" s="20" t="e">
        <f>VLOOKUP($C671,'[1]CTRL AUTOS'!$E:$AH,2,0)</f>
        <v>#N/A</v>
      </c>
      <c r="AE671" s="11" t="e">
        <f t="shared" si="76"/>
        <v>#N/A</v>
      </c>
    </row>
    <row r="672" spans="1:31" ht="12.75" hidden="1" customHeight="1" x14ac:dyDescent="0.3">
      <c r="A672" s="8">
        <v>34</v>
      </c>
      <c r="B672" s="20" t="s">
        <v>76</v>
      </c>
      <c r="C672" s="20" t="s">
        <v>8</v>
      </c>
      <c r="D672" s="20" t="s">
        <v>367</v>
      </c>
      <c r="E672" s="20" t="s">
        <v>364</v>
      </c>
      <c r="F672" s="22" t="s">
        <v>364</v>
      </c>
      <c r="G672" s="22" t="s">
        <v>234</v>
      </c>
      <c r="H672" s="23">
        <v>2994.95</v>
      </c>
      <c r="I672" s="23">
        <v>0</v>
      </c>
      <c r="J672" s="23">
        <v>0</v>
      </c>
      <c r="K672" s="23">
        <v>-31.26</v>
      </c>
      <c r="L672" s="23">
        <v>-2756.12</v>
      </c>
      <c r="M672" s="23">
        <v>0</v>
      </c>
      <c r="N672" s="23">
        <v>-100</v>
      </c>
      <c r="O672" s="24">
        <f t="shared" si="70"/>
        <v>107.56999999999971</v>
      </c>
      <c r="P672" s="23">
        <v>-2500</v>
      </c>
      <c r="Q672" s="24">
        <v>514</v>
      </c>
      <c r="R672" s="23">
        <v>0</v>
      </c>
      <c r="S672" s="23">
        <v>0</v>
      </c>
      <c r="T672" s="23">
        <v>0</v>
      </c>
      <c r="U672" s="24">
        <v>0</v>
      </c>
      <c r="V672" s="23">
        <v>0</v>
      </c>
      <c r="W672" s="23">
        <f t="shared" si="71"/>
        <v>-1878.4300000000003</v>
      </c>
      <c r="X672" s="23">
        <f t="shared" si="72"/>
        <v>0</v>
      </c>
      <c r="Y672" s="23">
        <f t="shared" si="73"/>
        <v>-1878.4300000000003</v>
      </c>
      <c r="Z672" s="24">
        <v>0</v>
      </c>
      <c r="AA672" s="23">
        <f t="shared" si="74"/>
        <v>-1878.4300000000003</v>
      </c>
      <c r="AB672" s="23">
        <f t="shared" si="75"/>
        <v>-1770.8600000000006</v>
      </c>
      <c r="AC672" s="20"/>
      <c r="AD672" s="20" t="e">
        <f>VLOOKUP($C672,'[1]CTRL AUTOS'!$E:$AH,2,0)</f>
        <v>#N/A</v>
      </c>
      <c r="AE672" s="11" t="e">
        <f t="shared" si="76"/>
        <v>#N/A</v>
      </c>
    </row>
    <row r="673" spans="1:31" ht="12.75" hidden="1" customHeight="1" x14ac:dyDescent="0.3">
      <c r="A673" s="8">
        <v>34</v>
      </c>
      <c r="B673" s="20" t="s">
        <v>98</v>
      </c>
      <c r="C673" s="20" t="s">
        <v>249</v>
      </c>
      <c r="D673" s="20" t="s">
        <v>250</v>
      </c>
      <c r="E673" s="22" t="s">
        <v>232</v>
      </c>
      <c r="F673" s="20" t="s">
        <v>232</v>
      </c>
      <c r="G673" s="22" t="s">
        <v>234</v>
      </c>
      <c r="H673" s="23">
        <v>5055.4799999999996</v>
      </c>
      <c r="I673" s="23">
        <v>0</v>
      </c>
      <c r="J673" s="23">
        <v>0</v>
      </c>
      <c r="K673" s="23">
        <v>0</v>
      </c>
      <c r="L673" s="23">
        <v>0</v>
      </c>
      <c r="M673" s="24">
        <v>-38</v>
      </c>
      <c r="N673" s="23">
        <v>0</v>
      </c>
      <c r="O673" s="24">
        <f t="shared" si="70"/>
        <v>5017.4799999999996</v>
      </c>
      <c r="P673" s="23">
        <v>-2500</v>
      </c>
      <c r="Q673" s="23">
        <v>0</v>
      </c>
      <c r="R673" s="23">
        <v>-500</v>
      </c>
      <c r="S673" s="23">
        <v>0</v>
      </c>
      <c r="T673" s="23">
        <v>0</v>
      </c>
      <c r="U673" s="23">
        <v>0</v>
      </c>
      <c r="V673" s="23">
        <v>0</v>
      </c>
      <c r="W673" s="23">
        <f t="shared" si="71"/>
        <v>2017.4799999999996</v>
      </c>
      <c r="X673" s="23">
        <f t="shared" si="72"/>
        <v>2017.4799999999996</v>
      </c>
      <c r="Y673" s="23">
        <f t="shared" si="73"/>
        <v>0</v>
      </c>
      <c r="Z673" s="23">
        <v>0</v>
      </c>
      <c r="AA673" s="23">
        <f t="shared" si="74"/>
        <v>0</v>
      </c>
      <c r="AB673" s="23">
        <f t="shared" si="75"/>
        <v>3000</v>
      </c>
      <c r="AC673" s="20" t="s">
        <v>389</v>
      </c>
      <c r="AD673" s="20" t="s">
        <v>251</v>
      </c>
      <c r="AE673" s="11" t="str">
        <f t="shared" si="76"/>
        <v>BAJA DE PLACAS34</v>
      </c>
    </row>
    <row r="674" spans="1:31" ht="12.75" hidden="1" customHeight="1" x14ac:dyDescent="0.3">
      <c r="A674" s="8">
        <v>35</v>
      </c>
      <c r="B674" s="20" t="s">
        <v>80</v>
      </c>
      <c r="C674" s="20" t="s">
        <v>81</v>
      </c>
      <c r="D674" s="20" t="s">
        <v>317</v>
      </c>
      <c r="E674" s="20" t="s">
        <v>232</v>
      </c>
      <c r="F674" s="20" t="s">
        <v>232</v>
      </c>
      <c r="G674" s="22" t="s">
        <v>234</v>
      </c>
      <c r="H674" s="23">
        <v>0</v>
      </c>
      <c r="I674" s="23">
        <v>0</v>
      </c>
      <c r="J674" s="23">
        <v>0</v>
      </c>
      <c r="K674" s="23">
        <v>0</v>
      </c>
      <c r="L674" s="23">
        <v>0</v>
      </c>
      <c r="M674" s="23">
        <v>-36</v>
      </c>
      <c r="N674" s="23">
        <v>0</v>
      </c>
      <c r="O674" s="24">
        <f t="shared" si="70"/>
        <v>-36</v>
      </c>
      <c r="P674" s="24">
        <v>-2500</v>
      </c>
      <c r="Q674" s="24">
        <v>0</v>
      </c>
      <c r="R674" s="24">
        <v>0</v>
      </c>
      <c r="S674" s="24">
        <v>0</v>
      </c>
      <c r="T674" s="24">
        <v>-500</v>
      </c>
      <c r="U674" s="24">
        <v>0</v>
      </c>
      <c r="V674" s="24">
        <v>0</v>
      </c>
      <c r="W674" s="23">
        <f t="shared" si="71"/>
        <v>-3036</v>
      </c>
      <c r="X674" s="23">
        <f t="shared" si="72"/>
        <v>0</v>
      </c>
      <c r="Y674" s="23">
        <f t="shared" si="73"/>
        <v>-3036</v>
      </c>
      <c r="Z674" s="24">
        <v>3036</v>
      </c>
      <c r="AA674" s="23">
        <f t="shared" si="74"/>
        <v>0</v>
      </c>
      <c r="AB674" s="23">
        <f t="shared" si="75"/>
        <v>3000</v>
      </c>
      <c r="AC674" s="20"/>
      <c r="AD674" s="20" t="str">
        <f>VLOOKUP($C674,'[1]CTRL AUTOS'!$E:$AH,2,0)</f>
        <v>NLP172B</v>
      </c>
      <c r="AE674" s="11" t="str">
        <f t="shared" si="76"/>
        <v>NLP172B35</v>
      </c>
    </row>
    <row r="675" spans="1:31" ht="12.75" hidden="1" customHeight="1" x14ac:dyDescent="0.3">
      <c r="A675" s="8">
        <v>35</v>
      </c>
      <c r="B675" s="20" t="s">
        <v>13</v>
      </c>
      <c r="C675" s="20" t="s">
        <v>40</v>
      </c>
      <c r="D675" s="20" t="s">
        <v>315</v>
      </c>
      <c r="E675" s="20" t="s">
        <v>232</v>
      </c>
      <c r="F675" s="20" t="s">
        <v>232</v>
      </c>
      <c r="G675" s="22" t="s">
        <v>234</v>
      </c>
      <c r="H675" s="23">
        <v>7394.1300000000047</v>
      </c>
      <c r="I675" s="23">
        <v>0</v>
      </c>
      <c r="J675" s="23">
        <v>0</v>
      </c>
      <c r="K675" s="23">
        <v>0</v>
      </c>
      <c r="L675" s="23">
        <v>0</v>
      </c>
      <c r="M675" s="23">
        <v>-32</v>
      </c>
      <c r="N675" s="23">
        <v>0</v>
      </c>
      <c r="O675" s="24">
        <f t="shared" si="70"/>
        <v>7362.1300000000047</v>
      </c>
      <c r="P675" s="24">
        <v>-2500</v>
      </c>
      <c r="Q675" s="23">
        <v>0</v>
      </c>
      <c r="R675" s="24">
        <v>-500</v>
      </c>
      <c r="S675" s="24">
        <v>0</v>
      </c>
      <c r="T675" s="24">
        <v>0</v>
      </c>
      <c r="U675" s="24">
        <v>0</v>
      </c>
      <c r="V675" s="24">
        <v>0</v>
      </c>
      <c r="W675" s="23">
        <f t="shared" si="71"/>
        <v>4362.1300000000047</v>
      </c>
      <c r="X675" s="23">
        <f t="shared" si="72"/>
        <v>4362.1300000000047</v>
      </c>
      <c r="Y675" s="23">
        <f t="shared" si="73"/>
        <v>0</v>
      </c>
      <c r="Z675" s="24">
        <v>0</v>
      </c>
      <c r="AA675" s="23">
        <f t="shared" si="74"/>
        <v>0</v>
      </c>
      <c r="AB675" s="23">
        <f t="shared" si="75"/>
        <v>3000</v>
      </c>
      <c r="AC675" s="20"/>
      <c r="AD675" s="20" t="str">
        <f>VLOOKUP($C675,'[1]CTRL AUTOS'!$E:$AH,2,0)</f>
        <v>NEL860A</v>
      </c>
      <c r="AE675" s="11" t="str">
        <f t="shared" si="76"/>
        <v>NEL860A35</v>
      </c>
    </row>
    <row r="676" spans="1:31" ht="12.75" hidden="1" customHeight="1" x14ac:dyDescent="0.3">
      <c r="A676" s="8">
        <v>35</v>
      </c>
      <c r="B676" s="20" t="s">
        <v>111</v>
      </c>
      <c r="C676" s="20" t="s">
        <v>63</v>
      </c>
      <c r="D676" s="20" t="s">
        <v>374</v>
      </c>
      <c r="E676" s="20" t="s">
        <v>291</v>
      </c>
      <c r="F676" s="20" t="s">
        <v>291</v>
      </c>
      <c r="G676" s="22" t="s">
        <v>234</v>
      </c>
      <c r="H676" s="23">
        <v>812.05000000000018</v>
      </c>
      <c r="I676" s="23">
        <v>0</v>
      </c>
      <c r="J676" s="23">
        <v>0</v>
      </c>
      <c r="K676" s="23">
        <v>0</v>
      </c>
      <c r="L676" s="23">
        <v>-237.67000000000002</v>
      </c>
      <c r="M676" s="23">
        <v>-20</v>
      </c>
      <c r="N676" s="23">
        <v>0</v>
      </c>
      <c r="O676" s="24">
        <f t="shared" si="70"/>
        <v>554.38000000000011</v>
      </c>
      <c r="P676" s="24">
        <v>-357</v>
      </c>
      <c r="Q676" s="24">
        <v>0</v>
      </c>
      <c r="R676" s="24">
        <v>0</v>
      </c>
      <c r="S676" s="24">
        <v>0</v>
      </c>
      <c r="T676" s="24">
        <v>-500</v>
      </c>
      <c r="U676" s="24">
        <v>-550</v>
      </c>
      <c r="V676" s="24">
        <v>0</v>
      </c>
      <c r="W676" s="23">
        <f t="shared" si="71"/>
        <v>-852.61999999999989</v>
      </c>
      <c r="X676" s="23">
        <f t="shared" si="72"/>
        <v>0</v>
      </c>
      <c r="Y676" s="23">
        <f t="shared" si="73"/>
        <v>-852.61999999999989</v>
      </c>
      <c r="Z676" s="24">
        <v>853</v>
      </c>
      <c r="AA676" s="23">
        <f t="shared" si="74"/>
        <v>0.38000000000010914</v>
      </c>
      <c r="AB676" s="23">
        <f t="shared" si="75"/>
        <v>1407.7600000000002</v>
      </c>
      <c r="AC676" s="20"/>
      <c r="AD676" s="20" t="str">
        <f>VLOOKUP($C676,'[1]CTRL AUTOS'!$E:$AH,2,0)</f>
        <v>X89ALV</v>
      </c>
      <c r="AE676" s="11" t="str">
        <f t="shared" si="76"/>
        <v>X89ALV35</v>
      </c>
    </row>
    <row r="677" spans="1:31" ht="12.75" hidden="1" customHeight="1" x14ac:dyDescent="0.3">
      <c r="A677" s="8">
        <v>35</v>
      </c>
      <c r="B677" s="20" t="s">
        <v>111</v>
      </c>
      <c r="C677" s="20" t="s">
        <v>63</v>
      </c>
      <c r="D677" s="20" t="s">
        <v>374</v>
      </c>
      <c r="E677" s="20" t="s">
        <v>291</v>
      </c>
      <c r="F677" s="20" t="s">
        <v>291</v>
      </c>
      <c r="G677" s="22" t="s">
        <v>234</v>
      </c>
      <c r="H677" s="23">
        <v>6052.34</v>
      </c>
      <c r="I677" s="23">
        <v>-9.48</v>
      </c>
      <c r="J677" s="23">
        <v>0</v>
      </c>
      <c r="K677" s="23">
        <v>0</v>
      </c>
      <c r="L677" s="23">
        <v>-2136.1300000000006</v>
      </c>
      <c r="M677" s="23">
        <v>-20</v>
      </c>
      <c r="N677" s="23">
        <v>0</v>
      </c>
      <c r="O677" s="24">
        <f t="shared" si="70"/>
        <v>3886.73</v>
      </c>
      <c r="P677" s="24">
        <v>-2143</v>
      </c>
      <c r="Q677" s="24">
        <v>0</v>
      </c>
      <c r="R677" s="24">
        <v>0</v>
      </c>
      <c r="S677" s="24">
        <v>0</v>
      </c>
      <c r="T677" s="24">
        <v>0</v>
      </c>
      <c r="U677" s="24">
        <v>0</v>
      </c>
      <c r="V677" s="24">
        <v>0</v>
      </c>
      <c r="W677" s="23">
        <f t="shared" si="71"/>
        <v>1743.73</v>
      </c>
      <c r="X677" s="23">
        <f t="shared" si="72"/>
        <v>1743.73</v>
      </c>
      <c r="Y677" s="23">
        <f t="shared" si="73"/>
        <v>0</v>
      </c>
      <c r="Z677" s="24">
        <v>0</v>
      </c>
      <c r="AA677" s="23">
        <f t="shared" si="74"/>
        <v>0</v>
      </c>
      <c r="AB677" s="23">
        <f t="shared" si="75"/>
        <v>2143</v>
      </c>
      <c r="AC677" s="20"/>
      <c r="AD677" s="20" t="str">
        <f>VLOOKUP($C677,'[1]CTRL AUTOS'!$E:$AH,2,0)</f>
        <v>X89ALV</v>
      </c>
      <c r="AE677" s="11" t="str">
        <f t="shared" si="76"/>
        <v>X89ALV35</v>
      </c>
    </row>
    <row r="678" spans="1:31" ht="12.75" hidden="1" customHeight="1" x14ac:dyDescent="0.3">
      <c r="A678" s="8">
        <v>35</v>
      </c>
      <c r="B678" s="20" t="s">
        <v>17</v>
      </c>
      <c r="C678" s="20" t="s">
        <v>4</v>
      </c>
      <c r="D678" s="20" t="s">
        <v>245</v>
      </c>
      <c r="E678" s="20" t="s">
        <v>232</v>
      </c>
      <c r="F678" s="20" t="s">
        <v>232</v>
      </c>
      <c r="G678" s="22" t="s">
        <v>234</v>
      </c>
      <c r="H678" s="23">
        <v>6240.7099999999964</v>
      </c>
      <c r="I678" s="23">
        <v>0</v>
      </c>
      <c r="J678" s="23">
        <v>0</v>
      </c>
      <c r="K678" s="23">
        <v>0</v>
      </c>
      <c r="L678" s="23">
        <v>0</v>
      </c>
      <c r="M678" s="23">
        <v>-32</v>
      </c>
      <c r="N678" s="23">
        <v>0</v>
      </c>
      <c r="O678" s="24">
        <f t="shared" si="70"/>
        <v>6208.7099999999964</v>
      </c>
      <c r="P678" s="23">
        <v>-2500</v>
      </c>
      <c r="Q678" s="23">
        <v>0</v>
      </c>
      <c r="R678" s="23">
        <v>-500</v>
      </c>
      <c r="S678" s="23">
        <v>0</v>
      </c>
      <c r="T678" s="23">
        <v>0</v>
      </c>
      <c r="U678" s="23">
        <v>0</v>
      </c>
      <c r="V678" s="23">
        <v>0</v>
      </c>
      <c r="W678" s="23">
        <f t="shared" si="71"/>
        <v>3208.7099999999964</v>
      </c>
      <c r="X678" s="23">
        <f t="shared" si="72"/>
        <v>3208.7099999999964</v>
      </c>
      <c r="Y678" s="23">
        <f t="shared" si="73"/>
        <v>0</v>
      </c>
      <c r="Z678" s="24">
        <v>0</v>
      </c>
      <c r="AA678" s="23">
        <f t="shared" si="74"/>
        <v>0</v>
      </c>
      <c r="AB678" s="23">
        <f t="shared" si="75"/>
        <v>3000</v>
      </c>
      <c r="AC678" s="20"/>
      <c r="AD678" s="20" t="str">
        <f>VLOOKUP($C678,'[1]CTRL AUTOS'!$E:$AH,2,0)</f>
        <v>N15BKD</v>
      </c>
      <c r="AE678" s="11" t="str">
        <f t="shared" si="76"/>
        <v>N15BKD35</v>
      </c>
    </row>
    <row r="679" spans="1:31" ht="12.75" hidden="1" customHeight="1" x14ac:dyDescent="0.3">
      <c r="A679" s="8">
        <v>35</v>
      </c>
      <c r="B679" s="20" t="s">
        <v>19</v>
      </c>
      <c r="C679" s="20" t="s">
        <v>20</v>
      </c>
      <c r="D679" s="20" t="s">
        <v>239</v>
      </c>
      <c r="E679" s="20" t="s">
        <v>232</v>
      </c>
      <c r="F679" s="20" t="s">
        <v>232</v>
      </c>
      <c r="G679" s="22" t="s">
        <v>234</v>
      </c>
      <c r="H679" s="23">
        <v>9638.4499999999916</v>
      </c>
      <c r="I679" s="23">
        <v>-41.6</v>
      </c>
      <c r="J679" s="23">
        <v>0</v>
      </c>
      <c r="K679" s="23">
        <v>0</v>
      </c>
      <c r="L679" s="23">
        <v>0</v>
      </c>
      <c r="M679" s="23">
        <v>-32</v>
      </c>
      <c r="N679" s="23">
        <v>0</v>
      </c>
      <c r="O679" s="24">
        <f t="shared" si="70"/>
        <v>9564.8499999999913</v>
      </c>
      <c r="P679" s="23">
        <v>-2500</v>
      </c>
      <c r="Q679" s="23">
        <v>0</v>
      </c>
      <c r="R679" s="23">
        <v>-500</v>
      </c>
      <c r="S679" s="23">
        <v>0</v>
      </c>
      <c r="T679" s="23">
        <v>0</v>
      </c>
      <c r="U679" s="23">
        <v>0</v>
      </c>
      <c r="V679" s="23">
        <v>0</v>
      </c>
      <c r="W679" s="23">
        <f t="shared" si="71"/>
        <v>6564.8499999999913</v>
      </c>
      <c r="X679" s="23">
        <f t="shared" si="72"/>
        <v>6564.8499999999913</v>
      </c>
      <c r="Y679" s="23">
        <f t="shared" si="73"/>
        <v>0</v>
      </c>
      <c r="Z679" s="24">
        <v>0</v>
      </c>
      <c r="AA679" s="23">
        <f t="shared" si="74"/>
        <v>0</v>
      </c>
      <c r="AB679" s="23">
        <f t="shared" si="75"/>
        <v>3000</v>
      </c>
      <c r="AC679" s="20"/>
      <c r="AD679" s="20" t="str">
        <f>VLOOKUP($C679,'[1]CTRL AUTOS'!$E:$AH,2,0)</f>
        <v>D40BKD</v>
      </c>
      <c r="AE679" s="11" t="str">
        <f t="shared" si="76"/>
        <v>D40BKD35</v>
      </c>
    </row>
    <row r="680" spans="1:31" ht="12.75" hidden="1" customHeight="1" x14ac:dyDescent="0.3">
      <c r="A680" s="8">
        <v>35</v>
      </c>
      <c r="B680" s="20" t="s">
        <v>396</v>
      </c>
      <c r="C680" s="20" t="s">
        <v>75</v>
      </c>
      <c r="D680" s="20" t="s">
        <v>333</v>
      </c>
      <c r="E680" s="22" t="s">
        <v>241</v>
      </c>
      <c r="F680" s="20" t="s">
        <v>291</v>
      </c>
      <c r="G680" s="22" t="s">
        <v>234</v>
      </c>
      <c r="H680" s="23">
        <v>5647.0199999999995</v>
      </c>
      <c r="I680" s="23">
        <v>0</v>
      </c>
      <c r="J680" s="23">
        <v>0</v>
      </c>
      <c r="K680" s="23">
        <v>0</v>
      </c>
      <c r="L680" s="23">
        <v>-3278.9599999999991</v>
      </c>
      <c r="M680" s="23">
        <v>-32</v>
      </c>
      <c r="N680" s="23">
        <v>0</v>
      </c>
      <c r="O680" s="24">
        <f t="shared" si="70"/>
        <v>2336.0600000000004</v>
      </c>
      <c r="P680" s="23">
        <v>-2500</v>
      </c>
      <c r="Q680" s="23">
        <v>0</v>
      </c>
      <c r="R680" s="23">
        <v>-500</v>
      </c>
      <c r="S680" s="23">
        <v>0</v>
      </c>
      <c r="T680" s="23">
        <v>0</v>
      </c>
      <c r="U680" s="23">
        <v>0</v>
      </c>
      <c r="V680" s="23">
        <v>0</v>
      </c>
      <c r="W680" s="23">
        <f t="shared" si="71"/>
        <v>-663.9399999999996</v>
      </c>
      <c r="X680" s="23">
        <f t="shared" si="72"/>
        <v>0</v>
      </c>
      <c r="Y680" s="23">
        <f t="shared" si="73"/>
        <v>-663.9399999999996</v>
      </c>
      <c r="Z680" s="24">
        <v>664</v>
      </c>
      <c r="AA680" s="23">
        <f t="shared" si="74"/>
        <v>6.0000000000400178E-2</v>
      </c>
      <c r="AB680" s="23">
        <f t="shared" si="75"/>
        <v>3000.1200000000008</v>
      </c>
      <c r="AC680" s="20"/>
      <c r="AD680" s="20" t="str">
        <f>VLOOKUP($C680,'[1]CTRL AUTOS'!$E:$AH,2,0)</f>
        <v>NFN014B</v>
      </c>
      <c r="AE680" s="11" t="str">
        <f t="shared" si="76"/>
        <v>NFN014B35</v>
      </c>
    </row>
    <row r="681" spans="1:31" ht="12.75" hidden="1" customHeight="1" x14ac:dyDescent="0.3">
      <c r="A681" s="8">
        <v>35</v>
      </c>
      <c r="B681" s="20" t="s">
        <v>23</v>
      </c>
      <c r="C681" s="20" t="s">
        <v>106</v>
      </c>
      <c r="D681" s="20" t="s">
        <v>322</v>
      </c>
      <c r="E681" s="20" t="s">
        <v>232</v>
      </c>
      <c r="F681" s="20" t="s">
        <v>232</v>
      </c>
      <c r="G681" s="22" t="s">
        <v>234</v>
      </c>
      <c r="H681" s="23">
        <v>6286.3799999999983</v>
      </c>
      <c r="I681" s="23">
        <v>-27.2</v>
      </c>
      <c r="J681" s="23">
        <v>0</v>
      </c>
      <c r="K681" s="23">
        <v>0</v>
      </c>
      <c r="L681" s="23">
        <v>-4696.3899999999994</v>
      </c>
      <c r="M681" s="23">
        <v>-40.409999999999997</v>
      </c>
      <c r="N681" s="23">
        <v>-138</v>
      </c>
      <c r="O681" s="24">
        <f t="shared" si="70"/>
        <v>1384.379999999999</v>
      </c>
      <c r="P681" s="24">
        <v>-2500</v>
      </c>
      <c r="Q681" s="24">
        <v>0</v>
      </c>
      <c r="R681" s="24">
        <v>0</v>
      </c>
      <c r="S681" s="24">
        <v>0</v>
      </c>
      <c r="T681" s="24">
        <v>0</v>
      </c>
      <c r="U681" s="24">
        <v>0</v>
      </c>
      <c r="V681" s="24">
        <v>0</v>
      </c>
      <c r="W681" s="23">
        <f t="shared" si="71"/>
        <v>-1115.620000000001</v>
      </c>
      <c r="X681" s="23">
        <f t="shared" si="72"/>
        <v>0</v>
      </c>
      <c r="Y681" s="23">
        <f t="shared" si="73"/>
        <v>-1115.620000000001</v>
      </c>
      <c r="Z681" s="24">
        <v>1116</v>
      </c>
      <c r="AA681" s="23">
        <f t="shared" si="74"/>
        <v>0.37999999999897227</v>
      </c>
      <c r="AB681" s="23">
        <f t="shared" si="75"/>
        <v>2500.7599999999984</v>
      </c>
      <c r="AC681" s="20"/>
      <c r="AD681" s="20" t="str">
        <f>VLOOKUP($C681,'[1]CTRL AUTOS'!$E:$AH,2,0)</f>
        <v>NZU5163</v>
      </c>
      <c r="AE681" s="11" t="str">
        <f t="shared" si="76"/>
        <v>NZU516335</v>
      </c>
    </row>
    <row r="682" spans="1:31" ht="12.75" hidden="1" customHeight="1" x14ac:dyDescent="0.3">
      <c r="A682" s="8">
        <v>35</v>
      </c>
      <c r="B682" s="20" t="s">
        <v>25</v>
      </c>
      <c r="C682" s="20" t="s">
        <v>10</v>
      </c>
      <c r="D682" s="20" t="s">
        <v>343</v>
      </c>
      <c r="E682" s="20" t="s">
        <v>232</v>
      </c>
      <c r="F682" s="20" t="s">
        <v>232</v>
      </c>
      <c r="G682" s="22" t="s">
        <v>234</v>
      </c>
      <c r="H682" s="23">
        <v>0</v>
      </c>
      <c r="I682" s="23">
        <v>0</v>
      </c>
      <c r="J682" s="23">
        <v>0</v>
      </c>
      <c r="K682" s="23">
        <v>0</v>
      </c>
      <c r="L682" s="23">
        <v>0</v>
      </c>
      <c r="M682" s="23">
        <v>-30</v>
      </c>
      <c r="N682" s="23">
        <v>0</v>
      </c>
      <c r="O682" s="24">
        <f t="shared" si="70"/>
        <v>-30</v>
      </c>
      <c r="P682" s="24">
        <v>-1429</v>
      </c>
      <c r="Q682" s="24">
        <v>-263.2</v>
      </c>
      <c r="R682" s="24">
        <v>0</v>
      </c>
      <c r="S682" s="24">
        <v>0</v>
      </c>
      <c r="T682" s="24">
        <v>0</v>
      </c>
      <c r="U682" s="24">
        <v>-275</v>
      </c>
      <c r="V682" s="24">
        <v>0</v>
      </c>
      <c r="W682" s="23">
        <f t="shared" si="71"/>
        <v>-1997.2</v>
      </c>
      <c r="X682" s="23">
        <f t="shared" si="72"/>
        <v>0</v>
      </c>
      <c r="Y682" s="23">
        <f t="shared" si="73"/>
        <v>-1997.2</v>
      </c>
      <c r="Z682" s="24">
        <f>656+400+400</f>
        <v>1456</v>
      </c>
      <c r="AA682" s="23">
        <f t="shared" si="74"/>
        <v>-541.20000000000005</v>
      </c>
      <c r="AB682" s="23">
        <f t="shared" si="75"/>
        <v>884.8</v>
      </c>
      <c r="AC682" s="20"/>
      <c r="AD682" s="20" t="str">
        <f>VLOOKUP($C682,'[1]CTRL AUTOS'!$E:$AH,2,0)</f>
        <v>LRL009C</v>
      </c>
      <c r="AE682" s="11" t="str">
        <f t="shared" si="76"/>
        <v>LRL009C35</v>
      </c>
    </row>
    <row r="683" spans="1:31" ht="12.75" hidden="1" customHeight="1" x14ac:dyDescent="0.3">
      <c r="A683" s="8">
        <v>35</v>
      </c>
      <c r="B683" s="20" t="s">
        <v>25</v>
      </c>
      <c r="C683" s="20" t="s">
        <v>67</v>
      </c>
      <c r="D683" s="20" t="s">
        <v>237</v>
      </c>
      <c r="E683" s="22" t="s">
        <v>232</v>
      </c>
      <c r="F683" s="20" t="s">
        <v>291</v>
      </c>
      <c r="G683" s="22" t="s">
        <v>234</v>
      </c>
      <c r="H683" s="23">
        <v>1799.25</v>
      </c>
      <c r="I683" s="23">
        <v>0</v>
      </c>
      <c r="J683" s="23">
        <v>0</v>
      </c>
      <c r="K683" s="23">
        <v>0</v>
      </c>
      <c r="L683" s="23">
        <v>-429.39</v>
      </c>
      <c r="M683" s="23">
        <v>0</v>
      </c>
      <c r="N683" s="23">
        <v>0</v>
      </c>
      <c r="O683" s="24">
        <f t="shared" si="70"/>
        <v>1369.8600000000001</v>
      </c>
      <c r="P683" s="24">
        <v>-714</v>
      </c>
      <c r="Q683" s="24">
        <v>0</v>
      </c>
      <c r="R683" s="24">
        <v>0</v>
      </c>
      <c r="S683" s="24">
        <v>0</v>
      </c>
      <c r="T683" s="24">
        <v>0</v>
      </c>
      <c r="U683" s="24">
        <v>0</v>
      </c>
      <c r="V683" s="24">
        <v>0</v>
      </c>
      <c r="W683" s="23">
        <f t="shared" si="71"/>
        <v>655.86000000000013</v>
      </c>
      <c r="X683" s="23">
        <f t="shared" si="72"/>
        <v>655.86000000000013</v>
      </c>
      <c r="Y683" s="23">
        <f t="shared" si="73"/>
        <v>0</v>
      </c>
      <c r="Z683" s="24">
        <v>0</v>
      </c>
      <c r="AA683" s="23">
        <f t="shared" si="74"/>
        <v>0</v>
      </c>
      <c r="AB683" s="23">
        <f t="shared" si="75"/>
        <v>714</v>
      </c>
      <c r="AC683" s="20"/>
      <c r="AD683" s="20" t="str">
        <f>VLOOKUP($C683,'[1]CTRL AUTOS'!$E:$AH,2,0)</f>
        <v>MFP751C</v>
      </c>
      <c r="AE683" s="11" t="str">
        <f t="shared" si="76"/>
        <v>MFP751C35</v>
      </c>
    </row>
    <row r="684" spans="1:31" ht="12.75" hidden="1" customHeight="1" x14ac:dyDescent="0.3">
      <c r="A684" s="8">
        <v>35</v>
      </c>
      <c r="B684" s="20" t="s">
        <v>9</v>
      </c>
      <c r="C684" s="20" t="s">
        <v>10</v>
      </c>
      <c r="D684" s="20" t="s">
        <v>343</v>
      </c>
      <c r="E684" s="20" t="s">
        <v>232</v>
      </c>
      <c r="F684" s="20" t="s">
        <v>232</v>
      </c>
      <c r="G684" s="22" t="s">
        <v>234</v>
      </c>
      <c r="H684" s="23">
        <v>1986</v>
      </c>
      <c r="I684" s="23">
        <v>0</v>
      </c>
      <c r="J684" s="23">
        <v>0</v>
      </c>
      <c r="K684" s="23">
        <v>0</v>
      </c>
      <c r="L684" s="23">
        <v>0</v>
      </c>
      <c r="M684" s="23">
        <v>0</v>
      </c>
      <c r="N684" s="23">
        <v>0</v>
      </c>
      <c r="O684" s="24">
        <f t="shared" si="70"/>
        <v>1986</v>
      </c>
      <c r="P684" s="23">
        <v>-1986</v>
      </c>
      <c r="Q684" s="23">
        <v>0</v>
      </c>
      <c r="R684" s="23">
        <v>0</v>
      </c>
      <c r="S684" s="23">
        <v>0</v>
      </c>
      <c r="T684" s="23">
        <v>0</v>
      </c>
      <c r="U684" s="23">
        <v>0</v>
      </c>
      <c r="V684" s="23">
        <v>0</v>
      </c>
      <c r="W684" s="23">
        <f t="shared" si="71"/>
        <v>0</v>
      </c>
      <c r="X684" s="23">
        <f t="shared" si="72"/>
        <v>0</v>
      </c>
      <c r="Y684" s="23">
        <f t="shared" si="73"/>
        <v>0</v>
      </c>
      <c r="Z684" s="24">
        <v>0</v>
      </c>
      <c r="AA684" s="23">
        <f t="shared" si="74"/>
        <v>0</v>
      </c>
      <c r="AB684" s="23">
        <f t="shared" si="75"/>
        <v>1986</v>
      </c>
      <c r="AC684" s="20" t="s">
        <v>415</v>
      </c>
      <c r="AD684" s="20" t="str">
        <f>VLOOKUP($C684,'[1]CTRL AUTOS'!$E:$AH,2,0)</f>
        <v>LRL009C</v>
      </c>
      <c r="AE684" s="11" t="str">
        <f t="shared" si="76"/>
        <v>LRL009C35</v>
      </c>
    </row>
    <row r="685" spans="1:31" ht="12.75" hidden="1" customHeight="1" x14ac:dyDescent="0.3">
      <c r="A685" s="8">
        <v>35</v>
      </c>
      <c r="B685" s="20" t="s">
        <v>359</v>
      </c>
      <c r="C685" s="20" t="s">
        <v>34</v>
      </c>
      <c r="D685" s="20" t="s">
        <v>285</v>
      </c>
      <c r="E685" s="20" t="s">
        <v>232</v>
      </c>
      <c r="F685" s="20" t="s">
        <v>232</v>
      </c>
      <c r="G685" s="22" t="s">
        <v>234</v>
      </c>
      <c r="H685" s="23">
        <v>0</v>
      </c>
      <c r="I685" s="23">
        <v>0</v>
      </c>
      <c r="J685" s="23">
        <v>0</v>
      </c>
      <c r="K685" s="23">
        <v>0</v>
      </c>
      <c r="L685" s="23">
        <v>0</v>
      </c>
      <c r="M685" s="23">
        <v>0</v>
      </c>
      <c r="N685" s="23">
        <v>-283</v>
      </c>
      <c r="O685" s="24">
        <f t="shared" si="70"/>
        <v>-283</v>
      </c>
      <c r="P685" s="24">
        <v>0</v>
      </c>
      <c r="Q685" s="23">
        <v>-2723.84</v>
      </c>
      <c r="R685" s="24">
        <v>3007</v>
      </c>
      <c r="S685" s="24">
        <v>0</v>
      </c>
      <c r="T685" s="24">
        <v>0</v>
      </c>
      <c r="U685" s="24">
        <v>0</v>
      </c>
      <c r="V685" s="24">
        <v>0</v>
      </c>
      <c r="W685" s="23">
        <f t="shared" si="71"/>
        <v>0.15999999999985448</v>
      </c>
      <c r="X685" s="23">
        <f t="shared" si="72"/>
        <v>0.15999999999985448</v>
      </c>
      <c r="Y685" s="23">
        <f t="shared" si="73"/>
        <v>0</v>
      </c>
      <c r="Z685" s="24">
        <v>0</v>
      </c>
      <c r="AA685" s="23">
        <f t="shared" si="74"/>
        <v>0</v>
      </c>
      <c r="AB685" s="23">
        <f t="shared" si="75"/>
        <v>-283.15999999999985</v>
      </c>
      <c r="AC685" s="20"/>
      <c r="AD685" s="20" t="str">
        <f>VLOOKUP($C685,'[1]CTRL AUTOS'!$E:$AH,2,0)</f>
        <v>X59AWG</v>
      </c>
      <c r="AE685" s="11" t="str">
        <f t="shared" si="76"/>
        <v>X59AWG35</v>
      </c>
    </row>
    <row r="686" spans="1:31" ht="12.75" hidden="1" customHeight="1" x14ac:dyDescent="0.3">
      <c r="A686" s="8">
        <v>35</v>
      </c>
      <c r="B686" s="20" t="s">
        <v>72</v>
      </c>
      <c r="C686" s="20" t="s">
        <v>73</v>
      </c>
      <c r="D686" s="20" t="s">
        <v>368</v>
      </c>
      <c r="E686" s="22" t="s">
        <v>241</v>
      </c>
      <c r="F686" s="20" t="s">
        <v>291</v>
      </c>
      <c r="G686" s="22" t="s">
        <v>234</v>
      </c>
      <c r="H686" s="23">
        <v>9203.0300000000007</v>
      </c>
      <c r="I686" s="23">
        <v>-33.6</v>
      </c>
      <c r="J686" s="23">
        <v>0</v>
      </c>
      <c r="K686" s="23">
        <v>-91.45</v>
      </c>
      <c r="L686" s="23">
        <v>-4157.1799999999994</v>
      </c>
      <c r="M686" s="23">
        <v>-50</v>
      </c>
      <c r="N686" s="23">
        <v>-48</v>
      </c>
      <c r="O686" s="24">
        <f t="shared" si="70"/>
        <v>4822.8</v>
      </c>
      <c r="P686" s="24">
        <v>-2500</v>
      </c>
      <c r="Q686" s="24">
        <v>0</v>
      </c>
      <c r="R686" s="24">
        <v>0</v>
      </c>
      <c r="S686" s="24">
        <v>0</v>
      </c>
      <c r="T686" s="24">
        <v>0</v>
      </c>
      <c r="U686" s="24">
        <v>-550</v>
      </c>
      <c r="V686" s="24">
        <v>0</v>
      </c>
      <c r="W686" s="23">
        <f t="shared" si="71"/>
        <v>1772.8000000000002</v>
      </c>
      <c r="X686" s="23">
        <f t="shared" si="72"/>
        <v>1772.8000000000002</v>
      </c>
      <c r="Y686" s="23">
        <f t="shared" si="73"/>
        <v>0</v>
      </c>
      <c r="Z686" s="24">
        <v>0</v>
      </c>
      <c r="AA686" s="23">
        <f t="shared" si="74"/>
        <v>0</v>
      </c>
      <c r="AB686" s="23">
        <f t="shared" si="75"/>
        <v>3050</v>
      </c>
      <c r="AC686" s="20"/>
      <c r="AD686" s="20" t="str">
        <f>VLOOKUP($C686,'[1]CTRL AUTOS'!$E:$AH,2,0)</f>
        <v>H99BLC</v>
      </c>
      <c r="AE686" s="11" t="str">
        <f t="shared" si="76"/>
        <v>H99BLC35</v>
      </c>
    </row>
    <row r="687" spans="1:31" ht="12.75" hidden="1" customHeight="1" x14ac:dyDescent="0.3">
      <c r="A687" s="8">
        <v>35</v>
      </c>
      <c r="B687" s="20" t="s">
        <v>292</v>
      </c>
      <c r="C687" s="20" t="s">
        <v>52</v>
      </c>
      <c r="D687" s="20" t="s">
        <v>313</v>
      </c>
      <c r="E687" s="20" t="s">
        <v>232</v>
      </c>
      <c r="F687" s="20" t="s">
        <v>232</v>
      </c>
      <c r="G687" s="22" t="s">
        <v>234</v>
      </c>
      <c r="H687" s="23">
        <v>5265.9299999999994</v>
      </c>
      <c r="I687" s="23">
        <v>-27.2</v>
      </c>
      <c r="J687" s="23">
        <v>0</v>
      </c>
      <c r="K687" s="23">
        <v>0</v>
      </c>
      <c r="L687" s="23">
        <v>-2252.71</v>
      </c>
      <c r="M687" s="23">
        <v>-28</v>
      </c>
      <c r="N687" s="23">
        <v>-29.75</v>
      </c>
      <c r="O687" s="24">
        <f t="shared" si="70"/>
        <v>2928.2699999999995</v>
      </c>
      <c r="P687" s="24">
        <v>-2500</v>
      </c>
      <c r="Q687" s="23">
        <v>0</v>
      </c>
      <c r="R687" s="24">
        <v>0</v>
      </c>
      <c r="S687" s="24">
        <v>0</v>
      </c>
      <c r="T687" s="24">
        <v>-428</v>
      </c>
      <c r="U687" s="24">
        <v>0</v>
      </c>
      <c r="V687" s="24">
        <v>0</v>
      </c>
      <c r="W687" s="23">
        <f t="shared" si="71"/>
        <v>0.26999999999952706</v>
      </c>
      <c r="X687" s="23">
        <f t="shared" si="72"/>
        <v>0.26999999999952706</v>
      </c>
      <c r="Y687" s="23">
        <f t="shared" si="73"/>
        <v>0</v>
      </c>
      <c r="Z687" s="24">
        <v>0</v>
      </c>
      <c r="AA687" s="23">
        <f t="shared" si="74"/>
        <v>0</v>
      </c>
      <c r="AB687" s="23">
        <f t="shared" si="75"/>
        <v>2928</v>
      </c>
      <c r="AC687" s="20"/>
      <c r="AD687" s="20" t="str">
        <f>VLOOKUP($C687,'[1]CTRL AUTOS'!$E:$AH,2,0)</f>
        <v>A35BHD</v>
      </c>
      <c r="AE687" s="11" t="str">
        <f t="shared" si="76"/>
        <v>A35BHD35</v>
      </c>
    </row>
    <row r="688" spans="1:31" ht="12.75" hidden="1" customHeight="1" x14ac:dyDescent="0.3">
      <c r="A688" s="8">
        <v>35</v>
      </c>
      <c r="B688" s="20" t="s">
        <v>105</v>
      </c>
      <c r="C688" s="20" t="s">
        <v>104</v>
      </c>
      <c r="D688" s="20" t="s">
        <v>402</v>
      </c>
      <c r="E688" s="22" t="s">
        <v>364</v>
      </c>
      <c r="F688" s="22" t="s">
        <v>364</v>
      </c>
      <c r="G688" s="22" t="s">
        <v>234</v>
      </c>
      <c r="H688" s="23">
        <v>357</v>
      </c>
      <c r="I688" s="23">
        <v>0</v>
      </c>
      <c r="J688" s="23">
        <v>0</v>
      </c>
      <c r="K688" s="23">
        <v>0</v>
      </c>
      <c r="L688" s="23">
        <v>0</v>
      </c>
      <c r="M688" s="24">
        <v>0</v>
      </c>
      <c r="N688" s="23">
        <v>0</v>
      </c>
      <c r="O688" s="24">
        <f t="shared" si="70"/>
        <v>357</v>
      </c>
      <c r="P688" s="23">
        <v>-357</v>
      </c>
      <c r="Q688" s="23">
        <v>0</v>
      </c>
      <c r="R688" s="23">
        <v>0</v>
      </c>
      <c r="S688" s="23">
        <v>0</v>
      </c>
      <c r="T688" s="23">
        <v>0</v>
      </c>
      <c r="U688" s="23">
        <v>0</v>
      </c>
      <c r="V688" s="23">
        <v>0</v>
      </c>
      <c r="W688" s="23">
        <f t="shared" si="71"/>
        <v>0</v>
      </c>
      <c r="X688" s="23">
        <f t="shared" si="72"/>
        <v>0</v>
      </c>
      <c r="Y688" s="23">
        <f t="shared" si="73"/>
        <v>0</v>
      </c>
      <c r="Z688" s="24">
        <v>0</v>
      </c>
      <c r="AA688" s="23">
        <f t="shared" si="74"/>
        <v>0</v>
      </c>
      <c r="AB688" s="23">
        <f t="shared" si="75"/>
        <v>357</v>
      </c>
      <c r="AC688" s="20"/>
      <c r="AD688" s="20" t="e">
        <f>VLOOKUP($C688,'[1]CTRL AUTOS'!$E:$AH,2,0)</f>
        <v>#N/A</v>
      </c>
      <c r="AE688" s="11" t="e">
        <f t="shared" si="76"/>
        <v>#N/A</v>
      </c>
    </row>
    <row r="689" spans="1:31" ht="12.75" hidden="1" customHeight="1" x14ac:dyDescent="0.3">
      <c r="A689" s="8">
        <v>35</v>
      </c>
      <c r="B689" s="20" t="s">
        <v>57</v>
      </c>
      <c r="C689" s="20" t="s">
        <v>16</v>
      </c>
      <c r="D689" s="20" t="s">
        <v>314</v>
      </c>
      <c r="E689" s="20" t="s">
        <v>232</v>
      </c>
      <c r="F689" s="20" t="s">
        <v>232</v>
      </c>
      <c r="G689" s="22" t="s">
        <v>234</v>
      </c>
      <c r="H689" s="23">
        <v>8400.7200000000066</v>
      </c>
      <c r="I689" s="23">
        <v>-40</v>
      </c>
      <c r="J689" s="23">
        <v>0</v>
      </c>
      <c r="K689" s="23">
        <v>0</v>
      </c>
      <c r="L689" s="23">
        <v>-2449.1700000000005</v>
      </c>
      <c r="M689" s="23">
        <v>-32</v>
      </c>
      <c r="N689" s="23">
        <v>0</v>
      </c>
      <c r="O689" s="24">
        <f t="shared" si="70"/>
        <v>5879.5500000000065</v>
      </c>
      <c r="P689" s="23">
        <v>-2500</v>
      </c>
      <c r="Q689" s="23">
        <v>0</v>
      </c>
      <c r="R689" s="23">
        <v>-500</v>
      </c>
      <c r="S689" s="23">
        <v>0</v>
      </c>
      <c r="T689" s="23">
        <v>0</v>
      </c>
      <c r="U689" s="24">
        <v>0</v>
      </c>
      <c r="V689" s="23">
        <v>0</v>
      </c>
      <c r="W689" s="23">
        <f t="shared" si="71"/>
        <v>2879.5500000000065</v>
      </c>
      <c r="X689" s="23">
        <f t="shared" si="72"/>
        <v>2879.5500000000065</v>
      </c>
      <c r="Y689" s="23">
        <f t="shared" si="73"/>
        <v>0</v>
      </c>
      <c r="Z689" s="24">
        <v>0</v>
      </c>
      <c r="AA689" s="23">
        <f t="shared" si="74"/>
        <v>0</v>
      </c>
      <c r="AB689" s="23">
        <f t="shared" si="75"/>
        <v>3000</v>
      </c>
      <c r="AC689" s="20"/>
      <c r="AD689" s="20" t="str">
        <f>VLOOKUP($C689,'[1]CTRL AUTOS'!$E:$AH,2,0)</f>
        <v>D28BET</v>
      </c>
      <c r="AE689" s="11" t="str">
        <f t="shared" si="76"/>
        <v>D28BET35</v>
      </c>
    </row>
    <row r="690" spans="1:31" ht="12.75" hidden="1" customHeight="1" x14ac:dyDescent="0.3">
      <c r="A690" s="8">
        <v>35</v>
      </c>
      <c r="B690" s="20" t="s">
        <v>288</v>
      </c>
      <c r="C690" s="20" t="s">
        <v>22</v>
      </c>
      <c r="D690" s="20" t="s">
        <v>319</v>
      </c>
      <c r="E690" s="20" t="s">
        <v>232</v>
      </c>
      <c r="F690" s="20" t="s">
        <v>232</v>
      </c>
      <c r="G690" s="22" t="s">
        <v>234</v>
      </c>
      <c r="H690" s="23">
        <v>8947.2999999999938</v>
      </c>
      <c r="I690" s="23">
        <v>-35.200000000000003</v>
      </c>
      <c r="J690" s="23">
        <v>0</v>
      </c>
      <c r="K690" s="23">
        <v>0</v>
      </c>
      <c r="L690" s="23">
        <v>-2469.58</v>
      </c>
      <c r="M690" s="23">
        <v>-32</v>
      </c>
      <c r="N690" s="23">
        <v>-61</v>
      </c>
      <c r="O690" s="24">
        <f t="shared" si="70"/>
        <v>6349.5199999999932</v>
      </c>
      <c r="P690" s="24">
        <v>-2500</v>
      </c>
      <c r="Q690" s="23">
        <v>0</v>
      </c>
      <c r="R690" s="24">
        <v>0</v>
      </c>
      <c r="S690" s="24">
        <v>0</v>
      </c>
      <c r="T690" s="24">
        <v>0</v>
      </c>
      <c r="U690" s="24">
        <v>0</v>
      </c>
      <c r="V690" s="24">
        <v>0</v>
      </c>
      <c r="W690" s="23">
        <f t="shared" si="71"/>
        <v>3849.5199999999932</v>
      </c>
      <c r="X690" s="23">
        <f t="shared" si="72"/>
        <v>3849.5199999999932</v>
      </c>
      <c r="Y690" s="23">
        <f t="shared" si="73"/>
        <v>0</v>
      </c>
      <c r="Z690" s="24">
        <v>0</v>
      </c>
      <c r="AA690" s="23">
        <f t="shared" si="74"/>
        <v>0</v>
      </c>
      <c r="AB690" s="23">
        <f t="shared" si="75"/>
        <v>2500</v>
      </c>
      <c r="AC690" s="20"/>
      <c r="AD690" s="20" t="str">
        <f>VLOOKUP($C690,'[1]CTRL AUTOS'!$E:$AH,2,0)</f>
        <v>NCK475B</v>
      </c>
      <c r="AE690" s="11" t="str">
        <f t="shared" si="76"/>
        <v>NCK475B35</v>
      </c>
    </row>
    <row r="691" spans="1:31" ht="12.75" hidden="1" customHeight="1" x14ac:dyDescent="0.3">
      <c r="A691" s="8">
        <v>35</v>
      </c>
      <c r="B691" s="20" t="s">
        <v>35</v>
      </c>
      <c r="C691" s="20" t="s">
        <v>97</v>
      </c>
      <c r="D691" s="20" t="s">
        <v>273</v>
      </c>
      <c r="E691" s="20" t="s">
        <v>232</v>
      </c>
      <c r="F691" s="20" t="s">
        <v>232</v>
      </c>
      <c r="G691" s="22" t="s">
        <v>234</v>
      </c>
      <c r="H691" s="23">
        <v>8572.6799999999985</v>
      </c>
      <c r="I691" s="23">
        <v>-116.80000000000001</v>
      </c>
      <c r="J691" s="23">
        <v>0</v>
      </c>
      <c r="K691" s="23">
        <v>0</v>
      </c>
      <c r="L691" s="23">
        <v>-4258.6499999999996</v>
      </c>
      <c r="M691" s="23">
        <v>-32</v>
      </c>
      <c r="N691" s="23">
        <v>0</v>
      </c>
      <c r="O691" s="24">
        <f t="shared" si="70"/>
        <v>4165.2299999999996</v>
      </c>
      <c r="P691" s="24">
        <v>-2500</v>
      </c>
      <c r="Q691" s="23">
        <v>-14</v>
      </c>
      <c r="R691" s="24">
        <v>0</v>
      </c>
      <c r="S691" s="24">
        <v>0</v>
      </c>
      <c r="T691" s="24">
        <v>0</v>
      </c>
      <c r="U691" s="24">
        <v>0</v>
      </c>
      <c r="V691" s="24">
        <v>0</v>
      </c>
      <c r="W691" s="23">
        <f t="shared" si="71"/>
        <v>1651.2299999999996</v>
      </c>
      <c r="X691" s="23">
        <f t="shared" si="72"/>
        <v>1651.2299999999996</v>
      </c>
      <c r="Y691" s="23">
        <f t="shared" si="73"/>
        <v>0</v>
      </c>
      <c r="Z691" s="24">
        <v>0</v>
      </c>
      <c r="AA691" s="23">
        <f t="shared" si="74"/>
        <v>0</v>
      </c>
      <c r="AB691" s="23">
        <f t="shared" si="75"/>
        <v>2514</v>
      </c>
      <c r="AC691" s="20" t="s">
        <v>416</v>
      </c>
      <c r="AD691" s="20" t="str">
        <f>VLOOKUP($C691,'[1]CTRL AUTOS'!$E:$AH,2,0)</f>
        <v>MUF515A</v>
      </c>
      <c r="AE691" s="11" t="str">
        <f t="shared" si="76"/>
        <v>MUF515A35</v>
      </c>
    </row>
    <row r="692" spans="1:31" ht="12.75" hidden="1" customHeight="1" x14ac:dyDescent="0.3">
      <c r="A692" s="8">
        <v>35</v>
      </c>
      <c r="B692" s="20" t="s">
        <v>37</v>
      </c>
      <c r="C692" s="20" t="s">
        <v>30</v>
      </c>
      <c r="D692" s="20" t="s">
        <v>237</v>
      </c>
      <c r="E692" s="22" t="s">
        <v>232</v>
      </c>
      <c r="F692" s="20" t="s">
        <v>291</v>
      </c>
      <c r="G692" s="22" t="s">
        <v>234</v>
      </c>
      <c r="H692" s="23">
        <v>2983.2299999999996</v>
      </c>
      <c r="I692" s="23">
        <v>0</v>
      </c>
      <c r="J692" s="23">
        <v>0</v>
      </c>
      <c r="K692" s="23">
        <v>0</v>
      </c>
      <c r="L692" s="23">
        <v>-361.8</v>
      </c>
      <c r="M692" s="23">
        <v>-32</v>
      </c>
      <c r="N692" s="23">
        <v>0</v>
      </c>
      <c r="O692" s="24">
        <f t="shared" si="70"/>
        <v>2589.4299999999994</v>
      </c>
      <c r="P692" s="24">
        <v>-1786</v>
      </c>
      <c r="Q692" s="24">
        <v>-290.08</v>
      </c>
      <c r="R692" s="24">
        <v>0</v>
      </c>
      <c r="S692" s="24">
        <v>0</v>
      </c>
      <c r="T692" s="24">
        <v>0</v>
      </c>
      <c r="U692" s="24">
        <v>0</v>
      </c>
      <c r="V692" s="24">
        <v>0</v>
      </c>
      <c r="W692" s="23">
        <f t="shared" si="71"/>
        <v>513.34999999999945</v>
      </c>
      <c r="X692" s="23">
        <f t="shared" si="72"/>
        <v>513.34999999999945</v>
      </c>
      <c r="Y692" s="23">
        <f t="shared" si="73"/>
        <v>0</v>
      </c>
      <c r="Z692" s="24">
        <v>0</v>
      </c>
      <c r="AA692" s="23">
        <f t="shared" si="74"/>
        <v>0</v>
      </c>
      <c r="AB692" s="23">
        <f t="shared" si="75"/>
        <v>2076.08</v>
      </c>
      <c r="AC692" s="20"/>
      <c r="AD692" s="20" t="str">
        <f>VLOOKUP($C692,'[1]CTRL AUTOS'!$E:$AH,2,0)</f>
        <v>D51BHV</v>
      </c>
      <c r="AE692" s="11" t="str">
        <f t="shared" si="76"/>
        <v>D51BHV35</v>
      </c>
    </row>
    <row r="693" spans="1:31" ht="12.75" hidden="1" customHeight="1" x14ac:dyDescent="0.3">
      <c r="A693" s="8">
        <v>35</v>
      </c>
      <c r="B693" s="20" t="s">
        <v>361</v>
      </c>
      <c r="C693" s="20" t="s">
        <v>56</v>
      </c>
      <c r="D693" s="20" t="s">
        <v>336</v>
      </c>
      <c r="E693" s="22" t="s">
        <v>241</v>
      </c>
      <c r="F693" s="20" t="s">
        <v>291</v>
      </c>
      <c r="G693" s="22" t="s">
        <v>234</v>
      </c>
      <c r="H693" s="23">
        <v>5224.9699999999984</v>
      </c>
      <c r="I693" s="23">
        <v>-37.950000000000003</v>
      </c>
      <c r="J693" s="23">
        <v>0</v>
      </c>
      <c r="K693" s="23">
        <v>0</v>
      </c>
      <c r="L693" s="23">
        <v>-2100.3200000000002</v>
      </c>
      <c r="M693" s="23">
        <v>-32</v>
      </c>
      <c r="N693" s="23">
        <v>0</v>
      </c>
      <c r="O693" s="24">
        <f t="shared" si="70"/>
        <v>3054.6999999999985</v>
      </c>
      <c r="P693" s="24">
        <v>-2500</v>
      </c>
      <c r="Q693" s="24">
        <v>0</v>
      </c>
      <c r="R693" s="24">
        <v>0</v>
      </c>
      <c r="S693" s="24">
        <v>0</v>
      </c>
      <c r="T693" s="24">
        <v>0</v>
      </c>
      <c r="U693" s="24">
        <v>0</v>
      </c>
      <c r="V693" s="24">
        <v>0</v>
      </c>
      <c r="W693" s="23">
        <f t="shared" si="71"/>
        <v>554.69999999999845</v>
      </c>
      <c r="X693" s="23">
        <f t="shared" si="72"/>
        <v>554.69999999999845</v>
      </c>
      <c r="Y693" s="23">
        <f t="shared" si="73"/>
        <v>0</v>
      </c>
      <c r="Z693" s="24">
        <v>0</v>
      </c>
      <c r="AA693" s="23">
        <f t="shared" si="74"/>
        <v>0</v>
      </c>
      <c r="AB693" s="23">
        <f t="shared" si="75"/>
        <v>2500</v>
      </c>
      <c r="AC693" s="20"/>
      <c r="AD693" s="20" t="str">
        <f>VLOOKUP($C693,'[1]CTRL AUTOS'!$E:$AH,2,0)</f>
        <v>MYE912A</v>
      </c>
      <c r="AE693" s="11" t="str">
        <f t="shared" si="76"/>
        <v>MYE912A35</v>
      </c>
    </row>
    <row r="694" spans="1:31" ht="12.75" hidden="1" customHeight="1" x14ac:dyDescent="0.3">
      <c r="A694" s="8">
        <v>35</v>
      </c>
      <c r="B694" s="20" t="s">
        <v>388</v>
      </c>
      <c r="C694" s="20" t="s">
        <v>69</v>
      </c>
      <c r="D694" s="20" t="s">
        <v>370</v>
      </c>
      <c r="E694" s="22" t="s">
        <v>241</v>
      </c>
      <c r="F694" s="20" t="s">
        <v>291</v>
      </c>
      <c r="G694" s="22" t="s">
        <v>234</v>
      </c>
      <c r="H694" s="23">
        <v>1304.5299999999997</v>
      </c>
      <c r="I694" s="23">
        <v>0</v>
      </c>
      <c r="J694" s="23">
        <v>0</v>
      </c>
      <c r="K694" s="23">
        <v>0</v>
      </c>
      <c r="L694" s="23">
        <v>-312.20999999999992</v>
      </c>
      <c r="M694" s="23">
        <v>-32</v>
      </c>
      <c r="N694" s="23">
        <v>0</v>
      </c>
      <c r="O694" s="24">
        <f t="shared" si="70"/>
        <v>960.31999999999982</v>
      </c>
      <c r="P694" s="23">
        <v>-2500</v>
      </c>
      <c r="Q694" s="24">
        <v>981</v>
      </c>
      <c r="R694" s="23">
        <v>-500</v>
      </c>
      <c r="S694" s="23">
        <v>0</v>
      </c>
      <c r="T694" s="23">
        <v>0</v>
      </c>
      <c r="U694" s="24">
        <v>0</v>
      </c>
      <c r="V694" s="23">
        <v>0</v>
      </c>
      <c r="W694" s="23">
        <f t="shared" si="71"/>
        <v>-1058.6800000000003</v>
      </c>
      <c r="X694" s="23">
        <f t="shared" si="72"/>
        <v>0</v>
      </c>
      <c r="Y694" s="23">
        <f t="shared" si="73"/>
        <v>-1058.6800000000003</v>
      </c>
      <c r="Z694" s="24">
        <f>1000+1000</f>
        <v>2000</v>
      </c>
      <c r="AA694" s="23">
        <f t="shared" si="74"/>
        <v>941.31999999999971</v>
      </c>
      <c r="AB694" s="23">
        <f t="shared" si="75"/>
        <v>3901.6399999999994</v>
      </c>
      <c r="AC694" s="20"/>
      <c r="AD694" s="20" t="str">
        <f>VLOOKUP($C694,'[1]CTRL AUTOS'!$E:$AH,2,0)</f>
        <v>R51BKD</v>
      </c>
      <c r="AE694" s="11" t="str">
        <f t="shared" si="76"/>
        <v>R51BKD35</v>
      </c>
    </row>
    <row r="695" spans="1:31" ht="12.75" hidden="1" customHeight="1" x14ac:dyDescent="0.3">
      <c r="A695" s="8">
        <v>35</v>
      </c>
      <c r="B695" s="20" t="s">
        <v>293</v>
      </c>
      <c r="C695" s="20" t="s">
        <v>34</v>
      </c>
      <c r="D695" s="20" t="s">
        <v>285</v>
      </c>
      <c r="E695" s="20" t="s">
        <v>232</v>
      </c>
      <c r="F695" s="23" t="s">
        <v>232</v>
      </c>
      <c r="G695" s="22" t="s">
        <v>234</v>
      </c>
      <c r="H695" s="23">
        <v>0</v>
      </c>
      <c r="I695" s="23">
        <v>0</v>
      </c>
      <c r="J695" s="23">
        <v>0</v>
      </c>
      <c r="K695" s="23">
        <v>0</v>
      </c>
      <c r="L695" s="23">
        <v>0</v>
      </c>
      <c r="M695" s="23">
        <v>0</v>
      </c>
      <c r="N695" s="23">
        <v>0</v>
      </c>
      <c r="O695" s="24">
        <f t="shared" si="70"/>
        <v>0</v>
      </c>
      <c r="P695" s="23">
        <v>0</v>
      </c>
      <c r="Q695" s="23">
        <v>0</v>
      </c>
      <c r="R695" s="23">
        <v>358</v>
      </c>
      <c r="S695" s="23">
        <v>0</v>
      </c>
      <c r="T695" s="23">
        <v>0</v>
      </c>
      <c r="U695" s="23">
        <v>0</v>
      </c>
      <c r="V695" s="23">
        <v>0</v>
      </c>
      <c r="W695" s="23">
        <f t="shared" si="71"/>
        <v>358</v>
      </c>
      <c r="X695" s="23">
        <f t="shared" si="72"/>
        <v>358</v>
      </c>
      <c r="Y695" s="23">
        <f t="shared" si="73"/>
        <v>0</v>
      </c>
      <c r="Z695" s="24">
        <v>0</v>
      </c>
      <c r="AA695" s="23">
        <f t="shared" si="74"/>
        <v>0</v>
      </c>
      <c r="AB695" s="23">
        <f t="shared" si="75"/>
        <v>-358</v>
      </c>
      <c r="AC695" s="20"/>
      <c r="AD695" s="20" t="str">
        <f>VLOOKUP($C695,'[1]CTRL AUTOS'!$E:$AH,2,0)</f>
        <v>X59AWG</v>
      </c>
      <c r="AE695" s="11" t="str">
        <f t="shared" si="76"/>
        <v>X59AWG35</v>
      </c>
    </row>
    <row r="696" spans="1:31" ht="12.75" hidden="1" customHeight="1" x14ac:dyDescent="0.3">
      <c r="A696" s="8">
        <v>35</v>
      </c>
      <c r="B696" s="20" t="s">
        <v>417</v>
      </c>
      <c r="C696" s="20" t="s">
        <v>418</v>
      </c>
      <c r="D696" s="20" t="s">
        <v>237</v>
      </c>
      <c r="E696" s="22" t="s">
        <v>364</v>
      </c>
      <c r="F696" s="22" t="s">
        <v>364</v>
      </c>
      <c r="G696" s="22" t="s">
        <v>234</v>
      </c>
      <c r="H696" s="23">
        <v>1796.77</v>
      </c>
      <c r="I696" s="23">
        <v>0</v>
      </c>
      <c r="J696" s="23">
        <v>0</v>
      </c>
      <c r="K696" s="23">
        <v>0</v>
      </c>
      <c r="L696" s="23">
        <v>-647.34</v>
      </c>
      <c r="M696" s="23">
        <v>0</v>
      </c>
      <c r="N696" s="23">
        <v>0</v>
      </c>
      <c r="O696" s="24">
        <f t="shared" si="70"/>
        <v>1149.4299999999998</v>
      </c>
      <c r="P696" s="23">
        <v>-893</v>
      </c>
      <c r="Q696" s="23">
        <v>0</v>
      </c>
      <c r="R696" s="23">
        <v>-216</v>
      </c>
      <c r="S696" s="23">
        <v>0</v>
      </c>
      <c r="T696" s="23">
        <v>0</v>
      </c>
      <c r="U696" s="23">
        <v>0</v>
      </c>
      <c r="V696" s="23">
        <v>0</v>
      </c>
      <c r="W696" s="23">
        <f t="shared" si="71"/>
        <v>40.429999999999836</v>
      </c>
      <c r="X696" s="23">
        <f t="shared" si="72"/>
        <v>40.429999999999836</v>
      </c>
      <c r="Y696" s="23">
        <f t="shared" si="73"/>
        <v>0</v>
      </c>
      <c r="Z696" s="24">
        <v>0</v>
      </c>
      <c r="AA696" s="23">
        <f t="shared" si="74"/>
        <v>0</v>
      </c>
      <c r="AB696" s="23">
        <f t="shared" si="75"/>
        <v>1109</v>
      </c>
      <c r="AC696" s="43"/>
      <c r="AD696" s="20" t="e">
        <f>VLOOKUP($C696,'[1]CTRL AUTOS'!$E:$AH,2,0)</f>
        <v>#N/A</v>
      </c>
      <c r="AE696" s="11" t="e">
        <f t="shared" si="76"/>
        <v>#N/A</v>
      </c>
    </row>
    <row r="697" spans="1:31" ht="12.75" hidden="1" customHeight="1" x14ac:dyDescent="0.3">
      <c r="A697" s="8">
        <v>35</v>
      </c>
      <c r="B697" s="20" t="s">
        <v>45</v>
      </c>
      <c r="C697" s="20" t="s">
        <v>46</v>
      </c>
      <c r="D697" s="20" t="s">
        <v>257</v>
      </c>
      <c r="E697" s="20" t="s">
        <v>232</v>
      </c>
      <c r="F697" s="20" t="s">
        <v>232</v>
      </c>
      <c r="G697" s="22" t="s">
        <v>234</v>
      </c>
      <c r="H697" s="23">
        <v>3807.5799999999995</v>
      </c>
      <c r="I697" s="23">
        <v>0</v>
      </c>
      <c r="J697" s="23">
        <v>0</v>
      </c>
      <c r="K697" s="23">
        <v>0</v>
      </c>
      <c r="L697" s="23">
        <v>-2389.8900000000003</v>
      </c>
      <c r="M697" s="23">
        <v>-32</v>
      </c>
      <c r="N697" s="23">
        <v>0</v>
      </c>
      <c r="O697" s="24">
        <f t="shared" si="70"/>
        <v>1385.6899999999991</v>
      </c>
      <c r="P697" s="24">
        <v>-2500</v>
      </c>
      <c r="Q697" s="23">
        <v>0</v>
      </c>
      <c r="R697" s="24">
        <v>0</v>
      </c>
      <c r="S697" s="24">
        <v>0</v>
      </c>
      <c r="T697" s="24">
        <v>0</v>
      </c>
      <c r="U697" s="24">
        <v>-500</v>
      </c>
      <c r="V697" s="24">
        <v>0</v>
      </c>
      <c r="W697" s="23">
        <f t="shared" si="71"/>
        <v>-1614.3100000000009</v>
      </c>
      <c r="X697" s="23">
        <f t="shared" si="72"/>
        <v>0</v>
      </c>
      <c r="Y697" s="23">
        <f t="shared" si="73"/>
        <v>-1614.3100000000009</v>
      </c>
      <c r="Z697" s="24">
        <v>1614</v>
      </c>
      <c r="AA697" s="23">
        <f t="shared" si="74"/>
        <v>-0.31000000000085493</v>
      </c>
      <c r="AB697" s="23">
        <f t="shared" si="75"/>
        <v>2999.3799999999983</v>
      </c>
      <c r="AC697" s="20"/>
      <c r="AD697" s="20" t="str">
        <f>VLOOKUP($C697,'[1]CTRL AUTOS'!$E:$AH,2,0)</f>
        <v>R66BER</v>
      </c>
      <c r="AE697" s="11" t="str">
        <f t="shared" si="76"/>
        <v>R66BER35</v>
      </c>
    </row>
    <row r="698" spans="1:31" ht="12.75" hidden="1" customHeight="1" x14ac:dyDescent="0.3">
      <c r="A698" s="8">
        <v>35</v>
      </c>
      <c r="B698" s="20" t="s">
        <v>5</v>
      </c>
      <c r="C698" s="20" t="s">
        <v>28</v>
      </c>
      <c r="D698" s="20" t="s">
        <v>274</v>
      </c>
      <c r="E698" s="20" t="s">
        <v>232</v>
      </c>
      <c r="F698" s="20" t="s">
        <v>232</v>
      </c>
      <c r="G698" s="22" t="s">
        <v>234</v>
      </c>
      <c r="H698" s="23">
        <v>3706.309999999999</v>
      </c>
      <c r="I698" s="23">
        <v>0</v>
      </c>
      <c r="J698" s="23">
        <v>0</v>
      </c>
      <c r="K698" s="23">
        <v>0</v>
      </c>
      <c r="L698" s="23">
        <v>-305.60000000000002</v>
      </c>
      <c r="M698" s="23">
        <v>-32</v>
      </c>
      <c r="N698" s="23">
        <v>0</v>
      </c>
      <c r="O698" s="24">
        <f t="shared" si="70"/>
        <v>3368.7099999999991</v>
      </c>
      <c r="P698" s="24">
        <v>-2500</v>
      </c>
      <c r="Q698" s="23">
        <v>-725.76</v>
      </c>
      <c r="R698" s="24">
        <v>0</v>
      </c>
      <c r="S698" s="24">
        <v>0</v>
      </c>
      <c r="T698" s="24">
        <v>0</v>
      </c>
      <c r="U698" s="24">
        <v>-1056</v>
      </c>
      <c r="V698" s="24">
        <v>0</v>
      </c>
      <c r="W698" s="23">
        <f t="shared" si="71"/>
        <v>-913.05000000000109</v>
      </c>
      <c r="X698" s="23">
        <f t="shared" si="72"/>
        <v>0</v>
      </c>
      <c r="Y698" s="23">
        <f t="shared" si="73"/>
        <v>-913.05000000000109</v>
      </c>
      <c r="Z698" s="24">
        <f>450+450</f>
        <v>900</v>
      </c>
      <c r="AA698" s="23">
        <f t="shared" si="74"/>
        <v>-13.050000000001091</v>
      </c>
      <c r="AB698" s="23">
        <f t="shared" si="75"/>
        <v>4255.659999999998</v>
      </c>
      <c r="AC698" s="20"/>
      <c r="AD698" s="20" t="str">
        <f>VLOOKUP($C698,'[1]CTRL AUTOS'!$E:$AH,2,0)</f>
        <v>NCT814A</v>
      </c>
      <c r="AE698" s="11" t="str">
        <f t="shared" si="76"/>
        <v>NCT814A35</v>
      </c>
    </row>
    <row r="699" spans="1:31" ht="12.75" hidden="1" customHeight="1" x14ac:dyDescent="0.3">
      <c r="A699" s="8">
        <v>35</v>
      </c>
      <c r="B699" s="20" t="s">
        <v>362</v>
      </c>
      <c r="C699" s="20" t="s">
        <v>50</v>
      </c>
      <c r="D699" s="20" t="s">
        <v>267</v>
      </c>
      <c r="E699" s="20" t="s">
        <v>232</v>
      </c>
      <c r="F699" s="20" t="s">
        <v>232</v>
      </c>
      <c r="G699" s="22" t="s">
        <v>234</v>
      </c>
      <c r="H699" s="23">
        <v>3348.5899999999965</v>
      </c>
      <c r="I699" s="23">
        <v>0</v>
      </c>
      <c r="J699" s="23">
        <v>0</v>
      </c>
      <c r="K699" s="23">
        <v>0</v>
      </c>
      <c r="L699" s="23">
        <v>0</v>
      </c>
      <c r="M699" s="23">
        <v>-32</v>
      </c>
      <c r="N699" s="23">
        <v>0</v>
      </c>
      <c r="O699" s="24">
        <f t="shared" si="70"/>
        <v>3316.5899999999965</v>
      </c>
      <c r="P699" s="24">
        <v>-2500</v>
      </c>
      <c r="Q699" s="23">
        <v>-806.4</v>
      </c>
      <c r="R699" s="24">
        <v>-179</v>
      </c>
      <c r="S699" s="24">
        <v>0</v>
      </c>
      <c r="T699" s="24">
        <v>0</v>
      </c>
      <c r="U699" s="24">
        <v>0</v>
      </c>
      <c r="V699" s="24">
        <v>0</v>
      </c>
      <c r="W699" s="23">
        <f t="shared" si="71"/>
        <v>-168.81000000000358</v>
      </c>
      <c r="X699" s="23">
        <f t="shared" si="72"/>
        <v>0</v>
      </c>
      <c r="Y699" s="23">
        <f t="shared" si="73"/>
        <v>-168.81000000000358</v>
      </c>
      <c r="Z699" s="24">
        <v>169</v>
      </c>
      <c r="AA699" s="23">
        <f t="shared" si="74"/>
        <v>0.18999999999641659</v>
      </c>
      <c r="AB699" s="23">
        <f t="shared" si="75"/>
        <v>3485.7799999999929</v>
      </c>
      <c r="AC699" s="20"/>
      <c r="AD699" s="20" t="str">
        <f>VLOOKUP($C699,'[1]CTRL AUTOS'!$E:$AH,2,0)</f>
        <v>NBS225A</v>
      </c>
      <c r="AE699" s="11" t="str">
        <f t="shared" si="76"/>
        <v>NBS225A35</v>
      </c>
    </row>
    <row r="700" spans="1:31" ht="12.75" hidden="1" customHeight="1" x14ac:dyDescent="0.3">
      <c r="A700" s="8">
        <v>35</v>
      </c>
      <c r="B700" s="20" t="s">
        <v>414</v>
      </c>
      <c r="C700" s="20" t="s">
        <v>168</v>
      </c>
      <c r="D700" s="20" t="s">
        <v>265</v>
      </c>
      <c r="E700" s="20" t="s">
        <v>232</v>
      </c>
      <c r="F700" s="20" t="s">
        <v>232</v>
      </c>
      <c r="G700" s="22" t="s">
        <v>234</v>
      </c>
      <c r="H700" s="23">
        <v>9966.1699999999983</v>
      </c>
      <c r="I700" s="23">
        <v>-84</v>
      </c>
      <c r="J700" s="23">
        <v>0</v>
      </c>
      <c r="K700" s="23">
        <v>0</v>
      </c>
      <c r="L700" s="23">
        <v>-2445.27</v>
      </c>
      <c r="M700" s="23">
        <v>-32</v>
      </c>
      <c r="N700" s="23">
        <v>0</v>
      </c>
      <c r="O700" s="24">
        <f t="shared" si="70"/>
        <v>7404.8999999999978</v>
      </c>
      <c r="P700" s="23">
        <v>-2500</v>
      </c>
      <c r="Q700" s="23">
        <v>0</v>
      </c>
      <c r="R700" s="23">
        <v>-500</v>
      </c>
      <c r="S700" s="23">
        <v>0</v>
      </c>
      <c r="T700" s="23">
        <v>0</v>
      </c>
      <c r="U700" s="23">
        <v>0</v>
      </c>
      <c r="V700" s="23">
        <v>0</v>
      </c>
      <c r="W700" s="23">
        <f t="shared" si="71"/>
        <v>4404.8999999999978</v>
      </c>
      <c r="X700" s="23">
        <f t="shared" si="72"/>
        <v>4404.8999999999978</v>
      </c>
      <c r="Y700" s="23">
        <f t="shared" si="73"/>
        <v>0</v>
      </c>
      <c r="Z700" s="24">
        <v>0</v>
      </c>
      <c r="AA700" s="23">
        <f t="shared" si="74"/>
        <v>0</v>
      </c>
      <c r="AB700" s="23">
        <f t="shared" si="75"/>
        <v>3000</v>
      </c>
      <c r="AC700" s="20"/>
      <c r="AD700" s="20" t="e">
        <f>VLOOKUP($C700,'[1]CTRL AUTOS'!$E:$AH,2,0)</f>
        <v>#N/A</v>
      </c>
      <c r="AE700" s="11" t="e">
        <f t="shared" si="76"/>
        <v>#N/A</v>
      </c>
    </row>
    <row r="701" spans="1:31" ht="12.75" hidden="1" customHeight="1" x14ac:dyDescent="0.3">
      <c r="A701" s="8">
        <v>35</v>
      </c>
      <c r="B701" s="20" t="s">
        <v>74</v>
      </c>
      <c r="C701" s="20" t="s">
        <v>104</v>
      </c>
      <c r="D701" s="20" t="s">
        <v>402</v>
      </c>
      <c r="E701" s="20" t="s">
        <v>364</v>
      </c>
      <c r="F701" s="22" t="s">
        <v>364</v>
      </c>
      <c r="G701" s="22" t="s">
        <v>234</v>
      </c>
      <c r="H701" s="23">
        <v>1275.56</v>
      </c>
      <c r="I701" s="23">
        <v>0</v>
      </c>
      <c r="J701" s="23">
        <v>0</v>
      </c>
      <c r="K701" s="23">
        <v>0</v>
      </c>
      <c r="L701" s="23">
        <v>0</v>
      </c>
      <c r="M701" s="23">
        <v>0</v>
      </c>
      <c r="N701" s="23">
        <v>0</v>
      </c>
      <c r="O701" s="24">
        <f t="shared" si="70"/>
        <v>1275.56</v>
      </c>
      <c r="P701" s="23">
        <v>-893</v>
      </c>
      <c r="Q701" s="24">
        <v>0</v>
      </c>
      <c r="R701" s="23">
        <v>0</v>
      </c>
      <c r="S701" s="23">
        <v>0</v>
      </c>
      <c r="T701" s="23">
        <v>0</v>
      </c>
      <c r="U701" s="24">
        <v>0</v>
      </c>
      <c r="V701" s="23">
        <v>0</v>
      </c>
      <c r="W701" s="23">
        <f t="shared" si="71"/>
        <v>382.55999999999995</v>
      </c>
      <c r="X701" s="23">
        <f t="shared" si="72"/>
        <v>382.55999999999995</v>
      </c>
      <c r="Y701" s="23">
        <f t="shared" si="73"/>
        <v>0</v>
      </c>
      <c r="Z701" s="24">
        <v>0</v>
      </c>
      <c r="AA701" s="23">
        <f t="shared" si="74"/>
        <v>0</v>
      </c>
      <c r="AB701" s="23">
        <f t="shared" si="75"/>
        <v>893</v>
      </c>
      <c r="AC701" s="20"/>
      <c r="AD701" s="20" t="e">
        <f>VLOOKUP($C701,'[1]CTRL AUTOS'!$E:$AH,2,0)</f>
        <v>#N/A</v>
      </c>
      <c r="AE701" s="11" t="e">
        <f t="shared" si="76"/>
        <v>#N/A</v>
      </c>
    </row>
    <row r="702" spans="1:31" ht="12.75" hidden="1" customHeight="1" x14ac:dyDescent="0.3">
      <c r="A702" s="8">
        <v>35</v>
      </c>
      <c r="B702" s="20" t="s">
        <v>74</v>
      </c>
      <c r="C702" s="20" t="s">
        <v>77</v>
      </c>
      <c r="D702" s="20" t="s">
        <v>237</v>
      </c>
      <c r="E702" s="22" t="s">
        <v>232</v>
      </c>
      <c r="F702" s="20" t="s">
        <v>291</v>
      </c>
      <c r="G702" s="22" t="s">
        <v>234</v>
      </c>
      <c r="H702" s="23">
        <v>1733.7799999999995</v>
      </c>
      <c r="I702" s="23">
        <v>0</v>
      </c>
      <c r="J702" s="23">
        <v>0</v>
      </c>
      <c r="K702" s="23">
        <v>0</v>
      </c>
      <c r="L702" s="23">
        <v>0</v>
      </c>
      <c r="M702" s="23">
        <v>-32</v>
      </c>
      <c r="N702" s="23">
        <v>0</v>
      </c>
      <c r="O702" s="24">
        <f t="shared" si="70"/>
        <v>1701.7799999999995</v>
      </c>
      <c r="P702" s="23">
        <v>-1607</v>
      </c>
      <c r="Q702" s="24">
        <v>0</v>
      </c>
      <c r="R702" s="23">
        <v>-500</v>
      </c>
      <c r="S702" s="23">
        <v>0</v>
      </c>
      <c r="T702" s="23">
        <v>0</v>
      </c>
      <c r="U702" s="24">
        <v>0</v>
      </c>
      <c r="V702" s="23">
        <v>0</v>
      </c>
      <c r="W702" s="23">
        <f t="shared" si="71"/>
        <v>-405.22000000000048</v>
      </c>
      <c r="X702" s="23">
        <f t="shared" si="72"/>
        <v>0</v>
      </c>
      <c r="Y702" s="23">
        <f t="shared" si="73"/>
        <v>-405.22000000000048</v>
      </c>
      <c r="Z702" s="24">
        <v>383</v>
      </c>
      <c r="AA702" s="23">
        <f t="shared" si="74"/>
        <v>-22.220000000000482</v>
      </c>
      <c r="AB702" s="23">
        <f t="shared" si="75"/>
        <v>2062.5599999999995</v>
      </c>
      <c r="AC702" s="20"/>
      <c r="AD702" s="20" t="str">
        <f>VLOOKUP($C702,'[1]CTRL AUTOS'!$E:$AH,2,0)</f>
        <v>MEE228C</v>
      </c>
      <c r="AE702" s="11" t="str">
        <f t="shared" si="76"/>
        <v>MEE228C35</v>
      </c>
    </row>
    <row r="703" spans="1:31" ht="12.75" hidden="1" customHeight="1" x14ac:dyDescent="0.3">
      <c r="A703" s="8">
        <v>35</v>
      </c>
      <c r="B703" s="20" t="s">
        <v>76</v>
      </c>
      <c r="C703" s="20" t="s">
        <v>8</v>
      </c>
      <c r="D703" s="20" t="s">
        <v>367</v>
      </c>
      <c r="E703" s="20" t="s">
        <v>364</v>
      </c>
      <c r="F703" s="22" t="s">
        <v>364</v>
      </c>
      <c r="G703" s="22" t="s">
        <v>234</v>
      </c>
      <c r="H703" s="23">
        <v>3022.81</v>
      </c>
      <c r="I703" s="23">
        <v>0</v>
      </c>
      <c r="J703" s="23">
        <v>0</v>
      </c>
      <c r="K703" s="23">
        <v>-32.56</v>
      </c>
      <c r="L703" s="23">
        <v>-850.61</v>
      </c>
      <c r="M703" s="23">
        <v>0</v>
      </c>
      <c r="N703" s="23">
        <v>-150.44</v>
      </c>
      <c r="O703" s="24">
        <f t="shared" si="70"/>
        <v>1989.1999999999998</v>
      </c>
      <c r="P703" s="23">
        <v>-2500</v>
      </c>
      <c r="Q703" s="24">
        <v>-1878</v>
      </c>
      <c r="R703" s="23">
        <v>0</v>
      </c>
      <c r="S703" s="23">
        <v>0</v>
      </c>
      <c r="T703" s="23">
        <v>0</v>
      </c>
      <c r="U703" s="24">
        <v>0</v>
      </c>
      <c r="V703" s="23">
        <v>0</v>
      </c>
      <c r="W703" s="23">
        <f t="shared" si="71"/>
        <v>-2388.8000000000002</v>
      </c>
      <c r="X703" s="23">
        <f t="shared" si="72"/>
        <v>0</v>
      </c>
      <c r="Y703" s="23">
        <f t="shared" si="73"/>
        <v>-2388.8000000000002</v>
      </c>
      <c r="Z703" s="24">
        <v>0</v>
      </c>
      <c r="AA703" s="23">
        <f t="shared" si="74"/>
        <v>-2388.8000000000002</v>
      </c>
      <c r="AB703" s="23">
        <f t="shared" si="75"/>
        <v>-399.60000000000036</v>
      </c>
      <c r="AC703" s="20"/>
      <c r="AD703" s="20" t="e">
        <f>VLOOKUP($C703,'[1]CTRL AUTOS'!$E:$AH,2,0)</f>
        <v>#N/A</v>
      </c>
      <c r="AE703" s="11" t="e">
        <f t="shared" si="76"/>
        <v>#N/A</v>
      </c>
    </row>
    <row r="704" spans="1:31" ht="12.75" hidden="1" customHeight="1" x14ac:dyDescent="0.3">
      <c r="A704" s="8">
        <v>35</v>
      </c>
      <c r="B704" s="20" t="s">
        <v>98</v>
      </c>
      <c r="C704" s="44" t="s">
        <v>79</v>
      </c>
      <c r="D704" s="20" t="s">
        <v>250</v>
      </c>
      <c r="E704" s="20" t="s">
        <v>291</v>
      </c>
      <c r="F704" s="20" t="s">
        <v>291</v>
      </c>
      <c r="G704" s="22" t="s">
        <v>234</v>
      </c>
      <c r="H704" s="23">
        <v>1765.7499999999993</v>
      </c>
      <c r="I704" s="23">
        <v>0</v>
      </c>
      <c r="J704" s="23">
        <v>0</v>
      </c>
      <c r="K704" s="23">
        <v>0</v>
      </c>
      <c r="L704" s="23">
        <v>-169.96</v>
      </c>
      <c r="M704" s="23">
        <v>-32</v>
      </c>
      <c r="N704" s="23">
        <v>0</v>
      </c>
      <c r="O704" s="24">
        <f t="shared" si="70"/>
        <v>1563.7899999999993</v>
      </c>
      <c r="P704" s="23">
        <v>-1786</v>
      </c>
      <c r="Q704" s="23">
        <v>0</v>
      </c>
      <c r="R704" s="23">
        <v>-93</v>
      </c>
      <c r="S704" s="23">
        <v>0</v>
      </c>
      <c r="T704" s="23">
        <v>0</v>
      </c>
      <c r="U704" s="23">
        <v>509</v>
      </c>
      <c r="V704" s="23">
        <v>0</v>
      </c>
      <c r="W704" s="23">
        <f t="shared" si="71"/>
        <v>193.78999999999928</v>
      </c>
      <c r="X704" s="23">
        <f t="shared" si="72"/>
        <v>193.78999999999928</v>
      </c>
      <c r="Y704" s="23">
        <f t="shared" si="73"/>
        <v>0</v>
      </c>
      <c r="Z704" s="24">
        <v>0</v>
      </c>
      <c r="AA704" s="23">
        <f t="shared" si="74"/>
        <v>0</v>
      </c>
      <c r="AB704" s="23">
        <f t="shared" si="75"/>
        <v>1370</v>
      </c>
      <c r="AC704" s="20" t="s">
        <v>419</v>
      </c>
      <c r="AD704" s="20" t="str">
        <f>VLOOKUP($C704,'[1]CTRL AUTOS'!$E:$AH,2,0)</f>
        <v>MAY737C</v>
      </c>
      <c r="AE704" s="11" t="str">
        <f t="shared" si="76"/>
        <v>MAY737C35</v>
      </c>
    </row>
    <row r="705" spans="1:31" ht="12.75" hidden="1" customHeight="1" x14ac:dyDescent="0.3">
      <c r="A705" s="8">
        <v>36</v>
      </c>
      <c r="B705" s="20" t="s">
        <v>80</v>
      </c>
      <c r="C705" s="20" t="s">
        <v>81</v>
      </c>
      <c r="D705" s="20" t="s">
        <v>317</v>
      </c>
      <c r="E705" s="20" t="s">
        <v>232</v>
      </c>
      <c r="F705" s="20" t="s">
        <v>232</v>
      </c>
      <c r="G705" s="22" t="s">
        <v>234</v>
      </c>
      <c r="H705" s="23">
        <v>0</v>
      </c>
      <c r="I705" s="23">
        <v>0</v>
      </c>
      <c r="J705" s="23">
        <v>0</v>
      </c>
      <c r="K705" s="23">
        <v>0</v>
      </c>
      <c r="L705" s="23">
        <v>0</v>
      </c>
      <c r="M705" s="23">
        <v>-32</v>
      </c>
      <c r="N705" s="23">
        <v>0</v>
      </c>
      <c r="O705" s="24">
        <f t="shared" si="70"/>
        <v>-32</v>
      </c>
      <c r="P705" s="24">
        <v>-2500</v>
      </c>
      <c r="Q705" s="24">
        <v>0</v>
      </c>
      <c r="R705" s="24">
        <v>0</v>
      </c>
      <c r="S705" s="24">
        <v>0</v>
      </c>
      <c r="T705" s="24">
        <v>-500</v>
      </c>
      <c r="U705" s="24">
        <v>0</v>
      </c>
      <c r="V705" s="24">
        <v>0</v>
      </c>
      <c r="W705" s="23">
        <f t="shared" si="71"/>
        <v>-3032</v>
      </c>
      <c r="X705" s="23">
        <f t="shared" si="72"/>
        <v>0</v>
      </c>
      <c r="Y705" s="23">
        <f t="shared" si="73"/>
        <v>-3032</v>
      </c>
      <c r="Z705" s="24">
        <v>3032</v>
      </c>
      <c r="AA705" s="23">
        <f t="shared" si="74"/>
        <v>0</v>
      </c>
      <c r="AB705" s="23">
        <f t="shared" si="75"/>
        <v>3000</v>
      </c>
      <c r="AC705" s="20" t="s">
        <v>420</v>
      </c>
      <c r="AD705" s="20" t="str">
        <f>VLOOKUP($C705,'[1]CTRL AUTOS'!$E:$AH,2,0)</f>
        <v>NLP172B</v>
      </c>
      <c r="AE705" s="11" t="str">
        <f t="shared" si="76"/>
        <v>NLP172B36</v>
      </c>
    </row>
    <row r="706" spans="1:31" ht="12.75" hidden="1" customHeight="1" x14ac:dyDescent="0.3">
      <c r="A706" s="8">
        <v>36</v>
      </c>
      <c r="B706" s="20" t="s">
        <v>13</v>
      </c>
      <c r="C706" s="20" t="s">
        <v>40</v>
      </c>
      <c r="D706" s="20" t="s">
        <v>315</v>
      </c>
      <c r="E706" s="20" t="s">
        <v>232</v>
      </c>
      <c r="F706" s="20" t="s">
        <v>232</v>
      </c>
      <c r="G706" s="22" t="s">
        <v>234</v>
      </c>
      <c r="H706" s="23">
        <v>7971</v>
      </c>
      <c r="I706" s="23">
        <v>-119.21</v>
      </c>
      <c r="J706" s="23">
        <v>0</v>
      </c>
      <c r="K706" s="23">
        <v>0</v>
      </c>
      <c r="L706" s="23">
        <v>-110</v>
      </c>
      <c r="M706" s="23">
        <v>-35</v>
      </c>
      <c r="N706" s="23">
        <v>0</v>
      </c>
      <c r="O706" s="24">
        <f t="shared" si="70"/>
        <v>7706.79</v>
      </c>
      <c r="P706" s="24">
        <v>-2500</v>
      </c>
      <c r="Q706" s="23">
        <v>0</v>
      </c>
      <c r="R706" s="24">
        <v>-500</v>
      </c>
      <c r="S706" s="24">
        <v>0</v>
      </c>
      <c r="T706" s="24">
        <v>0</v>
      </c>
      <c r="U706" s="24">
        <v>0</v>
      </c>
      <c r="V706" s="24">
        <v>0</v>
      </c>
      <c r="W706" s="23">
        <f t="shared" si="71"/>
        <v>4706.79</v>
      </c>
      <c r="X706" s="23">
        <f t="shared" si="72"/>
        <v>4706.79</v>
      </c>
      <c r="Y706" s="23">
        <f t="shared" si="73"/>
        <v>0</v>
      </c>
      <c r="Z706" s="24">
        <v>0</v>
      </c>
      <c r="AA706" s="23">
        <f t="shared" si="74"/>
        <v>0</v>
      </c>
      <c r="AB706" s="23">
        <f t="shared" si="75"/>
        <v>3000</v>
      </c>
      <c r="AC706" s="20" t="s">
        <v>421</v>
      </c>
      <c r="AD706" s="20" t="str">
        <f>VLOOKUP($C706,'[1]CTRL AUTOS'!$E:$AH,2,0)</f>
        <v>NEL860A</v>
      </c>
      <c r="AE706" s="11" t="str">
        <f t="shared" si="76"/>
        <v>NEL860A36</v>
      </c>
    </row>
    <row r="707" spans="1:31" ht="12.75" hidden="1" customHeight="1" x14ac:dyDescent="0.3">
      <c r="A707" s="8">
        <v>36</v>
      </c>
      <c r="B707" s="20" t="s">
        <v>111</v>
      </c>
      <c r="C707" s="20" t="s">
        <v>63</v>
      </c>
      <c r="D707" s="20" t="s">
        <v>374</v>
      </c>
      <c r="E707" s="20" t="s">
        <v>291</v>
      </c>
      <c r="F707" s="20" t="s">
        <v>291</v>
      </c>
      <c r="G707" s="22" t="s">
        <v>234</v>
      </c>
      <c r="H707" s="23">
        <v>6376.25</v>
      </c>
      <c r="I707" s="23">
        <v>-96.82</v>
      </c>
      <c r="J707" s="23">
        <v>0</v>
      </c>
      <c r="K707" s="23">
        <v>0</v>
      </c>
      <c r="L707" s="23">
        <v>-1952.46</v>
      </c>
      <c r="M707" s="23">
        <v>-48</v>
      </c>
      <c r="N707" s="23">
        <v>0</v>
      </c>
      <c r="O707" s="24">
        <f t="shared" ref="O707:O770" si="77">SUM(H707:N707)</f>
        <v>4278.97</v>
      </c>
      <c r="P707" s="24">
        <v>-2500</v>
      </c>
      <c r="Q707" s="24">
        <v>0</v>
      </c>
      <c r="R707" s="24">
        <v>0</v>
      </c>
      <c r="S707" s="24">
        <v>0</v>
      </c>
      <c r="T707" s="24">
        <v>-500</v>
      </c>
      <c r="U707" s="24">
        <v>0</v>
      </c>
      <c r="V707" s="24">
        <v>0</v>
      </c>
      <c r="W707" s="23">
        <f t="shared" ref="W707:W770" si="78">+O707+SUM(P707:V707)</f>
        <v>1278.9700000000003</v>
      </c>
      <c r="X707" s="23">
        <f t="shared" ref="X707:X770" si="79">IF(W707&gt;=0,W707,0)</f>
        <v>1278.9700000000003</v>
      </c>
      <c r="Y707" s="23">
        <f t="shared" ref="Y707:Y770" si="80">IF(W707&lt;=0,W707,0)</f>
        <v>0</v>
      </c>
      <c r="Z707" s="24">
        <v>0</v>
      </c>
      <c r="AA707" s="23">
        <f t="shared" ref="AA707:AA770" si="81">+Y707+Z707</f>
        <v>0</v>
      </c>
      <c r="AB707" s="23">
        <f t="shared" ref="AB707:AB770" si="82">+O707-X707+Z707+AA707</f>
        <v>3000</v>
      </c>
      <c r="AC707" s="20" t="s">
        <v>405</v>
      </c>
      <c r="AD707" s="20" t="str">
        <f>VLOOKUP($C707,'[1]CTRL AUTOS'!$E:$AH,2,0)</f>
        <v>X89ALV</v>
      </c>
      <c r="AE707" s="11" t="str">
        <f t="shared" si="76"/>
        <v>X89ALV36</v>
      </c>
    </row>
    <row r="708" spans="1:31" ht="12.75" hidden="1" customHeight="1" x14ac:dyDescent="0.3">
      <c r="A708" s="8">
        <v>36</v>
      </c>
      <c r="B708" s="20" t="s">
        <v>17</v>
      </c>
      <c r="C708" s="20" t="s">
        <v>4</v>
      </c>
      <c r="D708" s="20" t="s">
        <v>245</v>
      </c>
      <c r="E708" s="20" t="s">
        <v>232</v>
      </c>
      <c r="F708" s="20" t="s">
        <v>232</v>
      </c>
      <c r="G708" s="22" t="s">
        <v>234</v>
      </c>
      <c r="H708" s="23">
        <v>6813.16</v>
      </c>
      <c r="I708" s="23">
        <v>0</v>
      </c>
      <c r="J708" s="23">
        <v>0</v>
      </c>
      <c r="K708" s="23">
        <v>0</v>
      </c>
      <c r="L708" s="23">
        <v>0</v>
      </c>
      <c r="M708" s="23">
        <v>-30</v>
      </c>
      <c r="N708" s="23">
        <v>0</v>
      </c>
      <c r="O708" s="24">
        <f t="shared" si="77"/>
        <v>6783.16</v>
      </c>
      <c r="P708" s="23">
        <v>-2500</v>
      </c>
      <c r="Q708" s="23">
        <v>0</v>
      </c>
      <c r="R708" s="23">
        <v>-500</v>
      </c>
      <c r="S708" s="23">
        <v>0</v>
      </c>
      <c r="T708" s="23">
        <v>0</v>
      </c>
      <c r="U708" s="23">
        <v>0</v>
      </c>
      <c r="V708" s="23">
        <v>0</v>
      </c>
      <c r="W708" s="23">
        <f t="shared" si="78"/>
        <v>3783.16</v>
      </c>
      <c r="X708" s="23">
        <f t="shared" si="79"/>
        <v>3783.16</v>
      </c>
      <c r="Y708" s="23">
        <f t="shared" si="80"/>
        <v>0</v>
      </c>
      <c r="Z708" s="24">
        <v>0</v>
      </c>
      <c r="AA708" s="23">
        <f t="shared" si="81"/>
        <v>0</v>
      </c>
      <c r="AB708" s="23">
        <f t="shared" si="82"/>
        <v>3000</v>
      </c>
      <c r="AC708" s="20" t="s">
        <v>421</v>
      </c>
      <c r="AD708" s="20" t="str">
        <f>VLOOKUP($C708,'[1]CTRL AUTOS'!$E:$AH,2,0)</f>
        <v>N15BKD</v>
      </c>
      <c r="AE708" s="11" t="str">
        <f t="shared" ref="AE708:AE771" si="83">AD708&amp;A708</f>
        <v>N15BKD36</v>
      </c>
    </row>
    <row r="709" spans="1:31" ht="12.75" hidden="1" customHeight="1" x14ac:dyDescent="0.3">
      <c r="A709" s="8">
        <v>36</v>
      </c>
      <c r="B709" s="20" t="s">
        <v>19</v>
      </c>
      <c r="C709" s="20" t="s">
        <v>20</v>
      </c>
      <c r="D709" s="20" t="s">
        <v>239</v>
      </c>
      <c r="E709" s="20" t="s">
        <v>232</v>
      </c>
      <c r="F709" s="20" t="s">
        <v>232</v>
      </c>
      <c r="G709" s="22" t="s">
        <v>234</v>
      </c>
      <c r="H709" s="23">
        <v>4920.7</v>
      </c>
      <c r="I709" s="23">
        <v>-110.74000000000001</v>
      </c>
      <c r="J709" s="23">
        <v>0</v>
      </c>
      <c r="K709" s="23">
        <v>-24.18</v>
      </c>
      <c r="L709" s="23">
        <v>0</v>
      </c>
      <c r="M709" s="23">
        <v>-38</v>
      </c>
      <c r="N709" s="23">
        <v>0</v>
      </c>
      <c r="O709" s="24">
        <f t="shared" si="77"/>
        <v>4747.78</v>
      </c>
      <c r="P709" s="23">
        <v>-2500</v>
      </c>
      <c r="Q709" s="23">
        <v>0</v>
      </c>
      <c r="R709" s="23">
        <v>-500</v>
      </c>
      <c r="S709" s="23">
        <v>0</v>
      </c>
      <c r="T709" s="23">
        <v>0</v>
      </c>
      <c r="U709" s="23">
        <v>0</v>
      </c>
      <c r="V709" s="23">
        <v>0</v>
      </c>
      <c r="W709" s="23">
        <f t="shared" si="78"/>
        <v>1747.7799999999997</v>
      </c>
      <c r="X709" s="23">
        <f t="shared" si="79"/>
        <v>1747.7799999999997</v>
      </c>
      <c r="Y709" s="23">
        <f t="shared" si="80"/>
        <v>0</v>
      </c>
      <c r="Z709" s="24">
        <v>0</v>
      </c>
      <c r="AA709" s="23">
        <f t="shared" si="81"/>
        <v>0</v>
      </c>
      <c r="AB709" s="23">
        <f t="shared" si="82"/>
        <v>3000</v>
      </c>
      <c r="AC709" s="20" t="s">
        <v>421</v>
      </c>
      <c r="AD709" s="20" t="str">
        <f>VLOOKUP($C709,'[1]CTRL AUTOS'!$E:$AH,2,0)</f>
        <v>D40BKD</v>
      </c>
      <c r="AE709" s="11" t="str">
        <f t="shared" si="83"/>
        <v>D40BKD36</v>
      </c>
    </row>
    <row r="710" spans="1:31" ht="12.75" hidden="1" customHeight="1" x14ac:dyDescent="0.3">
      <c r="A710" s="8">
        <v>36</v>
      </c>
      <c r="B710" s="20" t="s">
        <v>396</v>
      </c>
      <c r="C710" s="20" t="s">
        <v>75</v>
      </c>
      <c r="D710" s="20" t="s">
        <v>333</v>
      </c>
      <c r="E710" s="22" t="s">
        <v>241</v>
      </c>
      <c r="F710" s="20" t="s">
        <v>291</v>
      </c>
      <c r="G710" s="22" t="s">
        <v>234</v>
      </c>
      <c r="H710" s="23">
        <v>6417.57</v>
      </c>
      <c r="I710" s="23">
        <v>-123.37</v>
      </c>
      <c r="J710" s="23">
        <v>0</v>
      </c>
      <c r="K710" s="23">
        <v>0</v>
      </c>
      <c r="L710" s="23">
        <v>-3027.96</v>
      </c>
      <c r="M710" s="23">
        <v>-48</v>
      </c>
      <c r="N710" s="23">
        <v>0</v>
      </c>
      <c r="O710" s="24">
        <f t="shared" si="77"/>
        <v>3218.24</v>
      </c>
      <c r="P710" s="23">
        <v>-2500</v>
      </c>
      <c r="Q710" s="23">
        <v>0</v>
      </c>
      <c r="R710" s="23">
        <v>-500</v>
      </c>
      <c r="S710" s="23">
        <v>0</v>
      </c>
      <c r="T710" s="23">
        <v>0</v>
      </c>
      <c r="U710" s="23">
        <v>0</v>
      </c>
      <c r="V710" s="23">
        <v>0</v>
      </c>
      <c r="W710" s="23">
        <f t="shared" si="78"/>
        <v>218.23999999999978</v>
      </c>
      <c r="X710" s="23">
        <f t="shared" si="79"/>
        <v>218.23999999999978</v>
      </c>
      <c r="Y710" s="23">
        <f t="shared" si="80"/>
        <v>0</v>
      </c>
      <c r="Z710" s="24">
        <v>0</v>
      </c>
      <c r="AA710" s="23">
        <f t="shared" si="81"/>
        <v>0</v>
      </c>
      <c r="AB710" s="23">
        <f t="shared" si="82"/>
        <v>3000</v>
      </c>
      <c r="AC710" s="20" t="s">
        <v>405</v>
      </c>
      <c r="AD710" s="20" t="str">
        <f>VLOOKUP($C710,'[1]CTRL AUTOS'!$E:$AH,2,0)</f>
        <v>NFN014B</v>
      </c>
      <c r="AE710" s="11" t="str">
        <f t="shared" si="83"/>
        <v>NFN014B36</v>
      </c>
    </row>
    <row r="711" spans="1:31" ht="12.75" hidden="1" customHeight="1" x14ac:dyDescent="0.3">
      <c r="A711" s="8">
        <v>36</v>
      </c>
      <c r="B711" s="20" t="s">
        <v>23</v>
      </c>
      <c r="C711" s="20" t="s">
        <v>106</v>
      </c>
      <c r="D711" s="20" t="s">
        <v>322</v>
      </c>
      <c r="E711" s="20" t="s">
        <v>232</v>
      </c>
      <c r="F711" s="20" t="s">
        <v>232</v>
      </c>
      <c r="G711" s="22" t="s">
        <v>234</v>
      </c>
      <c r="H711" s="23">
        <v>7079.46</v>
      </c>
      <c r="I711" s="23">
        <v>-110.1</v>
      </c>
      <c r="J711" s="23">
        <v>0</v>
      </c>
      <c r="K711" s="23">
        <v>0</v>
      </c>
      <c r="L711" s="23">
        <v>-5062.59</v>
      </c>
      <c r="M711" s="23">
        <v>-94</v>
      </c>
      <c r="N711" s="23">
        <v>-223.96</v>
      </c>
      <c r="O711" s="24">
        <f t="shared" si="77"/>
        <v>1588.8099999999995</v>
      </c>
      <c r="P711" s="24">
        <v>-2500</v>
      </c>
      <c r="Q711" s="24">
        <v>0</v>
      </c>
      <c r="R711" s="24">
        <v>0</v>
      </c>
      <c r="S711" s="24">
        <v>0</v>
      </c>
      <c r="T711" s="24">
        <v>0</v>
      </c>
      <c r="U711" s="24">
        <v>0</v>
      </c>
      <c r="V711" s="24">
        <v>0</v>
      </c>
      <c r="W711" s="23">
        <f t="shared" si="78"/>
        <v>-911.19000000000051</v>
      </c>
      <c r="X711" s="23">
        <f t="shared" si="79"/>
        <v>0</v>
      </c>
      <c r="Y711" s="23">
        <f t="shared" si="80"/>
        <v>-911.19000000000051</v>
      </c>
      <c r="Z711" s="24">
        <v>910</v>
      </c>
      <c r="AA711" s="23">
        <f t="shared" si="81"/>
        <v>-1.1900000000005093</v>
      </c>
      <c r="AB711" s="23">
        <f t="shared" si="82"/>
        <v>2497.619999999999</v>
      </c>
      <c r="AC711" s="20" t="s">
        <v>420</v>
      </c>
      <c r="AD711" s="20" t="str">
        <f>VLOOKUP($C711,'[1]CTRL AUTOS'!$E:$AH,2,0)</f>
        <v>NZU5163</v>
      </c>
      <c r="AE711" s="11" t="str">
        <f t="shared" si="83"/>
        <v>NZU516336</v>
      </c>
    </row>
    <row r="712" spans="1:31" ht="12.75" hidden="1" customHeight="1" x14ac:dyDescent="0.3">
      <c r="A712" s="8">
        <v>36</v>
      </c>
      <c r="B712" s="20" t="s">
        <v>25</v>
      </c>
      <c r="C712" s="20" t="s">
        <v>67</v>
      </c>
      <c r="D712" s="20" t="s">
        <v>343</v>
      </c>
      <c r="E712" s="20" t="s">
        <v>232</v>
      </c>
      <c r="F712" s="20" t="s">
        <v>291</v>
      </c>
      <c r="G712" s="22" t="s">
        <v>234</v>
      </c>
      <c r="H712" s="23">
        <v>962.5</v>
      </c>
      <c r="I712" s="23">
        <v>-17.239999999999998</v>
      </c>
      <c r="J712" s="23">
        <v>0</v>
      </c>
      <c r="K712" s="23">
        <v>0</v>
      </c>
      <c r="L712" s="23">
        <v>-570.41</v>
      </c>
      <c r="M712" s="23">
        <v>-34</v>
      </c>
      <c r="N712" s="23">
        <v>0</v>
      </c>
      <c r="O712" s="24">
        <f t="shared" si="77"/>
        <v>340.85</v>
      </c>
      <c r="P712" s="24">
        <v>-2500</v>
      </c>
      <c r="Q712" s="24">
        <v>-606</v>
      </c>
      <c r="R712" s="24">
        <v>0</v>
      </c>
      <c r="S712" s="24">
        <v>0</v>
      </c>
      <c r="T712" s="24">
        <v>0</v>
      </c>
      <c r="U712" s="24">
        <v>0</v>
      </c>
      <c r="V712" s="24">
        <v>0</v>
      </c>
      <c r="W712" s="23">
        <f t="shared" si="78"/>
        <v>-2765.15</v>
      </c>
      <c r="X712" s="23">
        <f t="shared" si="79"/>
        <v>0</v>
      </c>
      <c r="Y712" s="23">
        <f t="shared" si="80"/>
        <v>-2765.15</v>
      </c>
      <c r="Z712" s="24">
        <v>950</v>
      </c>
      <c r="AA712" s="23">
        <f t="shared" si="81"/>
        <v>-1815.15</v>
      </c>
      <c r="AB712" s="23">
        <f t="shared" si="82"/>
        <v>-524.30000000000018</v>
      </c>
      <c r="AC712" s="20" t="s">
        <v>420</v>
      </c>
      <c r="AD712" s="20" t="str">
        <f>VLOOKUP($C712,'[1]CTRL AUTOS'!$E:$AH,2,0)</f>
        <v>MFP751C</v>
      </c>
      <c r="AE712" s="11" t="str">
        <f t="shared" si="83"/>
        <v>MFP751C36</v>
      </c>
    </row>
    <row r="713" spans="1:31" ht="12.75" hidden="1" customHeight="1" x14ac:dyDescent="0.3">
      <c r="A713" s="8">
        <v>36</v>
      </c>
      <c r="B713" s="20" t="s">
        <v>9</v>
      </c>
      <c r="C713" s="20" t="s">
        <v>10</v>
      </c>
      <c r="D713" s="20" t="s">
        <v>343</v>
      </c>
      <c r="E713" s="20" t="s">
        <v>232</v>
      </c>
      <c r="F713" s="20" t="s">
        <v>232</v>
      </c>
      <c r="G713" s="22" t="s">
        <v>234</v>
      </c>
      <c r="H713" s="23">
        <v>4313.8500000000004</v>
      </c>
      <c r="I713" s="23">
        <v>-81.5</v>
      </c>
      <c r="J713" s="23">
        <v>0</v>
      </c>
      <c r="K713" s="23">
        <v>0</v>
      </c>
      <c r="L713" s="23">
        <v>-1335</v>
      </c>
      <c r="M713" s="23">
        <v>-35</v>
      </c>
      <c r="N713" s="23">
        <v>0</v>
      </c>
      <c r="O713" s="24">
        <f t="shared" si="77"/>
        <v>2862.3500000000004</v>
      </c>
      <c r="P713" s="23">
        <v>-1785.7</v>
      </c>
      <c r="Q713" s="23">
        <v>0</v>
      </c>
      <c r="R713" s="23">
        <v>-357</v>
      </c>
      <c r="S713" s="23">
        <v>0</v>
      </c>
      <c r="T713" s="23">
        <v>0</v>
      </c>
      <c r="U713" s="23">
        <v>0</v>
      </c>
      <c r="V713" s="23">
        <v>0</v>
      </c>
      <c r="W713" s="23">
        <f t="shared" si="78"/>
        <v>719.65000000000055</v>
      </c>
      <c r="X713" s="23">
        <f t="shared" si="79"/>
        <v>719.65000000000055</v>
      </c>
      <c r="Y713" s="23">
        <f t="shared" si="80"/>
        <v>0</v>
      </c>
      <c r="Z713" s="24">
        <v>0</v>
      </c>
      <c r="AA713" s="23">
        <f t="shared" si="81"/>
        <v>0</v>
      </c>
      <c r="AB713" s="23">
        <f t="shared" si="82"/>
        <v>2142.6999999999998</v>
      </c>
      <c r="AC713" s="20" t="s">
        <v>422</v>
      </c>
      <c r="AD713" s="20" t="str">
        <f>VLOOKUP($C713,'[1]CTRL AUTOS'!$E:$AH,2,0)</f>
        <v>LRL009C</v>
      </c>
      <c r="AE713" s="11" t="str">
        <f t="shared" si="83"/>
        <v>LRL009C36</v>
      </c>
    </row>
    <row r="714" spans="1:31" ht="12.75" hidden="1" customHeight="1" x14ac:dyDescent="0.3">
      <c r="A714" s="8">
        <v>36</v>
      </c>
      <c r="B714" s="20" t="s">
        <v>70</v>
      </c>
      <c r="C714" s="20" t="s">
        <v>34</v>
      </c>
      <c r="D714" s="20" t="s">
        <v>285</v>
      </c>
      <c r="E714" s="20" t="s">
        <v>232</v>
      </c>
      <c r="F714" s="20" t="s">
        <v>232</v>
      </c>
      <c r="G714" s="22" t="s">
        <v>234</v>
      </c>
      <c r="H714" s="23">
        <v>265.20999999999998</v>
      </c>
      <c r="I714" s="23">
        <v>-4.6399999999999997</v>
      </c>
      <c r="J714" s="23">
        <v>0</v>
      </c>
      <c r="K714" s="23">
        <v>0</v>
      </c>
      <c r="L714" s="23">
        <v>-97.43</v>
      </c>
      <c r="M714" s="23">
        <v>0</v>
      </c>
      <c r="N714" s="23">
        <v>0</v>
      </c>
      <c r="O714" s="24">
        <f t="shared" si="77"/>
        <v>163.13999999999999</v>
      </c>
      <c r="P714" s="24">
        <v>-134</v>
      </c>
      <c r="Q714" s="23">
        <v>0</v>
      </c>
      <c r="R714" s="24">
        <v>0</v>
      </c>
      <c r="S714" s="24">
        <v>0</v>
      </c>
      <c r="T714" s="24">
        <v>0</v>
      </c>
      <c r="U714" s="24">
        <v>0</v>
      </c>
      <c r="V714" s="24">
        <v>0</v>
      </c>
      <c r="W714" s="23">
        <f t="shared" si="78"/>
        <v>29.139999999999986</v>
      </c>
      <c r="X714" s="23">
        <f t="shared" si="79"/>
        <v>29.139999999999986</v>
      </c>
      <c r="Y714" s="23">
        <f t="shared" si="80"/>
        <v>0</v>
      </c>
      <c r="Z714" s="24">
        <v>0</v>
      </c>
      <c r="AA714" s="23">
        <f t="shared" si="81"/>
        <v>0</v>
      </c>
      <c r="AB714" s="23">
        <f t="shared" si="82"/>
        <v>134</v>
      </c>
      <c r="AC714" s="20" t="s">
        <v>423</v>
      </c>
      <c r="AD714" s="20" t="str">
        <f>VLOOKUP($C714,'[1]CTRL AUTOS'!$E:$AH,2,0)</f>
        <v>X59AWG</v>
      </c>
      <c r="AE714" s="11" t="str">
        <f t="shared" si="83"/>
        <v>X59AWG36</v>
      </c>
    </row>
    <row r="715" spans="1:31" ht="12.75" hidden="1" customHeight="1" x14ac:dyDescent="0.3">
      <c r="A715" s="8">
        <v>36</v>
      </c>
      <c r="B715" s="20" t="s">
        <v>424</v>
      </c>
      <c r="C715" s="20" t="s">
        <v>418</v>
      </c>
      <c r="D715" s="20" t="s">
        <v>237</v>
      </c>
      <c r="E715" s="22" t="s">
        <v>364</v>
      </c>
      <c r="F715" s="22" t="s">
        <v>364</v>
      </c>
      <c r="G715" s="22" t="s">
        <v>234</v>
      </c>
      <c r="H715" s="23">
        <v>1833.46</v>
      </c>
      <c r="I715" s="23">
        <v>-21.86</v>
      </c>
      <c r="J715" s="23">
        <v>0</v>
      </c>
      <c r="K715" s="23">
        <v>0</v>
      </c>
      <c r="L715" s="23">
        <v>-540.64</v>
      </c>
      <c r="M715" s="23">
        <v>0</v>
      </c>
      <c r="N715" s="23">
        <v>0</v>
      </c>
      <c r="O715" s="24">
        <f t="shared" si="77"/>
        <v>1270.96</v>
      </c>
      <c r="P715" s="23">
        <v>-1071</v>
      </c>
      <c r="Q715" s="24">
        <v>0</v>
      </c>
      <c r="R715" s="24">
        <v>0</v>
      </c>
      <c r="S715" s="24">
        <v>0</v>
      </c>
      <c r="T715" s="24">
        <v>0</v>
      </c>
      <c r="U715" s="24">
        <v>0</v>
      </c>
      <c r="V715" s="24">
        <v>0</v>
      </c>
      <c r="W715" s="23">
        <f t="shared" si="78"/>
        <v>199.96000000000004</v>
      </c>
      <c r="X715" s="23">
        <f t="shared" si="79"/>
        <v>199.96000000000004</v>
      </c>
      <c r="Y715" s="23">
        <f t="shared" si="80"/>
        <v>0</v>
      </c>
      <c r="Z715" s="24">
        <v>0</v>
      </c>
      <c r="AA715" s="23">
        <f t="shared" si="81"/>
        <v>0</v>
      </c>
      <c r="AB715" s="23">
        <f t="shared" si="82"/>
        <v>1071</v>
      </c>
      <c r="AC715" s="20"/>
      <c r="AD715" s="20" t="e">
        <f>VLOOKUP($C715,'[1]CTRL AUTOS'!$E:$AH,2,0)</f>
        <v>#N/A</v>
      </c>
      <c r="AE715" s="11" t="e">
        <f t="shared" si="83"/>
        <v>#N/A</v>
      </c>
    </row>
    <row r="716" spans="1:31" ht="12.75" hidden="1" customHeight="1" x14ac:dyDescent="0.3">
      <c r="A716" s="8">
        <v>36</v>
      </c>
      <c r="B716" s="20" t="s">
        <v>72</v>
      </c>
      <c r="C716" s="20" t="s">
        <v>73</v>
      </c>
      <c r="D716" s="20" t="s">
        <v>368</v>
      </c>
      <c r="E716" s="22" t="s">
        <v>241</v>
      </c>
      <c r="F716" s="20" t="s">
        <v>291</v>
      </c>
      <c r="G716" s="22" t="s">
        <v>234</v>
      </c>
      <c r="H716" s="23">
        <v>9277.9500000000007</v>
      </c>
      <c r="I716" s="23">
        <v>-195.66000000000003</v>
      </c>
      <c r="J716" s="23">
        <v>0</v>
      </c>
      <c r="K716" s="23">
        <v>-91.23</v>
      </c>
      <c r="L716" s="23">
        <v>-5288.67</v>
      </c>
      <c r="M716" s="23">
        <v>-32</v>
      </c>
      <c r="N716" s="23">
        <v>0</v>
      </c>
      <c r="O716" s="24">
        <f t="shared" si="77"/>
        <v>3670.3900000000012</v>
      </c>
      <c r="P716" s="24">
        <v>-2500</v>
      </c>
      <c r="Q716" s="24">
        <v>0</v>
      </c>
      <c r="R716" s="24">
        <v>0</v>
      </c>
      <c r="S716" s="24">
        <v>0</v>
      </c>
      <c r="T716" s="24">
        <v>0</v>
      </c>
      <c r="U716" s="24">
        <v>0</v>
      </c>
      <c r="V716" s="24">
        <v>0</v>
      </c>
      <c r="W716" s="23">
        <f t="shared" si="78"/>
        <v>1170.3900000000012</v>
      </c>
      <c r="X716" s="23">
        <f t="shared" si="79"/>
        <v>1170.3900000000012</v>
      </c>
      <c r="Y716" s="23">
        <f t="shared" si="80"/>
        <v>0</v>
      </c>
      <c r="Z716" s="24">
        <v>0</v>
      </c>
      <c r="AA716" s="23">
        <f t="shared" si="81"/>
        <v>0</v>
      </c>
      <c r="AB716" s="23">
        <f t="shared" si="82"/>
        <v>2500</v>
      </c>
      <c r="AC716" s="20"/>
      <c r="AD716" s="20" t="str">
        <f>VLOOKUP($C716,'[1]CTRL AUTOS'!$E:$AH,2,0)</f>
        <v>H99BLC</v>
      </c>
      <c r="AE716" s="11" t="str">
        <f t="shared" si="83"/>
        <v>H99BLC36</v>
      </c>
    </row>
    <row r="717" spans="1:31" ht="12.75" hidden="1" customHeight="1" x14ac:dyDescent="0.3">
      <c r="A717" s="8">
        <v>36</v>
      </c>
      <c r="B717" s="20" t="s">
        <v>292</v>
      </c>
      <c r="C717" s="20" t="s">
        <v>52</v>
      </c>
      <c r="D717" s="20" t="s">
        <v>313</v>
      </c>
      <c r="E717" s="20" t="s">
        <v>232</v>
      </c>
      <c r="F717" s="20" t="s">
        <v>232</v>
      </c>
      <c r="G717" s="22" t="s">
        <v>234</v>
      </c>
      <c r="H717" s="23">
        <v>6207.31</v>
      </c>
      <c r="I717" s="23">
        <v>-138.03</v>
      </c>
      <c r="J717" s="23">
        <v>0</v>
      </c>
      <c r="K717" s="23">
        <v>0</v>
      </c>
      <c r="L717" s="23">
        <v>-2195.62</v>
      </c>
      <c r="M717" s="23">
        <v>-47</v>
      </c>
      <c r="N717" s="23">
        <v>-47.78</v>
      </c>
      <c r="O717" s="24">
        <f t="shared" si="77"/>
        <v>3778.8800000000006</v>
      </c>
      <c r="P717" s="24">
        <v>-2500</v>
      </c>
      <c r="Q717" s="23">
        <v>0</v>
      </c>
      <c r="R717" s="24">
        <v>0</v>
      </c>
      <c r="S717" s="24">
        <v>0</v>
      </c>
      <c r="T717" s="24">
        <v>-572</v>
      </c>
      <c r="U717" s="24">
        <v>0</v>
      </c>
      <c r="V717" s="24">
        <v>0</v>
      </c>
      <c r="W717" s="23">
        <f t="shared" si="78"/>
        <v>706.88000000000056</v>
      </c>
      <c r="X717" s="23">
        <f t="shared" si="79"/>
        <v>706.88000000000056</v>
      </c>
      <c r="Y717" s="23">
        <f t="shared" si="80"/>
        <v>0</v>
      </c>
      <c r="Z717" s="24">
        <v>0</v>
      </c>
      <c r="AA717" s="23">
        <f t="shared" si="81"/>
        <v>0</v>
      </c>
      <c r="AB717" s="23">
        <f t="shared" si="82"/>
        <v>3072</v>
      </c>
      <c r="AC717" s="20" t="s">
        <v>421</v>
      </c>
      <c r="AD717" s="20" t="str">
        <f>VLOOKUP($C717,'[1]CTRL AUTOS'!$E:$AH,2,0)</f>
        <v>A35BHD</v>
      </c>
      <c r="AE717" s="11" t="str">
        <f t="shared" si="83"/>
        <v>A35BHD36</v>
      </c>
    </row>
    <row r="718" spans="1:31" ht="12.75" hidden="1" customHeight="1" x14ac:dyDescent="0.3">
      <c r="A718" s="8">
        <v>36</v>
      </c>
      <c r="B718" s="20" t="s">
        <v>105</v>
      </c>
      <c r="C718" s="20" t="s">
        <v>104</v>
      </c>
      <c r="D718" s="20" t="s">
        <v>402</v>
      </c>
      <c r="E718" s="22" t="s">
        <v>364</v>
      </c>
      <c r="F718" s="22" t="s">
        <v>364</v>
      </c>
      <c r="G718" s="20" t="s">
        <v>425</v>
      </c>
      <c r="H718" s="23">
        <v>0</v>
      </c>
      <c r="I718" s="23">
        <v>0</v>
      </c>
      <c r="J718" s="23">
        <v>0</v>
      </c>
      <c r="K718" s="23">
        <v>0</v>
      </c>
      <c r="L718" s="23">
        <v>0</v>
      </c>
      <c r="M718" s="23">
        <v>0</v>
      </c>
      <c r="N718" s="23">
        <v>0</v>
      </c>
      <c r="O718" s="24">
        <f t="shared" si="77"/>
        <v>0</v>
      </c>
      <c r="P718" s="23">
        <v>-2500</v>
      </c>
      <c r="Q718" s="24">
        <v>0</v>
      </c>
      <c r="R718" s="23">
        <v>0</v>
      </c>
      <c r="S718" s="23">
        <v>0</v>
      </c>
      <c r="T718" s="23">
        <v>0</v>
      </c>
      <c r="U718" s="24">
        <v>-550</v>
      </c>
      <c r="V718" s="23">
        <v>0</v>
      </c>
      <c r="W718" s="23">
        <f t="shared" si="78"/>
        <v>-3050</v>
      </c>
      <c r="X718" s="23">
        <f t="shared" si="79"/>
        <v>0</v>
      </c>
      <c r="Y718" s="23">
        <f t="shared" si="80"/>
        <v>-3050</v>
      </c>
      <c r="Z718" s="24">
        <f>2500+550</f>
        <v>3050</v>
      </c>
      <c r="AA718" s="23">
        <f t="shared" si="81"/>
        <v>0</v>
      </c>
      <c r="AB718" s="23">
        <f t="shared" si="82"/>
        <v>3050</v>
      </c>
      <c r="AC718" s="20" t="s">
        <v>426</v>
      </c>
      <c r="AD718" s="20" t="e">
        <f>VLOOKUP($C718,'[1]CTRL AUTOS'!$E:$AH,2,0)</f>
        <v>#N/A</v>
      </c>
      <c r="AE718" s="11" t="e">
        <f t="shared" si="83"/>
        <v>#N/A</v>
      </c>
    </row>
    <row r="719" spans="1:31" ht="12.75" hidden="1" customHeight="1" x14ac:dyDescent="0.3">
      <c r="A719" s="8">
        <v>36</v>
      </c>
      <c r="B719" s="20" t="s">
        <v>57</v>
      </c>
      <c r="C719" s="20" t="s">
        <v>16</v>
      </c>
      <c r="D719" s="20" t="s">
        <v>314</v>
      </c>
      <c r="E719" s="20" t="s">
        <v>232</v>
      </c>
      <c r="F719" s="20" t="s">
        <v>232</v>
      </c>
      <c r="G719" s="22" t="s">
        <v>234</v>
      </c>
      <c r="H719" s="23">
        <v>10076.549999999999</v>
      </c>
      <c r="I719" s="23">
        <v>-204.28</v>
      </c>
      <c r="J719" s="23">
        <v>0</v>
      </c>
      <c r="K719" s="23">
        <v>0</v>
      </c>
      <c r="L719" s="23">
        <v>-3283.16</v>
      </c>
      <c r="M719" s="23">
        <v>-43</v>
      </c>
      <c r="N719" s="23">
        <v>-24</v>
      </c>
      <c r="O719" s="24">
        <f t="shared" si="77"/>
        <v>6522.1099999999988</v>
      </c>
      <c r="P719" s="23">
        <v>-2500</v>
      </c>
      <c r="Q719" s="23">
        <v>0</v>
      </c>
      <c r="R719" s="23">
        <v>-500</v>
      </c>
      <c r="S719" s="23">
        <v>0</v>
      </c>
      <c r="T719" s="23">
        <v>0</v>
      </c>
      <c r="U719" s="24">
        <v>0</v>
      </c>
      <c r="V719" s="23">
        <v>0</v>
      </c>
      <c r="W719" s="23">
        <f t="shared" si="78"/>
        <v>3522.1099999999988</v>
      </c>
      <c r="X719" s="23">
        <f t="shared" si="79"/>
        <v>3522.1099999999988</v>
      </c>
      <c r="Y719" s="23">
        <f t="shared" si="80"/>
        <v>0</v>
      </c>
      <c r="Z719" s="24">
        <v>0</v>
      </c>
      <c r="AA719" s="23">
        <f t="shared" si="81"/>
        <v>0</v>
      </c>
      <c r="AB719" s="23">
        <f t="shared" si="82"/>
        <v>3000</v>
      </c>
      <c r="AC719" s="20" t="s">
        <v>421</v>
      </c>
      <c r="AD719" s="20" t="str">
        <f>VLOOKUP($C719,'[1]CTRL AUTOS'!$E:$AH,2,0)</f>
        <v>D28BET</v>
      </c>
      <c r="AE719" s="11" t="str">
        <f t="shared" si="83"/>
        <v>D28BET36</v>
      </c>
    </row>
    <row r="720" spans="1:31" ht="12.75" hidden="1" customHeight="1" x14ac:dyDescent="0.3">
      <c r="A720" s="8">
        <v>36</v>
      </c>
      <c r="B720" s="20" t="s">
        <v>288</v>
      </c>
      <c r="C720" s="20" t="s">
        <v>22</v>
      </c>
      <c r="D720" s="20" t="s">
        <v>319</v>
      </c>
      <c r="E720" s="20" t="s">
        <v>232</v>
      </c>
      <c r="F720" s="20" t="s">
        <v>232</v>
      </c>
      <c r="G720" s="22" t="s">
        <v>234</v>
      </c>
      <c r="H720" s="23">
        <v>5888</v>
      </c>
      <c r="I720" s="23">
        <v>-92.11</v>
      </c>
      <c r="J720" s="23">
        <v>0</v>
      </c>
      <c r="K720" s="23">
        <v>0</v>
      </c>
      <c r="L720" s="23">
        <v>-2134.4899999999998</v>
      </c>
      <c r="M720" s="23">
        <v>-91.56</v>
      </c>
      <c r="N720" s="23">
        <v>-156</v>
      </c>
      <c r="O720" s="24">
        <f t="shared" si="77"/>
        <v>3413.8400000000006</v>
      </c>
      <c r="P720" s="24">
        <v>-2500</v>
      </c>
      <c r="Q720" s="23">
        <v>0</v>
      </c>
      <c r="R720" s="24">
        <v>0</v>
      </c>
      <c r="S720" s="24">
        <v>0</v>
      </c>
      <c r="T720" s="24">
        <v>0</v>
      </c>
      <c r="U720" s="24">
        <v>0</v>
      </c>
      <c r="V720" s="24">
        <v>0</v>
      </c>
      <c r="W720" s="23">
        <f t="shared" si="78"/>
        <v>913.8400000000006</v>
      </c>
      <c r="X720" s="23">
        <f t="shared" si="79"/>
        <v>913.8400000000006</v>
      </c>
      <c r="Y720" s="23">
        <f t="shared" si="80"/>
        <v>0</v>
      </c>
      <c r="Z720" s="24">
        <v>0</v>
      </c>
      <c r="AA720" s="23">
        <f t="shared" si="81"/>
        <v>0</v>
      </c>
      <c r="AB720" s="23">
        <f t="shared" si="82"/>
        <v>2500</v>
      </c>
      <c r="AC720" s="20" t="s">
        <v>421</v>
      </c>
      <c r="AD720" s="20" t="str">
        <f>VLOOKUP($C720,'[1]CTRL AUTOS'!$E:$AH,2,0)</f>
        <v>NCK475B</v>
      </c>
      <c r="AE720" s="11" t="str">
        <f t="shared" si="83"/>
        <v>NCK475B36</v>
      </c>
    </row>
    <row r="721" spans="1:31" ht="12.75" hidden="1" customHeight="1" x14ac:dyDescent="0.3">
      <c r="A721" s="8">
        <v>36</v>
      </c>
      <c r="B721" s="20" t="s">
        <v>35</v>
      </c>
      <c r="C721" s="20" t="s">
        <v>97</v>
      </c>
      <c r="D721" s="20" t="s">
        <v>273</v>
      </c>
      <c r="E721" s="20" t="s">
        <v>232</v>
      </c>
      <c r="F721" s="20" t="s">
        <v>232</v>
      </c>
      <c r="G721" s="22" t="s">
        <v>234</v>
      </c>
      <c r="H721" s="23">
        <v>8365.25</v>
      </c>
      <c r="I721" s="23">
        <v>-251.51</v>
      </c>
      <c r="J721" s="23">
        <v>0</v>
      </c>
      <c r="K721" s="23">
        <v>0</v>
      </c>
      <c r="L721" s="23">
        <v>-4398.62</v>
      </c>
      <c r="M721" s="23">
        <v>-32</v>
      </c>
      <c r="N721" s="23">
        <v>0</v>
      </c>
      <c r="O721" s="24">
        <f t="shared" si="77"/>
        <v>3683.12</v>
      </c>
      <c r="P721" s="24">
        <v>-2500</v>
      </c>
      <c r="Q721" s="23">
        <v>51</v>
      </c>
      <c r="R721" s="24">
        <v>0</v>
      </c>
      <c r="S721" s="24">
        <v>0</v>
      </c>
      <c r="T721" s="24">
        <v>0</v>
      </c>
      <c r="U721" s="24">
        <v>0</v>
      </c>
      <c r="V721" s="24">
        <v>0</v>
      </c>
      <c r="W721" s="23">
        <f t="shared" si="78"/>
        <v>1234.1199999999999</v>
      </c>
      <c r="X721" s="23">
        <f t="shared" si="79"/>
        <v>1234.1199999999999</v>
      </c>
      <c r="Y721" s="23">
        <f t="shared" si="80"/>
        <v>0</v>
      </c>
      <c r="Z721" s="24">
        <v>0</v>
      </c>
      <c r="AA721" s="23">
        <f t="shared" si="81"/>
        <v>0</v>
      </c>
      <c r="AB721" s="23">
        <f t="shared" si="82"/>
        <v>2449</v>
      </c>
      <c r="AC721" s="20" t="s">
        <v>427</v>
      </c>
      <c r="AD721" s="20" t="str">
        <f>VLOOKUP($C721,'[1]CTRL AUTOS'!$E:$AH,2,0)</f>
        <v>MUF515A</v>
      </c>
      <c r="AE721" s="11" t="str">
        <f t="shared" si="83"/>
        <v>MUF515A36</v>
      </c>
    </row>
    <row r="722" spans="1:31" ht="12.75" hidden="1" customHeight="1" x14ac:dyDescent="0.3">
      <c r="A722" s="8">
        <v>36</v>
      </c>
      <c r="B722" s="20" t="s">
        <v>37</v>
      </c>
      <c r="C722" s="20" t="s">
        <v>30</v>
      </c>
      <c r="D722" s="20" t="s">
        <v>237</v>
      </c>
      <c r="E722" s="22" t="s">
        <v>232</v>
      </c>
      <c r="F722" s="20" t="s">
        <v>291</v>
      </c>
      <c r="G722" s="22" t="s">
        <v>234</v>
      </c>
      <c r="H722" s="23">
        <v>1523.4</v>
      </c>
      <c r="I722" s="23">
        <v>-35.85</v>
      </c>
      <c r="J722" s="23">
        <v>0</v>
      </c>
      <c r="K722" s="23">
        <v>0</v>
      </c>
      <c r="L722" s="23">
        <v>-993.56</v>
      </c>
      <c r="M722" s="23">
        <v>-38</v>
      </c>
      <c r="N722" s="23">
        <v>0</v>
      </c>
      <c r="O722" s="24">
        <f t="shared" si="77"/>
        <v>455.99000000000024</v>
      </c>
      <c r="P722" s="24">
        <v>-1607</v>
      </c>
      <c r="Q722" s="24">
        <v>0</v>
      </c>
      <c r="R722" s="24">
        <v>0</v>
      </c>
      <c r="S722" s="24">
        <v>0</v>
      </c>
      <c r="T722" s="24">
        <v>0</v>
      </c>
      <c r="U722" s="24">
        <v>0</v>
      </c>
      <c r="V722" s="24">
        <v>0</v>
      </c>
      <c r="W722" s="23">
        <f t="shared" si="78"/>
        <v>-1151.0099999999998</v>
      </c>
      <c r="X722" s="23">
        <f t="shared" si="79"/>
        <v>0</v>
      </c>
      <c r="Y722" s="23">
        <f t="shared" si="80"/>
        <v>-1151.0099999999998</v>
      </c>
      <c r="Z722" s="24">
        <v>0</v>
      </c>
      <c r="AA722" s="23">
        <f t="shared" si="81"/>
        <v>-1151.0099999999998</v>
      </c>
      <c r="AB722" s="23">
        <f t="shared" si="82"/>
        <v>-695.01999999999953</v>
      </c>
      <c r="AC722" s="20" t="s">
        <v>395</v>
      </c>
      <c r="AD722" s="20" t="str">
        <f>VLOOKUP($C722,'[1]CTRL AUTOS'!$E:$AH,2,0)</f>
        <v>D51BHV</v>
      </c>
      <c r="AE722" s="11" t="str">
        <f t="shared" si="83"/>
        <v>D51BHV36</v>
      </c>
    </row>
    <row r="723" spans="1:31" ht="12.75" hidden="1" customHeight="1" x14ac:dyDescent="0.3">
      <c r="A723" s="8">
        <v>36</v>
      </c>
      <c r="B723" s="20" t="s">
        <v>361</v>
      </c>
      <c r="C723" s="20" t="s">
        <v>56</v>
      </c>
      <c r="D723" s="20" t="s">
        <v>336</v>
      </c>
      <c r="E723" s="22" t="s">
        <v>241</v>
      </c>
      <c r="F723" s="20" t="s">
        <v>291</v>
      </c>
      <c r="G723" s="22" t="s">
        <v>234</v>
      </c>
      <c r="H723" s="23">
        <v>7017.27</v>
      </c>
      <c r="I723" s="23">
        <v>-149.56</v>
      </c>
      <c r="J723" s="23">
        <v>0</v>
      </c>
      <c r="K723" s="23">
        <v>0</v>
      </c>
      <c r="L723" s="23">
        <v>-2782.31</v>
      </c>
      <c r="M723" s="23">
        <v>-32</v>
      </c>
      <c r="N723" s="23">
        <v>0</v>
      </c>
      <c r="O723" s="24">
        <f t="shared" si="77"/>
        <v>4053.4</v>
      </c>
      <c r="P723" s="24">
        <v>-2500</v>
      </c>
      <c r="Q723" s="24">
        <v>0</v>
      </c>
      <c r="R723" s="24">
        <v>0</v>
      </c>
      <c r="S723" s="24">
        <v>0</v>
      </c>
      <c r="T723" s="24">
        <v>0</v>
      </c>
      <c r="U723" s="24">
        <v>0</v>
      </c>
      <c r="V723" s="24">
        <v>0</v>
      </c>
      <c r="W723" s="23">
        <f t="shared" si="78"/>
        <v>1553.4</v>
      </c>
      <c r="X723" s="23">
        <f t="shared" si="79"/>
        <v>1553.4</v>
      </c>
      <c r="Y723" s="23">
        <f t="shared" si="80"/>
        <v>0</v>
      </c>
      <c r="Z723" s="24">
        <v>0</v>
      </c>
      <c r="AA723" s="23">
        <f t="shared" si="81"/>
        <v>0</v>
      </c>
      <c r="AB723" s="23">
        <f t="shared" si="82"/>
        <v>2500</v>
      </c>
      <c r="AC723" s="20"/>
      <c r="AD723" s="20" t="str">
        <f>VLOOKUP($C723,'[1]CTRL AUTOS'!$E:$AH,2,0)</f>
        <v>MYE912A</v>
      </c>
      <c r="AE723" s="11" t="str">
        <f t="shared" si="83"/>
        <v>MYE912A36</v>
      </c>
    </row>
    <row r="724" spans="1:31" ht="12.75" hidden="1" customHeight="1" x14ac:dyDescent="0.3">
      <c r="A724" s="8">
        <v>36</v>
      </c>
      <c r="B724" s="20" t="s">
        <v>388</v>
      </c>
      <c r="C724" s="20" t="s">
        <v>69</v>
      </c>
      <c r="D724" s="20" t="s">
        <v>370</v>
      </c>
      <c r="E724" s="22" t="s">
        <v>241</v>
      </c>
      <c r="F724" s="20" t="s">
        <v>291</v>
      </c>
      <c r="G724" s="22" t="s">
        <v>234</v>
      </c>
      <c r="H724" s="23">
        <v>790.91</v>
      </c>
      <c r="I724" s="23">
        <v>-18.239999999999998</v>
      </c>
      <c r="J724" s="23">
        <v>0</v>
      </c>
      <c r="K724" s="23">
        <v>0</v>
      </c>
      <c r="L724" s="23">
        <v>-267.31</v>
      </c>
      <c r="M724" s="23">
        <v>-48</v>
      </c>
      <c r="N724" s="23">
        <v>0</v>
      </c>
      <c r="O724" s="24">
        <f t="shared" si="77"/>
        <v>457.35999999999996</v>
      </c>
      <c r="P724" s="23">
        <v>-2500</v>
      </c>
      <c r="Q724" s="24">
        <v>941</v>
      </c>
      <c r="R724" s="23">
        <v>-357</v>
      </c>
      <c r="S724" s="23">
        <v>0</v>
      </c>
      <c r="T724" s="23">
        <v>0</v>
      </c>
      <c r="U724" s="24">
        <v>0</v>
      </c>
      <c r="V724" s="23">
        <v>0</v>
      </c>
      <c r="W724" s="23">
        <f t="shared" si="78"/>
        <v>-1458.64</v>
      </c>
      <c r="X724" s="23">
        <f t="shared" si="79"/>
        <v>0</v>
      </c>
      <c r="Y724" s="23">
        <f t="shared" si="80"/>
        <v>-1458.64</v>
      </c>
      <c r="Z724" s="24">
        <v>1500</v>
      </c>
      <c r="AA724" s="23">
        <f t="shared" si="81"/>
        <v>41.3599999999999</v>
      </c>
      <c r="AB724" s="23">
        <f t="shared" si="82"/>
        <v>1998.7199999999998</v>
      </c>
      <c r="AC724" s="20" t="s">
        <v>297</v>
      </c>
      <c r="AD724" s="20" t="str">
        <f>VLOOKUP($C724,'[1]CTRL AUTOS'!$E:$AH,2,0)</f>
        <v>R51BKD</v>
      </c>
      <c r="AE724" s="11" t="str">
        <f t="shared" si="83"/>
        <v>R51BKD36</v>
      </c>
    </row>
    <row r="725" spans="1:31" ht="12.75" hidden="1" customHeight="1" x14ac:dyDescent="0.3">
      <c r="A725" s="8">
        <v>36</v>
      </c>
      <c r="B725" s="20" t="s">
        <v>417</v>
      </c>
      <c r="C725" s="20" t="s">
        <v>428</v>
      </c>
      <c r="D725" s="20" t="s">
        <v>237</v>
      </c>
      <c r="E725" s="22" t="s">
        <v>364</v>
      </c>
      <c r="F725" s="22" t="s">
        <v>364</v>
      </c>
      <c r="G725" s="22" t="s">
        <v>234</v>
      </c>
      <c r="H725" s="23">
        <v>3161.48</v>
      </c>
      <c r="I725" s="23">
        <v>-63.14</v>
      </c>
      <c r="J725" s="23">
        <v>0</v>
      </c>
      <c r="K725" s="23">
        <v>0</v>
      </c>
      <c r="L725" s="23">
        <v>-1652.17</v>
      </c>
      <c r="M725" s="23">
        <v>0</v>
      </c>
      <c r="N725" s="23">
        <v>0</v>
      </c>
      <c r="O725" s="24">
        <f t="shared" si="77"/>
        <v>1446.17</v>
      </c>
      <c r="P725" s="23">
        <v>-2500</v>
      </c>
      <c r="Q725" s="23">
        <v>40</v>
      </c>
      <c r="R725" s="23">
        <v>-500</v>
      </c>
      <c r="S725" s="23">
        <v>0</v>
      </c>
      <c r="T725" s="23">
        <v>0</v>
      </c>
      <c r="U725" s="23">
        <v>0</v>
      </c>
      <c r="V725" s="23">
        <v>0</v>
      </c>
      <c r="W725" s="23">
        <f t="shared" si="78"/>
        <v>-1513.83</v>
      </c>
      <c r="X725" s="23">
        <f t="shared" si="79"/>
        <v>0</v>
      </c>
      <c r="Y725" s="23">
        <f t="shared" si="80"/>
        <v>-1513.83</v>
      </c>
      <c r="Z725" s="24">
        <v>1514</v>
      </c>
      <c r="AA725" s="23">
        <f t="shared" si="81"/>
        <v>0.17000000000007276</v>
      </c>
      <c r="AB725" s="23">
        <f t="shared" si="82"/>
        <v>2960.34</v>
      </c>
      <c r="AC725" s="43"/>
      <c r="AD725" s="20" t="e">
        <f>VLOOKUP($C725,'[1]CTRL AUTOS'!$E:$AH,2,0)</f>
        <v>#N/A</v>
      </c>
      <c r="AE725" s="11" t="e">
        <f t="shared" si="83"/>
        <v>#N/A</v>
      </c>
    </row>
    <row r="726" spans="1:31" ht="12.75" hidden="1" customHeight="1" x14ac:dyDescent="0.3">
      <c r="A726" s="8">
        <v>36</v>
      </c>
      <c r="B726" s="20" t="s">
        <v>45</v>
      </c>
      <c r="C726" s="20" t="s">
        <v>46</v>
      </c>
      <c r="D726" s="20" t="s">
        <v>257</v>
      </c>
      <c r="E726" s="20" t="s">
        <v>232</v>
      </c>
      <c r="F726" s="20" t="s">
        <v>232</v>
      </c>
      <c r="G726" s="22" t="s">
        <v>234</v>
      </c>
      <c r="H726" s="23">
        <v>3370.44</v>
      </c>
      <c r="I726" s="23">
        <v>-42.65</v>
      </c>
      <c r="J726" s="23">
        <v>0</v>
      </c>
      <c r="K726" s="23">
        <v>0</v>
      </c>
      <c r="L726" s="23">
        <v>-1312.04</v>
      </c>
      <c r="M726" s="23">
        <v>-54.510000000000005</v>
      </c>
      <c r="N726" s="23">
        <v>0</v>
      </c>
      <c r="O726" s="24">
        <f t="shared" si="77"/>
        <v>1961.24</v>
      </c>
      <c r="P726" s="24">
        <v>-2500</v>
      </c>
      <c r="Q726" s="23">
        <v>0</v>
      </c>
      <c r="R726" s="24">
        <v>0</v>
      </c>
      <c r="S726" s="24">
        <v>0</v>
      </c>
      <c r="T726" s="24">
        <v>0</v>
      </c>
      <c r="U726" s="24">
        <v>-500</v>
      </c>
      <c r="V726" s="24">
        <v>0</v>
      </c>
      <c r="W726" s="23">
        <f t="shared" si="78"/>
        <v>-1038.76</v>
      </c>
      <c r="X726" s="23">
        <f t="shared" si="79"/>
        <v>0</v>
      </c>
      <c r="Y726" s="23">
        <f t="shared" si="80"/>
        <v>-1038.76</v>
      </c>
      <c r="Z726" s="24">
        <v>1039</v>
      </c>
      <c r="AA726" s="23">
        <f t="shared" si="81"/>
        <v>0.24000000000000909</v>
      </c>
      <c r="AB726" s="23">
        <f t="shared" si="82"/>
        <v>3000.4799999999996</v>
      </c>
      <c r="AC726" s="20"/>
      <c r="AD726" s="20" t="str">
        <f>VLOOKUP($C726,'[1]CTRL AUTOS'!$E:$AH,2,0)</f>
        <v>R66BER</v>
      </c>
      <c r="AE726" s="11" t="str">
        <f t="shared" si="83"/>
        <v>R66BER36</v>
      </c>
    </row>
    <row r="727" spans="1:31" ht="12.75" hidden="1" customHeight="1" x14ac:dyDescent="0.3">
      <c r="A727" s="8">
        <v>36</v>
      </c>
      <c r="B727" s="20" t="s">
        <v>5</v>
      </c>
      <c r="C727" s="20" t="s">
        <v>28</v>
      </c>
      <c r="D727" s="20" t="s">
        <v>274</v>
      </c>
      <c r="E727" s="20" t="s">
        <v>232</v>
      </c>
      <c r="F727" s="20" t="s">
        <v>232</v>
      </c>
      <c r="G727" s="22" t="s">
        <v>234</v>
      </c>
      <c r="H727" s="23">
        <v>2255.7199999999998</v>
      </c>
      <c r="I727" s="23">
        <v>-38.11</v>
      </c>
      <c r="J727" s="23">
        <v>0</v>
      </c>
      <c r="K727" s="23">
        <v>0</v>
      </c>
      <c r="L727" s="23">
        <v>-135</v>
      </c>
      <c r="M727" s="23">
        <v>-32</v>
      </c>
      <c r="N727" s="23">
        <v>0</v>
      </c>
      <c r="O727" s="24">
        <f t="shared" si="77"/>
        <v>2050.6099999999997</v>
      </c>
      <c r="P727" s="24">
        <v>-2500</v>
      </c>
      <c r="Q727" s="23">
        <v>-13</v>
      </c>
      <c r="R727" s="24">
        <v>0</v>
      </c>
      <c r="S727" s="24">
        <v>0</v>
      </c>
      <c r="T727" s="24">
        <v>0</v>
      </c>
      <c r="U727" s="24">
        <v>-1100</v>
      </c>
      <c r="V727" s="24">
        <v>0</v>
      </c>
      <c r="W727" s="23">
        <f t="shared" si="78"/>
        <v>-1562.3900000000003</v>
      </c>
      <c r="X727" s="23">
        <f t="shared" si="79"/>
        <v>0</v>
      </c>
      <c r="Y727" s="23">
        <f t="shared" si="80"/>
        <v>-1562.3900000000003</v>
      </c>
      <c r="Z727" s="24">
        <v>0</v>
      </c>
      <c r="AA727" s="23">
        <f t="shared" si="81"/>
        <v>-1562.3900000000003</v>
      </c>
      <c r="AB727" s="23">
        <f t="shared" si="82"/>
        <v>488.21999999999935</v>
      </c>
      <c r="AC727" s="20"/>
      <c r="AD727" s="20" t="str">
        <f>VLOOKUP($C727,'[1]CTRL AUTOS'!$E:$AH,2,0)</f>
        <v>NCT814A</v>
      </c>
      <c r="AE727" s="11" t="str">
        <f t="shared" si="83"/>
        <v>NCT814A36</v>
      </c>
    </row>
    <row r="728" spans="1:31" ht="12.75" hidden="1" customHeight="1" x14ac:dyDescent="0.3">
      <c r="A728" s="8">
        <v>36</v>
      </c>
      <c r="B728" s="20" t="s">
        <v>362</v>
      </c>
      <c r="C728" s="20" t="s">
        <v>50</v>
      </c>
      <c r="D728" s="20" t="s">
        <v>267</v>
      </c>
      <c r="E728" s="20" t="s">
        <v>232</v>
      </c>
      <c r="F728" s="20" t="s">
        <v>232</v>
      </c>
      <c r="G728" s="22" t="s">
        <v>234</v>
      </c>
      <c r="H728" s="23">
        <v>2423.7199999999998</v>
      </c>
      <c r="I728" s="23">
        <v>-51.02</v>
      </c>
      <c r="J728" s="23">
        <v>0</v>
      </c>
      <c r="K728" s="23">
        <v>0</v>
      </c>
      <c r="L728" s="23">
        <v>-262.52999999999997</v>
      </c>
      <c r="M728" s="23">
        <v>-38</v>
      </c>
      <c r="N728" s="23">
        <v>0</v>
      </c>
      <c r="O728" s="24">
        <f t="shared" si="77"/>
        <v>2072.17</v>
      </c>
      <c r="P728" s="24">
        <v>-2500</v>
      </c>
      <c r="Q728" s="23">
        <v>0</v>
      </c>
      <c r="R728" s="24">
        <v>0</v>
      </c>
      <c r="S728" s="24">
        <v>0</v>
      </c>
      <c r="T728" s="24">
        <v>0</v>
      </c>
      <c r="U728" s="24">
        <v>0</v>
      </c>
      <c r="V728" s="24">
        <v>0</v>
      </c>
      <c r="W728" s="23">
        <f t="shared" si="78"/>
        <v>-427.82999999999993</v>
      </c>
      <c r="X728" s="23">
        <f t="shared" si="79"/>
        <v>0</v>
      </c>
      <c r="Y728" s="23">
        <f t="shared" si="80"/>
        <v>-427.82999999999993</v>
      </c>
      <c r="Z728" s="24">
        <f>200+228</f>
        <v>428</v>
      </c>
      <c r="AA728" s="23">
        <f t="shared" si="81"/>
        <v>0.17000000000007276</v>
      </c>
      <c r="AB728" s="23">
        <f t="shared" si="82"/>
        <v>2500.34</v>
      </c>
      <c r="AC728" s="20"/>
      <c r="AD728" s="20" t="str">
        <f>VLOOKUP($C728,'[1]CTRL AUTOS'!$E:$AH,2,0)</f>
        <v>NBS225A</v>
      </c>
      <c r="AE728" s="11" t="str">
        <f t="shared" si="83"/>
        <v>NBS225A36</v>
      </c>
    </row>
    <row r="729" spans="1:31" ht="12.75" hidden="1" customHeight="1" x14ac:dyDescent="0.3">
      <c r="A729" s="8">
        <v>36</v>
      </c>
      <c r="B729" s="20" t="s">
        <v>414</v>
      </c>
      <c r="C729" s="20" t="s">
        <v>168</v>
      </c>
      <c r="D729" s="20" t="s">
        <v>265</v>
      </c>
      <c r="E729" s="20" t="s">
        <v>232</v>
      </c>
      <c r="F729" s="20" t="s">
        <v>232</v>
      </c>
      <c r="G729" s="22" t="s">
        <v>234</v>
      </c>
      <c r="H729" s="23">
        <v>10226.32</v>
      </c>
      <c r="I729" s="23">
        <v>-293.62</v>
      </c>
      <c r="J729" s="23">
        <v>0</v>
      </c>
      <c r="K729" s="23">
        <v>0</v>
      </c>
      <c r="L729" s="23">
        <v>-4585.3599999999997</v>
      </c>
      <c r="M729" s="23">
        <v>-38</v>
      </c>
      <c r="N729" s="23">
        <v>0</v>
      </c>
      <c r="O729" s="24">
        <f t="shared" si="77"/>
        <v>5309.3399999999992</v>
      </c>
      <c r="P729" s="23">
        <v>-2500</v>
      </c>
      <c r="Q729" s="23">
        <v>0</v>
      </c>
      <c r="R729" s="23">
        <v>-500</v>
      </c>
      <c r="S729" s="23">
        <v>0</v>
      </c>
      <c r="T729" s="23">
        <v>0</v>
      </c>
      <c r="U729" s="23">
        <v>73</v>
      </c>
      <c r="V729" s="23">
        <v>0</v>
      </c>
      <c r="W729" s="23">
        <f t="shared" si="78"/>
        <v>2382.3399999999992</v>
      </c>
      <c r="X729" s="23">
        <f t="shared" si="79"/>
        <v>2382.3399999999992</v>
      </c>
      <c r="Y729" s="23">
        <f t="shared" si="80"/>
        <v>0</v>
      </c>
      <c r="Z729" s="24">
        <v>0</v>
      </c>
      <c r="AA729" s="23">
        <f t="shared" si="81"/>
        <v>0</v>
      </c>
      <c r="AB729" s="23">
        <f t="shared" si="82"/>
        <v>2927</v>
      </c>
      <c r="AC729" s="20" t="s">
        <v>421</v>
      </c>
      <c r="AD729" s="20" t="e">
        <f>VLOOKUP($C729,'[1]CTRL AUTOS'!$E:$AH,2,0)</f>
        <v>#N/A</v>
      </c>
      <c r="AE729" s="11" t="e">
        <f t="shared" si="83"/>
        <v>#N/A</v>
      </c>
    </row>
    <row r="730" spans="1:31" ht="12.75" hidden="1" customHeight="1" x14ac:dyDescent="0.3">
      <c r="A730" s="8">
        <v>36</v>
      </c>
      <c r="B730" s="20" t="s">
        <v>74</v>
      </c>
      <c r="C730" s="20" t="s">
        <v>77</v>
      </c>
      <c r="D730" s="20" t="s">
        <v>237</v>
      </c>
      <c r="E730" s="22" t="s">
        <v>232</v>
      </c>
      <c r="F730" s="20" t="s">
        <v>291</v>
      </c>
      <c r="G730" s="22" t="s">
        <v>234</v>
      </c>
      <c r="H730" s="23">
        <v>2918.01</v>
      </c>
      <c r="I730" s="23">
        <v>-47.34</v>
      </c>
      <c r="J730" s="23">
        <v>0</v>
      </c>
      <c r="K730" s="23">
        <v>0</v>
      </c>
      <c r="L730" s="23">
        <v>0</v>
      </c>
      <c r="M730" s="23">
        <v>-32</v>
      </c>
      <c r="N730" s="23">
        <v>0</v>
      </c>
      <c r="O730" s="24">
        <f t="shared" si="77"/>
        <v>2838.67</v>
      </c>
      <c r="P730" s="23">
        <v>-2500</v>
      </c>
      <c r="Q730" s="24">
        <v>-22</v>
      </c>
      <c r="R730" s="23">
        <v>-500</v>
      </c>
      <c r="S730" s="23">
        <v>0</v>
      </c>
      <c r="T730" s="23">
        <v>0</v>
      </c>
      <c r="U730" s="24">
        <v>-550</v>
      </c>
      <c r="V730" s="23">
        <v>0</v>
      </c>
      <c r="W730" s="23">
        <f t="shared" si="78"/>
        <v>-733.32999999999993</v>
      </c>
      <c r="X730" s="23">
        <f t="shared" si="79"/>
        <v>0</v>
      </c>
      <c r="Y730" s="23">
        <f t="shared" si="80"/>
        <v>-733.32999999999993</v>
      </c>
      <c r="Z730" s="24">
        <v>0</v>
      </c>
      <c r="AA730" s="23">
        <f t="shared" si="81"/>
        <v>-733.32999999999993</v>
      </c>
      <c r="AB730" s="23">
        <f t="shared" si="82"/>
        <v>2105.34</v>
      </c>
      <c r="AC730" s="20" t="s">
        <v>405</v>
      </c>
      <c r="AD730" s="20" t="str">
        <f>VLOOKUP($C730,'[1]CTRL AUTOS'!$E:$AH,2,0)</f>
        <v>MEE228C</v>
      </c>
      <c r="AE730" s="11" t="str">
        <f t="shared" si="83"/>
        <v>MEE228C36</v>
      </c>
    </row>
    <row r="731" spans="1:31" ht="12.75" hidden="1" customHeight="1" x14ac:dyDescent="0.3">
      <c r="A731" s="8">
        <v>36</v>
      </c>
      <c r="B731" s="20" t="s">
        <v>76</v>
      </c>
      <c r="C731" s="20" t="s">
        <v>8</v>
      </c>
      <c r="D731" s="20" t="s">
        <v>367</v>
      </c>
      <c r="E731" s="20" t="s">
        <v>364</v>
      </c>
      <c r="F731" s="22" t="s">
        <v>364</v>
      </c>
      <c r="G731" s="22" t="s">
        <v>234</v>
      </c>
      <c r="H731" s="23">
        <v>1332.16</v>
      </c>
      <c r="I731" s="23">
        <v>0</v>
      </c>
      <c r="J731" s="23">
        <v>0</v>
      </c>
      <c r="K731" s="23">
        <v>-9.6199999999999992</v>
      </c>
      <c r="L731" s="23">
        <v>-1370.71</v>
      </c>
      <c r="M731" s="23">
        <v>0</v>
      </c>
      <c r="N731" s="23">
        <v>-155</v>
      </c>
      <c r="O731" s="24">
        <f t="shared" si="77"/>
        <v>-203.16999999999985</v>
      </c>
      <c r="P731" s="23">
        <v>-1786</v>
      </c>
      <c r="Q731" s="24">
        <v>-2389</v>
      </c>
      <c r="R731" s="23">
        <v>3821</v>
      </c>
      <c r="S731" s="23">
        <v>0</v>
      </c>
      <c r="T731" s="23">
        <v>0</v>
      </c>
      <c r="U731" s="24">
        <v>0</v>
      </c>
      <c r="V731" s="23">
        <v>0</v>
      </c>
      <c r="W731" s="23">
        <f t="shared" si="78"/>
        <v>-557.16999999999985</v>
      </c>
      <c r="X731" s="23">
        <f t="shared" si="79"/>
        <v>0</v>
      </c>
      <c r="Y731" s="23">
        <f t="shared" si="80"/>
        <v>-557.16999999999985</v>
      </c>
      <c r="Z731" s="24">
        <v>0</v>
      </c>
      <c r="AA731" s="23">
        <f t="shared" si="81"/>
        <v>-557.16999999999985</v>
      </c>
      <c r="AB731" s="23">
        <f t="shared" si="82"/>
        <v>-760.33999999999969</v>
      </c>
      <c r="AC731" s="20" t="s">
        <v>429</v>
      </c>
      <c r="AD731" s="20" t="e">
        <f>VLOOKUP($C731,'[1]CTRL AUTOS'!$E:$AH,2,0)</f>
        <v>#N/A</v>
      </c>
      <c r="AE731" s="11" t="e">
        <f t="shared" si="83"/>
        <v>#N/A</v>
      </c>
    </row>
    <row r="732" spans="1:31" ht="12.75" hidden="1" customHeight="1" x14ac:dyDescent="0.3">
      <c r="A732" s="8">
        <v>36</v>
      </c>
      <c r="B732" s="20" t="s">
        <v>98</v>
      </c>
      <c r="C732" s="44" t="s">
        <v>79</v>
      </c>
      <c r="D732" s="20" t="s">
        <v>250</v>
      </c>
      <c r="E732" s="20" t="s">
        <v>291</v>
      </c>
      <c r="F732" s="20" t="s">
        <v>291</v>
      </c>
      <c r="G732" s="22" t="s">
        <v>234</v>
      </c>
      <c r="H732" s="23">
        <v>0</v>
      </c>
      <c r="I732" s="23">
        <v>0</v>
      </c>
      <c r="J732" s="23">
        <v>0</v>
      </c>
      <c r="K732" s="23">
        <v>0</v>
      </c>
      <c r="L732" s="23">
        <v>0</v>
      </c>
      <c r="M732" s="23">
        <v>0</v>
      </c>
      <c r="N732" s="23">
        <v>0</v>
      </c>
      <c r="O732" s="24">
        <f t="shared" si="77"/>
        <v>0</v>
      </c>
      <c r="P732" s="23">
        <v>-2143</v>
      </c>
      <c r="Q732" s="23">
        <v>0</v>
      </c>
      <c r="R732" s="23">
        <v>0</v>
      </c>
      <c r="S732" s="23">
        <v>0</v>
      </c>
      <c r="T732" s="23">
        <v>0</v>
      </c>
      <c r="U732" s="23">
        <v>-150</v>
      </c>
      <c r="V732" s="23">
        <v>0</v>
      </c>
      <c r="W732" s="23">
        <f t="shared" si="78"/>
        <v>-2293</v>
      </c>
      <c r="X732" s="23">
        <f t="shared" si="79"/>
        <v>0</v>
      </c>
      <c r="Y732" s="23">
        <f t="shared" si="80"/>
        <v>-2293</v>
      </c>
      <c r="Z732" s="24">
        <v>0</v>
      </c>
      <c r="AA732" s="23">
        <f t="shared" si="81"/>
        <v>-2293</v>
      </c>
      <c r="AB732" s="23">
        <f t="shared" si="82"/>
        <v>-2293</v>
      </c>
      <c r="AC732" s="20" t="s">
        <v>405</v>
      </c>
      <c r="AD732" s="20" t="str">
        <f>VLOOKUP($C732,'[1]CTRL AUTOS'!$E:$AH,2,0)</f>
        <v>MAY737C</v>
      </c>
      <c r="AE732" s="11" t="str">
        <f t="shared" si="83"/>
        <v>MAY737C36</v>
      </c>
    </row>
    <row r="733" spans="1:31" ht="12.75" hidden="1" customHeight="1" x14ac:dyDescent="0.3">
      <c r="A733" s="8">
        <v>37</v>
      </c>
      <c r="B733" s="20" t="s">
        <v>11</v>
      </c>
      <c r="C733" s="20" t="s">
        <v>54</v>
      </c>
      <c r="D733" s="20" t="s">
        <v>265</v>
      </c>
      <c r="E733" s="20" t="s">
        <v>232</v>
      </c>
      <c r="F733" s="20" t="s">
        <v>232</v>
      </c>
      <c r="G733" s="20" t="s">
        <v>234</v>
      </c>
      <c r="H733" s="23">
        <v>7644.01</v>
      </c>
      <c r="I733" s="23">
        <v>-108.89</v>
      </c>
      <c r="J733" s="23">
        <v>0</v>
      </c>
      <c r="K733" s="23">
        <v>0</v>
      </c>
      <c r="L733" s="23">
        <v>-4798.33</v>
      </c>
      <c r="M733" s="23">
        <v>-38</v>
      </c>
      <c r="N733" s="23">
        <v>0</v>
      </c>
      <c r="O733" s="24">
        <f t="shared" si="77"/>
        <v>2698.79</v>
      </c>
      <c r="P733" s="23">
        <v>-2142.86</v>
      </c>
      <c r="Q733" s="23">
        <v>0</v>
      </c>
      <c r="R733" s="23">
        <v>-428</v>
      </c>
      <c r="S733" s="23">
        <v>0</v>
      </c>
      <c r="T733" s="24">
        <v>0</v>
      </c>
      <c r="U733" s="24">
        <v>0</v>
      </c>
      <c r="V733" s="23">
        <v>0</v>
      </c>
      <c r="W733" s="23">
        <f t="shared" si="78"/>
        <v>127.92999999999984</v>
      </c>
      <c r="X733" s="23">
        <f t="shared" si="79"/>
        <v>127.92999999999984</v>
      </c>
      <c r="Y733" s="23">
        <f t="shared" si="80"/>
        <v>0</v>
      </c>
      <c r="Z733" s="24">
        <v>0</v>
      </c>
      <c r="AA733" s="23">
        <f t="shared" si="81"/>
        <v>0</v>
      </c>
      <c r="AB733" s="23">
        <f t="shared" si="82"/>
        <v>2570.86</v>
      </c>
      <c r="AC733" s="20" t="s">
        <v>226</v>
      </c>
      <c r="AD733" s="20" t="str">
        <f>VLOOKUP($C733,'[1]CTRL AUTOS'!$E:$AH,2,0)</f>
        <v>NZY685B</v>
      </c>
      <c r="AE733" s="11" t="str">
        <f t="shared" si="83"/>
        <v>NZY685B37</v>
      </c>
    </row>
    <row r="734" spans="1:31" ht="12.75" hidden="1" customHeight="1" x14ac:dyDescent="0.3">
      <c r="A734" s="8">
        <v>37</v>
      </c>
      <c r="B734" s="20" t="s">
        <v>80</v>
      </c>
      <c r="C734" s="20" t="s">
        <v>81</v>
      </c>
      <c r="D734" s="20" t="s">
        <v>317</v>
      </c>
      <c r="E734" s="20" t="s">
        <v>232</v>
      </c>
      <c r="F734" s="20" t="s">
        <v>232</v>
      </c>
      <c r="G734" s="22" t="s">
        <v>234</v>
      </c>
      <c r="H734" s="23">
        <v>777.39</v>
      </c>
      <c r="I734" s="23">
        <v>-10.53</v>
      </c>
      <c r="J734" s="23">
        <v>0</v>
      </c>
      <c r="K734" s="23">
        <v>0</v>
      </c>
      <c r="L734" s="23">
        <v>-347.22</v>
      </c>
      <c r="M734" s="23">
        <v>-28</v>
      </c>
      <c r="N734" s="23">
        <v>0</v>
      </c>
      <c r="O734" s="24">
        <f t="shared" si="77"/>
        <v>391.64</v>
      </c>
      <c r="P734" s="24">
        <v>-2500</v>
      </c>
      <c r="Q734" s="24">
        <v>0</v>
      </c>
      <c r="R734" s="24">
        <v>0</v>
      </c>
      <c r="S734" s="24">
        <v>0</v>
      </c>
      <c r="T734" s="24">
        <v>-500</v>
      </c>
      <c r="U734" s="24">
        <v>0</v>
      </c>
      <c r="V734" s="24">
        <v>0</v>
      </c>
      <c r="W734" s="23">
        <f t="shared" si="78"/>
        <v>-2608.36</v>
      </c>
      <c r="X734" s="23">
        <f t="shared" si="79"/>
        <v>0</v>
      </c>
      <c r="Y734" s="23">
        <f t="shared" si="80"/>
        <v>-2608.36</v>
      </c>
      <c r="Z734" s="24">
        <v>2608</v>
      </c>
      <c r="AA734" s="23">
        <f t="shared" si="81"/>
        <v>-0.36000000000012733</v>
      </c>
      <c r="AB734" s="23">
        <f t="shared" si="82"/>
        <v>2999.2799999999997</v>
      </c>
      <c r="AC734" s="20" t="s">
        <v>394</v>
      </c>
      <c r="AD734" s="20" t="str">
        <f>VLOOKUP($C734,'[1]CTRL AUTOS'!$E:$AH,2,0)</f>
        <v>NLP172B</v>
      </c>
      <c r="AE734" s="11" t="str">
        <f t="shared" si="83"/>
        <v>NLP172B37</v>
      </c>
    </row>
    <row r="735" spans="1:31" ht="12.75" hidden="1" customHeight="1" x14ac:dyDescent="0.3">
      <c r="A735" s="8">
        <v>37</v>
      </c>
      <c r="B735" s="20" t="s">
        <v>13</v>
      </c>
      <c r="C735" s="20" t="s">
        <v>40</v>
      </c>
      <c r="D735" s="20" t="s">
        <v>315</v>
      </c>
      <c r="E735" s="20" t="s">
        <v>232</v>
      </c>
      <c r="F735" s="20" t="s">
        <v>232</v>
      </c>
      <c r="G735" s="22" t="s">
        <v>234</v>
      </c>
      <c r="H735" s="23">
        <v>5903.88</v>
      </c>
      <c r="I735" s="23">
        <v>-79.78</v>
      </c>
      <c r="J735" s="23">
        <v>0</v>
      </c>
      <c r="K735" s="23">
        <v>0</v>
      </c>
      <c r="L735" s="23">
        <v>0</v>
      </c>
      <c r="M735" s="23">
        <v>-38</v>
      </c>
      <c r="N735" s="23">
        <v>0</v>
      </c>
      <c r="O735" s="24">
        <f t="shared" si="77"/>
        <v>5786.1</v>
      </c>
      <c r="P735" s="24">
        <v>-2500</v>
      </c>
      <c r="Q735" s="23">
        <v>0</v>
      </c>
      <c r="R735" s="24">
        <v>-500</v>
      </c>
      <c r="S735" s="24">
        <v>0</v>
      </c>
      <c r="T735" s="24">
        <v>0</v>
      </c>
      <c r="U735" s="24">
        <v>0</v>
      </c>
      <c r="V735" s="24">
        <v>0</v>
      </c>
      <c r="W735" s="23">
        <f t="shared" si="78"/>
        <v>2786.1000000000004</v>
      </c>
      <c r="X735" s="23">
        <f t="shared" si="79"/>
        <v>2786.1000000000004</v>
      </c>
      <c r="Y735" s="23">
        <f t="shared" si="80"/>
        <v>0</v>
      </c>
      <c r="Z735" s="24">
        <v>0</v>
      </c>
      <c r="AA735" s="23">
        <f t="shared" si="81"/>
        <v>0</v>
      </c>
      <c r="AB735" s="23">
        <f t="shared" si="82"/>
        <v>3000</v>
      </c>
      <c r="AC735" s="20" t="s">
        <v>226</v>
      </c>
      <c r="AD735" s="20" t="str">
        <f>VLOOKUP($C735,'[1]CTRL AUTOS'!$E:$AH,2,0)</f>
        <v>NEL860A</v>
      </c>
      <c r="AE735" s="11" t="str">
        <f t="shared" si="83"/>
        <v>NEL860A37</v>
      </c>
    </row>
    <row r="736" spans="1:31" ht="12.75" hidden="1" customHeight="1" x14ac:dyDescent="0.3">
      <c r="A736" s="8">
        <v>37</v>
      </c>
      <c r="B736" s="20" t="s">
        <v>111</v>
      </c>
      <c r="C736" s="20" t="s">
        <v>63</v>
      </c>
      <c r="D736" s="20" t="s">
        <v>374</v>
      </c>
      <c r="E736" s="20" t="s">
        <v>291</v>
      </c>
      <c r="F736" s="20" t="s">
        <v>291</v>
      </c>
      <c r="G736" s="20" t="s">
        <v>234</v>
      </c>
      <c r="H736" s="23">
        <v>6547.83</v>
      </c>
      <c r="I736" s="23">
        <v>-98.61</v>
      </c>
      <c r="J736" s="23">
        <v>0</v>
      </c>
      <c r="K736" s="23">
        <v>0</v>
      </c>
      <c r="L736" s="23">
        <v>-2311.17</v>
      </c>
      <c r="M736" s="23">
        <v>-48</v>
      </c>
      <c r="N736" s="23">
        <v>0</v>
      </c>
      <c r="O736" s="24">
        <f t="shared" si="77"/>
        <v>4090.05</v>
      </c>
      <c r="P736" s="24">
        <v>-2500</v>
      </c>
      <c r="Q736" s="24">
        <v>0</v>
      </c>
      <c r="R736" s="24">
        <v>0</v>
      </c>
      <c r="S736" s="24">
        <v>0</v>
      </c>
      <c r="T736" s="24">
        <v>-500</v>
      </c>
      <c r="U736" s="24">
        <v>0</v>
      </c>
      <c r="V736" s="24">
        <v>0</v>
      </c>
      <c r="W736" s="23">
        <f t="shared" si="78"/>
        <v>1090.0500000000002</v>
      </c>
      <c r="X736" s="23">
        <f t="shared" si="79"/>
        <v>1090.0500000000002</v>
      </c>
      <c r="Y736" s="23">
        <f t="shared" si="80"/>
        <v>0</v>
      </c>
      <c r="Z736" s="24">
        <v>0</v>
      </c>
      <c r="AA736" s="23">
        <f t="shared" si="81"/>
        <v>0</v>
      </c>
      <c r="AB736" s="23">
        <f t="shared" si="82"/>
        <v>3000</v>
      </c>
      <c r="AC736" s="20" t="s">
        <v>430</v>
      </c>
      <c r="AD736" s="20" t="str">
        <f>VLOOKUP($C736,'[1]CTRL AUTOS'!$E:$AH,2,0)</f>
        <v>X89ALV</v>
      </c>
      <c r="AE736" s="11" t="str">
        <f t="shared" si="83"/>
        <v>X89ALV37</v>
      </c>
    </row>
    <row r="737" spans="1:31" ht="12.75" hidden="1" customHeight="1" x14ac:dyDescent="0.3">
      <c r="A737" s="8">
        <v>37</v>
      </c>
      <c r="B737" s="20" t="s">
        <v>17</v>
      </c>
      <c r="C737" s="20" t="s">
        <v>4</v>
      </c>
      <c r="D737" s="20" t="s">
        <v>245</v>
      </c>
      <c r="E737" s="20" t="s">
        <v>232</v>
      </c>
      <c r="F737" s="20" t="s">
        <v>232</v>
      </c>
      <c r="G737" s="20" t="s">
        <v>234</v>
      </c>
      <c r="H737" s="23">
        <v>7376.95</v>
      </c>
      <c r="I737" s="23">
        <v>-117.64</v>
      </c>
      <c r="J737" s="23">
        <v>0</v>
      </c>
      <c r="K737" s="23">
        <v>0</v>
      </c>
      <c r="L737" s="23">
        <v>0</v>
      </c>
      <c r="M737" s="23">
        <v>-35</v>
      </c>
      <c r="N737" s="23">
        <v>0</v>
      </c>
      <c r="O737" s="24">
        <f t="shared" si="77"/>
        <v>7224.3099999999995</v>
      </c>
      <c r="P737" s="23">
        <v>-2500</v>
      </c>
      <c r="Q737" s="23">
        <v>0</v>
      </c>
      <c r="R737" s="23">
        <v>-500</v>
      </c>
      <c r="S737" s="23">
        <v>0</v>
      </c>
      <c r="T737" s="24">
        <v>0</v>
      </c>
      <c r="U737" s="24">
        <v>-647.5</v>
      </c>
      <c r="V737" s="23">
        <v>0</v>
      </c>
      <c r="W737" s="23">
        <f t="shared" si="78"/>
        <v>3576.8099999999995</v>
      </c>
      <c r="X737" s="23">
        <f t="shared" si="79"/>
        <v>3576.8099999999995</v>
      </c>
      <c r="Y737" s="23">
        <f t="shared" si="80"/>
        <v>0</v>
      </c>
      <c r="Z737" s="24">
        <v>0</v>
      </c>
      <c r="AA737" s="23">
        <f t="shared" si="81"/>
        <v>0</v>
      </c>
      <c r="AB737" s="23">
        <f t="shared" si="82"/>
        <v>3647.5</v>
      </c>
      <c r="AC737" s="20" t="s">
        <v>226</v>
      </c>
      <c r="AD737" s="20" t="str">
        <f>VLOOKUP($C737,'[1]CTRL AUTOS'!$E:$AH,2,0)</f>
        <v>N15BKD</v>
      </c>
      <c r="AE737" s="11" t="str">
        <f t="shared" si="83"/>
        <v>N15BKD37</v>
      </c>
    </row>
    <row r="738" spans="1:31" ht="12.75" hidden="1" customHeight="1" x14ac:dyDescent="0.3">
      <c r="A738" s="8">
        <v>37</v>
      </c>
      <c r="B738" s="20" t="s">
        <v>19</v>
      </c>
      <c r="C738" s="20" t="s">
        <v>20</v>
      </c>
      <c r="D738" s="20" t="s">
        <v>239</v>
      </c>
      <c r="E738" s="20" t="s">
        <v>232</v>
      </c>
      <c r="F738" s="20" t="s">
        <v>232</v>
      </c>
      <c r="G738" s="20" t="s">
        <v>234</v>
      </c>
      <c r="H738" s="23">
        <v>8522.24</v>
      </c>
      <c r="I738" s="23">
        <v>-176.07</v>
      </c>
      <c r="J738" s="23">
        <v>0</v>
      </c>
      <c r="K738" s="23">
        <v>-73.89</v>
      </c>
      <c r="L738" s="23">
        <v>0</v>
      </c>
      <c r="M738" s="23">
        <v>-32</v>
      </c>
      <c r="N738" s="23">
        <v>0</v>
      </c>
      <c r="O738" s="24">
        <f t="shared" si="77"/>
        <v>8240.2800000000007</v>
      </c>
      <c r="P738" s="23">
        <v>-2500</v>
      </c>
      <c r="Q738" s="23">
        <v>0</v>
      </c>
      <c r="R738" s="23">
        <v>0</v>
      </c>
      <c r="S738" s="23">
        <v>0</v>
      </c>
      <c r="T738" s="24">
        <v>0</v>
      </c>
      <c r="U738" s="24">
        <v>-3000</v>
      </c>
      <c r="V738" s="23">
        <v>0</v>
      </c>
      <c r="W738" s="23">
        <f t="shared" si="78"/>
        <v>2740.2800000000007</v>
      </c>
      <c r="X738" s="23">
        <f t="shared" si="79"/>
        <v>2740.2800000000007</v>
      </c>
      <c r="Y738" s="23">
        <f t="shared" si="80"/>
        <v>0</v>
      </c>
      <c r="Z738" s="24">
        <v>0</v>
      </c>
      <c r="AA738" s="23">
        <f t="shared" si="81"/>
        <v>0</v>
      </c>
      <c r="AB738" s="23">
        <f t="shared" si="82"/>
        <v>5500</v>
      </c>
      <c r="AC738" s="20" t="s">
        <v>226</v>
      </c>
      <c r="AD738" s="20" t="str">
        <f>VLOOKUP($C738,'[1]CTRL AUTOS'!$E:$AH,2,0)</f>
        <v>D40BKD</v>
      </c>
      <c r="AE738" s="11" t="str">
        <f t="shared" si="83"/>
        <v>D40BKD37</v>
      </c>
    </row>
    <row r="739" spans="1:31" ht="12.75" hidden="1" customHeight="1" x14ac:dyDescent="0.3">
      <c r="A739" s="8">
        <v>37</v>
      </c>
      <c r="B739" s="20" t="s">
        <v>396</v>
      </c>
      <c r="C739" s="20" t="s">
        <v>75</v>
      </c>
      <c r="D739" s="20" t="s">
        <v>333</v>
      </c>
      <c r="E739" s="22" t="s">
        <v>241</v>
      </c>
      <c r="F739" s="20" t="s">
        <v>291</v>
      </c>
      <c r="G739" s="20" t="s">
        <v>234</v>
      </c>
      <c r="H739" s="23">
        <v>5949.28</v>
      </c>
      <c r="I739" s="23">
        <v>-97.27</v>
      </c>
      <c r="J739" s="23">
        <v>0</v>
      </c>
      <c r="K739" s="23">
        <v>0</v>
      </c>
      <c r="L739" s="23">
        <v>-3591.07</v>
      </c>
      <c r="M739" s="23">
        <v>-48</v>
      </c>
      <c r="N739" s="23">
        <v>0</v>
      </c>
      <c r="O739" s="24">
        <f t="shared" si="77"/>
        <v>2212.9399999999991</v>
      </c>
      <c r="P739" s="23">
        <v>-2500</v>
      </c>
      <c r="Q739" s="23">
        <v>0</v>
      </c>
      <c r="R739" s="23">
        <v>-393</v>
      </c>
      <c r="S739" s="23">
        <v>0</v>
      </c>
      <c r="T739" s="23">
        <v>0</v>
      </c>
      <c r="U739" s="23">
        <v>0</v>
      </c>
      <c r="V739" s="23">
        <v>0</v>
      </c>
      <c r="W739" s="23">
        <f t="shared" si="78"/>
        <v>-680.06000000000085</v>
      </c>
      <c r="X739" s="23">
        <f t="shared" si="79"/>
        <v>0</v>
      </c>
      <c r="Y739" s="23">
        <f t="shared" si="80"/>
        <v>-680.06000000000085</v>
      </c>
      <c r="Z739" s="24">
        <v>680</v>
      </c>
      <c r="AA739" s="23">
        <f t="shared" si="81"/>
        <v>-6.0000000000854925E-2</v>
      </c>
      <c r="AB739" s="23">
        <f t="shared" si="82"/>
        <v>2892.8799999999983</v>
      </c>
      <c r="AC739" s="20" t="s">
        <v>431</v>
      </c>
      <c r="AD739" s="20" t="str">
        <f>VLOOKUP($C739,'[1]CTRL AUTOS'!$E:$AH,2,0)</f>
        <v>NFN014B</v>
      </c>
      <c r="AE739" s="11" t="str">
        <f t="shared" si="83"/>
        <v>NFN014B37</v>
      </c>
    </row>
    <row r="740" spans="1:31" ht="12.75" hidden="1" customHeight="1" x14ac:dyDescent="0.3">
      <c r="A740" s="8">
        <v>37</v>
      </c>
      <c r="B740" s="20" t="s">
        <v>23</v>
      </c>
      <c r="C740" s="20" t="s">
        <v>106</v>
      </c>
      <c r="D740" s="20" t="s">
        <v>322</v>
      </c>
      <c r="E740" s="20" t="s">
        <v>232</v>
      </c>
      <c r="F740" s="20" t="s">
        <v>232</v>
      </c>
      <c r="G740" s="20" t="s">
        <v>234</v>
      </c>
      <c r="H740" s="23">
        <v>3846.76</v>
      </c>
      <c r="I740" s="23">
        <v>-53.03</v>
      </c>
      <c r="J740" s="23">
        <v>0</v>
      </c>
      <c r="K740" s="23">
        <v>0</v>
      </c>
      <c r="L740" s="23">
        <v>-4389.6400000000003</v>
      </c>
      <c r="M740" s="23">
        <v>-80</v>
      </c>
      <c r="N740" s="23">
        <v>-192.29</v>
      </c>
      <c r="O740" s="24">
        <f t="shared" si="77"/>
        <v>-868.20000000000027</v>
      </c>
      <c r="P740" s="24">
        <v>-2500</v>
      </c>
      <c r="Q740" s="24">
        <v>-1</v>
      </c>
      <c r="R740" s="24">
        <v>0</v>
      </c>
      <c r="S740" s="24">
        <v>0</v>
      </c>
      <c r="T740" s="24">
        <v>0</v>
      </c>
      <c r="U740" s="24">
        <v>0</v>
      </c>
      <c r="V740" s="24">
        <v>0</v>
      </c>
      <c r="W740" s="23">
        <f t="shared" si="78"/>
        <v>-3369.2000000000003</v>
      </c>
      <c r="X740" s="23">
        <f t="shared" si="79"/>
        <v>0</v>
      </c>
      <c r="Y740" s="23">
        <f t="shared" si="80"/>
        <v>-3369.2000000000003</v>
      </c>
      <c r="Z740" s="24">
        <f>3100+230</f>
        <v>3330</v>
      </c>
      <c r="AA740" s="23">
        <f t="shared" si="81"/>
        <v>-39.200000000000273</v>
      </c>
      <c r="AB740" s="23">
        <f t="shared" si="82"/>
        <v>2422.5999999999995</v>
      </c>
      <c r="AC740" s="20" t="s">
        <v>394</v>
      </c>
      <c r="AD740" s="20" t="str">
        <f>VLOOKUP($C740,'[1]CTRL AUTOS'!$E:$AH,2,0)</f>
        <v>NZU5163</v>
      </c>
      <c r="AE740" s="11" t="str">
        <f t="shared" si="83"/>
        <v>NZU516337</v>
      </c>
    </row>
    <row r="741" spans="1:31" ht="12.75" hidden="1" customHeight="1" x14ac:dyDescent="0.3">
      <c r="A741" s="8">
        <v>37</v>
      </c>
      <c r="B741" s="20" t="s">
        <v>25</v>
      </c>
      <c r="C741" s="20" t="s">
        <v>67</v>
      </c>
      <c r="D741" s="20" t="s">
        <v>343</v>
      </c>
      <c r="E741" s="20" t="s">
        <v>232</v>
      </c>
      <c r="F741" s="20" t="s">
        <v>291</v>
      </c>
      <c r="G741" s="20" t="s">
        <v>234</v>
      </c>
      <c r="H741" s="23">
        <v>2380.5300000000002</v>
      </c>
      <c r="I741" s="23">
        <v>-38.090000000000003</v>
      </c>
      <c r="J741" s="23">
        <v>0</v>
      </c>
      <c r="K741" s="23">
        <v>0</v>
      </c>
      <c r="L741" s="23">
        <v>-76.989999999999995</v>
      </c>
      <c r="M741" s="23">
        <v>-34</v>
      </c>
      <c r="N741" s="23">
        <v>0</v>
      </c>
      <c r="O741" s="24">
        <f t="shared" si="77"/>
        <v>2231.4500000000003</v>
      </c>
      <c r="P741" s="24">
        <v>-2500</v>
      </c>
      <c r="Q741" s="24">
        <v>-2033</v>
      </c>
      <c r="R741" s="24">
        <v>0</v>
      </c>
      <c r="S741" s="24">
        <v>0</v>
      </c>
      <c r="T741" s="24">
        <v>0</v>
      </c>
      <c r="U741" s="24">
        <v>0</v>
      </c>
      <c r="V741" s="24">
        <v>0</v>
      </c>
      <c r="W741" s="23">
        <f t="shared" si="78"/>
        <v>-2301.5499999999997</v>
      </c>
      <c r="X741" s="23">
        <f t="shared" si="79"/>
        <v>0</v>
      </c>
      <c r="Y741" s="23">
        <f t="shared" si="80"/>
        <v>-2301.5499999999997</v>
      </c>
      <c r="Z741" s="24">
        <v>0</v>
      </c>
      <c r="AA741" s="23">
        <f t="shared" si="81"/>
        <v>-2301.5499999999997</v>
      </c>
      <c r="AB741" s="23">
        <f t="shared" si="82"/>
        <v>-70.099999999999454</v>
      </c>
      <c r="AC741" s="20" t="s">
        <v>395</v>
      </c>
      <c r="AD741" s="20" t="str">
        <f>VLOOKUP($C741,'[1]CTRL AUTOS'!$E:$AH,2,0)</f>
        <v>MFP751C</v>
      </c>
      <c r="AE741" s="11" t="str">
        <f t="shared" si="83"/>
        <v>MFP751C37</v>
      </c>
    </row>
    <row r="742" spans="1:31" ht="12.75" hidden="1" customHeight="1" x14ac:dyDescent="0.3">
      <c r="A742" s="8">
        <v>37</v>
      </c>
      <c r="B742" s="20" t="s">
        <v>9</v>
      </c>
      <c r="C742" s="20" t="s">
        <v>10</v>
      </c>
      <c r="D742" s="20" t="s">
        <v>343</v>
      </c>
      <c r="E742" s="20" t="s">
        <v>232</v>
      </c>
      <c r="F742" s="20" t="s">
        <v>232</v>
      </c>
      <c r="G742" s="20" t="s">
        <v>234</v>
      </c>
      <c r="H742" s="23">
        <v>5812.54</v>
      </c>
      <c r="I742" s="23">
        <v>-103.82</v>
      </c>
      <c r="J742" s="23">
        <v>0</v>
      </c>
      <c r="K742" s="23">
        <v>0</v>
      </c>
      <c r="L742" s="23">
        <v>-2552.09</v>
      </c>
      <c r="M742" s="23">
        <v>-35</v>
      </c>
      <c r="N742" s="23">
        <v>0</v>
      </c>
      <c r="O742" s="24">
        <f t="shared" si="77"/>
        <v>3121.63</v>
      </c>
      <c r="P742" s="23">
        <v>-2500</v>
      </c>
      <c r="Q742" s="23">
        <v>0</v>
      </c>
      <c r="R742" s="23">
        <v>-500</v>
      </c>
      <c r="S742" s="23">
        <v>0</v>
      </c>
      <c r="T742" s="24">
        <v>0</v>
      </c>
      <c r="U742" s="24">
        <v>0</v>
      </c>
      <c r="V742" s="23">
        <v>0</v>
      </c>
      <c r="W742" s="23">
        <f t="shared" si="78"/>
        <v>121.63000000000011</v>
      </c>
      <c r="X742" s="23">
        <f t="shared" si="79"/>
        <v>121.63000000000011</v>
      </c>
      <c r="Y742" s="23">
        <f t="shared" si="80"/>
        <v>0</v>
      </c>
      <c r="Z742" s="24">
        <v>0</v>
      </c>
      <c r="AA742" s="23">
        <f t="shared" si="81"/>
        <v>0</v>
      </c>
      <c r="AB742" s="23">
        <f t="shared" si="82"/>
        <v>3000</v>
      </c>
      <c r="AC742" s="20" t="s">
        <v>226</v>
      </c>
      <c r="AD742" s="20" t="str">
        <f>VLOOKUP($C742,'[1]CTRL AUTOS'!$E:$AH,2,0)</f>
        <v>LRL009C</v>
      </c>
      <c r="AE742" s="11" t="str">
        <f t="shared" si="83"/>
        <v>LRL009C37</v>
      </c>
    </row>
    <row r="743" spans="1:31" ht="12.75" hidden="1" customHeight="1" x14ac:dyDescent="0.3">
      <c r="A743" s="8">
        <v>37</v>
      </c>
      <c r="B743" s="20" t="s">
        <v>70</v>
      </c>
      <c r="C743" s="20" t="s">
        <v>36</v>
      </c>
      <c r="D743" s="20" t="s">
        <v>237</v>
      </c>
      <c r="E743" s="22" t="s">
        <v>232</v>
      </c>
      <c r="F743" s="20" t="s">
        <v>291</v>
      </c>
      <c r="G743" s="22" t="s">
        <v>234</v>
      </c>
      <c r="H743" s="23">
        <v>508.89</v>
      </c>
      <c r="I743" s="23">
        <v>-9.52</v>
      </c>
      <c r="J743" s="23">
        <v>0</v>
      </c>
      <c r="K743" s="23">
        <v>0</v>
      </c>
      <c r="L743" s="23">
        <v>0</v>
      </c>
      <c r="M743" s="24">
        <v>0</v>
      </c>
      <c r="N743" s="23">
        <v>0</v>
      </c>
      <c r="O743" s="24">
        <f t="shared" si="77"/>
        <v>499.37</v>
      </c>
      <c r="P743" s="23">
        <v>-499</v>
      </c>
      <c r="Q743" s="23">
        <v>0</v>
      </c>
      <c r="R743" s="23">
        <v>0</v>
      </c>
      <c r="S743" s="23">
        <v>0</v>
      </c>
      <c r="T743" s="23">
        <v>0</v>
      </c>
      <c r="U743" s="23">
        <v>0</v>
      </c>
      <c r="V743" s="23">
        <v>0</v>
      </c>
      <c r="W743" s="23">
        <f t="shared" si="78"/>
        <v>0.37000000000000455</v>
      </c>
      <c r="X743" s="23">
        <f t="shared" si="79"/>
        <v>0.37000000000000455</v>
      </c>
      <c r="Y743" s="23">
        <f t="shared" si="80"/>
        <v>0</v>
      </c>
      <c r="Z743" s="24">
        <v>0</v>
      </c>
      <c r="AA743" s="23">
        <f t="shared" si="81"/>
        <v>0</v>
      </c>
      <c r="AB743" s="23">
        <f t="shared" si="82"/>
        <v>499</v>
      </c>
      <c r="AC743" s="20" t="s">
        <v>430</v>
      </c>
      <c r="AD743" s="20" t="str">
        <f>VLOOKUP($C743,'[1]CTRL AUTOS'!$E:$AH,2,0)</f>
        <v>MLC126A</v>
      </c>
      <c r="AE743" s="11" t="str">
        <f t="shared" si="83"/>
        <v>MLC126A37</v>
      </c>
    </row>
    <row r="744" spans="1:31" ht="12.75" hidden="1" customHeight="1" x14ac:dyDescent="0.3">
      <c r="A744" s="8">
        <v>37</v>
      </c>
      <c r="B744" s="20" t="s">
        <v>424</v>
      </c>
      <c r="C744" s="20" t="s">
        <v>418</v>
      </c>
      <c r="D744" s="20" t="s">
        <v>237</v>
      </c>
      <c r="E744" s="22" t="s">
        <v>364</v>
      </c>
      <c r="F744" s="22" t="s">
        <v>364</v>
      </c>
      <c r="G744" s="20" t="s">
        <v>234</v>
      </c>
      <c r="H744" s="23">
        <v>0</v>
      </c>
      <c r="I744" s="23">
        <v>0</v>
      </c>
      <c r="J744" s="23">
        <v>0</v>
      </c>
      <c r="K744" s="23">
        <v>0</v>
      </c>
      <c r="L744" s="23">
        <v>0</v>
      </c>
      <c r="M744" s="23">
        <v>0</v>
      </c>
      <c r="N744" s="23">
        <v>0</v>
      </c>
      <c r="O744" s="24">
        <f t="shared" si="77"/>
        <v>0</v>
      </c>
      <c r="P744" s="23">
        <v>0</v>
      </c>
      <c r="Q744" s="24">
        <v>200</v>
      </c>
      <c r="R744" s="24">
        <v>0</v>
      </c>
      <c r="S744" s="24">
        <v>0</v>
      </c>
      <c r="T744" s="24">
        <v>0</v>
      </c>
      <c r="U744" s="24">
        <v>0</v>
      </c>
      <c r="V744" s="24">
        <v>0</v>
      </c>
      <c r="W744" s="23">
        <f t="shared" si="78"/>
        <v>200</v>
      </c>
      <c r="X744" s="23">
        <f t="shared" si="79"/>
        <v>200</v>
      </c>
      <c r="Y744" s="23">
        <f t="shared" si="80"/>
        <v>0</v>
      </c>
      <c r="Z744" s="24">
        <v>0</v>
      </c>
      <c r="AA744" s="23">
        <f t="shared" si="81"/>
        <v>0</v>
      </c>
      <c r="AB744" s="23">
        <f t="shared" si="82"/>
        <v>-200</v>
      </c>
      <c r="AC744" s="20"/>
      <c r="AD744" s="20" t="e">
        <f>VLOOKUP($C744,'[1]CTRL AUTOS'!$E:$AH,2,0)</f>
        <v>#N/A</v>
      </c>
      <c r="AE744" s="11" t="e">
        <f t="shared" si="83"/>
        <v>#N/A</v>
      </c>
    </row>
    <row r="745" spans="1:31" ht="12.75" hidden="1" customHeight="1" x14ac:dyDescent="0.3">
      <c r="A745" s="8">
        <v>37</v>
      </c>
      <c r="B745" s="20" t="s">
        <v>72</v>
      </c>
      <c r="C745" s="20" t="s">
        <v>73</v>
      </c>
      <c r="D745" s="20" t="s">
        <v>368</v>
      </c>
      <c r="E745" s="22" t="s">
        <v>241</v>
      </c>
      <c r="F745" s="20" t="s">
        <v>291</v>
      </c>
      <c r="G745" s="20" t="s">
        <v>234</v>
      </c>
      <c r="H745" s="23">
        <v>9564.98</v>
      </c>
      <c r="I745" s="23">
        <v>-242.37</v>
      </c>
      <c r="J745" s="23">
        <v>0</v>
      </c>
      <c r="K745" s="23">
        <v>-84.45</v>
      </c>
      <c r="L745" s="23">
        <v>-3937.19</v>
      </c>
      <c r="M745" s="23">
        <v>-83.75</v>
      </c>
      <c r="N745" s="23">
        <v>-206.89</v>
      </c>
      <c r="O745" s="24">
        <f t="shared" si="77"/>
        <v>5010.3299999999972</v>
      </c>
      <c r="P745" s="24">
        <v>-2500</v>
      </c>
      <c r="Q745" s="24">
        <v>0</v>
      </c>
      <c r="R745" s="24">
        <v>0</v>
      </c>
      <c r="S745" s="24">
        <v>0</v>
      </c>
      <c r="T745" s="24">
        <v>0</v>
      </c>
      <c r="U745" s="24">
        <v>0</v>
      </c>
      <c r="V745" s="24">
        <v>0</v>
      </c>
      <c r="W745" s="23">
        <f t="shared" si="78"/>
        <v>2510.3299999999972</v>
      </c>
      <c r="X745" s="23">
        <f t="shared" si="79"/>
        <v>2510.3299999999972</v>
      </c>
      <c r="Y745" s="23">
        <f t="shared" si="80"/>
        <v>0</v>
      </c>
      <c r="Z745" s="24">
        <v>0</v>
      </c>
      <c r="AA745" s="23">
        <f t="shared" si="81"/>
        <v>0</v>
      </c>
      <c r="AB745" s="23">
        <f t="shared" si="82"/>
        <v>2500</v>
      </c>
      <c r="AC745" s="20" t="s">
        <v>430</v>
      </c>
      <c r="AD745" s="20" t="str">
        <f>VLOOKUP($C745,'[1]CTRL AUTOS'!$E:$AH,2,0)</f>
        <v>H99BLC</v>
      </c>
      <c r="AE745" s="11" t="str">
        <f t="shared" si="83"/>
        <v>H99BLC37</v>
      </c>
    </row>
    <row r="746" spans="1:31" ht="12.75" hidden="1" customHeight="1" x14ac:dyDescent="0.3">
      <c r="A746" s="8">
        <v>37</v>
      </c>
      <c r="B746" s="20" t="s">
        <v>292</v>
      </c>
      <c r="C746" s="20" t="s">
        <v>52</v>
      </c>
      <c r="D746" s="20" t="s">
        <v>313</v>
      </c>
      <c r="E746" s="20" t="s">
        <v>232</v>
      </c>
      <c r="F746" s="20" t="s">
        <v>232</v>
      </c>
      <c r="G746" s="20" t="s">
        <v>234</v>
      </c>
      <c r="H746" s="23">
        <v>7147.65</v>
      </c>
      <c r="I746" s="23">
        <v>-116.4</v>
      </c>
      <c r="J746" s="23">
        <v>0</v>
      </c>
      <c r="K746" s="23">
        <v>0</v>
      </c>
      <c r="L746" s="23">
        <v>-4242.21</v>
      </c>
      <c r="M746" s="23">
        <v>-32</v>
      </c>
      <c r="N746" s="23">
        <v>0</v>
      </c>
      <c r="O746" s="24">
        <f t="shared" si="77"/>
        <v>2757.04</v>
      </c>
      <c r="P746" s="24">
        <v>-2500</v>
      </c>
      <c r="Q746" s="23">
        <v>0</v>
      </c>
      <c r="R746" s="24">
        <v>0</v>
      </c>
      <c r="S746" s="24">
        <v>0</v>
      </c>
      <c r="T746" s="24">
        <v>-500</v>
      </c>
      <c r="U746" s="24">
        <v>0</v>
      </c>
      <c r="V746" s="24">
        <v>0</v>
      </c>
      <c r="W746" s="23">
        <f t="shared" si="78"/>
        <v>-242.96000000000004</v>
      </c>
      <c r="X746" s="23">
        <f t="shared" si="79"/>
        <v>0</v>
      </c>
      <c r="Y746" s="23">
        <f t="shared" si="80"/>
        <v>-242.96000000000004</v>
      </c>
      <c r="Z746" s="24">
        <v>243</v>
      </c>
      <c r="AA746" s="23">
        <f t="shared" si="81"/>
        <v>3.999999999996362E-2</v>
      </c>
      <c r="AB746" s="23">
        <f t="shared" si="82"/>
        <v>3000.08</v>
      </c>
      <c r="AC746" s="20" t="s">
        <v>409</v>
      </c>
      <c r="AD746" s="20" t="str">
        <f>VLOOKUP($C746,'[1]CTRL AUTOS'!$E:$AH,2,0)</f>
        <v>A35BHD</v>
      </c>
      <c r="AE746" s="11" t="str">
        <f t="shared" si="83"/>
        <v>A35BHD37</v>
      </c>
    </row>
    <row r="747" spans="1:31" ht="12.75" hidden="1" customHeight="1" x14ac:dyDescent="0.3">
      <c r="A747" s="8">
        <v>37</v>
      </c>
      <c r="B747" s="20" t="s">
        <v>375</v>
      </c>
      <c r="C747" s="20" t="s">
        <v>40</v>
      </c>
      <c r="D747" s="20" t="s">
        <v>315</v>
      </c>
      <c r="E747" s="20" t="s">
        <v>232</v>
      </c>
      <c r="F747" s="20" t="s">
        <v>232</v>
      </c>
      <c r="G747" s="20" t="s">
        <v>234</v>
      </c>
      <c r="H747" s="23">
        <v>0</v>
      </c>
      <c r="I747" s="23">
        <v>0</v>
      </c>
      <c r="J747" s="23">
        <v>0</v>
      </c>
      <c r="K747" s="23">
        <v>0</v>
      </c>
      <c r="L747" s="23">
        <v>0</v>
      </c>
      <c r="M747" s="24">
        <v>0</v>
      </c>
      <c r="N747" s="23">
        <v>0</v>
      </c>
      <c r="O747" s="24">
        <f t="shared" si="77"/>
        <v>0</v>
      </c>
      <c r="P747" s="23">
        <v>0</v>
      </c>
      <c r="Q747" s="23">
        <v>0</v>
      </c>
      <c r="R747" s="23">
        <v>1000</v>
      </c>
      <c r="S747" s="23">
        <v>0</v>
      </c>
      <c r="T747" s="23">
        <v>0</v>
      </c>
      <c r="U747" s="23">
        <v>0</v>
      </c>
      <c r="V747" s="23">
        <v>0</v>
      </c>
      <c r="W747" s="23">
        <f t="shared" si="78"/>
        <v>1000</v>
      </c>
      <c r="X747" s="23">
        <f t="shared" si="79"/>
        <v>1000</v>
      </c>
      <c r="Y747" s="23">
        <f t="shared" si="80"/>
        <v>0</v>
      </c>
      <c r="Z747" s="23">
        <v>0</v>
      </c>
      <c r="AA747" s="23">
        <f t="shared" si="81"/>
        <v>0</v>
      </c>
      <c r="AB747" s="23">
        <f t="shared" si="82"/>
        <v>-1000</v>
      </c>
      <c r="AC747" s="20" t="s">
        <v>226</v>
      </c>
      <c r="AD747" s="20" t="str">
        <f>VLOOKUP($C747,'[1]CTRL AUTOS'!$E:$AH,2,0)</f>
        <v>NEL860A</v>
      </c>
      <c r="AE747" s="11" t="str">
        <f t="shared" si="83"/>
        <v>NEL860A37</v>
      </c>
    </row>
    <row r="748" spans="1:31" ht="12.75" hidden="1" customHeight="1" x14ac:dyDescent="0.3">
      <c r="A748" s="8">
        <v>37</v>
      </c>
      <c r="B748" s="20" t="s">
        <v>105</v>
      </c>
      <c r="C748" s="20" t="s">
        <v>104</v>
      </c>
      <c r="D748" s="20" t="s">
        <v>402</v>
      </c>
      <c r="E748" s="22" t="s">
        <v>364</v>
      </c>
      <c r="F748" s="22" t="s">
        <v>364</v>
      </c>
      <c r="G748" s="20" t="s">
        <v>425</v>
      </c>
      <c r="H748" s="23">
        <v>0</v>
      </c>
      <c r="I748" s="23">
        <v>0</v>
      </c>
      <c r="J748" s="23">
        <v>0</v>
      </c>
      <c r="K748" s="23">
        <v>0</v>
      </c>
      <c r="L748" s="23">
        <v>0</v>
      </c>
      <c r="M748" s="23">
        <v>0</v>
      </c>
      <c r="N748" s="23">
        <v>0</v>
      </c>
      <c r="O748" s="24">
        <f t="shared" si="77"/>
        <v>0</v>
      </c>
      <c r="P748" s="23">
        <v>-2500</v>
      </c>
      <c r="Q748" s="24">
        <v>0</v>
      </c>
      <c r="R748" s="23">
        <v>-500</v>
      </c>
      <c r="S748" s="23">
        <v>0</v>
      </c>
      <c r="T748" s="23">
        <v>0</v>
      </c>
      <c r="U748" s="24">
        <v>0</v>
      </c>
      <c r="V748" s="23">
        <v>0</v>
      </c>
      <c r="W748" s="23">
        <f t="shared" si="78"/>
        <v>-3000</v>
      </c>
      <c r="X748" s="23">
        <f t="shared" si="79"/>
        <v>0</v>
      </c>
      <c r="Y748" s="23">
        <f t="shared" si="80"/>
        <v>-3000</v>
      </c>
      <c r="Z748" s="24">
        <f>2500+500</f>
        <v>3000</v>
      </c>
      <c r="AA748" s="23">
        <f t="shared" si="81"/>
        <v>0</v>
      </c>
      <c r="AB748" s="23">
        <f t="shared" si="82"/>
        <v>3000</v>
      </c>
      <c r="AC748" s="20" t="s">
        <v>383</v>
      </c>
      <c r="AD748" s="20" t="e">
        <f>VLOOKUP($C748,'[1]CTRL AUTOS'!$E:$AH,2,0)</f>
        <v>#N/A</v>
      </c>
      <c r="AE748" s="11" t="e">
        <f t="shared" si="83"/>
        <v>#N/A</v>
      </c>
    </row>
    <row r="749" spans="1:31" ht="12.75" hidden="1" customHeight="1" x14ac:dyDescent="0.3">
      <c r="A749" s="8">
        <v>37</v>
      </c>
      <c r="B749" s="20" t="s">
        <v>57</v>
      </c>
      <c r="C749" s="20" t="s">
        <v>16</v>
      </c>
      <c r="D749" s="20" t="s">
        <v>314</v>
      </c>
      <c r="E749" s="20" t="s">
        <v>232</v>
      </c>
      <c r="F749" s="20" t="s">
        <v>232</v>
      </c>
      <c r="G749" s="20" t="s">
        <v>234</v>
      </c>
      <c r="H749" s="23">
        <v>6025.35</v>
      </c>
      <c r="I749" s="23">
        <v>-70.78</v>
      </c>
      <c r="J749" s="23">
        <v>0</v>
      </c>
      <c r="K749" s="23">
        <v>0</v>
      </c>
      <c r="L749" s="23">
        <v>-2104.7600000000002</v>
      </c>
      <c r="M749" s="23">
        <v>-44</v>
      </c>
      <c r="N749" s="23">
        <v>-24</v>
      </c>
      <c r="O749" s="24">
        <f t="shared" si="77"/>
        <v>3781.8100000000004</v>
      </c>
      <c r="P749" s="23">
        <v>-2500</v>
      </c>
      <c r="Q749" s="23">
        <v>0</v>
      </c>
      <c r="R749" s="23">
        <v>-500</v>
      </c>
      <c r="S749" s="23">
        <v>0</v>
      </c>
      <c r="T749" s="24">
        <v>0</v>
      </c>
      <c r="U749" s="24">
        <v>0</v>
      </c>
      <c r="V749" s="23">
        <v>0</v>
      </c>
      <c r="W749" s="23">
        <f t="shared" si="78"/>
        <v>781.8100000000004</v>
      </c>
      <c r="X749" s="23">
        <f t="shared" si="79"/>
        <v>781.8100000000004</v>
      </c>
      <c r="Y749" s="23">
        <f t="shared" si="80"/>
        <v>0</v>
      </c>
      <c r="Z749" s="24">
        <v>0</v>
      </c>
      <c r="AA749" s="23">
        <f t="shared" si="81"/>
        <v>0</v>
      </c>
      <c r="AB749" s="23">
        <f t="shared" si="82"/>
        <v>3000</v>
      </c>
      <c r="AC749" s="20" t="s">
        <v>226</v>
      </c>
      <c r="AD749" s="20" t="str">
        <f>VLOOKUP($C749,'[1]CTRL AUTOS'!$E:$AH,2,0)</f>
        <v>D28BET</v>
      </c>
      <c r="AE749" s="11" t="str">
        <f t="shared" si="83"/>
        <v>D28BET37</v>
      </c>
    </row>
    <row r="750" spans="1:31" ht="12.75" hidden="1" customHeight="1" x14ac:dyDescent="0.3">
      <c r="A750" s="8">
        <v>37</v>
      </c>
      <c r="B750" s="20" t="s">
        <v>288</v>
      </c>
      <c r="C750" s="20" t="s">
        <v>22</v>
      </c>
      <c r="D750" s="20" t="s">
        <v>319</v>
      </c>
      <c r="E750" s="20" t="s">
        <v>232</v>
      </c>
      <c r="F750" s="20" t="s">
        <v>232</v>
      </c>
      <c r="G750" s="20" t="s">
        <v>234</v>
      </c>
      <c r="H750" s="23">
        <v>7032.24</v>
      </c>
      <c r="I750" s="23">
        <v>-170.57999999999998</v>
      </c>
      <c r="J750" s="23">
        <v>0</v>
      </c>
      <c r="K750" s="23">
        <v>0</v>
      </c>
      <c r="L750" s="23">
        <v>-2081.35</v>
      </c>
      <c r="M750" s="23">
        <v>-47.25</v>
      </c>
      <c r="N750" s="23">
        <v>-61</v>
      </c>
      <c r="O750" s="24">
        <f t="shared" si="77"/>
        <v>4672.0599999999995</v>
      </c>
      <c r="P750" s="24">
        <v>-2500</v>
      </c>
      <c r="Q750" s="23">
        <v>0</v>
      </c>
      <c r="R750" s="24">
        <v>0</v>
      </c>
      <c r="S750" s="24">
        <v>0</v>
      </c>
      <c r="T750" s="24">
        <v>0</v>
      </c>
      <c r="U750" s="24">
        <v>0</v>
      </c>
      <c r="V750" s="24">
        <v>0</v>
      </c>
      <c r="W750" s="23">
        <f t="shared" si="78"/>
        <v>2172.0599999999995</v>
      </c>
      <c r="X750" s="23">
        <f t="shared" si="79"/>
        <v>2172.0599999999995</v>
      </c>
      <c r="Y750" s="23">
        <f t="shared" si="80"/>
        <v>0</v>
      </c>
      <c r="Z750" s="24">
        <v>0</v>
      </c>
      <c r="AA750" s="23">
        <f t="shared" si="81"/>
        <v>0</v>
      </c>
      <c r="AB750" s="23">
        <f t="shared" si="82"/>
        <v>2500</v>
      </c>
      <c r="AC750" s="20" t="s">
        <v>226</v>
      </c>
      <c r="AD750" s="20" t="str">
        <f>VLOOKUP($C750,'[1]CTRL AUTOS'!$E:$AH,2,0)</f>
        <v>NCK475B</v>
      </c>
      <c r="AE750" s="11" t="str">
        <f t="shared" si="83"/>
        <v>NCK475B37</v>
      </c>
    </row>
    <row r="751" spans="1:31" ht="12.75" hidden="1" customHeight="1" x14ac:dyDescent="0.3">
      <c r="A751" s="8">
        <v>37</v>
      </c>
      <c r="B751" s="20" t="s">
        <v>35</v>
      </c>
      <c r="C751" s="20" t="s">
        <v>97</v>
      </c>
      <c r="D751" s="20" t="s">
        <v>273</v>
      </c>
      <c r="E751" s="20" t="s">
        <v>232</v>
      </c>
      <c r="F751" s="20" t="s">
        <v>232</v>
      </c>
      <c r="G751" s="20" t="s">
        <v>234</v>
      </c>
      <c r="H751" s="23">
        <v>7409.2</v>
      </c>
      <c r="I751" s="23">
        <v>-125.73</v>
      </c>
      <c r="J751" s="23">
        <v>0</v>
      </c>
      <c r="K751" s="23">
        <v>0</v>
      </c>
      <c r="L751" s="23">
        <v>-4609.21</v>
      </c>
      <c r="M751" s="23">
        <v>-32</v>
      </c>
      <c r="N751" s="23">
        <v>0</v>
      </c>
      <c r="O751" s="24">
        <f t="shared" si="77"/>
        <v>2642.26</v>
      </c>
      <c r="P751" s="24">
        <v>-2500</v>
      </c>
      <c r="Q751" s="23">
        <v>34</v>
      </c>
      <c r="R751" s="24">
        <v>0</v>
      </c>
      <c r="S751" s="24">
        <v>0</v>
      </c>
      <c r="T751" s="24">
        <v>0</v>
      </c>
      <c r="U751" s="24">
        <v>0</v>
      </c>
      <c r="V751" s="24">
        <v>0</v>
      </c>
      <c r="W751" s="23">
        <f t="shared" si="78"/>
        <v>176.26000000000022</v>
      </c>
      <c r="X751" s="23">
        <f t="shared" si="79"/>
        <v>176.26000000000022</v>
      </c>
      <c r="Y751" s="23">
        <f t="shared" si="80"/>
        <v>0</v>
      </c>
      <c r="Z751" s="24">
        <v>0</v>
      </c>
      <c r="AA751" s="23">
        <f t="shared" si="81"/>
        <v>0</v>
      </c>
      <c r="AB751" s="23">
        <f t="shared" si="82"/>
        <v>2466</v>
      </c>
      <c r="AC751" s="20" t="s">
        <v>432</v>
      </c>
      <c r="AD751" s="20" t="str">
        <f>VLOOKUP($C751,'[1]CTRL AUTOS'!$E:$AH,2,0)</f>
        <v>MUF515A</v>
      </c>
      <c r="AE751" s="11" t="str">
        <f t="shared" si="83"/>
        <v>MUF515A37</v>
      </c>
    </row>
    <row r="752" spans="1:31" ht="12.75" hidden="1" customHeight="1" x14ac:dyDescent="0.3">
      <c r="A752" s="8">
        <v>37</v>
      </c>
      <c r="B752" s="20" t="s">
        <v>37</v>
      </c>
      <c r="C752" s="20" t="s">
        <v>30</v>
      </c>
      <c r="D752" s="20" t="s">
        <v>237</v>
      </c>
      <c r="E752" s="22" t="s">
        <v>232</v>
      </c>
      <c r="F752" s="20" t="s">
        <v>291</v>
      </c>
      <c r="G752" s="20" t="s">
        <v>234</v>
      </c>
      <c r="H752" s="23">
        <v>5557.73</v>
      </c>
      <c r="I752" s="23">
        <v>-149.19</v>
      </c>
      <c r="J752" s="23">
        <v>0</v>
      </c>
      <c r="K752" s="23">
        <v>0</v>
      </c>
      <c r="L752" s="23">
        <v>-2214.5100000000002</v>
      </c>
      <c r="M752" s="23">
        <v>-38</v>
      </c>
      <c r="N752" s="23">
        <v>0</v>
      </c>
      <c r="O752" s="24">
        <f t="shared" si="77"/>
        <v>3156.0299999999997</v>
      </c>
      <c r="P752" s="24">
        <v>-2500</v>
      </c>
      <c r="Q752" s="24">
        <v>-1289.1199999999999</v>
      </c>
      <c r="R752" s="24">
        <v>0</v>
      </c>
      <c r="S752" s="24">
        <v>0</v>
      </c>
      <c r="T752" s="24">
        <v>0</v>
      </c>
      <c r="U752" s="24">
        <v>0</v>
      </c>
      <c r="V752" s="24">
        <v>0</v>
      </c>
      <c r="W752" s="23">
        <f t="shared" si="78"/>
        <v>-633.09000000000015</v>
      </c>
      <c r="X752" s="23">
        <f t="shared" si="79"/>
        <v>0</v>
      </c>
      <c r="Y752" s="23">
        <f t="shared" si="80"/>
        <v>-633.09000000000015</v>
      </c>
      <c r="Z752" s="24">
        <v>550</v>
      </c>
      <c r="AA752" s="23">
        <f t="shared" si="81"/>
        <v>-83.090000000000146</v>
      </c>
      <c r="AB752" s="23">
        <f t="shared" si="82"/>
        <v>3622.9399999999996</v>
      </c>
      <c r="AC752" s="20" t="s">
        <v>431</v>
      </c>
      <c r="AD752" s="20" t="str">
        <f>VLOOKUP($C752,'[1]CTRL AUTOS'!$E:$AH,2,0)</f>
        <v>D51BHV</v>
      </c>
      <c r="AE752" s="11" t="str">
        <f t="shared" si="83"/>
        <v>D51BHV37</v>
      </c>
    </row>
    <row r="753" spans="1:31" ht="12.75" hidden="1" customHeight="1" x14ac:dyDescent="0.3">
      <c r="A753" s="8">
        <v>37</v>
      </c>
      <c r="B753" s="20" t="s">
        <v>61</v>
      </c>
      <c r="C753" s="20" t="s">
        <v>34</v>
      </c>
      <c r="D753" s="20" t="s">
        <v>285</v>
      </c>
      <c r="E753" s="20" t="s">
        <v>232</v>
      </c>
      <c r="F753" s="20" t="s">
        <v>232</v>
      </c>
      <c r="G753" s="20" t="s">
        <v>234</v>
      </c>
      <c r="H753" s="23">
        <v>2120.29</v>
      </c>
      <c r="I753" s="23">
        <v>-37.14</v>
      </c>
      <c r="J753" s="23">
        <v>0</v>
      </c>
      <c r="K753" s="23">
        <v>0</v>
      </c>
      <c r="L753" s="23">
        <v>0</v>
      </c>
      <c r="M753" s="24">
        <v>-20</v>
      </c>
      <c r="N753" s="23">
        <v>0</v>
      </c>
      <c r="O753" s="24">
        <f t="shared" si="77"/>
        <v>2063.15</v>
      </c>
      <c r="P753" s="23">
        <v>-714.28</v>
      </c>
      <c r="Q753" s="23">
        <v>0</v>
      </c>
      <c r="R753" s="23">
        <v>-144</v>
      </c>
      <c r="S753" s="24">
        <v>0</v>
      </c>
      <c r="T753" s="24">
        <v>0</v>
      </c>
      <c r="U753" s="24">
        <v>0</v>
      </c>
      <c r="V753" s="24">
        <v>0</v>
      </c>
      <c r="W753" s="23">
        <f t="shared" si="78"/>
        <v>1204.8700000000001</v>
      </c>
      <c r="X753" s="23">
        <f t="shared" si="79"/>
        <v>1204.8700000000001</v>
      </c>
      <c r="Y753" s="23">
        <f t="shared" si="80"/>
        <v>0</v>
      </c>
      <c r="Z753" s="24">
        <v>0</v>
      </c>
      <c r="AA753" s="23">
        <f t="shared" si="81"/>
        <v>0</v>
      </c>
      <c r="AB753" s="23">
        <f t="shared" si="82"/>
        <v>858.28</v>
      </c>
      <c r="AC753" s="20" t="s">
        <v>226</v>
      </c>
      <c r="AD753" s="20" t="str">
        <f>VLOOKUP($C753,'[1]CTRL AUTOS'!$E:$AH,2,0)</f>
        <v>X59AWG</v>
      </c>
      <c r="AE753" s="11" t="str">
        <f t="shared" si="83"/>
        <v>X59AWG37</v>
      </c>
    </row>
    <row r="754" spans="1:31" ht="12.75" hidden="1" customHeight="1" x14ac:dyDescent="0.3">
      <c r="A754" s="8">
        <v>37</v>
      </c>
      <c r="B754" s="20" t="s">
        <v>361</v>
      </c>
      <c r="C754" s="20" t="s">
        <v>56</v>
      </c>
      <c r="D754" s="20" t="s">
        <v>336</v>
      </c>
      <c r="E754" s="22" t="s">
        <v>241</v>
      </c>
      <c r="F754" s="20" t="s">
        <v>291</v>
      </c>
      <c r="G754" s="22" t="s">
        <v>234</v>
      </c>
      <c r="H754" s="23">
        <v>5313.68</v>
      </c>
      <c r="I754" s="23">
        <v>-128.53</v>
      </c>
      <c r="J754" s="23">
        <v>0</v>
      </c>
      <c r="K754" s="23">
        <v>0</v>
      </c>
      <c r="L754" s="23">
        <v>-856.96</v>
      </c>
      <c r="M754" s="23">
        <v>-32</v>
      </c>
      <c r="N754" s="23">
        <v>0</v>
      </c>
      <c r="O754" s="24">
        <f t="shared" si="77"/>
        <v>4296.1900000000005</v>
      </c>
      <c r="P754" s="24">
        <v>-2500</v>
      </c>
      <c r="Q754" s="24">
        <v>0</v>
      </c>
      <c r="R754" s="24">
        <v>0</v>
      </c>
      <c r="S754" s="24">
        <v>0</v>
      </c>
      <c r="T754" s="24">
        <v>0</v>
      </c>
      <c r="U754" s="24">
        <v>0</v>
      </c>
      <c r="V754" s="24">
        <v>0</v>
      </c>
      <c r="W754" s="23">
        <f t="shared" si="78"/>
        <v>1796.1900000000005</v>
      </c>
      <c r="X754" s="23">
        <f t="shared" si="79"/>
        <v>1796.1900000000005</v>
      </c>
      <c r="Y754" s="23">
        <f t="shared" si="80"/>
        <v>0</v>
      </c>
      <c r="Z754" s="24">
        <v>0</v>
      </c>
      <c r="AA754" s="23">
        <f t="shared" si="81"/>
        <v>0</v>
      </c>
      <c r="AB754" s="23">
        <f t="shared" si="82"/>
        <v>2500</v>
      </c>
      <c r="AC754" s="20" t="s">
        <v>430</v>
      </c>
      <c r="AD754" s="20" t="str">
        <f>VLOOKUP($C754,'[1]CTRL AUTOS'!$E:$AH,2,0)</f>
        <v>MYE912A</v>
      </c>
      <c r="AE754" s="11" t="str">
        <f t="shared" si="83"/>
        <v>MYE912A37</v>
      </c>
    </row>
    <row r="755" spans="1:31" ht="12.75" hidden="1" customHeight="1" x14ac:dyDescent="0.3">
      <c r="A755" s="8">
        <v>37</v>
      </c>
      <c r="B755" s="20" t="s">
        <v>388</v>
      </c>
      <c r="C755" s="20" t="s">
        <v>69</v>
      </c>
      <c r="D755" s="20" t="s">
        <v>370</v>
      </c>
      <c r="E755" s="22" t="s">
        <v>241</v>
      </c>
      <c r="F755" s="20" t="s">
        <v>291</v>
      </c>
      <c r="G755" s="20" t="s">
        <v>234</v>
      </c>
      <c r="H755" s="23">
        <v>611.35</v>
      </c>
      <c r="I755" s="23">
        <v>-11.79</v>
      </c>
      <c r="J755" s="23">
        <v>0</v>
      </c>
      <c r="K755" s="23">
        <v>0</v>
      </c>
      <c r="L755" s="23">
        <v>-523.09</v>
      </c>
      <c r="M755" s="23">
        <v>-48</v>
      </c>
      <c r="N755" s="23">
        <v>0</v>
      </c>
      <c r="O755" s="24">
        <f t="shared" si="77"/>
        <v>28.470000000000027</v>
      </c>
      <c r="P755" s="23">
        <v>-2500</v>
      </c>
      <c r="Q755" s="24">
        <v>41</v>
      </c>
      <c r="R755" s="23">
        <v>-357</v>
      </c>
      <c r="S755" s="23">
        <v>0</v>
      </c>
      <c r="T755" s="23">
        <v>0</v>
      </c>
      <c r="U755" s="24">
        <v>0</v>
      </c>
      <c r="V755" s="23">
        <v>0</v>
      </c>
      <c r="W755" s="23">
        <f t="shared" si="78"/>
        <v>-2787.5299999999997</v>
      </c>
      <c r="X755" s="23">
        <f t="shared" si="79"/>
        <v>0</v>
      </c>
      <c r="Y755" s="23">
        <f t="shared" si="80"/>
        <v>-2787.5299999999997</v>
      </c>
      <c r="Z755" s="24">
        <v>2788</v>
      </c>
      <c r="AA755" s="23">
        <f t="shared" si="81"/>
        <v>0.47000000000025466</v>
      </c>
      <c r="AB755" s="23">
        <f t="shared" si="82"/>
        <v>2816.9400000000005</v>
      </c>
      <c r="AC755" s="20" t="s">
        <v>433</v>
      </c>
      <c r="AD755" s="20" t="str">
        <f>VLOOKUP($C755,'[1]CTRL AUTOS'!$E:$AH,2,0)</f>
        <v>R51BKD</v>
      </c>
      <c r="AE755" s="11" t="str">
        <f t="shared" si="83"/>
        <v>R51BKD37</v>
      </c>
    </row>
    <row r="756" spans="1:31" ht="12.75" hidden="1" customHeight="1" x14ac:dyDescent="0.3">
      <c r="A756" s="8">
        <v>37</v>
      </c>
      <c r="B756" s="20" t="s">
        <v>434</v>
      </c>
      <c r="C756" s="44" t="s">
        <v>79</v>
      </c>
      <c r="D756" s="20" t="s">
        <v>250</v>
      </c>
      <c r="E756" s="20" t="s">
        <v>291</v>
      </c>
      <c r="F756" s="20" t="s">
        <v>291</v>
      </c>
      <c r="G756" s="22" t="s">
        <v>234</v>
      </c>
      <c r="H756" s="23">
        <v>1523.11</v>
      </c>
      <c r="I756" s="23">
        <v>-23.03</v>
      </c>
      <c r="J756" s="23">
        <v>0</v>
      </c>
      <c r="K756" s="23">
        <v>0</v>
      </c>
      <c r="L756" s="23">
        <v>0</v>
      </c>
      <c r="M756" s="24">
        <v>0</v>
      </c>
      <c r="N756" s="23">
        <v>-151</v>
      </c>
      <c r="O756" s="24">
        <f t="shared" si="77"/>
        <v>1349.08</v>
      </c>
      <c r="P756" s="24">
        <v>-1785.7142857142858</v>
      </c>
      <c r="Q756" s="23">
        <v>0</v>
      </c>
      <c r="R756" s="23">
        <v>0</v>
      </c>
      <c r="S756" s="23">
        <v>0</v>
      </c>
      <c r="T756" s="23">
        <v>0</v>
      </c>
      <c r="U756" s="23">
        <v>0</v>
      </c>
      <c r="V756" s="23">
        <v>0</v>
      </c>
      <c r="W756" s="23">
        <f t="shared" si="78"/>
        <v>-436.63428571428585</v>
      </c>
      <c r="X756" s="23">
        <f t="shared" si="79"/>
        <v>0</v>
      </c>
      <c r="Y756" s="23">
        <f t="shared" si="80"/>
        <v>-436.63428571428585</v>
      </c>
      <c r="Z756" s="23">
        <v>0</v>
      </c>
      <c r="AA756" s="23">
        <f t="shared" si="81"/>
        <v>-436.63428571428585</v>
      </c>
      <c r="AB756" s="23">
        <f t="shared" si="82"/>
        <v>912.44571428571408</v>
      </c>
      <c r="AC756" s="20" t="s">
        <v>395</v>
      </c>
      <c r="AD756" s="20" t="str">
        <f>VLOOKUP($C756,'[1]CTRL AUTOS'!$E:$AH,2,0)</f>
        <v>MAY737C</v>
      </c>
      <c r="AE756" s="11" t="str">
        <f t="shared" si="83"/>
        <v>MAY737C37</v>
      </c>
    </row>
    <row r="757" spans="1:31" ht="12.75" hidden="1" customHeight="1" x14ac:dyDescent="0.3">
      <c r="A757" s="8">
        <v>37</v>
      </c>
      <c r="B757" s="20" t="s">
        <v>417</v>
      </c>
      <c r="C757" s="20" t="s">
        <v>428</v>
      </c>
      <c r="D757" s="20" t="s">
        <v>237</v>
      </c>
      <c r="E757" s="22" t="s">
        <v>364</v>
      </c>
      <c r="F757" s="22" t="s">
        <v>364</v>
      </c>
      <c r="G757" s="20" t="s">
        <v>234</v>
      </c>
      <c r="H757" s="23">
        <v>4886.38</v>
      </c>
      <c r="I757" s="23">
        <v>-50.4</v>
      </c>
      <c r="J757" s="23">
        <v>0</v>
      </c>
      <c r="K757" s="23">
        <v>0</v>
      </c>
      <c r="L757" s="23">
        <v>-2044.65</v>
      </c>
      <c r="M757" s="23">
        <v>0</v>
      </c>
      <c r="N757" s="23">
        <v>0</v>
      </c>
      <c r="O757" s="24">
        <f t="shared" si="77"/>
        <v>2791.3300000000004</v>
      </c>
      <c r="P757" s="23">
        <v>-2500</v>
      </c>
      <c r="Q757" s="23">
        <v>0</v>
      </c>
      <c r="R757" s="23">
        <v>-500</v>
      </c>
      <c r="S757" s="23">
        <v>0</v>
      </c>
      <c r="T757" s="23">
        <v>0</v>
      </c>
      <c r="U757" s="23">
        <v>0</v>
      </c>
      <c r="V757" s="23">
        <v>0</v>
      </c>
      <c r="W757" s="23">
        <f t="shared" si="78"/>
        <v>-208.66999999999962</v>
      </c>
      <c r="X757" s="23">
        <f t="shared" si="79"/>
        <v>0</v>
      </c>
      <c r="Y757" s="23">
        <f t="shared" si="80"/>
        <v>-208.66999999999962</v>
      </c>
      <c r="Z757" s="24">
        <v>209</v>
      </c>
      <c r="AA757" s="23">
        <f t="shared" si="81"/>
        <v>0.33000000000038199</v>
      </c>
      <c r="AB757" s="23">
        <f t="shared" si="82"/>
        <v>3000.6600000000008</v>
      </c>
      <c r="AC757" s="20"/>
      <c r="AD757" s="20" t="e">
        <f>VLOOKUP($C757,'[1]CTRL AUTOS'!$E:$AH,2,0)</f>
        <v>#N/A</v>
      </c>
      <c r="AE757" s="11" t="e">
        <f t="shared" si="83"/>
        <v>#N/A</v>
      </c>
    </row>
    <row r="758" spans="1:31" ht="12.75" hidden="1" customHeight="1" x14ac:dyDescent="0.3">
      <c r="A758" s="8">
        <v>37</v>
      </c>
      <c r="B758" s="20" t="s">
        <v>45</v>
      </c>
      <c r="C758" s="20" t="s">
        <v>46</v>
      </c>
      <c r="D758" s="20" t="s">
        <v>257</v>
      </c>
      <c r="E758" s="20" t="s">
        <v>232</v>
      </c>
      <c r="F758" s="20" t="s">
        <v>232</v>
      </c>
      <c r="G758" s="22" t="s">
        <v>234</v>
      </c>
      <c r="H758" s="23">
        <v>5698.86</v>
      </c>
      <c r="I758" s="23">
        <v>-121.03</v>
      </c>
      <c r="J758" s="23">
        <v>0</v>
      </c>
      <c r="K758" s="23">
        <v>0</v>
      </c>
      <c r="L758" s="23">
        <v>-2581.64</v>
      </c>
      <c r="M758" s="23">
        <v>-67.349999999999994</v>
      </c>
      <c r="N758" s="23">
        <v>0</v>
      </c>
      <c r="O758" s="24">
        <f t="shared" si="77"/>
        <v>2928.84</v>
      </c>
      <c r="P758" s="24">
        <v>-2500</v>
      </c>
      <c r="Q758" s="23">
        <v>0</v>
      </c>
      <c r="R758" s="24">
        <v>0</v>
      </c>
      <c r="S758" s="24">
        <v>0</v>
      </c>
      <c r="T758" s="24">
        <v>-500</v>
      </c>
      <c r="U758" s="24">
        <v>-500</v>
      </c>
      <c r="V758" s="24">
        <v>0</v>
      </c>
      <c r="W758" s="23">
        <f t="shared" si="78"/>
        <v>-571.15999999999985</v>
      </c>
      <c r="X758" s="23">
        <f t="shared" si="79"/>
        <v>0</v>
      </c>
      <c r="Y758" s="23">
        <f t="shared" si="80"/>
        <v>-571.15999999999985</v>
      </c>
      <c r="Z758" s="24">
        <f>271+300</f>
        <v>571</v>
      </c>
      <c r="AA758" s="23">
        <f t="shared" si="81"/>
        <v>-0.15999999999985448</v>
      </c>
      <c r="AB758" s="23">
        <f t="shared" si="82"/>
        <v>3499.6800000000003</v>
      </c>
      <c r="AC758" s="20" t="s">
        <v>409</v>
      </c>
      <c r="AD758" s="20" t="str">
        <f>VLOOKUP($C758,'[1]CTRL AUTOS'!$E:$AH,2,0)</f>
        <v>R66BER</v>
      </c>
      <c r="AE758" s="11" t="str">
        <f t="shared" si="83"/>
        <v>R66BER37</v>
      </c>
    </row>
    <row r="759" spans="1:31" ht="12.75" hidden="1" customHeight="1" x14ac:dyDescent="0.3">
      <c r="A759" s="8">
        <v>37</v>
      </c>
      <c r="B759" s="20" t="s">
        <v>5</v>
      </c>
      <c r="C759" s="20" t="s">
        <v>28</v>
      </c>
      <c r="D759" s="20" t="s">
        <v>274</v>
      </c>
      <c r="E759" s="20" t="s">
        <v>232</v>
      </c>
      <c r="F759" s="20" t="s">
        <v>232</v>
      </c>
      <c r="G759" s="20" t="s">
        <v>234</v>
      </c>
      <c r="H759" s="23">
        <v>3213.92</v>
      </c>
      <c r="I759" s="23">
        <v>-53.3</v>
      </c>
      <c r="J759" s="23">
        <v>0</v>
      </c>
      <c r="K759" s="23">
        <v>0</v>
      </c>
      <c r="L759" s="23">
        <v>-164</v>
      </c>
      <c r="M759" s="23">
        <v>-32</v>
      </c>
      <c r="N759" s="23">
        <v>0</v>
      </c>
      <c r="O759" s="24">
        <f t="shared" si="77"/>
        <v>2964.62</v>
      </c>
      <c r="P759" s="24">
        <v>-2500</v>
      </c>
      <c r="Q759" s="23">
        <v>-1750</v>
      </c>
      <c r="R759" s="24">
        <v>0</v>
      </c>
      <c r="S759" s="24">
        <v>0</v>
      </c>
      <c r="T759" s="24">
        <v>0</v>
      </c>
      <c r="U759" s="24">
        <v>0</v>
      </c>
      <c r="V759" s="24">
        <v>0</v>
      </c>
      <c r="W759" s="23">
        <f t="shared" si="78"/>
        <v>-1285.3800000000001</v>
      </c>
      <c r="X759" s="23">
        <f t="shared" si="79"/>
        <v>0</v>
      </c>
      <c r="Y759" s="23">
        <f t="shared" si="80"/>
        <v>-1285.3800000000001</v>
      </c>
      <c r="Z759" s="24">
        <f>500+500</f>
        <v>1000</v>
      </c>
      <c r="AA759" s="23">
        <f t="shared" si="81"/>
        <v>-285.38000000000011</v>
      </c>
      <c r="AB759" s="23">
        <f t="shared" si="82"/>
        <v>3679.24</v>
      </c>
      <c r="AC759" s="20" t="s">
        <v>395</v>
      </c>
      <c r="AD759" s="20" t="str">
        <f>VLOOKUP($C759,'[1]CTRL AUTOS'!$E:$AH,2,0)</f>
        <v>NCT814A</v>
      </c>
      <c r="AE759" s="11" t="str">
        <f t="shared" si="83"/>
        <v>NCT814A37</v>
      </c>
    </row>
    <row r="760" spans="1:31" ht="12.75" hidden="1" customHeight="1" x14ac:dyDescent="0.3">
      <c r="A760" s="8">
        <v>37</v>
      </c>
      <c r="B760" s="20" t="s">
        <v>362</v>
      </c>
      <c r="C760" s="20" t="s">
        <v>50</v>
      </c>
      <c r="D760" s="20" t="s">
        <v>267</v>
      </c>
      <c r="E760" s="20" t="s">
        <v>232</v>
      </c>
      <c r="F760" s="20" t="s">
        <v>232</v>
      </c>
      <c r="G760" s="20" t="s">
        <v>234</v>
      </c>
      <c r="H760" s="23">
        <v>1521.38</v>
      </c>
      <c r="I760" s="23">
        <v>-25.77</v>
      </c>
      <c r="J760" s="23">
        <v>0</v>
      </c>
      <c r="K760" s="23">
        <v>0</v>
      </c>
      <c r="L760" s="23">
        <v>-529.84</v>
      </c>
      <c r="M760" s="23">
        <v>-38</v>
      </c>
      <c r="N760" s="23">
        <v>0</v>
      </c>
      <c r="O760" s="24">
        <f t="shared" si="77"/>
        <v>927.7700000000001</v>
      </c>
      <c r="P760" s="24">
        <v>-2500</v>
      </c>
      <c r="Q760" s="23">
        <v>0</v>
      </c>
      <c r="R760" s="24">
        <v>0</v>
      </c>
      <c r="S760" s="24">
        <v>0</v>
      </c>
      <c r="T760" s="24">
        <v>0</v>
      </c>
      <c r="U760" s="24">
        <v>0</v>
      </c>
      <c r="V760" s="24">
        <v>0</v>
      </c>
      <c r="W760" s="23">
        <f t="shared" si="78"/>
        <v>-1572.23</v>
      </c>
      <c r="X760" s="23">
        <f t="shared" si="79"/>
        <v>0</v>
      </c>
      <c r="Y760" s="23">
        <f t="shared" si="80"/>
        <v>-1572.23</v>
      </c>
      <c r="Z760" s="24">
        <f>1057+500</f>
        <v>1557</v>
      </c>
      <c r="AA760" s="23">
        <f t="shared" si="81"/>
        <v>-15.230000000000018</v>
      </c>
      <c r="AB760" s="23">
        <f t="shared" si="82"/>
        <v>2469.54</v>
      </c>
      <c r="AC760" s="20" t="s">
        <v>394</v>
      </c>
      <c r="AD760" s="20" t="str">
        <f>VLOOKUP($C760,'[1]CTRL AUTOS'!$E:$AH,2,0)</f>
        <v>NBS225A</v>
      </c>
      <c r="AE760" s="11" t="str">
        <f t="shared" si="83"/>
        <v>NBS225A37</v>
      </c>
    </row>
    <row r="761" spans="1:31" ht="12.75" hidden="1" customHeight="1" x14ac:dyDescent="0.3">
      <c r="A761" s="8">
        <v>37</v>
      </c>
      <c r="B761" s="20" t="s">
        <v>414</v>
      </c>
      <c r="C761" s="20" t="s">
        <v>168</v>
      </c>
      <c r="D761" s="20" t="s">
        <v>265</v>
      </c>
      <c r="E761" s="20" t="s">
        <v>232</v>
      </c>
      <c r="F761" s="20" t="s">
        <v>232</v>
      </c>
      <c r="G761" s="20" t="s">
        <v>234</v>
      </c>
      <c r="H761" s="23">
        <v>2503.81</v>
      </c>
      <c r="I761" s="23">
        <v>-159.91</v>
      </c>
      <c r="J761" s="23">
        <v>0</v>
      </c>
      <c r="K761" s="23">
        <v>0</v>
      </c>
      <c r="L761" s="23">
        <v>-120</v>
      </c>
      <c r="M761" s="24">
        <v>-20</v>
      </c>
      <c r="N761" s="23">
        <v>0</v>
      </c>
      <c r="O761" s="24">
        <f t="shared" si="77"/>
        <v>2203.9</v>
      </c>
      <c r="P761" s="23">
        <v>-892.85</v>
      </c>
      <c r="Q761" s="23">
        <v>0</v>
      </c>
      <c r="R761" s="23">
        <v>-500</v>
      </c>
      <c r="S761" s="24">
        <v>0</v>
      </c>
      <c r="T761" s="24">
        <v>0</v>
      </c>
      <c r="U761" s="24">
        <v>0</v>
      </c>
      <c r="V761" s="24">
        <v>0</v>
      </c>
      <c r="W761" s="23">
        <f t="shared" si="78"/>
        <v>811.05000000000018</v>
      </c>
      <c r="X761" s="23">
        <f t="shared" si="79"/>
        <v>811.05000000000018</v>
      </c>
      <c r="Y761" s="23">
        <f t="shared" si="80"/>
        <v>0</v>
      </c>
      <c r="Z761" s="24">
        <v>0</v>
      </c>
      <c r="AA761" s="23">
        <f t="shared" si="81"/>
        <v>0</v>
      </c>
      <c r="AB761" s="23">
        <f t="shared" si="82"/>
        <v>1392.85</v>
      </c>
      <c r="AC761" s="20" t="s">
        <v>226</v>
      </c>
      <c r="AD761" s="20" t="e">
        <f>VLOOKUP($C761,'[1]CTRL AUTOS'!$E:$AH,2,0)</f>
        <v>#N/A</v>
      </c>
      <c r="AE761" s="11" t="e">
        <f t="shared" si="83"/>
        <v>#N/A</v>
      </c>
    </row>
    <row r="762" spans="1:31" ht="12.75" hidden="1" customHeight="1" x14ac:dyDescent="0.3">
      <c r="A762" s="8">
        <v>37</v>
      </c>
      <c r="B762" s="20" t="s">
        <v>414</v>
      </c>
      <c r="C762" s="20" t="s">
        <v>59</v>
      </c>
      <c r="D762" s="20" t="s">
        <v>237</v>
      </c>
      <c r="E762" s="22" t="s">
        <v>232</v>
      </c>
      <c r="F762" s="20" t="s">
        <v>291</v>
      </c>
      <c r="G762" s="20" t="s">
        <v>234</v>
      </c>
      <c r="H762" s="23">
        <v>4530.0200000000004</v>
      </c>
      <c r="I762" s="23">
        <v>-72.66</v>
      </c>
      <c r="J762" s="23">
        <v>0</v>
      </c>
      <c r="K762" s="23">
        <v>0</v>
      </c>
      <c r="L762" s="23">
        <v>-989.46</v>
      </c>
      <c r="M762" s="24">
        <v>-15</v>
      </c>
      <c r="N762" s="23">
        <v>0</v>
      </c>
      <c r="O762" s="24">
        <f t="shared" si="77"/>
        <v>3452.9000000000005</v>
      </c>
      <c r="P762" s="23">
        <v>-892.85</v>
      </c>
      <c r="Q762" s="23">
        <v>0</v>
      </c>
      <c r="R762" s="23">
        <v>0</v>
      </c>
      <c r="S762" s="23">
        <v>0</v>
      </c>
      <c r="T762" s="23">
        <v>0</v>
      </c>
      <c r="U762" s="23">
        <v>0</v>
      </c>
      <c r="V762" s="23">
        <v>0</v>
      </c>
      <c r="W762" s="23">
        <f t="shared" si="78"/>
        <v>2560.0500000000006</v>
      </c>
      <c r="X762" s="23">
        <f t="shared" si="79"/>
        <v>2560.0500000000006</v>
      </c>
      <c r="Y762" s="23">
        <f t="shared" si="80"/>
        <v>0</v>
      </c>
      <c r="Z762" s="23">
        <v>0</v>
      </c>
      <c r="AA762" s="23">
        <f t="shared" si="81"/>
        <v>0</v>
      </c>
      <c r="AB762" s="23">
        <f t="shared" si="82"/>
        <v>892.84999999999991</v>
      </c>
      <c r="AC762" s="20" t="s">
        <v>430</v>
      </c>
      <c r="AD762" s="20" t="str">
        <f>VLOOKUP($C762,'[1]CTRL AUTOS'!$E:$AH,2,0)</f>
        <v>P62BHW</v>
      </c>
      <c r="AE762" s="11" t="str">
        <f t="shared" si="83"/>
        <v>P62BHW37</v>
      </c>
    </row>
    <row r="763" spans="1:31" ht="12.75" hidden="1" customHeight="1" x14ac:dyDescent="0.3">
      <c r="A763" s="8">
        <v>37</v>
      </c>
      <c r="B763" s="20" t="s">
        <v>74</v>
      </c>
      <c r="C763" s="20" t="s">
        <v>77</v>
      </c>
      <c r="D763" s="20" t="s">
        <v>237</v>
      </c>
      <c r="E763" s="22" t="s">
        <v>232</v>
      </c>
      <c r="F763" s="20" t="s">
        <v>291</v>
      </c>
      <c r="G763" s="20" t="s">
        <v>234</v>
      </c>
      <c r="H763" s="23">
        <v>4054.77</v>
      </c>
      <c r="I763" s="23">
        <v>-63.55</v>
      </c>
      <c r="J763" s="23">
        <v>0</v>
      </c>
      <c r="K763" s="23">
        <v>0</v>
      </c>
      <c r="L763" s="23">
        <v>0</v>
      </c>
      <c r="M763" s="23">
        <v>-32</v>
      </c>
      <c r="N763" s="23">
        <v>0</v>
      </c>
      <c r="O763" s="24">
        <f t="shared" si="77"/>
        <v>3959.22</v>
      </c>
      <c r="P763" s="23">
        <v>-2500</v>
      </c>
      <c r="Q763" s="24">
        <v>0</v>
      </c>
      <c r="R763" s="23">
        <v>-500</v>
      </c>
      <c r="S763" s="23">
        <v>0</v>
      </c>
      <c r="T763" s="23">
        <v>0</v>
      </c>
      <c r="U763" s="24">
        <v>0</v>
      </c>
      <c r="V763" s="23">
        <v>0</v>
      </c>
      <c r="W763" s="23">
        <f t="shared" si="78"/>
        <v>959.2199999999998</v>
      </c>
      <c r="X763" s="23">
        <f t="shared" si="79"/>
        <v>959.2199999999998</v>
      </c>
      <c r="Y763" s="23">
        <f t="shared" si="80"/>
        <v>0</v>
      </c>
      <c r="Z763" s="24">
        <v>0</v>
      </c>
      <c r="AA763" s="23">
        <f t="shared" si="81"/>
        <v>0</v>
      </c>
      <c r="AB763" s="23">
        <f t="shared" si="82"/>
        <v>3000</v>
      </c>
      <c r="AC763" s="20" t="s">
        <v>430</v>
      </c>
      <c r="AD763" s="20" t="str">
        <f>VLOOKUP($C763,'[1]CTRL AUTOS'!$E:$AH,2,0)</f>
        <v>MEE228C</v>
      </c>
      <c r="AE763" s="11" t="str">
        <f t="shared" si="83"/>
        <v>MEE228C37</v>
      </c>
    </row>
    <row r="764" spans="1:31" ht="12.75" hidden="1" customHeight="1" x14ac:dyDescent="0.3">
      <c r="A764" s="8">
        <v>37</v>
      </c>
      <c r="B764" s="20" t="s">
        <v>132</v>
      </c>
      <c r="C764" s="20" t="s">
        <v>204</v>
      </c>
      <c r="D764" s="20" t="s">
        <v>237</v>
      </c>
      <c r="E764" s="22" t="s">
        <v>364</v>
      </c>
      <c r="F764" s="22" t="s">
        <v>364</v>
      </c>
      <c r="G764" s="20" t="s">
        <v>234</v>
      </c>
      <c r="H764" s="23">
        <v>1930.55</v>
      </c>
      <c r="I764" s="23">
        <v>0</v>
      </c>
      <c r="J764" s="23">
        <v>0</v>
      </c>
      <c r="K764" s="23">
        <v>0</v>
      </c>
      <c r="L764" s="23">
        <v>0</v>
      </c>
      <c r="M764" s="24">
        <v>0</v>
      </c>
      <c r="N764" s="23">
        <v>0</v>
      </c>
      <c r="O764" s="24">
        <f t="shared" si="77"/>
        <v>1930.55</v>
      </c>
      <c r="P764" s="23">
        <v>-1931</v>
      </c>
      <c r="Q764" s="23">
        <v>0</v>
      </c>
      <c r="R764" s="23">
        <v>0</v>
      </c>
      <c r="S764" s="23">
        <v>0</v>
      </c>
      <c r="T764" s="23">
        <v>0</v>
      </c>
      <c r="U764" s="23">
        <v>0</v>
      </c>
      <c r="V764" s="23">
        <v>0</v>
      </c>
      <c r="W764" s="23">
        <f t="shared" si="78"/>
        <v>-0.45000000000004547</v>
      </c>
      <c r="X764" s="23">
        <f t="shared" si="79"/>
        <v>0</v>
      </c>
      <c r="Y764" s="23">
        <f t="shared" si="80"/>
        <v>-0.45000000000004547</v>
      </c>
      <c r="Z764" s="24">
        <v>0</v>
      </c>
      <c r="AA764" s="23">
        <f t="shared" si="81"/>
        <v>-0.45000000000004547</v>
      </c>
      <c r="AB764" s="23">
        <f t="shared" si="82"/>
        <v>1930.1</v>
      </c>
      <c r="AC764" s="20"/>
      <c r="AD764" s="20" t="e">
        <f>VLOOKUP($C764,'[1]CTRL AUTOS'!$E:$AH,2,0)</f>
        <v>#N/A</v>
      </c>
      <c r="AE764" s="11" t="e">
        <f t="shared" si="83"/>
        <v>#N/A</v>
      </c>
    </row>
    <row r="765" spans="1:31" ht="12.75" hidden="1" customHeight="1" x14ac:dyDescent="0.3">
      <c r="A765" s="8">
        <v>37</v>
      </c>
      <c r="B765" s="20" t="s">
        <v>98</v>
      </c>
      <c r="C765" s="20" t="s">
        <v>168</v>
      </c>
      <c r="D765" s="20" t="s">
        <v>265</v>
      </c>
      <c r="E765" s="20" t="s">
        <v>232</v>
      </c>
      <c r="F765" s="20" t="s">
        <v>232</v>
      </c>
      <c r="G765" s="20" t="s">
        <v>234</v>
      </c>
      <c r="H765" s="23">
        <v>795.62</v>
      </c>
      <c r="I765" s="23">
        <v>-14.84</v>
      </c>
      <c r="J765" s="23">
        <v>0</v>
      </c>
      <c r="K765" s="23">
        <v>0</v>
      </c>
      <c r="L765" s="23">
        <v>0</v>
      </c>
      <c r="M765" s="23">
        <v>-32</v>
      </c>
      <c r="N765" s="23">
        <v>0</v>
      </c>
      <c r="O765" s="24">
        <f t="shared" si="77"/>
        <v>748.78</v>
      </c>
      <c r="P765" s="23">
        <v>-1786</v>
      </c>
      <c r="Q765" s="23">
        <v>-2568</v>
      </c>
      <c r="R765" s="23">
        <v>0</v>
      </c>
      <c r="S765" s="23">
        <v>0</v>
      </c>
      <c r="T765" s="24">
        <v>0</v>
      </c>
      <c r="U765" s="24">
        <v>0</v>
      </c>
      <c r="V765" s="23">
        <v>0</v>
      </c>
      <c r="W765" s="23">
        <f t="shared" si="78"/>
        <v>-3605.2200000000003</v>
      </c>
      <c r="X765" s="23">
        <f t="shared" si="79"/>
        <v>0</v>
      </c>
      <c r="Y765" s="23">
        <f t="shared" si="80"/>
        <v>-3605.2200000000003</v>
      </c>
      <c r="Z765" s="24">
        <v>2000</v>
      </c>
      <c r="AA765" s="23">
        <f t="shared" si="81"/>
        <v>-1605.2200000000003</v>
      </c>
      <c r="AB765" s="23">
        <f t="shared" si="82"/>
        <v>1143.5599999999995</v>
      </c>
      <c r="AC765" s="20" t="s">
        <v>394</v>
      </c>
      <c r="AD765" s="20" t="e">
        <f>VLOOKUP($C765,'[1]CTRL AUTOS'!$E:$AH,2,0)</f>
        <v>#N/A</v>
      </c>
      <c r="AE765" s="11" t="e">
        <f t="shared" si="83"/>
        <v>#N/A</v>
      </c>
    </row>
    <row r="766" spans="1:31" ht="12.75" hidden="1" customHeight="1" x14ac:dyDescent="0.3">
      <c r="A766" s="8">
        <v>38</v>
      </c>
      <c r="B766" s="20" t="s">
        <v>11</v>
      </c>
      <c r="C766" s="20" t="s">
        <v>54</v>
      </c>
      <c r="D766" s="20" t="s">
        <v>265</v>
      </c>
      <c r="E766" s="20" t="s">
        <v>232</v>
      </c>
      <c r="F766" s="20" t="s">
        <v>232</v>
      </c>
      <c r="G766" s="20" t="s">
        <v>234</v>
      </c>
      <c r="H766" s="23">
        <v>5203.74</v>
      </c>
      <c r="I766" s="23">
        <v>-86.85</v>
      </c>
      <c r="J766" s="23">
        <v>0</v>
      </c>
      <c r="K766" s="23">
        <v>0</v>
      </c>
      <c r="L766" s="23">
        <v>-2622.4</v>
      </c>
      <c r="M766" s="23">
        <v>-38</v>
      </c>
      <c r="N766" s="23">
        <v>0</v>
      </c>
      <c r="O766" s="24">
        <f t="shared" si="77"/>
        <v>2456.4899999999993</v>
      </c>
      <c r="P766" s="23">
        <v>-2143</v>
      </c>
      <c r="Q766" s="23">
        <v>0</v>
      </c>
      <c r="R766" s="23">
        <v>-500</v>
      </c>
      <c r="S766" s="23">
        <v>0</v>
      </c>
      <c r="T766" s="23">
        <v>0</v>
      </c>
      <c r="U766" s="23">
        <v>68</v>
      </c>
      <c r="V766" s="23">
        <v>0</v>
      </c>
      <c r="W766" s="23">
        <f t="shared" si="78"/>
        <v>-118.51000000000067</v>
      </c>
      <c r="X766" s="23">
        <f t="shared" si="79"/>
        <v>0</v>
      </c>
      <c r="Y766" s="23">
        <f t="shared" si="80"/>
        <v>-118.51000000000067</v>
      </c>
      <c r="Z766" s="23">
        <v>119</v>
      </c>
      <c r="AA766" s="23">
        <f t="shared" si="81"/>
        <v>0.48999999999932697</v>
      </c>
      <c r="AB766" s="23">
        <f t="shared" si="82"/>
        <v>2575.9799999999987</v>
      </c>
      <c r="AC766" s="20" t="s">
        <v>397</v>
      </c>
      <c r="AD766" s="20" t="str">
        <f>VLOOKUP($C766,'[1]CTRL AUTOS'!$E:$AH,2,0)</f>
        <v>NZY685B</v>
      </c>
      <c r="AE766" s="11" t="str">
        <f t="shared" si="83"/>
        <v>NZY685B38</v>
      </c>
    </row>
    <row r="767" spans="1:31" ht="12.75" hidden="1" customHeight="1" x14ac:dyDescent="0.3">
      <c r="A767" s="8">
        <v>38</v>
      </c>
      <c r="B767" s="20" t="s">
        <v>80</v>
      </c>
      <c r="C767" s="20" t="s">
        <v>81</v>
      </c>
      <c r="D767" s="20" t="s">
        <v>317</v>
      </c>
      <c r="E767" s="20" t="s">
        <v>232</v>
      </c>
      <c r="F767" s="20" t="s">
        <v>232</v>
      </c>
      <c r="G767" s="22" t="s">
        <v>234</v>
      </c>
      <c r="H767" s="23">
        <v>0</v>
      </c>
      <c r="I767" s="23">
        <v>0</v>
      </c>
      <c r="J767" s="23">
        <v>0</v>
      </c>
      <c r="K767" s="23">
        <v>0</v>
      </c>
      <c r="L767" s="23">
        <v>0</v>
      </c>
      <c r="M767" s="23">
        <v>0</v>
      </c>
      <c r="N767" s="23">
        <v>0</v>
      </c>
      <c r="O767" s="24">
        <f t="shared" si="77"/>
        <v>0</v>
      </c>
      <c r="P767" s="24">
        <v>-2500</v>
      </c>
      <c r="Q767" s="23">
        <v>0</v>
      </c>
      <c r="R767" s="23">
        <v>0</v>
      </c>
      <c r="S767" s="23">
        <v>0</v>
      </c>
      <c r="T767" s="23">
        <v>0</v>
      </c>
      <c r="U767" s="23">
        <v>0</v>
      </c>
      <c r="V767" s="23">
        <v>0</v>
      </c>
      <c r="W767" s="23">
        <f t="shared" si="78"/>
        <v>-2500</v>
      </c>
      <c r="X767" s="23">
        <f t="shared" si="79"/>
        <v>0</v>
      </c>
      <c r="Y767" s="23">
        <f t="shared" si="80"/>
        <v>-2500</v>
      </c>
      <c r="Z767" s="23">
        <v>2500</v>
      </c>
      <c r="AA767" s="23">
        <f t="shared" si="81"/>
        <v>0</v>
      </c>
      <c r="AB767" s="23">
        <f t="shared" si="82"/>
        <v>2500</v>
      </c>
      <c r="AC767" s="20" t="s">
        <v>435</v>
      </c>
      <c r="AD767" s="20" t="str">
        <f>VLOOKUP($C767,'[1]CTRL AUTOS'!$E:$AH,2,0)</f>
        <v>NLP172B</v>
      </c>
      <c r="AE767" s="11" t="str">
        <f t="shared" si="83"/>
        <v>NLP172B38</v>
      </c>
    </row>
    <row r="768" spans="1:31" ht="12.75" hidden="1" customHeight="1" x14ac:dyDescent="0.3">
      <c r="A768" s="8">
        <v>38</v>
      </c>
      <c r="B768" s="20" t="s">
        <v>13</v>
      </c>
      <c r="C768" s="20" t="s">
        <v>40</v>
      </c>
      <c r="D768" s="20" t="s">
        <v>315</v>
      </c>
      <c r="E768" s="20" t="s">
        <v>232</v>
      </c>
      <c r="F768" s="20" t="s">
        <v>232</v>
      </c>
      <c r="G768" s="22" t="s">
        <v>234</v>
      </c>
      <c r="H768" s="23">
        <v>6769.77</v>
      </c>
      <c r="I768" s="23">
        <v>-103.94</v>
      </c>
      <c r="J768" s="23">
        <v>0</v>
      </c>
      <c r="K768" s="23">
        <v>0</v>
      </c>
      <c r="L768" s="23">
        <v>0</v>
      </c>
      <c r="M768" s="23">
        <v>-38</v>
      </c>
      <c r="N768" s="23">
        <v>0</v>
      </c>
      <c r="O768" s="24">
        <f t="shared" si="77"/>
        <v>6627.8300000000008</v>
      </c>
      <c r="P768" s="24">
        <v>-2500</v>
      </c>
      <c r="Q768" s="23">
        <v>0</v>
      </c>
      <c r="R768" s="23">
        <v>-500</v>
      </c>
      <c r="S768" s="23">
        <v>0</v>
      </c>
      <c r="T768" s="23">
        <v>0</v>
      </c>
      <c r="U768" s="23">
        <v>0</v>
      </c>
      <c r="V768" s="23">
        <v>0</v>
      </c>
      <c r="W768" s="23">
        <f t="shared" si="78"/>
        <v>3627.8300000000008</v>
      </c>
      <c r="X768" s="23">
        <f t="shared" si="79"/>
        <v>3627.8300000000008</v>
      </c>
      <c r="Y768" s="23">
        <f t="shared" si="80"/>
        <v>0</v>
      </c>
      <c r="Z768" s="23">
        <v>0</v>
      </c>
      <c r="AA768" s="23">
        <f t="shared" si="81"/>
        <v>0</v>
      </c>
      <c r="AB768" s="23">
        <f t="shared" si="82"/>
        <v>3000</v>
      </c>
      <c r="AC768" s="20" t="s">
        <v>226</v>
      </c>
      <c r="AD768" s="20" t="str">
        <f>VLOOKUP($C768,'[1]CTRL AUTOS'!$E:$AH,2,0)</f>
        <v>NEL860A</v>
      </c>
      <c r="AE768" s="11" t="str">
        <f t="shared" si="83"/>
        <v>NEL860A38</v>
      </c>
    </row>
    <row r="769" spans="1:31" ht="12.75" hidden="1" customHeight="1" x14ac:dyDescent="0.3">
      <c r="A769" s="8">
        <v>38</v>
      </c>
      <c r="B769" s="20" t="s">
        <v>111</v>
      </c>
      <c r="C769" s="20" t="s">
        <v>63</v>
      </c>
      <c r="D769" s="20" t="s">
        <v>374</v>
      </c>
      <c r="E769" s="20" t="s">
        <v>291</v>
      </c>
      <c r="F769" s="20" t="s">
        <v>291</v>
      </c>
      <c r="G769" s="20" t="s">
        <v>234</v>
      </c>
      <c r="H769" s="23">
        <v>5196.3900000000003</v>
      </c>
      <c r="I769" s="23">
        <v>-92</v>
      </c>
      <c r="J769" s="23">
        <v>0</v>
      </c>
      <c r="K769" s="23">
        <v>0</v>
      </c>
      <c r="L769" s="23">
        <v>-1278.81</v>
      </c>
      <c r="M769" s="23">
        <v>-42</v>
      </c>
      <c r="N769" s="23">
        <v>0</v>
      </c>
      <c r="O769" s="24">
        <f t="shared" si="77"/>
        <v>3783.5800000000004</v>
      </c>
      <c r="P769" s="24">
        <v>-2500</v>
      </c>
      <c r="Q769" s="23">
        <v>0</v>
      </c>
      <c r="R769" s="23">
        <v>0</v>
      </c>
      <c r="S769" s="23">
        <v>0</v>
      </c>
      <c r="T769" s="23">
        <v>-400</v>
      </c>
      <c r="U769" s="23">
        <v>0</v>
      </c>
      <c r="V769" s="23">
        <v>0</v>
      </c>
      <c r="W769" s="23">
        <f t="shared" si="78"/>
        <v>883.58000000000038</v>
      </c>
      <c r="X769" s="23">
        <f t="shared" si="79"/>
        <v>883.58000000000038</v>
      </c>
      <c r="Y769" s="23">
        <f t="shared" si="80"/>
        <v>0</v>
      </c>
      <c r="Z769" s="23">
        <v>0</v>
      </c>
      <c r="AA769" s="23">
        <f t="shared" si="81"/>
        <v>0</v>
      </c>
      <c r="AB769" s="23">
        <f t="shared" si="82"/>
        <v>2900</v>
      </c>
      <c r="AC769" s="20" t="s">
        <v>226</v>
      </c>
      <c r="AD769" s="20" t="str">
        <f>VLOOKUP($C769,'[1]CTRL AUTOS'!$E:$AH,2,0)</f>
        <v>X89ALV</v>
      </c>
      <c r="AE769" s="11" t="str">
        <f t="shared" si="83"/>
        <v>X89ALV38</v>
      </c>
    </row>
    <row r="770" spans="1:31" ht="12.75" hidden="1" customHeight="1" x14ac:dyDescent="0.3">
      <c r="A770" s="8">
        <v>38</v>
      </c>
      <c r="B770" s="20" t="s">
        <v>17</v>
      </c>
      <c r="C770" s="20" t="s">
        <v>4</v>
      </c>
      <c r="D770" s="20" t="s">
        <v>245</v>
      </c>
      <c r="E770" s="20" t="s">
        <v>232</v>
      </c>
      <c r="F770" s="20" t="s">
        <v>232</v>
      </c>
      <c r="G770" s="20" t="s">
        <v>234</v>
      </c>
      <c r="H770" s="23">
        <v>3681.74</v>
      </c>
      <c r="I770" s="23">
        <v>-67.650000000000006</v>
      </c>
      <c r="J770" s="23">
        <v>0</v>
      </c>
      <c r="K770" s="23">
        <v>0</v>
      </c>
      <c r="L770" s="23">
        <v>0</v>
      </c>
      <c r="M770" s="23">
        <v>-35</v>
      </c>
      <c r="N770" s="23">
        <v>0</v>
      </c>
      <c r="O770" s="24">
        <f t="shared" si="77"/>
        <v>3579.0899999999997</v>
      </c>
      <c r="P770" s="23">
        <v>-2321</v>
      </c>
      <c r="Q770" s="23">
        <v>0</v>
      </c>
      <c r="R770" s="23">
        <v>-500</v>
      </c>
      <c r="S770" s="23">
        <v>0</v>
      </c>
      <c r="T770" s="23">
        <v>0</v>
      </c>
      <c r="U770" s="23">
        <v>-648</v>
      </c>
      <c r="V770" s="23">
        <v>0</v>
      </c>
      <c r="W770" s="23">
        <f t="shared" si="78"/>
        <v>110.08999999999969</v>
      </c>
      <c r="X770" s="23">
        <f t="shared" si="79"/>
        <v>110.08999999999969</v>
      </c>
      <c r="Y770" s="23">
        <f t="shared" si="80"/>
        <v>0</v>
      </c>
      <c r="Z770" s="23">
        <v>0</v>
      </c>
      <c r="AA770" s="23">
        <f t="shared" si="81"/>
        <v>0</v>
      </c>
      <c r="AB770" s="23">
        <f t="shared" si="82"/>
        <v>3469</v>
      </c>
      <c r="AC770" s="20" t="s">
        <v>226</v>
      </c>
      <c r="AD770" s="20" t="str">
        <f>VLOOKUP($C770,'[1]CTRL AUTOS'!$E:$AH,2,0)</f>
        <v>N15BKD</v>
      </c>
      <c r="AE770" s="11" t="str">
        <f t="shared" si="83"/>
        <v>N15BKD38</v>
      </c>
    </row>
    <row r="771" spans="1:31" ht="12.75" hidden="1" customHeight="1" x14ac:dyDescent="0.3">
      <c r="A771" s="8">
        <v>38</v>
      </c>
      <c r="B771" s="20" t="s">
        <v>19</v>
      </c>
      <c r="C771" s="20" t="s">
        <v>20</v>
      </c>
      <c r="D771" s="20" t="s">
        <v>239</v>
      </c>
      <c r="E771" s="20" t="s">
        <v>232</v>
      </c>
      <c r="F771" s="20" t="s">
        <v>232</v>
      </c>
      <c r="G771" s="20" t="s">
        <v>234</v>
      </c>
      <c r="H771" s="23">
        <v>6216.36</v>
      </c>
      <c r="I771" s="23">
        <v>-120.43</v>
      </c>
      <c r="J771" s="23">
        <v>0</v>
      </c>
      <c r="K771" s="23">
        <v>-45.94</v>
      </c>
      <c r="L771" s="23">
        <v>0</v>
      </c>
      <c r="M771" s="23">
        <v>-32</v>
      </c>
      <c r="N771" s="23">
        <v>0</v>
      </c>
      <c r="O771" s="24">
        <f t="shared" ref="O771:O834" si="84">SUM(H771:N771)</f>
        <v>6017.99</v>
      </c>
      <c r="P771" s="23">
        <v>-2321</v>
      </c>
      <c r="Q771" s="23">
        <v>0</v>
      </c>
      <c r="R771" s="23">
        <v>0</v>
      </c>
      <c r="S771" s="23">
        <v>0</v>
      </c>
      <c r="T771" s="23">
        <v>0</v>
      </c>
      <c r="U771" s="23">
        <v>-1000</v>
      </c>
      <c r="V771" s="23">
        <v>0</v>
      </c>
      <c r="W771" s="23">
        <f t="shared" ref="W771:W834" si="85">+O771+SUM(P771:V771)</f>
        <v>2696.99</v>
      </c>
      <c r="X771" s="23">
        <f t="shared" ref="X771:X834" si="86">IF(W771&gt;=0,W771,0)</f>
        <v>2696.99</v>
      </c>
      <c r="Y771" s="23">
        <f t="shared" ref="Y771:Y834" si="87">IF(W771&lt;=0,W771,0)</f>
        <v>0</v>
      </c>
      <c r="Z771" s="23">
        <v>0</v>
      </c>
      <c r="AA771" s="23">
        <f t="shared" ref="AA771:AA834" si="88">+Y771+Z771</f>
        <v>0</v>
      </c>
      <c r="AB771" s="23">
        <f t="shared" ref="AB771:AB834" si="89">+O771-X771+Z771+AA771</f>
        <v>3321</v>
      </c>
      <c r="AC771" s="20" t="s">
        <v>226</v>
      </c>
      <c r="AD771" s="20" t="str">
        <f>VLOOKUP($C771,'[1]CTRL AUTOS'!$E:$AH,2,0)</f>
        <v>D40BKD</v>
      </c>
      <c r="AE771" s="11" t="str">
        <f t="shared" si="83"/>
        <v>D40BKD38</v>
      </c>
    </row>
    <row r="772" spans="1:31" ht="12.75" hidden="1" customHeight="1" x14ac:dyDescent="0.3">
      <c r="A772" s="8">
        <v>38</v>
      </c>
      <c r="B772" s="20" t="s">
        <v>396</v>
      </c>
      <c r="C772" s="20" t="s">
        <v>75</v>
      </c>
      <c r="D772" s="20" t="s">
        <v>333</v>
      </c>
      <c r="E772" s="22" t="s">
        <v>241</v>
      </c>
      <c r="F772" s="20" t="s">
        <v>291</v>
      </c>
      <c r="G772" s="20" t="s">
        <v>234</v>
      </c>
      <c r="H772" s="23">
        <v>4940.6099999999997</v>
      </c>
      <c r="I772" s="23">
        <v>-86.27</v>
      </c>
      <c r="J772" s="23">
        <v>0</v>
      </c>
      <c r="K772" s="23">
        <v>0</v>
      </c>
      <c r="L772" s="23">
        <v>-2621.87</v>
      </c>
      <c r="M772" s="23">
        <v>-48</v>
      </c>
      <c r="N772" s="23">
        <v>0</v>
      </c>
      <c r="O772" s="24">
        <f t="shared" si="84"/>
        <v>2184.4699999999993</v>
      </c>
      <c r="P772" s="23">
        <v>-2500</v>
      </c>
      <c r="Q772" s="23">
        <v>0</v>
      </c>
      <c r="R772" s="23">
        <v>0</v>
      </c>
      <c r="S772" s="23">
        <v>0</v>
      </c>
      <c r="T772" s="23">
        <v>0</v>
      </c>
      <c r="U772" s="23">
        <v>0</v>
      </c>
      <c r="V772" s="23">
        <v>0</v>
      </c>
      <c r="W772" s="23">
        <f t="shared" si="85"/>
        <v>-315.53000000000065</v>
      </c>
      <c r="X772" s="23">
        <f t="shared" si="86"/>
        <v>0</v>
      </c>
      <c r="Y772" s="23">
        <f t="shared" si="87"/>
        <v>-315.53000000000065</v>
      </c>
      <c r="Z772" s="23">
        <v>316</v>
      </c>
      <c r="AA772" s="23">
        <f t="shared" si="88"/>
        <v>0.46999999999934516</v>
      </c>
      <c r="AB772" s="23">
        <f t="shared" si="89"/>
        <v>2500.9399999999987</v>
      </c>
      <c r="AC772" s="20" t="s">
        <v>436</v>
      </c>
      <c r="AD772" s="20" t="str">
        <f>VLOOKUP($C772,'[1]CTRL AUTOS'!$E:$AH,2,0)</f>
        <v>NFN014B</v>
      </c>
      <c r="AE772" s="11" t="str">
        <f t="shared" ref="AE772:AE835" si="90">AD772&amp;A772</f>
        <v>NFN014B38</v>
      </c>
    </row>
    <row r="773" spans="1:31" ht="12.75" hidden="1" customHeight="1" x14ac:dyDescent="0.3">
      <c r="A773" s="8">
        <v>38</v>
      </c>
      <c r="B773" s="20" t="s">
        <v>23</v>
      </c>
      <c r="C773" s="20" t="s">
        <v>106</v>
      </c>
      <c r="D773" s="20" t="s">
        <v>322</v>
      </c>
      <c r="E773" s="20" t="s">
        <v>232</v>
      </c>
      <c r="F773" s="20" t="s">
        <v>232</v>
      </c>
      <c r="G773" s="20" t="s">
        <v>234</v>
      </c>
      <c r="H773" s="23">
        <v>1698.91</v>
      </c>
      <c r="I773" s="23">
        <v>-45.39</v>
      </c>
      <c r="J773" s="23">
        <v>0</v>
      </c>
      <c r="K773" s="23">
        <v>0</v>
      </c>
      <c r="L773" s="23">
        <v>-417.39</v>
      </c>
      <c r="M773" s="23">
        <v>-15</v>
      </c>
      <c r="N773" s="23">
        <v>0</v>
      </c>
      <c r="O773" s="24">
        <f t="shared" si="84"/>
        <v>1221.1300000000001</v>
      </c>
      <c r="P773" s="24">
        <v>-1785.71</v>
      </c>
      <c r="Q773" s="23">
        <v>-44</v>
      </c>
      <c r="R773" s="23">
        <v>0</v>
      </c>
      <c r="S773" s="23">
        <v>0</v>
      </c>
      <c r="T773" s="23">
        <v>0</v>
      </c>
      <c r="U773" s="23">
        <v>0</v>
      </c>
      <c r="V773" s="23">
        <v>0</v>
      </c>
      <c r="W773" s="23">
        <f t="shared" si="85"/>
        <v>-608.57999999999993</v>
      </c>
      <c r="X773" s="23">
        <f t="shared" si="86"/>
        <v>0</v>
      </c>
      <c r="Y773" s="23">
        <f t="shared" si="87"/>
        <v>-608.57999999999993</v>
      </c>
      <c r="Z773" s="23">
        <v>605</v>
      </c>
      <c r="AA773" s="23">
        <f t="shared" si="88"/>
        <v>-3.5799999999999272</v>
      </c>
      <c r="AB773" s="23">
        <f t="shared" si="89"/>
        <v>1822.5500000000002</v>
      </c>
      <c r="AC773" s="20" t="s">
        <v>435</v>
      </c>
      <c r="AD773" s="20" t="str">
        <f>VLOOKUP($C773,'[1]CTRL AUTOS'!$E:$AH,2,0)</f>
        <v>NZU5163</v>
      </c>
      <c r="AE773" s="11" t="str">
        <f t="shared" si="90"/>
        <v>NZU516338</v>
      </c>
    </row>
    <row r="774" spans="1:31" ht="12.75" hidden="1" customHeight="1" x14ac:dyDescent="0.3">
      <c r="A774" s="8">
        <v>38</v>
      </c>
      <c r="B774" s="20" t="s">
        <v>23</v>
      </c>
      <c r="C774" s="20" t="s">
        <v>36</v>
      </c>
      <c r="D774" s="20" t="s">
        <v>237</v>
      </c>
      <c r="E774" s="22" t="s">
        <v>232</v>
      </c>
      <c r="F774" s="20" t="s">
        <v>291</v>
      </c>
      <c r="G774" s="22" t="s">
        <v>234</v>
      </c>
      <c r="H774" s="23">
        <v>5175.95</v>
      </c>
      <c r="I774" s="23">
        <v>-81.77</v>
      </c>
      <c r="J774" s="23">
        <v>0</v>
      </c>
      <c r="K774" s="23">
        <v>0</v>
      </c>
      <c r="L774" s="23">
        <v>-4637.79</v>
      </c>
      <c r="M774" s="23">
        <v>-17</v>
      </c>
      <c r="N774" s="23">
        <v>0</v>
      </c>
      <c r="O774" s="24">
        <f t="shared" si="84"/>
        <v>439.38999999999942</v>
      </c>
      <c r="P774" s="24">
        <v>-714</v>
      </c>
      <c r="Q774" s="23">
        <v>0</v>
      </c>
      <c r="R774" s="23">
        <v>0</v>
      </c>
      <c r="S774" s="23">
        <v>0</v>
      </c>
      <c r="T774" s="23">
        <v>0</v>
      </c>
      <c r="U774" s="23">
        <v>0</v>
      </c>
      <c r="V774" s="23">
        <v>0</v>
      </c>
      <c r="W774" s="23">
        <f t="shared" si="85"/>
        <v>-274.61000000000058</v>
      </c>
      <c r="X774" s="23">
        <f t="shared" si="86"/>
        <v>0</v>
      </c>
      <c r="Y774" s="23">
        <f t="shared" si="87"/>
        <v>-274.61000000000058</v>
      </c>
      <c r="Z774" s="23">
        <v>275</v>
      </c>
      <c r="AA774" s="23">
        <f t="shared" si="88"/>
        <v>0.38999999999941792</v>
      </c>
      <c r="AB774" s="23">
        <f t="shared" si="89"/>
        <v>714.77999999999884</v>
      </c>
      <c r="AC774" s="20" t="s">
        <v>436</v>
      </c>
      <c r="AD774" s="20" t="str">
        <f>VLOOKUP($C774,'[1]CTRL AUTOS'!$E:$AH,2,0)</f>
        <v>MLC126A</v>
      </c>
      <c r="AE774" s="11" t="str">
        <f t="shared" si="90"/>
        <v>MLC126A38</v>
      </c>
    </row>
    <row r="775" spans="1:31" ht="12.75" hidden="1" customHeight="1" x14ac:dyDescent="0.3">
      <c r="A775" s="8">
        <v>38</v>
      </c>
      <c r="B775" s="20" t="s">
        <v>437</v>
      </c>
      <c r="C775" s="20" t="s">
        <v>418</v>
      </c>
      <c r="D775" s="20" t="s">
        <v>237</v>
      </c>
      <c r="E775" s="22" t="s">
        <v>364</v>
      </c>
      <c r="F775" s="22" t="s">
        <v>364</v>
      </c>
      <c r="G775" s="20" t="s">
        <v>234</v>
      </c>
      <c r="H775" s="23">
        <v>0</v>
      </c>
      <c r="I775" s="23">
        <v>0</v>
      </c>
      <c r="J775" s="23">
        <v>0</v>
      </c>
      <c r="K775" s="23">
        <v>0</v>
      </c>
      <c r="L775" s="23">
        <v>0</v>
      </c>
      <c r="M775" s="24">
        <v>0</v>
      </c>
      <c r="N775" s="23">
        <v>0</v>
      </c>
      <c r="O775" s="24">
        <f t="shared" si="84"/>
        <v>0</v>
      </c>
      <c r="P775" s="23">
        <v>-2500</v>
      </c>
      <c r="Q775" s="23">
        <v>0</v>
      </c>
      <c r="R775" s="23">
        <v>0</v>
      </c>
      <c r="S775" s="23">
        <v>0</v>
      </c>
      <c r="T775" s="23">
        <v>0</v>
      </c>
      <c r="U775" s="23">
        <v>0</v>
      </c>
      <c r="V775" s="23">
        <v>0</v>
      </c>
      <c r="W775" s="23">
        <f t="shared" si="85"/>
        <v>-2500</v>
      </c>
      <c r="X775" s="23">
        <f t="shared" si="86"/>
        <v>0</v>
      </c>
      <c r="Y775" s="23">
        <f t="shared" si="87"/>
        <v>-2500</v>
      </c>
      <c r="Z775" s="23">
        <v>2500</v>
      </c>
      <c r="AA775" s="23">
        <f t="shared" si="88"/>
        <v>0</v>
      </c>
      <c r="AB775" s="23">
        <f t="shared" si="89"/>
        <v>2500</v>
      </c>
      <c r="AC775" s="20" t="s">
        <v>438</v>
      </c>
      <c r="AD775" s="20" t="e">
        <f>VLOOKUP($C775,'[1]CTRL AUTOS'!$E:$AH,2,0)</f>
        <v>#N/A</v>
      </c>
      <c r="AE775" s="11" t="e">
        <f t="shared" si="90"/>
        <v>#N/A</v>
      </c>
    </row>
    <row r="776" spans="1:31" ht="12.75" hidden="1" customHeight="1" x14ac:dyDescent="0.3">
      <c r="A776" s="8">
        <v>38</v>
      </c>
      <c r="B776" s="20" t="s">
        <v>25</v>
      </c>
      <c r="C776" s="20" t="s">
        <v>67</v>
      </c>
      <c r="D776" s="20" t="s">
        <v>343</v>
      </c>
      <c r="E776" s="20" t="s">
        <v>232</v>
      </c>
      <c r="F776" s="20" t="s">
        <v>291</v>
      </c>
      <c r="G776" s="20" t="s">
        <v>234</v>
      </c>
      <c r="H776" s="23">
        <v>4894.91</v>
      </c>
      <c r="I776" s="23">
        <v>-91.99</v>
      </c>
      <c r="J776" s="23">
        <v>0</v>
      </c>
      <c r="K776" s="23">
        <v>0</v>
      </c>
      <c r="L776" s="23">
        <v>-1184.57</v>
      </c>
      <c r="M776" s="23">
        <v>-34</v>
      </c>
      <c r="N776" s="23">
        <v>0</v>
      </c>
      <c r="O776" s="24">
        <f t="shared" si="84"/>
        <v>3584.3500000000004</v>
      </c>
      <c r="P776" s="24">
        <v>-2500</v>
      </c>
      <c r="Q776" s="23">
        <v>-2578</v>
      </c>
      <c r="R776" s="23">
        <v>0</v>
      </c>
      <c r="S776" s="23">
        <v>0</v>
      </c>
      <c r="T776" s="23">
        <v>0</v>
      </c>
      <c r="U776" s="23">
        <v>0</v>
      </c>
      <c r="V776" s="23">
        <v>0</v>
      </c>
      <c r="W776" s="23">
        <f t="shared" si="85"/>
        <v>-1493.6499999999996</v>
      </c>
      <c r="X776" s="23">
        <f t="shared" si="86"/>
        <v>0</v>
      </c>
      <c r="Y776" s="23">
        <f t="shared" si="87"/>
        <v>-1493.6499999999996</v>
      </c>
      <c r="Z776" s="23">
        <v>0</v>
      </c>
      <c r="AA776" s="23">
        <f t="shared" si="88"/>
        <v>-1493.6499999999996</v>
      </c>
      <c r="AB776" s="23">
        <f t="shared" si="89"/>
        <v>2090.7000000000007</v>
      </c>
      <c r="AC776" s="20"/>
      <c r="AD776" s="20" t="str">
        <f>VLOOKUP($C776,'[1]CTRL AUTOS'!$E:$AH,2,0)</f>
        <v>MFP751C</v>
      </c>
      <c r="AE776" s="11" t="str">
        <f t="shared" si="90"/>
        <v>MFP751C38</v>
      </c>
    </row>
    <row r="777" spans="1:31" ht="12.75" hidden="1" customHeight="1" x14ac:dyDescent="0.3">
      <c r="A777" s="8">
        <v>38</v>
      </c>
      <c r="B777" s="20" t="s">
        <v>7</v>
      </c>
      <c r="C777" s="20" t="s">
        <v>8</v>
      </c>
      <c r="D777" s="20" t="s">
        <v>237</v>
      </c>
      <c r="E777" s="22" t="s">
        <v>364</v>
      </c>
      <c r="F777" s="22" t="s">
        <v>364</v>
      </c>
      <c r="G777" s="20" t="s">
        <v>234</v>
      </c>
      <c r="H777" s="23">
        <v>0</v>
      </c>
      <c r="I777" s="23">
        <v>0</v>
      </c>
      <c r="J777" s="23">
        <v>0</v>
      </c>
      <c r="K777" s="23">
        <v>0</v>
      </c>
      <c r="L777" s="23">
        <v>0</v>
      </c>
      <c r="M777" s="24">
        <v>0</v>
      </c>
      <c r="N777" s="23">
        <v>0</v>
      </c>
      <c r="O777" s="24">
        <f t="shared" si="84"/>
        <v>0</v>
      </c>
      <c r="P777" s="23">
        <v>-2500</v>
      </c>
      <c r="Q777" s="23">
        <v>0</v>
      </c>
      <c r="R777" s="23">
        <v>0</v>
      </c>
      <c r="S777" s="23">
        <v>0</v>
      </c>
      <c r="T777" s="23">
        <v>0</v>
      </c>
      <c r="U777" s="23">
        <v>0</v>
      </c>
      <c r="V777" s="23">
        <v>0</v>
      </c>
      <c r="W777" s="23">
        <f t="shared" si="85"/>
        <v>-2500</v>
      </c>
      <c r="X777" s="23">
        <f t="shared" si="86"/>
        <v>0</v>
      </c>
      <c r="Y777" s="23">
        <f t="shared" si="87"/>
        <v>-2500</v>
      </c>
      <c r="Z777" s="23">
        <v>2500</v>
      </c>
      <c r="AA777" s="23">
        <f t="shared" si="88"/>
        <v>0</v>
      </c>
      <c r="AB777" s="23">
        <f t="shared" si="89"/>
        <v>2500</v>
      </c>
      <c r="AC777" s="20" t="s">
        <v>383</v>
      </c>
      <c r="AD777" s="20" t="e">
        <f>VLOOKUP($C777,'[1]CTRL AUTOS'!$E:$AH,2,0)</f>
        <v>#N/A</v>
      </c>
      <c r="AE777" s="11" t="e">
        <f t="shared" si="90"/>
        <v>#N/A</v>
      </c>
    </row>
    <row r="778" spans="1:31" ht="12.75" hidden="1" customHeight="1" x14ac:dyDescent="0.3">
      <c r="A778" s="8">
        <v>38</v>
      </c>
      <c r="B778" s="20" t="s">
        <v>9</v>
      </c>
      <c r="C778" s="20" t="s">
        <v>10</v>
      </c>
      <c r="D778" s="20" t="s">
        <v>343</v>
      </c>
      <c r="E778" s="20" t="s">
        <v>232</v>
      </c>
      <c r="F778" s="20" t="s">
        <v>232</v>
      </c>
      <c r="G778" s="20" t="s">
        <v>234</v>
      </c>
      <c r="H778" s="23">
        <v>2511.16</v>
      </c>
      <c r="I778" s="23">
        <v>-44.46</v>
      </c>
      <c r="J778" s="23">
        <v>0</v>
      </c>
      <c r="K778" s="23">
        <v>0</v>
      </c>
      <c r="L778" s="23">
        <v>-1604.39</v>
      </c>
      <c r="M778" s="23">
        <v>-35</v>
      </c>
      <c r="N778" s="23">
        <v>0</v>
      </c>
      <c r="O778" s="24">
        <f t="shared" si="84"/>
        <v>827.30999999999972</v>
      </c>
      <c r="P778" s="23">
        <v>-2500</v>
      </c>
      <c r="Q778" s="23">
        <v>0</v>
      </c>
      <c r="R778" s="23">
        <v>-500</v>
      </c>
      <c r="S778" s="23">
        <v>0</v>
      </c>
      <c r="T778" s="23">
        <v>0</v>
      </c>
      <c r="U778" s="23">
        <v>0</v>
      </c>
      <c r="V778" s="23">
        <v>0</v>
      </c>
      <c r="W778" s="23">
        <f t="shared" si="85"/>
        <v>-2172.6900000000005</v>
      </c>
      <c r="X778" s="23">
        <f t="shared" si="86"/>
        <v>0</v>
      </c>
      <c r="Y778" s="23">
        <f t="shared" si="87"/>
        <v>-2172.6900000000005</v>
      </c>
      <c r="Z778" s="23">
        <v>2173</v>
      </c>
      <c r="AA778" s="23">
        <f t="shared" si="88"/>
        <v>0.30999999999949068</v>
      </c>
      <c r="AB778" s="23">
        <f t="shared" si="89"/>
        <v>3000.619999999999</v>
      </c>
      <c r="AC778" s="20" t="s">
        <v>397</v>
      </c>
      <c r="AD778" s="20" t="str">
        <f>VLOOKUP($C778,'[1]CTRL AUTOS'!$E:$AH,2,0)</f>
        <v>LRL009C</v>
      </c>
      <c r="AE778" s="11" t="str">
        <f t="shared" si="90"/>
        <v>LRL009C38</v>
      </c>
    </row>
    <row r="779" spans="1:31" ht="12.75" hidden="1" customHeight="1" x14ac:dyDescent="0.3">
      <c r="A779" s="8">
        <v>38</v>
      </c>
      <c r="B779" s="20" t="s">
        <v>424</v>
      </c>
      <c r="C779" s="20" t="s">
        <v>418</v>
      </c>
      <c r="D779" s="20" t="s">
        <v>237</v>
      </c>
      <c r="E779" s="22" t="s">
        <v>364</v>
      </c>
      <c r="F779" s="22" t="s">
        <v>364</v>
      </c>
      <c r="G779" s="20" t="s">
        <v>234</v>
      </c>
      <c r="H779" s="23">
        <v>0</v>
      </c>
      <c r="I779" s="23">
        <v>0</v>
      </c>
      <c r="J779" s="23">
        <v>0</v>
      </c>
      <c r="K779" s="23">
        <v>0</v>
      </c>
      <c r="L779" s="23">
        <v>0</v>
      </c>
      <c r="M779" s="23">
        <v>0</v>
      </c>
      <c r="N779" s="23">
        <v>0</v>
      </c>
      <c r="O779" s="24">
        <f t="shared" si="84"/>
        <v>0</v>
      </c>
      <c r="P779" s="23">
        <v>0</v>
      </c>
      <c r="Q779" s="23">
        <v>200</v>
      </c>
      <c r="R779" s="23">
        <v>0</v>
      </c>
      <c r="S779" s="23">
        <v>0</v>
      </c>
      <c r="T779" s="23">
        <v>0</v>
      </c>
      <c r="U779" s="23">
        <v>0</v>
      </c>
      <c r="V779" s="23">
        <v>0</v>
      </c>
      <c r="W779" s="23">
        <f t="shared" si="85"/>
        <v>200</v>
      </c>
      <c r="X779" s="23">
        <f t="shared" si="86"/>
        <v>200</v>
      </c>
      <c r="Y779" s="23">
        <f t="shared" si="87"/>
        <v>0</v>
      </c>
      <c r="Z779" s="23">
        <v>0</v>
      </c>
      <c r="AA779" s="23">
        <f t="shared" si="88"/>
        <v>0</v>
      </c>
      <c r="AB779" s="23">
        <f t="shared" si="89"/>
        <v>-200</v>
      </c>
      <c r="AC779" s="20" t="s">
        <v>439</v>
      </c>
      <c r="AD779" s="20" t="e">
        <f>VLOOKUP($C779,'[1]CTRL AUTOS'!$E:$AH,2,0)</f>
        <v>#N/A</v>
      </c>
      <c r="AE779" s="11" t="e">
        <f t="shared" si="90"/>
        <v>#N/A</v>
      </c>
    </row>
    <row r="780" spans="1:31" ht="12.75" hidden="1" customHeight="1" x14ac:dyDescent="0.3">
      <c r="A780" s="8">
        <v>38</v>
      </c>
      <c r="B780" s="20" t="s">
        <v>440</v>
      </c>
      <c r="C780" s="20" t="s">
        <v>86</v>
      </c>
      <c r="D780" s="20" t="s">
        <v>237</v>
      </c>
      <c r="E780" s="22" t="s">
        <v>232</v>
      </c>
      <c r="F780" s="20" t="s">
        <v>291</v>
      </c>
      <c r="G780" s="20" t="s">
        <v>234</v>
      </c>
      <c r="H780" s="23">
        <v>2715.99</v>
      </c>
      <c r="I780" s="23">
        <v>-43.02</v>
      </c>
      <c r="J780" s="23">
        <v>0</v>
      </c>
      <c r="K780" s="23">
        <v>0</v>
      </c>
      <c r="L780" s="23">
        <v>-1479.71</v>
      </c>
      <c r="M780" s="24">
        <v>-25</v>
      </c>
      <c r="N780" s="23">
        <v>0</v>
      </c>
      <c r="O780" s="24">
        <f t="shared" si="84"/>
        <v>1168.2599999999998</v>
      </c>
      <c r="P780" s="23">
        <v>-1250</v>
      </c>
      <c r="Q780" s="23">
        <v>0</v>
      </c>
      <c r="R780" s="23">
        <f>-250-2000</f>
        <v>-2250</v>
      </c>
      <c r="S780" s="23">
        <v>0</v>
      </c>
      <c r="T780" s="23">
        <v>0</v>
      </c>
      <c r="U780" s="23">
        <v>0</v>
      </c>
      <c r="V780" s="23">
        <v>0</v>
      </c>
      <c r="W780" s="23">
        <f t="shared" si="85"/>
        <v>-2331.7400000000002</v>
      </c>
      <c r="X780" s="23">
        <f t="shared" si="86"/>
        <v>0</v>
      </c>
      <c r="Y780" s="23">
        <f t="shared" si="87"/>
        <v>-2331.7400000000002</v>
      </c>
      <c r="Z780" s="23">
        <v>2332</v>
      </c>
      <c r="AA780" s="23">
        <f t="shared" si="88"/>
        <v>0.25999999999976353</v>
      </c>
      <c r="AB780" s="23">
        <f t="shared" si="89"/>
        <v>3500.5199999999995</v>
      </c>
      <c r="AC780" s="20" t="s">
        <v>397</v>
      </c>
      <c r="AD780" s="20" t="str">
        <f>VLOOKUP($C780,'[1]CTRL AUTOS'!$E:$AH,2,0)</f>
        <v>R22BMR</v>
      </c>
      <c r="AE780" s="11" t="str">
        <f t="shared" si="90"/>
        <v>R22BMR38</v>
      </c>
    </row>
    <row r="781" spans="1:31" ht="12.75" hidden="1" customHeight="1" x14ac:dyDescent="0.3">
      <c r="A781" s="8">
        <v>38</v>
      </c>
      <c r="B781" s="20" t="s">
        <v>72</v>
      </c>
      <c r="C781" s="20" t="s">
        <v>73</v>
      </c>
      <c r="D781" s="20" t="s">
        <v>368</v>
      </c>
      <c r="E781" s="22" t="s">
        <v>241</v>
      </c>
      <c r="F781" s="20" t="s">
        <v>291</v>
      </c>
      <c r="G781" s="20" t="s">
        <v>234</v>
      </c>
      <c r="H781" s="23">
        <v>6336.55</v>
      </c>
      <c r="I781" s="23">
        <v>-114.21</v>
      </c>
      <c r="J781" s="23">
        <v>0</v>
      </c>
      <c r="K781" s="23">
        <v>-71.2</v>
      </c>
      <c r="L781" s="23">
        <v>-3052.22</v>
      </c>
      <c r="M781" s="23">
        <v>-32</v>
      </c>
      <c r="N781" s="23">
        <v>0</v>
      </c>
      <c r="O781" s="24">
        <f t="shared" si="84"/>
        <v>3066.9200000000005</v>
      </c>
      <c r="P781" s="24">
        <v>-2500</v>
      </c>
      <c r="Q781" s="23">
        <v>0</v>
      </c>
      <c r="R781" s="23">
        <v>0</v>
      </c>
      <c r="S781" s="23">
        <v>0</v>
      </c>
      <c r="T781" s="23">
        <v>0</v>
      </c>
      <c r="U781" s="23">
        <v>0</v>
      </c>
      <c r="V781" s="23">
        <v>0</v>
      </c>
      <c r="W781" s="23">
        <f t="shared" si="85"/>
        <v>566.92000000000053</v>
      </c>
      <c r="X781" s="23">
        <f t="shared" si="86"/>
        <v>566.92000000000053</v>
      </c>
      <c r="Y781" s="23">
        <f t="shared" si="87"/>
        <v>0</v>
      </c>
      <c r="Z781" s="23">
        <v>0</v>
      </c>
      <c r="AA781" s="23">
        <f t="shared" si="88"/>
        <v>0</v>
      </c>
      <c r="AB781" s="23">
        <f t="shared" si="89"/>
        <v>2500</v>
      </c>
      <c r="AC781" s="20" t="s">
        <v>226</v>
      </c>
      <c r="AD781" s="20" t="str">
        <f>VLOOKUP($C781,'[1]CTRL AUTOS'!$E:$AH,2,0)</f>
        <v>H99BLC</v>
      </c>
      <c r="AE781" s="11" t="str">
        <f t="shared" si="90"/>
        <v>H99BLC38</v>
      </c>
    </row>
    <row r="782" spans="1:31" ht="12.75" hidden="1" customHeight="1" x14ac:dyDescent="0.3">
      <c r="A782" s="8">
        <v>38</v>
      </c>
      <c r="B782" s="20" t="s">
        <v>292</v>
      </c>
      <c r="C782" s="20" t="s">
        <v>52</v>
      </c>
      <c r="D782" s="20" t="s">
        <v>313</v>
      </c>
      <c r="E782" s="20" t="s">
        <v>232</v>
      </c>
      <c r="F782" s="20" t="s">
        <v>232</v>
      </c>
      <c r="G782" s="20" t="s">
        <v>234</v>
      </c>
      <c r="H782" s="23">
        <v>6854.22</v>
      </c>
      <c r="I782" s="23">
        <v>-113.88</v>
      </c>
      <c r="J782" s="23">
        <v>0</v>
      </c>
      <c r="K782" s="23">
        <v>0</v>
      </c>
      <c r="L782" s="23">
        <v>-2676.51</v>
      </c>
      <c r="M782" s="23">
        <v>-32</v>
      </c>
      <c r="N782" s="23">
        <v>0</v>
      </c>
      <c r="O782" s="24">
        <f t="shared" si="84"/>
        <v>4031.83</v>
      </c>
      <c r="P782" s="24">
        <v>-2500</v>
      </c>
      <c r="Q782" s="23">
        <v>0</v>
      </c>
      <c r="R782" s="23">
        <v>0</v>
      </c>
      <c r="S782" s="23">
        <v>0</v>
      </c>
      <c r="T782" s="23">
        <v>0</v>
      </c>
      <c r="U782" s="23">
        <v>0</v>
      </c>
      <c r="V782" s="23">
        <v>0</v>
      </c>
      <c r="W782" s="23">
        <f t="shared" si="85"/>
        <v>1531.83</v>
      </c>
      <c r="X782" s="23">
        <f t="shared" si="86"/>
        <v>1531.83</v>
      </c>
      <c r="Y782" s="23">
        <f t="shared" si="87"/>
        <v>0</v>
      </c>
      <c r="Z782" s="23">
        <v>0</v>
      </c>
      <c r="AA782" s="23">
        <f t="shared" si="88"/>
        <v>0</v>
      </c>
      <c r="AB782" s="23">
        <f t="shared" si="89"/>
        <v>2500</v>
      </c>
      <c r="AC782" s="20" t="s">
        <v>226</v>
      </c>
      <c r="AD782" s="20" t="str">
        <f>VLOOKUP($C782,'[1]CTRL AUTOS'!$E:$AH,2,0)</f>
        <v>A35BHD</v>
      </c>
      <c r="AE782" s="11" t="str">
        <f t="shared" si="90"/>
        <v>A35BHD38</v>
      </c>
    </row>
    <row r="783" spans="1:31" ht="12.75" hidden="1" customHeight="1" x14ac:dyDescent="0.3">
      <c r="A783" s="8">
        <v>38</v>
      </c>
      <c r="B783" s="20" t="s">
        <v>105</v>
      </c>
      <c r="C783" s="20" t="s">
        <v>104</v>
      </c>
      <c r="D783" s="20" t="s">
        <v>402</v>
      </c>
      <c r="E783" s="22" t="s">
        <v>364</v>
      </c>
      <c r="F783" s="22" t="s">
        <v>364</v>
      </c>
      <c r="G783" s="20" t="s">
        <v>425</v>
      </c>
      <c r="H783" s="23">
        <v>0</v>
      </c>
      <c r="I783" s="23">
        <v>0</v>
      </c>
      <c r="J783" s="23">
        <v>0</v>
      </c>
      <c r="K783" s="23">
        <v>0</v>
      </c>
      <c r="L783" s="23">
        <v>0</v>
      </c>
      <c r="M783" s="23">
        <v>0</v>
      </c>
      <c r="N783" s="23">
        <v>0</v>
      </c>
      <c r="O783" s="24">
        <f t="shared" si="84"/>
        <v>0</v>
      </c>
      <c r="P783" s="23">
        <v>-2500</v>
      </c>
      <c r="Q783" s="23">
        <v>0</v>
      </c>
      <c r="R783" s="23">
        <v>-500</v>
      </c>
      <c r="S783" s="23">
        <v>0</v>
      </c>
      <c r="T783" s="23">
        <v>0</v>
      </c>
      <c r="U783" s="23">
        <v>0</v>
      </c>
      <c r="V783" s="23">
        <v>0</v>
      </c>
      <c r="W783" s="23">
        <f t="shared" si="85"/>
        <v>-3000</v>
      </c>
      <c r="X783" s="23">
        <f t="shared" si="86"/>
        <v>0</v>
      </c>
      <c r="Y783" s="23">
        <f t="shared" si="87"/>
        <v>-3000</v>
      </c>
      <c r="Z783" s="23">
        <f>2500+500</f>
        <v>3000</v>
      </c>
      <c r="AA783" s="23">
        <f t="shared" si="88"/>
        <v>0</v>
      </c>
      <c r="AB783" s="23">
        <f t="shared" si="89"/>
        <v>3000</v>
      </c>
      <c r="AC783" s="20" t="s">
        <v>373</v>
      </c>
      <c r="AD783" s="20" t="e">
        <f>VLOOKUP($C783,'[1]CTRL AUTOS'!$E:$AH,2,0)</f>
        <v>#N/A</v>
      </c>
      <c r="AE783" s="11" t="e">
        <f t="shared" si="90"/>
        <v>#N/A</v>
      </c>
    </row>
    <row r="784" spans="1:31" ht="12.75" hidden="1" customHeight="1" x14ac:dyDescent="0.3">
      <c r="A784" s="8">
        <v>38</v>
      </c>
      <c r="B784" s="20" t="s">
        <v>57</v>
      </c>
      <c r="C784" s="20" t="s">
        <v>16</v>
      </c>
      <c r="D784" s="20" t="s">
        <v>314</v>
      </c>
      <c r="E784" s="20" t="s">
        <v>232</v>
      </c>
      <c r="F784" s="20" t="s">
        <v>232</v>
      </c>
      <c r="G784" s="20" t="s">
        <v>234</v>
      </c>
      <c r="H784" s="23">
        <v>4365.84</v>
      </c>
      <c r="I784" s="23">
        <v>-61.74</v>
      </c>
      <c r="J784" s="23">
        <v>0</v>
      </c>
      <c r="K784" s="23">
        <v>0</v>
      </c>
      <c r="L784" s="23">
        <v>-2464.6799999999998</v>
      </c>
      <c r="M784" s="23">
        <v>-38</v>
      </c>
      <c r="N784" s="23">
        <v>0</v>
      </c>
      <c r="O784" s="24">
        <f t="shared" si="84"/>
        <v>1801.4200000000005</v>
      </c>
      <c r="P784" s="23">
        <v>-2500</v>
      </c>
      <c r="Q784" s="23">
        <v>0</v>
      </c>
      <c r="R784" s="23">
        <v>-500</v>
      </c>
      <c r="S784" s="23">
        <v>0</v>
      </c>
      <c r="T784" s="23">
        <v>0</v>
      </c>
      <c r="U784" s="23">
        <v>0</v>
      </c>
      <c r="V784" s="23">
        <v>0</v>
      </c>
      <c r="W784" s="23">
        <f t="shared" si="85"/>
        <v>-1198.5799999999995</v>
      </c>
      <c r="X784" s="23">
        <f t="shared" si="86"/>
        <v>0</v>
      </c>
      <c r="Y784" s="23">
        <f t="shared" si="87"/>
        <v>-1198.5799999999995</v>
      </c>
      <c r="Z784" s="23">
        <v>0</v>
      </c>
      <c r="AA784" s="23">
        <f t="shared" si="88"/>
        <v>-1198.5799999999995</v>
      </c>
      <c r="AB784" s="23">
        <f t="shared" si="89"/>
        <v>602.84000000000106</v>
      </c>
      <c r="AC784" s="20" t="s">
        <v>395</v>
      </c>
      <c r="AD784" s="20" t="str">
        <f>VLOOKUP($C784,'[1]CTRL AUTOS'!$E:$AH,2,0)</f>
        <v>D28BET</v>
      </c>
      <c r="AE784" s="11" t="str">
        <f t="shared" si="90"/>
        <v>D28BET38</v>
      </c>
    </row>
    <row r="785" spans="1:31" ht="12.75" hidden="1" customHeight="1" x14ac:dyDescent="0.3">
      <c r="A785" s="8">
        <v>38</v>
      </c>
      <c r="B785" s="20" t="s">
        <v>288</v>
      </c>
      <c r="C785" s="20" t="s">
        <v>22</v>
      </c>
      <c r="D785" s="20" t="s">
        <v>319</v>
      </c>
      <c r="E785" s="20" t="s">
        <v>232</v>
      </c>
      <c r="F785" s="20" t="s">
        <v>232</v>
      </c>
      <c r="G785" s="20" t="s">
        <v>234</v>
      </c>
      <c r="H785" s="23">
        <v>5885.26</v>
      </c>
      <c r="I785" s="23">
        <v>-96.85</v>
      </c>
      <c r="J785" s="23">
        <v>0</v>
      </c>
      <c r="K785" s="23">
        <v>0</v>
      </c>
      <c r="L785" s="23">
        <v>-1228.3</v>
      </c>
      <c r="M785" s="23">
        <v>-32</v>
      </c>
      <c r="N785" s="23">
        <v>0</v>
      </c>
      <c r="O785" s="24">
        <f t="shared" si="84"/>
        <v>4528.1099999999997</v>
      </c>
      <c r="P785" s="24">
        <v>-2500</v>
      </c>
      <c r="Q785" s="23">
        <v>0</v>
      </c>
      <c r="R785" s="23">
        <v>0</v>
      </c>
      <c r="S785" s="23">
        <v>0</v>
      </c>
      <c r="T785" s="23">
        <v>0</v>
      </c>
      <c r="U785" s="23">
        <v>0</v>
      </c>
      <c r="V785" s="23">
        <v>0</v>
      </c>
      <c r="W785" s="23">
        <f t="shared" si="85"/>
        <v>2028.1099999999997</v>
      </c>
      <c r="X785" s="23">
        <f t="shared" si="86"/>
        <v>2028.1099999999997</v>
      </c>
      <c r="Y785" s="23">
        <f t="shared" si="87"/>
        <v>0</v>
      </c>
      <c r="Z785" s="23">
        <v>0</v>
      </c>
      <c r="AA785" s="23">
        <f t="shared" si="88"/>
        <v>0</v>
      </c>
      <c r="AB785" s="23">
        <f t="shared" si="89"/>
        <v>2500</v>
      </c>
      <c r="AC785" s="20" t="s">
        <v>226</v>
      </c>
      <c r="AD785" s="20" t="str">
        <f>VLOOKUP($C785,'[1]CTRL AUTOS'!$E:$AH,2,0)</f>
        <v>NCK475B</v>
      </c>
      <c r="AE785" s="11" t="str">
        <f t="shared" si="90"/>
        <v>NCK475B38</v>
      </c>
    </row>
    <row r="786" spans="1:31" ht="12.75" hidden="1" customHeight="1" x14ac:dyDescent="0.3">
      <c r="A786" s="8">
        <v>38</v>
      </c>
      <c r="B786" s="20" t="s">
        <v>35</v>
      </c>
      <c r="C786" s="20" t="s">
        <v>97</v>
      </c>
      <c r="D786" s="20" t="s">
        <v>273</v>
      </c>
      <c r="E786" s="20" t="s">
        <v>232</v>
      </c>
      <c r="F786" s="20" t="s">
        <v>232</v>
      </c>
      <c r="G786" s="20" t="s">
        <v>234</v>
      </c>
      <c r="H786" s="23">
        <v>4583.3999999999996</v>
      </c>
      <c r="I786" s="23">
        <v>-132.36000000000001</v>
      </c>
      <c r="J786" s="23">
        <v>-9.7899999999999991</v>
      </c>
      <c r="K786" s="23">
        <v>0</v>
      </c>
      <c r="L786" s="23">
        <v>-3434.15</v>
      </c>
      <c r="M786" s="23">
        <v>-15</v>
      </c>
      <c r="N786" s="23">
        <v>0</v>
      </c>
      <c r="O786" s="24">
        <f t="shared" si="84"/>
        <v>992.09999999999991</v>
      </c>
      <c r="P786" s="24">
        <v>-1428.57</v>
      </c>
      <c r="Q786" s="23">
        <v>-38</v>
      </c>
      <c r="R786" s="23">
        <v>0</v>
      </c>
      <c r="S786" s="23">
        <v>0</v>
      </c>
      <c r="T786" s="23">
        <v>0</v>
      </c>
      <c r="U786" s="23">
        <v>0</v>
      </c>
      <c r="V786" s="23">
        <v>0</v>
      </c>
      <c r="W786" s="23">
        <f t="shared" si="85"/>
        <v>-474.47</v>
      </c>
      <c r="X786" s="23">
        <f t="shared" si="86"/>
        <v>0</v>
      </c>
      <c r="Y786" s="23">
        <f t="shared" si="87"/>
        <v>-474.47</v>
      </c>
      <c r="Z786" s="23">
        <v>0</v>
      </c>
      <c r="AA786" s="23">
        <f t="shared" si="88"/>
        <v>-474.47</v>
      </c>
      <c r="AB786" s="23">
        <f t="shared" si="89"/>
        <v>517.62999999999988</v>
      </c>
      <c r="AC786" s="20" t="s">
        <v>395</v>
      </c>
      <c r="AD786" s="20" t="str">
        <f>VLOOKUP($C786,'[1]CTRL AUTOS'!$E:$AH,2,0)</f>
        <v>MUF515A</v>
      </c>
      <c r="AE786" s="11" t="str">
        <f t="shared" si="90"/>
        <v>MUF515A38</v>
      </c>
    </row>
    <row r="787" spans="1:31" ht="12.75" hidden="1" customHeight="1" x14ac:dyDescent="0.3">
      <c r="A787" s="8">
        <v>38</v>
      </c>
      <c r="B787" s="20" t="s">
        <v>35</v>
      </c>
      <c r="C787" s="20" t="s">
        <v>36</v>
      </c>
      <c r="D787" s="20" t="s">
        <v>273</v>
      </c>
      <c r="E787" s="20" t="s">
        <v>232</v>
      </c>
      <c r="F787" s="20" t="s">
        <v>291</v>
      </c>
      <c r="G787" s="20" t="s">
        <v>234</v>
      </c>
      <c r="H787" s="23">
        <v>1662.24</v>
      </c>
      <c r="I787" s="23">
        <v>-30.39</v>
      </c>
      <c r="J787" s="23">
        <v>0</v>
      </c>
      <c r="K787" s="23">
        <v>0</v>
      </c>
      <c r="L787" s="23">
        <v>-1193.0999999999999</v>
      </c>
      <c r="M787" s="23">
        <v>-17</v>
      </c>
      <c r="N787" s="23">
        <v>0</v>
      </c>
      <c r="O787" s="24">
        <f t="shared" si="84"/>
        <v>421.75</v>
      </c>
      <c r="P787" s="24">
        <v>-714.28</v>
      </c>
      <c r="Q787" s="23">
        <v>0</v>
      </c>
      <c r="R787" s="23">
        <v>0</v>
      </c>
      <c r="S787" s="23">
        <v>0</v>
      </c>
      <c r="T787" s="23">
        <v>0</v>
      </c>
      <c r="U787" s="23">
        <v>0</v>
      </c>
      <c r="V787" s="23">
        <v>0</v>
      </c>
      <c r="W787" s="23">
        <f t="shared" si="85"/>
        <v>-292.52999999999997</v>
      </c>
      <c r="X787" s="23">
        <f t="shared" si="86"/>
        <v>0</v>
      </c>
      <c r="Y787" s="23">
        <f t="shared" si="87"/>
        <v>-292.52999999999997</v>
      </c>
      <c r="Z787" s="23">
        <v>0</v>
      </c>
      <c r="AA787" s="23">
        <f t="shared" si="88"/>
        <v>-292.52999999999997</v>
      </c>
      <c r="AB787" s="23">
        <f t="shared" si="89"/>
        <v>129.22000000000003</v>
      </c>
      <c r="AC787" s="20" t="s">
        <v>395</v>
      </c>
      <c r="AD787" s="20" t="str">
        <f>VLOOKUP($C787,'[1]CTRL AUTOS'!$E:$AH,2,0)</f>
        <v>MLC126A</v>
      </c>
      <c r="AE787" s="11" t="str">
        <f t="shared" si="90"/>
        <v>MLC126A38</v>
      </c>
    </row>
    <row r="788" spans="1:31" ht="12.75" hidden="1" customHeight="1" x14ac:dyDescent="0.3">
      <c r="A788" s="8">
        <v>38</v>
      </c>
      <c r="B788" s="20" t="s">
        <v>37</v>
      </c>
      <c r="C788" s="20" t="s">
        <v>30</v>
      </c>
      <c r="D788" s="20" t="s">
        <v>237</v>
      </c>
      <c r="E788" s="22" t="s">
        <v>232</v>
      </c>
      <c r="F788" s="20" t="s">
        <v>291</v>
      </c>
      <c r="G788" s="20" t="s">
        <v>234</v>
      </c>
      <c r="H788" s="23">
        <v>4757.8900000000003</v>
      </c>
      <c r="I788" s="23">
        <v>-156.22999999999999</v>
      </c>
      <c r="J788" s="23">
        <v>0</v>
      </c>
      <c r="K788" s="23">
        <v>0</v>
      </c>
      <c r="L788" s="23">
        <v>-2013.18</v>
      </c>
      <c r="M788" s="23">
        <v>-38</v>
      </c>
      <c r="N788" s="23">
        <v>0</v>
      </c>
      <c r="O788" s="24">
        <f t="shared" si="84"/>
        <v>2550.4800000000005</v>
      </c>
      <c r="P788" s="24">
        <v>-2500</v>
      </c>
      <c r="Q788" s="23">
        <v>-93</v>
      </c>
      <c r="R788" s="23">
        <v>0</v>
      </c>
      <c r="S788" s="23">
        <v>0</v>
      </c>
      <c r="T788" s="23">
        <v>0</v>
      </c>
      <c r="U788" s="23">
        <v>0</v>
      </c>
      <c r="V788" s="23">
        <v>0</v>
      </c>
      <c r="W788" s="23">
        <f t="shared" si="85"/>
        <v>-42.519999999999527</v>
      </c>
      <c r="X788" s="23">
        <f t="shared" si="86"/>
        <v>0</v>
      </c>
      <c r="Y788" s="23">
        <f t="shared" si="87"/>
        <v>-42.519999999999527</v>
      </c>
      <c r="Z788" s="23">
        <v>0</v>
      </c>
      <c r="AA788" s="23">
        <f t="shared" si="88"/>
        <v>-42.519999999999527</v>
      </c>
      <c r="AB788" s="23">
        <f t="shared" si="89"/>
        <v>2507.9600000000009</v>
      </c>
      <c r="AC788" s="20" t="s">
        <v>395</v>
      </c>
      <c r="AD788" s="20" t="str">
        <f>VLOOKUP($C788,'[1]CTRL AUTOS'!$E:$AH,2,0)</f>
        <v>D51BHV</v>
      </c>
      <c r="AE788" s="11" t="str">
        <f t="shared" si="90"/>
        <v>D51BHV38</v>
      </c>
    </row>
    <row r="789" spans="1:31" ht="12.75" hidden="1" customHeight="1" x14ac:dyDescent="0.3">
      <c r="A789" s="8">
        <v>38</v>
      </c>
      <c r="B789" s="20" t="s">
        <v>61</v>
      </c>
      <c r="C789" s="20" t="s">
        <v>34</v>
      </c>
      <c r="D789" s="20" t="s">
        <v>285</v>
      </c>
      <c r="E789" s="20" t="s">
        <v>232</v>
      </c>
      <c r="F789" s="20" t="s">
        <v>232</v>
      </c>
      <c r="G789" s="20" t="s">
        <v>234</v>
      </c>
      <c r="H789" s="23">
        <v>5078.75</v>
      </c>
      <c r="I789" s="23">
        <v>-80.19</v>
      </c>
      <c r="J789" s="23">
        <v>-60.77</v>
      </c>
      <c r="K789" s="23">
        <v>0</v>
      </c>
      <c r="L789" s="23">
        <v>-2122.7399999999998</v>
      </c>
      <c r="M789" s="24">
        <v>-38</v>
      </c>
      <c r="N789" s="23">
        <v>0</v>
      </c>
      <c r="O789" s="24">
        <f t="shared" si="84"/>
        <v>2777.05</v>
      </c>
      <c r="P789" s="23">
        <v>-2500</v>
      </c>
      <c r="Q789" s="23">
        <v>0</v>
      </c>
      <c r="R789" s="23">
        <v>-500</v>
      </c>
      <c r="S789" s="23">
        <v>0</v>
      </c>
      <c r="T789" s="23">
        <v>0</v>
      </c>
      <c r="U789" s="23">
        <v>0</v>
      </c>
      <c r="V789" s="23">
        <v>0</v>
      </c>
      <c r="W789" s="23">
        <f t="shared" si="85"/>
        <v>-222.94999999999982</v>
      </c>
      <c r="X789" s="23">
        <f t="shared" si="86"/>
        <v>0</v>
      </c>
      <c r="Y789" s="23">
        <f t="shared" si="87"/>
        <v>-222.94999999999982</v>
      </c>
      <c r="Z789" s="23">
        <v>223</v>
      </c>
      <c r="AA789" s="23">
        <f t="shared" si="88"/>
        <v>5.0000000000181899E-2</v>
      </c>
      <c r="AB789" s="23">
        <f t="shared" si="89"/>
        <v>3000.1000000000004</v>
      </c>
      <c r="AC789" s="20" t="s">
        <v>397</v>
      </c>
      <c r="AD789" s="20" t="str">
        <f>VLOOKUP($C789,'[1]CTRL AUTOS'!$E:$AH,2,0)</f>
        <v>X59AWG</v>
      </c>
      <c r="AE789" s="11" t="str">
        <f t="shared" si="90"/>
        <v>X59AWG38</v>
      </c>
    </row>
    <row r="790" spans="1:31" ht="12.75" hidden="1" customHeight="1" x14ac:dyDescent="0.3">
      <c r="A790" s="8">
        <v>38</v>
      </c>
      <c r="B790" s="20" t="s">
        <v>361</v>
      </c>
      <c r="C790" s="20" t="s">
        <v>56</v>
      </c>
      <c r="D790" s="20" t="s">
        <v>336</v>
      </c>
      <c r="E790" s="22" t="s">
        <v>241</v>
      </c>
      <c r="F790" s="20" t="s">
        <v>291</v>
      </c>
      <c r="G790" s="22" t="s">
        <v>234</v>
      </c>
      <c r="H790" s="23">
        <v>3968.19</v>
      </c>
      <c r="I790" s="23">
        <v>-69.150000000000006</v>
      </c>
      <c r="J790" s="23">
        <v>0</v>
      </c>
      <c r="K790" s="23">
        <v>0</v>
      </c>
      <c r="L790" s="23">
        <v>-827.51</v>
      </c>
      <c r="M790" s="23">
        <v>-32</v>
      </c>
      <c r="N790" s="23">
        <v>0</v>
      </c>
      <c r="O790" s="24">
        <f t="shared" si="84"/>
        <v>3039.5299999999997</v>
      </c>
      <c r="P790" s="24">
        <v>-2500</v>
      </c>
      <c r="Q790" s="23">
        <v>0</v>
      </c>
      <c r="R790" s="23">
        <v>0</v>
      </c>
      <c r="S790" s="23">
        <v>0</v>
      </c>
      <c r="T790" s="23">
        <v>0</v>
      </c>
      <c r="U790" s="23">
        <v>0</v>
      </c>
      <c r="V790" s="23">
        <v>0</v>
      </c>
      <c r="W790" s="23">
        <f t="shared" si="85"/>
        <v>539.52999999999975</v>
      </c>
      <c r="X790" s="23">
        <f t="shared" si="86"/>
        <v>539.52999999999975</v>
      </c>
      <c r="Y790" s="23">
        <f t="shared" si="87"/>
        <v>0</v>
      </c>
      <c r="Z790" s="23">
        <v>0</v>
      </c>
      <c r="AA790" s="23">
        <f t="shared" si="88"/>
        <v>0</v>
      </c>
      <c r="AB790" s="23">
        <f t="shared" si="89"/>
        <v>2500</v>
      </c>
      <c r="AC790" s="20" t="s">
        <v>226</v>
      </c>
      <c r="AD790" s="20" t="str">
        <f>VLOOKUP($C790,'[1]CTRL AUTOS'!$E:$AH,2,0)</f>
        <v>MYE912A</v>
      </c>
      <c r="AE790" s="11" t="str">
        <f t="shared" si="90"/>
        <v>MYE912A38</v>
      </c>
    </row>
    <row r="791" spans="1:31" ht="12.75" hidden="1" customHeight="1" x14ac:dyDescent="0.3">
      <c r="A791" s="8">
        <v>38</v>
      </c>
      <c r="B791" s="20" t="s">
        <v>434</v>
      </c>
      <c r="C791" s="44" t="s">
        <v>79</v>
      </c>
      <c r="D791" s="20" t="s">
        <v>250</v>
      </c>
      <c r="E791" s="20" t="s">
        <v>291</v>
      </c>
      <c r="F791" s="20" t="s">
        <v>291</v>
      </c>
      <c r="G791" s="22" t="s">
        <v>234</v>
      </c>
      <c r="H791" s="23">
        <v>2368.15</v>
      </c>
      <c r="I791" s="23">
        <v>-44.84</v>
      </c>
      <c r="J791" s="23">
        <v>0</v>
      </c>
      <c r="K791" s="23">
        <v>0</v>
      </c>
      <c r="L791" s="23">
        <v>0</v>
      </c>
      <c r="M791" s="24">
        <v>-28</v>
      </c>
      <c r="N791" s="23">
        <v>0</v>
      </c>
      <c r="O791" s="24">
        <f t="shared" si="84"/>
        <v>2295.31</v>
      </c>
      <c r="P791" s="24">
        <v>-2500</v>
      </c>
      <c r="Q791" s="23">
        <v>-490</v>
      </c>
      <c r="R791" s="23">
        <v>0</v>
      </c>
      <c r="S791" s="23">
        <v>0</v>
      </c>
      <c r="T791" s="23">
        <v>0</v>
      </c>
      <c r="U791" s="23">
        <v>0</v>
      </c>
      <c r="V791" s="23">
        <v>0</v>
      </c>
      <c r="W791" s="23">
        <f t="shared" si="85"/>
        <v>-694.69</v>
      </c>
      <c r="X791" s="23">
        <f t="shared" si="86"/>
        <v>0</v>
      </c>
      <c r="Y791" s="23">
        <f t="shared" si="87"/>
        <v>-694.69</v>
      </c>
      <c r="Z791" s="23">
        <v>0</v>
      </c>
      <c r="AA791" s="23">
        <f t="shared" si="88"/>
        <v>-694.69</v>
      </c>
      <c r="AB791" s="23">
        <f t="shared" si="89"/>
        <v>1600.62</v>
      </c>
      <c r="AC791" s="20" t="s">
        <v>395</v>
      </c>
      <c r="AD791" s="20" t="str">
        <f>VLOOKUP($C791,'[1]CTRL AUTOS'!$E:$AH,2,0)</f>
        <v>MAY737C</v>
      </c>
      <c r="AE791" s="11" t="str">
        <f t="shared" si="90"/>
        <v>MAY737C38</v>
      </c>
    </row>
    <row r="792" spans="1:31" ht="12.75" hidden="1" customHeight="1" x14ac:dyDescent="0.3">
      <c r="A792" s="8">
        <v>38</v>
      </c>
      <c r="B792" s="20" t="s">
        <v>417</v>
      </c>
      <c r="C792" s="20" t="s">
        <v>428</v>
      </c>
      <c r="D792" s="20" t="s">
        <v>237</v>
      </c>
      <c r="E792" s="22" t="s">
        <v>364</v>
      </c>
      <c r="F792" s="22" t="s">
        <v>364</v>
      </c>
      <c r="G792" s="20" t="s">
        <v>234</v>
      </c>
      <c r="H792" s="23">
        <v>5147.17</v>
      </c>
      <c r="I792" s="23">
        <v>-99.9</v>
      </c>
      <c r="J792" s="23">
        <v>-9.7899999999999991</v>
      </c>
      <c r="K792" s="23">
        <v>0</v>
      </c>
      <c r="L792" s="23">
        <v>-1592.92</v>
      </c>
      <c r="M792" s="23">
        <v>0</v>
      </c>
      <c r="N792" s="23">
        <v>0</v>
      </c>
      <c r="O792" s="24">
        <f t="shared" si="84"/>
        <v>3444.5600000000004</v>
      </c>
      <c r="P792" s="23">
        <v>-2500</v>
      </c>
      <c r="Q792" s="23">
        <v>0</v>
      </c>
      <c r="R792" s="23">
        <v>-500</v>
      </c>
      <c r="S792" s="23">
        <v>0</v>
      </c>
      <c r="T792" s="23">
        <v>0</v>
      </c>
      <c r="U792" s="23">
        <v>0</v>
      </c>
      <c r="V792" s="23">
        <v>0</v>
      </c>
      <c r="W792" s="23">
        <f t="shared" si="85"/>
        <v>444.5600000000004</v>
      </c>
      <c r="X792" s="23">
        <f t="shared" si="86"/>
        <v>444.5600000000004</v>
      </c>
      <c r="Y792" s="23">
        <f t="shared" si="87"/>
        <v>0</v>
      </c>
      <c r="Z792" s="23">
        <v>0</v>
      </c>
      <c r="AA792" s="23">
        <f t="shared" si="88"/>
        <v>0</v>
      </c>
      <c r="AB792" s="23">
        <f t="shared" si="89"/>
        <v>3000</v>
      </c>
      <c r="AC792" s="20" t="s">
        <v>392</v>
      </c>
      <c r="AD792" s="20" t="e">
        <f>VLOOKUP($C792,'[1]CTRL AUTOS'!$E:$AH,2,0)</f>
        <v>#N/A</v>
      </c>
      <c r="AE792" s="11" t="e">
        <f t="shared" si="90"/>
        <v>#N/A</v>
      </c>
    </row>
    <row r="793" spans="1:31" ht="12.75" hidden="1" customHeight="1" x14ac:dyDescent="0.3">
      <c r="A793" s="8">
        <v>38</v>
      </c>
      <c r="B793" s="20" t="s">
        <v>45</v>
      </c>
      <c r="C793" s="20" t="s">
        <v>46</v>
      </c>
      <c r="D793" s="20" t="s">
        <v>257</v>
      </c>
      <c r="E793" s="20" t="s">
        <v>232</v>
      </c>
      <c r="F793" s="20" t="s">
        <v>232</v>
      </c>
      <c r="G793" s="22" t="s">
        <v>234</v>
      </c>
      <c r="H793" s="23">
        <v>4619.87</v>
      </c>
      <c r="I793" s="23">
        <v>-71.290000000000006</v>
      </c>
      <c r="J793" s="23">
        <v>-6.18</v>
      </c>
      <c r="K793" s="23">
        <v>0</v>
      </c>
      <c r="L793" s="23">
        <v>-1173.73</v>
      </c>
      <c r="M793" s="23">
        <v>-45</v>
      </c>
      <c r="N793" s="23">
        <v>-41</v>
      </c>
      <c r="O793" s="24">
        <f t="shared" si="84"/>
        <v>3282.6699999999996</v>
      </c>
      <c r="P793" s="24">
        <v>-2500</v>
      </c>
      <c r="Q793" s="23">
        <v>0</v>
      </c>
      <c r="R793" s="23">
        <v>0</v>
      </c>
      <c r="S793" s="23">
        <v>0</v>
      </c>
      <c r="T793" s="23">
        <v>-500</v>
      </c>
      <c r="U793" s="23">
        <v>-500</v>
      </c>
      <c r="V793" s="23">
        <v>0</v>
      </c>
      <c r="W793" s="23">
        <f t="shared" si="85"/>
        <v>-217.33000000000038</v>
      </c>
      <c r="X793" s="23">
        <f t="shared" si="86"/>
        <v>0</v>
      </c>
      <c r="Y793" s="23">
        <f t="shared" si="87"/>
        <v>-217.33000000000038</v>
      </c>
      <c r="Z793" s="23">
        <v>217</v>
      </c>
      <c r="AA793" s="23">
        <f t="shared" si="88"/>
        <v>-0.33000000000038199</v>
      </c>
      <c r="AB793" s="23">
        <f t="shared" si="89"/>
        <v>3499.3399999999992</v>
      </c>
      <c r="AC793" s="20" t="s">
        <v>397</v>
      </c>
      <c r="AD793" s="20" t="str">
        <f>VLOOKUP($C793,'[1]CTRL AUTOS'!$E:$AH,2,0)</f>
        <v>R66BER</v>
      </c>
      <c r="AE793" s="11" t="str">
        <f t="shared" si="90"/>
        <v>R66BER38</v>
      </c>
    </row>
    <row r="794" spans="1:31" ht="12.75" hidden="1" customHeight="1" x14ac:dyDescent="0.3">
      <c r="A794" s="8">
        <v>38</v>
      </c>
      <c r="B794" s="20" t="s">
        <v>5</v>
      </c>
      <c r="C794" s="20" t="s">
        <v>28</v>
      </c>
      <c r="D794" s="20" t="s">
        <v>274</v>
      </c>
      <c r="E794" s="20" t="s">
        <v>232</v>
      </c>
      <c r="F794" s="20" t="s">
        <v>232</v>
      </c>
      <c r="G794" s="20" t="s">
        <v>234</v>
      </c>
      <c r="H794" s="23">
        <v>2120.5700000000002</v>
      </c>
      <c r="I794" s="23">
        <v>-34.46</v>
      </c>
      <c r="J794" s="23">
        <v>0</v>
      </c>
      <c r="K794" s="23">
        <v>0</v>
      </c>
      <c r="L794" s="23">
        <v>0</v>
      </c>
      <c r="M794" s="23">
        <v>-32</v>
      </c>
      <c r="N794" s="23">
        <v>0</v>
      </c>
      <c r="O794" s="24">
        <f t="shared" si="84"/>
        <v>2054.11</v>
      </c>
      <c r="P794" s="24">
        <v>-2500</v>
      </c>
      <c r="Q794" s="23">
        <v>-319</v>
      </c>
      <c r="R794" s="23">
        <v>0</v>
      </c>
      <c r="S794" s="23">
        <v>0</v>
      </c>
      <c r="T794" s="23">
        <v>0</v>
      </c>
      <c r="U794" s="23">
        <v>0</v>
      </c>
      <c r="V794" s="23">
        <v>0</v>
      </c>
      <c r="W794" s="23">
        <f t="shared" si="85"/>
        <v>-764.88999999999987</v>
      </c>
      <c r="X794" s="23">
        <f t="shared" si="86"/>
        <v>0</v>
      </c>
      <c r="Y794" s="23">
        <f t="shared" si="87"/>
        <v>-764.88999999999987</v>
      </c>
      <c r="Z794" s="23">
        <v>700</v>
      </c>
      <c r="AA794" s="23">
        <f t="shared" si="88"/>
        <v>-64.889999999999873</v>
      </c>
      <c r="AB794" s="23">
        <f t="shared" si="89"/>
        <v>2689.2200000000003</v>
      </c>
      <c r="AC794" s="20" t="s">
        <v>397</v>
      </c>
      <c r="AD794" s="20" t="str">
        <f>VLOOKUP($C794,'[1]CTRL AUTOS'!$E:$AH,2,0)</f>
        <v>NCT814A</v>
      </c>
      <c r="AE794" s="11" t="str">
        <f t="shared" si="90"/>
        <v>NCT814A38</v>
      </c>
    </row>
    <row r="795" spans="1:31" ht="12.75" hidden="1" customHeight="1" x14ac:dyDescent="0.3">
      <c r="A795" s="8">
        <v>38</v>
      </c>
      <c r="B795" s="20" t="s">
        <v>362</v>
      </c>
      <c r="C795" s="20" t="s">
        <v>50</v>
      </c>
      <c r="D795" s="20" t="s">
        <v>267</v>
      </c>
      <c r="E795" s="20" t="s">
        <v>232</v>
      </c>
      <c r="F795" s="20" t="s">
        <v>232</v>
      </c>
      <c r="G795" s="20" t="s">
        <v>234</v>
      </c>
      <c r="H795" s="23">
        <v>1434.16</v>
      </c>
      <c r="I795" s="23">
        <v>-22.88</v>
      </c>
      <c r="J795" s="23">
        <v>0</v>
      </c>
      <c r="K795" s="23">
        <v>0</v>
      </c>
      <c r="L795" s="23">
        <v>-551.23</v>
      </c>
      <c r="M795" s="23">
        <v>-38</v>
      </c>
      <c r="N795" s="23">
        <v>0</v>
      </c>
      <c r="O795" s="24">
        <f t="shared" si="84"/>
        <v>822.05</v>
      </c>
      <c r="P795" s="24">
        <v>-2500</v>
      </c>
      <c r="Q795" s="23">
        <v>-17</v>
      </c>
      <c r="R795" s="23">
        <v>0</v>
      </c>
      <c r="S795" s="23">
        <v>0</v>
      </c>
      <c r="T795" s="23">
        <v>0</v>
      </c>
      <c r="U795" s="23">
        <v>0</v>
      </c>
      <c r="V795" s="23">
        <v>0</v>
      </c>
      <c r="W795" s="23">
        <f t="shared" si="85"/>
        <v>-1694.95</v>
      </c>
      <c r="X795" s="23">
        <f t="shared" si="86"/>
        <v>0</v>
      </c>
      <c r="Y795" s="23">
        <f t="shared" si="87"/>
        <v>-1694.95</v>
      </c>
      <c r="Z795" s="23">
        <f>1262+600</f>
        <v>1862</v>
      </c>
      <c r="AA795" s="23">
        <f t="shared" si="88"/>
        <v>167.04999999999995</v>
      </c>
      <c r="AB795" s="23">
        <f t="shared" si="89"/>
        <v>2851.1000000000004</v>
      </c>
      <c r="AC795" s="20" t="s">
        <v>441</v>
      </c>
      <c r="AD795" s="20" t="str">
        <f>VLOOKUP($C795,'[1]CTRL AUTOS'!$E:$AH,2,0)</f>
        <v>NBS225A</v>
      </c>
      <c r="AE795" s="11" t="str">
        <f t="shared" si="90"/>
        <v>NBS225A38</v>
      </c>
    </row>
    <row r="796" spans="1:31" ht="12.75" hidden="1" customHeight="1" x14ac:dyDescent="0.3">
      <c r="A796" s="8">
        <v>38</v>
      </c>
      <c r="B796" s="20" t="s">
        <v>414</v>
      </c>
      <c r="C796" s="20" t="s">
        <v>59</v>
      </c>
      <c r="D796" s="20" t="s">
        <v>237</v>
      </c>
      <c r="E796" s="22" t="s">
        <v>232</v>
      </c>
      <c r="F796" s="20" t="s">
        <v>291</v>
      </c>
      <c r="G796" s="20" t="s">
        <v>234</v>
      </c>
      <c r="H796" s="23">
        <v>9987.52</v>
      </c>
      <c r="I796" s="23">
        <v>-176.04</v>
      </c>
      <c r="J796" s="23">
        <v>0</v>
      </c>
      <c r="K796" s="23">
        <v>0</v>
      </c>
      <c r="L796" s="23">
        <v>-1243.03</v>
      </c>
      <c r="M796" s="24">
        <v>-38</v>
      </c>
      <c r="N796" s="23">
        <v>0</v>
      </c>
      <c r="O796" s="24">
        <f t="shared" si="84"/>
        <v>8530.4499999999989</v>
      </c>
      <c r="P796" s="23">
        <v>-2500</v>
      </c>
      <c r="Q796" s="23">
        <v>0</v>
      </c>
      <c r="R796" s="23">
        <v>-500</v>
      </c>
      <c r="S796" s="23">
        <v>0</v>
      </c>
      <c r="T796" s="23">
        <v>0</v>
      </c>
      <c r="U796" s="23">
        <v>0</v>
      </c>
      <c r="V796" s="23">
        <v>0</v>
      </c>
      <c r="W796" s="23">
        <f t="shared" si="85"/>
        <v>5530.4499999999989</v>
      </c>
      <c r="X796" s="23">
        <f t="shared" si="86"/>
        <v>5530.4499999999989</v>
      </c>
      <c r="Y796" s="23">
        <f t="shared" si="87"/>
        <v>0</v>
      </c>
      <c r="Z796" s="23">
        <v>0</v>
      </c>
      <c r="AA796" s="23">
        <f t="shared" si="88"/>
        <v>0</v>
      </c>
      <c r="AB796" s="23">
        <f t="shared" si="89"/>
        <v>3000</v>
      </c>
      <c r="AC796" s="20" t="s">
        <v>226</v>
      </c>
      <c r="AD796" s="20" t="str">
        <f>VLOOKUP($C796,'[1]CTRL AUTOS'!$E:$AH,2,0)</f>
        <v>P62BHW</v>
      </c>
      <c r="AE796" s="11" t="str">
        <f t="shared" si="90"/>
        <v>P62BHW38</v>
      </c>
    </row>
    <row r="797" spans="1:31" ht="12.75" hidden="1" customHeight="1" x14ac:dyDescent="0.3">
      <c r="A797" s="8">
        <v>38</v>
      </c>
      <c r="B797" s="20" t="s">
        <v>74</v>
      </c>
      <c r="C797" s="20" t="s">
        <v>77</v>
      </c>
      <c r="D797" s="20" t="s">
        <v>237</v>
      </c>
      <c r="E797" s="22" t="s">
        <v>232</v>
      </c>
      <c r="F797" s="20" t="s">
        <v>291</v>
      </c>
      <c r="G797" s="20" t="s">
        <v>234</v>
      </c>
      <c r="H797" s="23">
        <v>5268.04</v>
      </c>
      <c r="I797" s="23">
        <v>-86.54</v>
      </c>
      <c r="J797" s="23">
        <v>0</v>
      </c>
      <c r="K797" s="23">
        <v>0</v>
      </c>
      <c r="L797" s="23">
        <v>0</v>
      </c>
      <c r="M797" s="23">
        <v>-32</v>
      </c>
      <c r="N797" s="23">
        <v>0</v>
      </c>
      <c r="O797" s="24">
        <f t="shared" si="84"/>
        <v>5149.5</v>
      </c>
      <c r="P797" s="23">
        <v>-2500</v>
      </c>
      <c r="Q797" s="23">
        <v>0</v>
      </c>
      <c r="R797" s="23">
        <v>-500</v>
      </c>
      <c r="S797" s="23">
        <v>0</v>
      </c>
      <c r="T797" s="23">
        <v>0</v>
      </c>
      <c r="U797" s="23">
        <v>0</v>
      </c>
      <c r="V797" s="23">
        <v>0</v>
      </c>
      <c r="W797" s="23">
        <f t="shared" si="85"/>
        <v>2149.5</v>
      </c>
      <c r="X797" s="23">
        <f t="shared" si="86"/>
        <v>2149.5</v>
      </c>
      <c r="Y797" s="23">
        <f t="shared" si="87"/>
        <v>0</v>
      </c>
      <c r="Z797" s="23">
        <v>0</v>
      </c>
      <c r="AA797" s="23">
        <f t="shared" si="88"/>
        <v>0</v>
      </c>
      <c r="AB797" s="23">
        <f t="shared" si="89"/>
        <v>3000</v>
      </c>
      <c r="AC797" s="20" t="s">
        <v>226</v>
      </c>
      <c r="AD797" s="20" t="str">
        <f>VLOOKUP($C797,'[1]CTRL AUTOS'!$E:$AH,2,0)</f>
        <v>MEE228C</v>
      </c>
      <c r="AE797" s="11" t="str">
        <f t="shared" si="90"/>
        <v>MEE228C38</v>
      </c>
    </row>
    <row r="798" spans="1:31" ht="12.75" hidden="1" customHeight="1" x14ac:dyDescent="0.3">
      <c r="A798" s="8">
        <v>38</v>
      </c>
      <c r="B798" s="20" t="s">
        <v>132</v>
      </c>
      <c r="C798" s="20" t="s">
        <v>204</v>
      </c>
      <c r="D798" s="20" t="s">
        <v>237</v>
      </c>
      <c r="E798" s="22" t="s">
        <v>364</v>
      </c>
      <c r="F798" s="22" t="s">
        <v>364</v>
      </c>
      <c r="G798" s="20" t="s">
        <v>234</v>
      </c>
      <c r="H798" s="23">
        <v>7516.44</v>
      </c>
      <c r="I798" s="23">
        <v>0</v>
      </c>
      <c r="J798" s="23">
        <v>-16</v>
      </c>
      <c r="K798" s="23">
        <v>0</v>
      </c>
      <c r="L798" s="23">
        <v>-1561.11</v>
      </c>
      <c r="M798" s="24">
        <v>0</v>
      </c>
      <c r="N798" s="23">
        <v>0</v>
      </c>
      <c r="O798" s="24">
        <f t="shared" si="84"/>
        <v>5939.33</v>
      </c>
      <c r="P798" s="23">
        <v>-2500</v>
      </c>
      <c r="Q798" s="23">
        <v>0</v>
      </c>
      <c r="R798" s="23">
        <v>0</v>
      </c>
      <c r="S798" s="23">
        <v>0</v>
      </c>
      <c r="T798" s="23">
        <v>0</v>
      </c>
      <c r="U798" s="23">
        <v>0</v>
      </c>
      <c r="V798" s="23">
        <v>0</v>
      </c>
      <c r="W798" s="23">
        <f t="shared" si="85"/>
        <v>3439.33</v>
      </c>
      <c r="X798" s="23">
        <f t="shared" si="86"/>
        <v>3439.33</v>
      </c>
      <c r="Y798" s="23">
        <f t="shared" si="87"/>
        <v>0</v>
      </c>
      <c r="Z798" s="23">
        <v>0</v>
      </c>
      <c r="AA798" s="23">
        <f t="shared" si="88"/>
        <v>0</v>
      </c>
      <c r="AB798" s="23">
        <f t="shared" si="89"/>
        <v>2500</v>
      </c>
      <c r="AC798" s="20" t="s">
        <v>392</v>
      </c>
      <c r="AD798" s="20" t="e">
        <f>VLOOKUP($C798,'[1]CTRL AUTOS'!$E:$AH,2,0)</f>
        <v>#N/A</v>
      </c>
      <c r="AE798" s="11" t="e">
        <f t="shared" si="90"/>
        <v>#N/A</v>
      </c>
    </row>
    <row r="799" spans="1:31" ht="12.75" hidden="1" customHeight="1" x14ac:dyDescent="0.3">
      <c r="A799" s="8">
        <v>38</v>
      </c>
      <c r="B799" s="20" t="s">
        <v>98</v>
      </c>
      <c r="C799" s="20" t="s">
        <v>168</v>
      </c>
      <c r="D799" s="20" t="s">
        <v>265</v>
      </c>
      <c r="E799" s="20" t="s">
        <v>232</v>
      </c>
      <c r="F799" s="20" t="s">
        <v>232</v>
      </c>
      <c r="G799" s="20" t="s">
        <v>234</v>
      </c>
      <c r="H799" s="23">
        <v>653.85</v>
      </c>
      <c r="I799" s="23">
        <v>-12.21</v>
      </c>
      <c r="J799" s="23">
        <v>0</v>
      </c>
      <c r="K799" s="23">
        <v>0</v>
      </c>
      <c r="L799" s="23">
        <v>0</v>
      </c>
      <c r="M799" s="23">
        <v>-32</v>
      </c>
      <c r="N799" s="23">
        <v>0</v>
      </c>
      <c r="O799" s="24">
        <f t="shared" si="84"/>
        <v>609.64</v>
      </c>
      <c r="P799" s="23">
        <v>-2500</v>
      </c>
      <c r="Q799" s="23">
        <v>-1798</v>
      </c>
      <c r="R799" s="23">
        <v>0</v>
      </c>
      <c r="S799" s="23">
        <v>0</v>
      </c>
      <c r="T799" s="23">
        <v>0</v>
      </c>
      <c r="U799" s="23">
        <v>0</v>
      </c>
      <c r="V799" s="23">
        <v>0</v>
      </c>
      <c r="W799" s="23">
        <f t="shared" si="85"/>
        <v>-3688.36</v>
      </c>
      <c r="X799" s="23">
        <f t="shared" si="86"/>
        <v>0</v>
      </c>
      <c r="Y799" s="23">
        <f t="shared" si="87"/>
        <v>-3688.36</v>
      </c>
      <c r="Z799" s="23">
        <v>0</v>
      </c>
      <c r="AA799" s="23">
        <f t="shared" si="88"/>
        <v>-3688.36</v>
      </c>
      <c r="AB799" s="23">
        <f t="shared" si="89"/>
        <v>-3078.7200000000003</v>
      </c>
      <c r="AC799" s="20" t="s">
        <v>442</v>
      </c>
      <c r="AD799" s="20" t="e">
        <f>VLOOKUP($C799,'[1]CTRL AUTOS'!$E:$AH,2,0)</f>
        <v>#N/A</v>
      </c>
      <c r="AE799" s="11" t="e">
        <f t="shared" si="90"/>
        <v>#N/A</v>
      </c>
    </row>
    <row r="800" spans="1:31" ht="12.75" hidden="1" customHeight="1" x14ac:dyDescent="0.3">
      <c r="A800" s="8">
        <v>39</v>
      </c>
      <c r="B800" s="20" t="s">
        <v>11</v>
      </c>
      <c r="C800" s="20" t="s">
        <v>54</v>
      </c>
      <c r="D800" s="20" t="s">
        <v>265</v>
      </c>
      <c r="E800" s="20" t="s">
        <v>232</v>
      </c>
      <c r="F800" s="20" t="s">
        <v>232</v>
      </c>
      <c r="G800" s="20" t="s">
        <v>234</v>
      </c>
      <c r="H800" s="23">
        <v>8269.02</v>
      </c>
      <c r="I800" s="23">
        <v>-128.82</v>
      </c>
      <c r="J800" s="23">
        <v>9.7899999999999991</v>
      </c>
      <c r="K800" s="23">
        <v>0</v>
      </c>
      <c r="L800" s="23">
        <v>-3869.29</v>
      </c>
      <c r="M800" s="23">
        <v>-32</v>
      </c>
      <c r="N800" s="23">
        <v>0</v>
      </c>
      <c r="O800" s="24">
        <f t="shared" si="84"/>
        <v>4248.7000000000007</v>
      </c>
      <c r="P800" s="23">
        <v>-2143</v>
      </c>
      <c r="Q800" s="23">
        <v>0</v>
      </c>
      <c r="R800" s="23">
        <v>-500</v>
      </c>
      <c r="S800" s="23">
        <v>0</v>
      </c>
      <c r="T800" s="23">
        <v>0</v>
      </c>
      <c r="U800" s="23">
        <v>0</v>
      </c>
      <c r="V800" s="23">
        <v>0</v>
      </c>
      <c r="W800" s="23">
        <f t="shared" si="85"/>
        <v>1605.7000000000007</v>
      </c>
      <c r="X800" s="23">
        <f t="shared" si="86"/>
        <v>1605.7000000000007</v>
      </c>
      <c r="Y800" s="23">
        <f t="shared" si="87"/>
        <v>0</v>
      </c>
      <c r="Z800" s="23">
        <v>0</v>
      </c>
      <c r="AA800" s="23">
        <f t="shared" si="88"/>
        <v>0</v>
      </c>
      <c r="AB800" s="23">
        <f t="shared" si="89"/>
        <v>2643</v>
      </c>
      <c r="AC800" s="20" t="s">
        <v>226</v>
      </c>
      <c r="AD800" s="20" t="str">
        <f>VLOOKUP($C800,'[1]CTRL AUTOS'!$E:$AH,2,0)</f>
        <v>NZY685B</v>
      </c>
      <c r="AE800" s="11" t="str">
        <f t="shared" si="90"/>
        <v>NZY685B39</v>
      </c>
    </row>
    <row r="801" spans="1:31" ht="12.75" hidden="1" customHeight="1" x14ac:dyDescent="0.3">
      <c r="A801" s="8">
        <v>39</v>
      </c>
      <c r="B801" s="20" t="s">
        <v>80</v>
      </c>
      <c r="C801" s="20" t="s">
        <v>81</v>
      </c>
      <c r="D801" s="20" t="s">
        <v>317</v>
      </c>
      <c r="E801" s="20" t="s">
        <v>232</v>
      </c>
      <c r="F801" s="20" t="s">
        <v>232</v>
      </c>
      <c r="G801" s="20" t="s">
        <v>234</v>
      </c>
      <c r="H801" s="23">
        <v>0</v>
      </c>
      <c r="I801" s="23">
        <v>0</v>
      </c>
      <c r="J801" s="23">
        <v>0</v>
      </c>
      <c r="K801" s="23">
        <v>0</v>
      </c>
      <c r="L801" s="23">
        <v>0</v>
      </c>
      <c r="M801" s="23">
        <v>0</v>
      </c>
      <c r="N801" s="23">
        <v>0</v>
      </c>
      <c r="O801" s="24">
        <f t="shared" si="84"/>
        <v>0</v>
      </c>
      <c r="P801" s="23">
        <v>-2500</v>
      </c>
      <c r="Q801" s="23">
        <v>0</v>
      </c>
      <c r="R801" s="23">
        <v>0</v>
      </c>
      <c r="S801" s="23">
        <v>0</v>
      </c>
      <c r="T801" s="23">
        <v>0</v>
      </c>
      <c r="U801" s="23">
        <v>0</v>
      </c>
      <c r="V801" s="23">
        <v>0</v>
      </c>
      <c r="W801" s="23">
        <f t="shared" si="85"/>
        <v>-2500</v>
      </c>
      <c r="X801" s="23">
        <f t="shared" si="86"/>
        <v>0</v>
      </c>
      <c r="Y801" s="23">
        <f t="shared" si="87"/>
        <v>-2500</v>
      </c>
      <c r="Z801" s="23">
        <v>2500</v>
      </c>
      <c r="AA801" s="23">
        <f t="shared" si="88"/>
        <v>0</v>
      </c>
      <c r="AB801" s="23">
        <f t="shared" si="89"/>
        <v>2500</v>
      </c>
      <c r="AC801" s="20" t="s">
        <v>435</v>
      </c>
      <c r="AD801" s="20" t="str">
        <f>VLOOKUP($C801,'[1]CTRL AUTOS'!$E:$AH,2,0)</f>
        <v>NLP172B</v>
      </c>
      <c r="AE801" s="11" t="str">
        <f t="shared" si="90"/>
        <v>NLP172B39</v>
      </c>
    </row>
    <row r="802" spans="1:31" ht="12.75" hidden="1" customHeight="1" x14ac:dyDescent="0.3">
      <c r="A802" s="8">
        <v>39</v>
      </c>
      <c r="B802" s="20" t="s">
        <v>13</v>
      </c>
      <c r="C802" s="20" t="s">
        <v>40</v>
      </c>
      <c r="D802" s="20" t="s">
        <v>315</v>
      </c>
      <c r="E802" s="20" t="s">
        <v>232</v>
      </c>
      <c r="F802" s="20" t="s">
        <v>232</v>
      </c>
      <c r="G802" s="20" t="s">
        <v>234</v>
      </c>
      <c r="H802" s="23">
        <v>6363.3</v>
      </c>
      <c r="I802" s="23">
        <v>-92.76</v>
      </c>
      <c r="J802" s="23">
        <v>10.9</v>
      </c>
      <c r="K802" s="23">
        <v>0</v>
      </c>
      <c r="L802" s="23">
        <v>0</v>
      </c>
      <c r="M802" s="23">
        <v>-34</v>
      </c>
      <c r="N802" s="23">
        <v>0</v>
      </c>
      <c r="O802" s="24">
        <f t="shared" si="84"/>
        <v>6247.44</v>
      </c>
      <c r="P802" s="23">
        <v>-2500</v>
      </c>
      <c r="Q802" s="23">
        <v>0</v>
      </c>
      <c r="R802" s="23">
        <v>-500</v>
      </c>
      <c r="S802" s="23">
        <v>0</v>
      </c>
      <c r="T802" s="23">
        <v>0</v>
      </c>
      <c r="U802" s="23">
        <v>0</v>
      </c>
      <c r="V802" s="23">
        <v>0</v>
      </c>
      <c r="W802" s="23">
        <f t="shared" si="85"/>
        <v>3247.4399999999996</v>
      </c>
      <c r="X802" s="23">
        <f t="shared" si="86"/>
        <v>3247.4399999999996</v>
      </c>
      <c r="Y802" s="23">
        <f t="shared" si="87"/>
        <v>0</v>
      </c>
      <c r="Z802" s="23">
        <v>0</v>
      </c>
      <c r="AA802" s="23">
        <f t="shared" si="88"/>
        <v>0</v>
      </c>
      <c r="AB802" s="23">
        <f t="shared" si="89"/>
        <v>3000</v>
      </c>
      <c r="AC802" s="20" t="s">
        <v>226</v>
      </c>
      <c r="AD802" s="20" t="str">
        <f>VLOOKUP($C802,'[1]CTRL AUTOS'!$E:$AH,2,0)</f>
        <v>NEL860A</v>
      </c>
      <c r="AE802" s="11" t="str">
        <f t="shared" si="90"/>
        <v>NEL860A39</v>
      </c>
    </row>
    <row r="803" spans="1:31" ht="12.75" hidden="1" customHeight="1" x14ac:dyDescent="0.3">
      <c r="A803" s="8">
        <v>39</v>
      </c>
      <c r="B803" s="20" t="s">
        <v>111</v>
      </c>
      <c r="C803" s="20" t="s">
        <v>63</v>
      </c>
      <c r="D803" s="20" t="s">
        <v>374</v>
      </c>
      <c r="E803" s="20" t="s">
        <v>291</v>
      </c>
      <c r="F803" s="20" t="s">
        <v>291</v>
      </c>
      <c r="G803" s="20" t="s">
        <v>234</v>
      </c>
      <c r="H803" s="23">
        <v>5355.4</v>
      </c>
      <c r="I803" s="23">
        <v>-79.11</v>
      </c>
      <c r="J803" s="23">
        <v>-162.61000000000001</v>
      </c>
      <c r="K803" s="23">
        <v>0</v>
      </c>
      <c r="L803" s="23">
        <v>-1496.86</v>
      </c>
      <c r="M803" s="23">
        <v>-42</v>
      </c>
      <c r="N803" s="23">
        <v>0</v>
      </c>
      <c r="O803" s="24">
        <f t="shared" si="84"/>
        <v>3574.8200000000006</v>
      </c>
      <c r="P803" s="24">
        <v>-2500</v>
      </c>
      <c r="Q803" s="23">
        <v>0</v>
      </c>
      <c r="R803" s="23">
        <v>0</v>
      </c>
      <c r="S803" s="23">
        <v>0</v>
      </c>
      <c r="T803" s="23">
        <v>0</v>
      </c>
      <c r="U803" s="23">
        <v>0</v>
      </c>
      <c r="V803" s="23">
        <v>0</v>
      </c>
      <c r="W803" s="23">
        <f t="shared" si="85"/>
        <v>1074.8200000000006</v>
      </c>
      <c r="X803" s="23">
        <f t="shared" si="86"/>
        <v>1074.8200000000006</v>
      </c>
      <c r="Y803" s="23">
        <f t="shared" si="87"/>
        <v>0</v>
      </c>
      <c r="Z803" s="23">
        <v>0</v>
      </c>
      <c r="AA803" s="23">
        <f t="shared" si="88"/>
        <v>0</v>
      </c>
      <c r="AB803" s="23">
        <f t="shared" si="89"/>
        <v>2500</v>
      </c>
      <c r="AC803" s="20" t="s">
        <v>226</v>
      </c>
      <c r="AD803" s="20" t="str">
        <f>VLOOKUP($C803,'[1]CTRL AUTOS'!$E:$AH,2,0)</f>
        <v>X89ALV</v>
      </c>
      <c r="AE803" s="11" t="str">
        <f t="shared" si="90"/>
        <v>X89ALV39</v>
      </c>
    </row>
    <row r="804" spans="1:31" ht="12.75" hidden="1" customHeight="1" x14ac:dyDescent="0.3">
      <c r="A804" s="8">
        <v>39</v>
      </c>
      <c r="B804" s="20" t="s">
        <v>17</v>
      </c>
      <c r="C804" s="20" t="s">
        <v>69</v>
      </c>
      <c r="D804" s="20" t="s">
        <v>237</v>
      </c>
      <c r="E804" s="22" t="s">
        <v>241</v>
      </c>
      <c r="F804" s="20" t="s">
        <v>291</v>
      </c>
      <c r="G804" s="20" t="s">
        <v>234</v>
      </c>
      <c r="H804" s="23">
        <v>5781.81</v>
      </c>
      <c r="I804" s="23">
        <v>-98.18</v>
      </c>
      <c r="J804" s="23">
        <v>0</v>
      </c>
      <c r="K804" s="23">
        <v>0</v>
      </c>
      <c r="L804" s="23">
        <v>0</v>
      </c>
      <c r="M804" s="23">
        <v>-32</v>
      </c>
      <c r="N804" s="23">
        <v>0</v>
      </c>
      <c r="O804" s="24">
        <f t="shared" si="84"/>
        <v>5651.63</v>
      </c>
      <c r="P804" s="23">
        <v>-2500</v>
      </c>
      <c r="Q804" s="23">
        <v>0</v>
      </c>
      <c r="R804" s="23">
        <v>-500</v>
      </c>
      <c r="S804" s="23">
        <v>0</v>
      </c>
      <c r="T804" s="23">
        <v>0</v>
      </c>
      <c r="U804" s="23">
        <v>0</v>
      </c>
      <c r="V804" s="23">
        <v>0</v>
      </c>
      <c r="W804" s="23">
        <f t="shared" si="85"/>
        <v>2651.63</v>
      </c>
      <c r="X804" s="23">
        <f t="shared" si="86"/>
        <v>2651.63</v>
      </c>
      <c r="Y804" s="23">
        <f t="shared" si="87"/>
        <v>0</v>
      </c>
      <c r="Z804" s="23">
        <v>0</v>
      </c>
      <c r="AA804" s="23">
        <f t="shared" si="88"/>
        <v>0</v>
      </c>
      <c r="AB804" s="23">
        <f t="shared" si="89"/>
        <v>3000</v>
      </c>
      <c r="AC804" s="20" t="s">
        <v>226</v>
      </c>
      <c r="AD804" s="20" t="str">
        <f>VLOOKUP($C804,'[1]CTRL AUTOS'!$E:$AH,2,0)</f>
        <v>R51BKD</v>
      </c>
      <c r="AE804" s="11" t="str">
        <f t="shared" si="90"/>
        <v>R51BKD39</v>
      </c>
    </row>
    <row r="805" spans="1:31" ht="12.75" hidden="1" customHeight="1" x14ac:dyDescent="0.3">
      <c r="A805" s="8">
        <v>39</v>
      </c>
      <c r="B805" s="20" t="s">
        <v>19</v>
      </c>
      <c r="C805" s="20" t="s">
        <v>20</v>
      </c>
      <c r="D805" s="20" t="s">
        <v>239</v>
      </c>
      <c r="E805" s="20" t="s">
        <v>232</v>
      </c>
      <c r="F805" s="20" t="s">
        <v>232</v>
      </c>
      <c r="G805" s="20" t="s">
        <v>234</v>
      </c>
      <c r="H805" s="23">
        <v>8852.7099999999991</v>
      </c>
      <c r="I805" s="23">
        <v>-195.36</v>
      </c>
      <c r="J805" s="23">
        <v>0</v>
      </c>
      <c r="K805" s="23">
        <v>-73.14</v>
      </c>
      <c r="L805" s="23">
        <v>0</v>
      </c>
      <c r="M805" s="23">
        <v>-38</v>
      </c>
      <c r="N805" s="23">
        <v>0</v>
      </c>
      <c r="O805" s="24">
        <f t="shared" si="84"/>
        <v>8546.2099999999991</v>
      </c>
      <c r="P805" s="23">
        <v>-2500</v>
      </c>
      <c r="Q805" s="23">
        <v>0</v>
      </c>
      <c r="R805" s="23">
        <v>0</v>
      </c>
      <c r="S805" s="23">
        <v>0</v>
      </c>
      <c r="T805" s="23">
        <v>0</v>
      </c>
      <c r="U805" s="23">
        <v>-1000</v>
      </c>
      <c r="V805" s="23">
        <v>0</v>
      </c>
      <c r="W805" s="23">
        <f t="shared" si="85"/>
        <v>5046.2099999999991</v>
      </c>
      <c r="X805" s="23">
        <f t="shared" si="86"/>
        <v>5046.2099999999991</v>
      </c>
      <c r="Y805" s="23">
        <f t="shared" si="87"/>
        <v>0</v>
      </c>
      <c r="Z805" s="23">
        <v>0</v>
      </c>
      <c r="AA805" s="23">
        <f t="shared" si="88"/>
        <v>0</v>
      </c>
      <c r="AB805" s="23">
        <f t="shared" si="89"/>
        <v>3500</v>
      </c>
      <c r="AC805" s="20" t="s">
        <v>226</v>
      </c>
      <c r="AD805" s="20" t="str">
        <f>VLOOKUP($C805,'[1]CTRL AUTOS'!$E:$AH,2,0)</f>
        <v>D40BKD</v>
      </c>
      <c r="AE805" s="11" t="str">
        <f t="shared" si="90"/>
        <v>D40BKD39</v>
      </c>
    </row>
    <row r="806" spans="1:31" ht="12.75" hidden="1" customHeight="1" x14ac:dyDescent="0.3">
      <c r="A806" s="8">
        <v>39</v>
      </c>
      <c r="B806" s="20" t="s">
        <v>396</v>
      </c>
      <c r="C806" s="20" t="s">
        <v>75</v>
      </c>
      <c r="D806" s="20" t="s">
        <v>333</v>
      </c>
      <c r="E806" s="22" t="s">
        <v>241</v>
      </c>
      <c r="F806" s="20" t="s">
        <v>291</v>
      </c>
      <c r="G806" s="20" t="s">
        <v>234</v>
      </c>
      <c r="H806" s="23">
        <v>3606.34</v>
      </c>
      <c r="I806" s="23">
        <v>-70.87</v>
      </c>
      <c r="J806" s="23">
        <v>0</v>
      </c>
      <c r="K806" s="23">
        <v>0</v>
      </c>
      <c r="L806" s="23">
        <v>-2023.86</v>
      </c>
      <c r="M806" s="23">
        <v>-32</v>
      </c>
      <c r="N806" s="23">
        <v>0</v>
      </c>
      <c r="O806" s="24">
        <f t="shared" si="84"/>
        <v>1479.6100000000004</v>
      </c>
      <c r="P806" s="23">
        <v>-1964</v>
      </c>
      <c r="Q806" s="23">
        <v>0</v>
      </c>
      <c r="R806" s="23">
        <v>484</v>
      </c>
      <c r="S806" s="23">
        <v>0</v>
      </c>
      <c r="T806" s="23">
        <v>0</v>
      </c>
      <c r="U806" s="23">
        <v>0</v>
      </c>
      <c r="V806" s="23">
        <v>0</v>
      </c>
      <c r="W806" s="23">
        <f t="shared" si="85"/>
        <v>-0.3899999999996453</v>
      </c>
      <c r="X806" s="23">
        <f t="shared" si="86"/>
        <v>0</v>
      </c>
      <c r="Y806" s="23">
        <f t="shared" si="87"/>
        <v>-0.3899999999996453</v>
      </c>
      <c r="Z806" s="23">
        <v>0</v>
      </c>
      <c r="AA806" s="23">
        <f t="shared" si="88"/>
        <v>-0.3899999999996453</v>
      </c>
      <c r="AB806" s="23">
        <f t="shared" si="89"/>
        <v>1479.2200000000007</v>
      </c>
      <c r="AC806" s="20" t="s">
        <v>443</v>
      </c>
      <c r="AD806" s="20" t="str">
        <f>VLOOKUP($C806,'[1]CTRL AUTOS'!$E:$AH,2,0)</f>
        <v>NFN014B</v>
      </c>
      <c r="AE806" s="11" t="str">
        <f t="shared" si="90"/>
        <v>NFN014B39</v>
      </c>
    </row>
    <row r="807" spans="1:31" ht="12.75" hidden="1" customHeight="1" x14ac:dyDescent="0.3">
      <c r="A807" s="8">
        <v>39</v>
      </c>
      <c r="B807" s="20" t="s">
        <v>444</v>
      </c>
      <c r="C807" s="20" t="s">
        <v>4</v>
      </c>
      <c r="D807" s="20" t="s">
        <v>245</v>
      </c>
      <c r="E807" s="20" t="s">
        <v>232</v>
      </c>
      <c r="F807" s="20" t="s">
        <v>232</v>
      </c>
      <c r="G807" s="20" t="s">
        <v>234</v>
      </c>
      <c r="H807" s="23">
        <v>323.02999999999997</v>
      </c>
      <c r="I807" s="23">
        <v>-14.08</v>
      </c>
      <c r="J807" s="23">
        <v>0</v>
      </c>
      <c r="K807" s="23">
        <v>0</v>
      </c>
      <c r="L807" s="23">
        <v>0</v>
      </c>
      <c r="M807" s="23">
        <v>-38</v>
      </c>
      <c r="N807" s="23">
        <v>0</v>
      </c>
      <c r="O807" s="24">
        <f t="shared" si="84"/>
        <v>270.95</v>
      </c>
      <c r="P807" s="23">
        <v>-1964</v>
      </c>
      <c r="Q807" s="23">
        <v>0</v>
      </c>
      <c r="R807" s="23">
        <v>-392.28</v>
      </c>
      <c r="S807" s="23">
        <v>0</v>
      </c>
      <c r="T807" s="23">
        <v>0</v>
      </c>
      <c r="U807" s="23">
        <v>29</v>
      </c>
      <c r="V807" s="23">
        <v>0</v>
      </c>
      <c r="W807" s="23">
        <f t="shared" si="85"/>
        <v>-2056.33</v>
      </c>
      <c r="X807" s="23">
        <f t="shared" si="86"/>
        <v>0</v>
      </c>
      <c r="Y807" s="23">
        <f t="shared" si="87"/>
        <v>-2056.33</v>
      </c>
      <c r="Z807" s="23">
        <v>2056</v>
      </c>
      <c r="AA807" s="23">
        <f t="shared" si="88"/>
        <v>-0.32999999999992724</v>
      </c>
      <c r="AB807" s="23">
        <f t="shared" si="89"/>
        <v>2326.62</v>
      </c>
      <c r="AC807" s="20" t="s">
        <v>397</v>
      </c>
      <c r="AD807" s="20" t="str">
        <f>VLOOKUP($C807,'[1]CTRL AUTOS'!$E:$AH,2,0)</f>
        <v>N15BKD</v>
      </c>
      <c r="AE807" s="11" t="str">
        <f t="shared" si="90"/>
        <v>N15BKD39</v>
      </c>
    </row>
    <row r="808" spans="1:31" ht="12.75" hidden="1" customHeight="1" x14ac:dyDescent="0.3">
      <c r="A808" s="8">
        <v>39</v>
      </c>
      <c r="B808" s="20" t="s">
        <v>23</v>
      </c>
      <c r="C808" s="20" t="s">
        <v>106</v>
      </c>
      <c r="D808" s="20" t="s">
        <v>322</v>
      </c>
      <c r="E808" s="20" t="s">
        <v>232</v>
      </c>
      <c r="F808" s="20" t="s">
        <v>232</v>
      </c>
      <c r="G808" s="20" t="s">
        <v>234</v>
      </c>
      <c r="H808" s="23">
        <v>7882.39</v>
      </c>
      <c r="I808" s="23">
        <v>-153.22</v>
      </c>
      <c r="J808" s="23">
        <v>0</v>
      </c>
      <c r="K808" s="23">
        <v>0</v>
      </c>
      <c r="L808" s="23">
        <v>-5597.5</v>
      </c>
      <c r="M808" s="23">
        <v>-34</v>
      </c>
      <c r="N808" s="23">
        <v>0</v>
      </c>
      <c r="O808" s="24">
        <f t="shared" si="84"/>
        <v>2097.67</v>
      </c>
      <c r="P808" s="23">
        <v>-2500</v>
      </c>
      <c r="Q808" s="23">
        <v>-4</v>
      </c>
      <c r="R808" s="23">
        <v>0</v>
      </c>
      <c r="S808" s="23">
        <v>0</v>
      </c>
      <c r="T808" s="23">
        <v>0</v>
      </c>
      <c r="U808" s="23">
        <v>0</v>
      </c>
      <c r="V808" s="23">
        <v>0</v>
      </c>
      <c r="W808" s="23">
        <f t="shared" si="85"/>
        <v>-406.32999999999993</v>
      </c>
      <c r="X808" s="23">
        <f t="shared" si="86"/>
        <v>0</v>
      </c>
      <c r="Y808" s="23">
        <f t="shared" si="87"/>
        <v>-406.32999999999993</v>
      </c>
      <c r="Z808" s="23">
        <v>400</v>
      </c>
      <c r="AA808" s="23">
        <f t="shared" si="88"/>
        <v>-6.3299999999999272</v>
      </c>
      <c r="AB808" s="23">
        <f t="shared" si="89"/>
        <v>2491.34</v>
      </c>
      <c r="AC808" s="20" t="s">
        <v>435</v>
      </c>
      <c r="AD808" s="20" t="str">
        <f>VLOOKUP($C808,'[1]CTRL AUTOS'!$E:$AH,2,0)</f>
        <v>NZU5163</v>
      </c>
      <c r="AE808" s="11" t="str">
        <f t="shared" si="90"/>
        <v>NZU516339</v>
      </c>
    </row>
    <row r="809" spans="1:31" ht="12.75" hidden="1" customHeight="1" x14ac:dyDescent="0.3">
      <c r="A809" s="8">
        <v>39</v>
      </c>
      <c r="B809" s="20" t="s">
        <v>25</v>
      </c>
      <c r="C809" s="20" t="s">
        <v>67</v>
      </c>
      <c r="D809" s="20" t="s">
        <v>343</v>
      </c>
      <c r="E809" s="20" t="s">
        <v>232</v>
      </c>
      <c r="F809" s="20" t="s">
        <v>291</v>
      </c>
      <c r="G809" s="20" t="s">
        <v>234</v>
      </c>
      <c r="H809" s="23">
        <v>5661.26</v>
      </c>
      <c r="I809" s="23">
        <v>-100.96899999999999</v>
      </c>
      <c r="J809" s="23">
        <v>0</v>
      </c>
      <c r="K809" s="23">
        <v>0</v>
      </c>
      <c r="L809" s="23">
        <v>-1992.11</v>
      </c>
      <c r="M809" s="23">
        <v>-38</v>
      </c>
      <c r="N809" s="23">
        <v>0</v>
      </c>
      <c r="O809" s="24">
        <f t="shared" si="84"/>
        <v>3530.1810000000005</v>
      </c>
      <c r="P809" s="24">
        <v>-2500</v>
      </c>
      <c r="Q809" s="23">
        <v>-1673</v>
      </c>
      <c r="R809" s="23">
        <v>0</v>
      </c>
      <c r="S809" s="23">
        <v>0</v>
      </c>
      <c r="T809" s="23">
        <v>0</v>
      </c>
      <c r="U809" s="23">
        <v>0</v>
      </c>
      <c r="V809" s="23">
        <v>0</v>
      </c>
      <c r="W809" s="23">
        <f t="shared" si="85"/>
        <v>-642.81899999999951</v>
      </c>
      <c r="X809" s="23">
        <f t="shared" si="86"/>
        <v>0</v>
      </c>
      <c r="Y809" s="23">
        <f t="shared" si="87"/>
        <v>-642.81899999999951</v>
      </c>
      <c r="Z809" s="23">
        <v>0</v>
      </c>
      <c r="AA809" s="23">
        <f t="shared" si="88"/>
        <v>-642.81899999999951</v>
      </c>
      <c r="AB809" s="23">
        <f t="shared" si="89"/>
        <v>2887.362000000001</v>
      </c>
      <c r="AC809" s="20" t="s">
        <v>395</v>
      </c>
      <c r="AD809" s="20" t="str">
        <f>VLOOKUP($C809,'[1]CTRL AUTOS'!$E:$AH,2,0)</f>
        <v>MFP751C</v>
      </c>
      <c r="AE809" s="11" t="str">
        <f t="shared" si="90"/>
        <v>MFP751C39</v>
      </c>
    </row>
    <row r="810" spans="1:31" ht="12.75" hidden="1" customHeight="1" x14ac:dyDescent="0.3">
      <c r="A810" s="8">
        <v>39</v>
      </c>
      <c r="B810" s="20" t="s">
        <v>7</v>
      </c>
      <c r="C810" s="20" t="s">
        <v>8</v>
      </c>
      <c r="D810" s="20" t="s">
        <v>237</v>
      </c>
      <c r="E810" s="22" t="s">
        <v>364</v>
      </c>
      <c r="F810" s="22" t="s">
        <v>364</v>
      </c>
      <c r="G810" s="20" t="s">
        <v>425</v>
      </c>
      <c r="H810" s="23">
        <v>7467</v>
      </c>
      <c r="I810" s="23">
        <v>0</v>
      </c>
      <c r="J810" s="23">
        <v>0</v>
      </c>
      <c r="K810" s="23">
        <v>0</v>
      </c>
      <c r="L810" s="23">
        <v>-5248</v>
      </c>
      <c r="M810" s="23">
        <v>0</v>
      </c>
      <c r="N810" s="23">
        <v>0</v>
      </c>
      <c r="O810" s="24">
        <f t="shared" si="84"/>
        <v>2219</v>
      </c>
      <c r="P810" s="23">
        <v>-2414.2857142857142</v>
      </c>
      <c r="Q810" s="23">
        <v>0</v>
      </c>
      <c r="R810" s="23">
        <v>-464</v>
      </c>
      <c r="S810" s="23">
        <v>0</v>
      </c>
      <c r="T810" s="23">
        <v>0</v>
      </c>
      <c r="U810" s="23">
        <v>0</v>
      </c>
      <c r="V810" s="23">
        <v>0</v>
      </c>
      <c r="W810" s="23">
        <f t="shared" si="85"/>
        <v>-659.28571428571422</v>
      </c>
      <c r="X810" s="23">
        <f t="shared" si="86"/>
        <v>0</v>
      </c>
      <c r="Y810" s="23">
        <f t="shared" si="87"/>
        <v>-659.28571428571422</v>
      </c>
      <c r="Z810" s="23">
        <v>659</v>
      </c>
      <c r="AA810" s="23">
        <f t="shared" si="88"/>
        <v>-0.28571428571422075</v>
      </c>
      <c r="AB810" s="23">
        <f t="shared" si="89"/>
        <v>2877.7142857142858</v>
      </c>
      <c r="AC810" s="20" t="s">
        <v>445</v>
      </c>
      <c r="AD810" s="20" t="e">
        <f>VLOOKUP($C810,'[1]CTRL AUTOS'!$E:$AH,2,0)</f>
        <v>#N/A</v>
      </c>
      <c r="AE810" s="11" t="e">
        <f t="shared" si="90"/>
        <v>#N/A</v>
      </c>
    </row>
    <row r="811" spans="1:31" ht="12.75" hidden="1" customHeight="1" x14ac:dyDescent="0.3">
      <c r="A811" s="8">
        <v>39</v>
      </c>
      <c r="B811" s="20" t="s">
        <v>9</v>
      </c>
      <c r="C811" s="20" t="s">
        <v>10</v>
      </c>
      <c r="D811" s="20" t="s">
        <v>343</v>
      </c>
      <c r="E811" s="20" t="s">
        <v>232</v>
      </c>
      <c r="F811" s="20" t="s">
        <v>232</v>
      </c>
      <c r="G811" s="20" t="s">
        <v>234</v>
      </c>
      <c r="H811" s="23">
        <v>5613.28</v>
      </c>
      <c r="I811" s="23">
        <v>-90.06</v>
      </c>
      <c r="J811" s="23">
        <v>0</v>
      </c>
      <c r="K811" s="23">
        <v>0</v>
      </c>
      <c r="L811" s="23">
        <v>-3847.81</v>
      </c>
      <c r="M811" s="23">
        <v>-32</v>
      </c>
      <c r="N811" s="23">
        <v>0</v>
      </c>
      <c r="O811" s="24">
        <f t="shared" si="84"/>
        <v>1643.4099999999994</v>
      </c>
      <c r="P811" s="23">
        <v>-2500</v>
      </c>
      <c r="Q811" s="23">
        <v>0</v>
      </c>
      <c r="R811" s="23">
        <v>-500</v>
      </c>
      <c r="S811" s="23">
        <v>0</v>
      </c>
      <c r="T811" s="23">
        <v>0</v>
      </c>
      <c r="U811" s="23">
        <v>0</v>
      </c>
      <c r="V811" s="23">
        <v>0</v>
      </c>
      <c r="W811" s="23">
        <f t="shared" si="85"/>
        <v>-1356.5900000000006</v>
      </c>
      <c r="X811" s="23">
        <f t="shared" si="86"/>
        <v>0</v>
      </c>
      <c r="Y811" s="23">
        <f t="shared" si="87"/>
        <v>-1356.5900000000006</v>
      </c>
      <c r="Z811" s="23">
        <v>1357</v>
      </c>
      <c r="AA811" s="23">
        <f t="shared" si="88"/>
        <v>0.40999999999939973</v>
      </c>
      <c r="AB811" s="23">
        <f t="shared" si="89"/>
        <v>3000.8199999999988</v>
      </c>
      <c r="AC811" s="20" t="s">
        <v>397</v>
      </c>
      <c r="AD811" s="20" t="str">
        <f>VLOOKUP($C811,'[1]CTRL AUTOS'!$E:$AH,2,0)</f>
        <v>LRL009C</v>
      </c>
      <c r="AE811" s="11" t="str">
        <f t="shared" si="90"/>
        <v>LRL009C39</v>
      </c>
    </row>
    <row r="812" spans="1:31" ht="12.75" hidden="1" customHeight="1" x14ac:dyDescent="0.3">
      <c r="A812" s="9">
        <v>39</v>
      </c>
      <c r="B812" s="30" t="s">
        <v>424</v>
      </c>
      <c r="C812" s="30" t="s">
        <v>418</v>
      </c>
      <c r="D812" s="20" t="s">
        <v>237</v>
      </c>
      <c r="E812" s="22" t="s">
        <v>364</v>
      </c>
      <c r="F812" s="22" t="s">
        <v>364</v>
      </c>
      <c r="G812" s="20" t="s">
        <v>234</v>
      </c>
      <c r="H812" s="23">
        <v>0</v>
      </c>
      <c r="I812" s="23">
        <v>0</v>
      </c>
      <c r="J812" s="23">
        <v>0</v>
      </c>
      <c r="K812" s="23">
        <v>0</v>
      </c>
      <c r="L812" s="23">
        <v>0</v>
      </c>
      <c r="M812" s="23">
        <v>0</v>
      </c>
      <c r="N812" s="23">
        <v>0</v>
      </c>
      <c r="O812" s="24">
        <f t="shared" si="84"/>
        <v>0</v>
      </c>
      <c r="P812" s="23">
        <v>0</v>
      </c>
      <c r="Q812" s="23">
        <v>200</v>
      </c>
      <c r="R812" s="23">
        <v>0</v>
      </c>
      <c r="S812" s="23">
        <v>0</v>
      </c>
      <c r="T812" s="23">
        <v>0</v>
      </c>
      <c r="U812" s="23">
        <v>0</v>
      </c>
      <c r="V812" s="23">
        <v>0</v>
      </c>
      <c r="W812" s="23">
        <f t="shared" si="85"/>
        <v>200</v>
      </c>
      <c r="X812" s="23">
        <f t="shared" si="86"/>
        <v>200</v>
      </c>
      <c r="Y812" s="23">
        <f t="shared" si="87"/>
        <v>0</v>
      </c>
      <c r="Z812" s="23">
        <v>0</v>
      </c>
      <c r="AA812" s="23">
        <f t="shared" si="88"/>
        <v>0</v>
      </c>
      <c r="AB812" s="23">
        <f t="shared" si="89"/>
        <v>-200</v>
      </c>
      <c r="AC812" s="20" t="s">
        <v>446</v>
      </c>
      <c r="AD812" s="20" t="e">
        <f>VLOOKUP($C812,'[1]CTRL AUTOS'!$E:$AH,2,0)</f>
        <v>#N/A</v>
      </c>
      <c r="AE812" s="11" t="e">
        <f t="shared" si="90"/>
        <v>#N/A</v>
      </c>
    </row>
    <row r="813" spans="1:31" ht="12.75" hidden="1" customHeight="1" x14ac:dyDescent="0.3">
      <c r="A813" s="8">
        <v>39</v>
      </c>
      <c r="B813" s="20" t="s">
        <v>440</v>
      </c>
      <c r="C813" s="20" t="s">
        <v>86</v>
      </c>
      <c r="D813" s="20" t="s">
        <v>237</v>
      </c>
      <c r="E813" s="22" t="s">
        <v>232</v>
      </c>
      <c r="F813" s="20" t="s">
        <v>291</v>
      </c>
      <c r="G813" s="20" t="s">
        <v>234</v>
      </c>
      <c r="H813" s="23">
        <v>3740.93</v>
      </c>
      <c r="I813" s="23">
        <v>-60.04</v>
      </c>
      <c r="J813" s="23">
        <v>0</v>
      </c>
      <c r="K813" s="23">
        <v>0</v>
      </c>
      <c r="L813" s="23">
        <v>-2725.26</v>
      </c>
      <c r="M813" s="23">
        <v>-34</v>
      </c>
      <c r="N813" s="23">
        <v>0</v>
      </c>
      <c r="O813" s="24">
        <f t="shared" si="84"/>
        <v>921.62999999999965</v>
      </c>
      <c r="P813" s="23">
        <v>-2500</v>
      </c>
      <c r="Q813" s="23">
        <v>0</v>
      </c>
      <c r="R813" s="23">
        <v>0</v>
      </c>
      <c r="S813" s="23">
        <v>0</v>
      </c>
      <c r="T813" s="23">
        <v>0</v>
      </c>
      <c r="U813" s="23">
        <v>0</v>
      </c>
      <c r="V813" s="23">
        <v>0</v>
      </c>
      <c r="W813" s="23">
        <f t="shared" si="85"/>
        <v>-1578.3700000000003</v>
      </c>
      <c r="X813" s="23">
        <f t="shared" si="86"/>
        <v>0</v>
      </c>
      <c r="Y813" s="23">
        <f t="shared" si="87"/>
        <v>-1578.3700000000003</v>
      </c>
      <c r="Z813" s="23">
        <v>0</v>
      </c>
      <c r="AA813" s="23">
        <f t="shared" si="88"/>
        <v>-1578.3700000000003</v>
      </c>
      <c r="AB813" s="23">
        <f t="shared" si="89"/>
        <v>-656.74000000000069</v>
      </c>
      <c r="AC813" s="20"/>
      <c r="AD813" s="20" t="str">
        <f>VLOOKUP($C813,'[1]CTRL AUTOS'!$E:$AH,2,0)</f>
        <v>R22BMR</v>
      </c>
      <c r="AE813" s="11" t="str">
        <f t="shared" si="90"/>
        <v>R22BMR39</v>
      </c>
    </row>
    <row r="814" spans="1:31" ht="12.75" hidden="1" customHeight="1" x14ac:dyDescent="0.3">
      <c r="A814" s="8">
        <v>39</v>
      </c>
      <c r="B814" s="20" t="s">
        <v>72</v>
      </c>
      <c r="C814" s="20" t="s">
        <v>73</v>
      </c>
      <c r="D814" s="20" t="s">
        <v>368</v>
      </c>
      <c r="E814" s="22" t="s">
        <v>241</v>
      </c>
      <c r="F814" s="20" t="s">
        <v>291</v>
      </c>
      <c r="G814" s="20" t="s">
        <v>234</v>
      </c>
      <c r="H814" s="23">
        <v>8259.6299999999992</v>
      </c>
      <c r="I814" s="23">
        <v>-178.06</v>
      </c>
      <c r="J814" s="23">
        <v>0</v>
      </c>
      <c r="K814" s="23">
        <v>-75.06</v>
      </c>
      <c r="L814" s="23">
        <v>-4361.6400000000003</v>
      </c>
      <c r="M814" s="23">
        <v>-34</v>
      </c>
      <c r="N814" s="23">
        <v>0</v>
      </c>
      <c r="O814" s="24">
        <f t="shared" si="84"/>
        <v>3610.8699999999981</v>
      </c>
      <c r="P814" s="23">
        <v>-2500</v>
      </c>
      <c r="Q814" s="23">
        <v>0</v>
      </c>
      <c r="R814" s="23">
        <v>0</v>
      </c>
      <c r="S814" s="23">
        <v>0</v>
      </c>
      <c r="T814" s="23">
        <v>0</v>
      </c>
      <c r="U814" s="23">
        <v>0</v>
      </c>
      <c r="V814" s="23">
        <v>0</v>
      </c>
      <c r="W814" s="23">
        <f t="shared" si="85"/>
        <v>1110.8699999999981</v>
      </c>
      <c r="X814" s="23">
        <f t="shared" si="86"/>
        <v>1110.8699999999981</v>
      </c>
      <c r="Y814" s="23">
        <f t="shared" si="87"/>
        <v>0</v>
      </c>
      <c r="Z814" s="23">
        <v>0</v>
      </c>
      <c r="AA814" s="23">
        <f t="shared" si="88"/>
        <v>0</v>
      </c>
      <c r="AB814" s="23">
        <f t="shared" si="89"/>
        <v>2500</v>
      </c>
      <c r="AC814" s="20" t="s">
        <v>226</v>
      </c>
      <c r="AD814" s="20" t="str">
        <f>VLOOKUP($C814,'[1]CTRL AUTOS'!$E:$AH,2,0)</f>
        <v>H99BLC</v>
      </c>
      <c r="AE814" s="11" t="str">
        <f t="shared" si="90"/>
        <v>H99BLC39</v>
      </c>
    </row>
    <row r="815" spans="1:31" ht="12.75" hidden="1" customHeight="1" x14ac:dyDescent="0.3">
      <c r="A815" s="8">
        <v>39</v>
      </c>
      <c r="B815" s="20" t="s">
        <v>292</v>
      </c>
      <c r="C815" s="20" t="s">
        <v>52</v>
      </c>
      <c r="D815" s="20" t="s">
        <v>313</v>
      </c>
      <c r="E815" s="20" t="s">
        <v>232</v>
      </c>
      <c r="F815" s="20" t="s">
        <v>232</v>
      </c>
      <c r="G815" s="20" t="s">
        <v>234</v>
      </c>
      <c r="H815" s="23">
        <v>5217.58</v>
      </c>
      <c r="I815" s="23">
        <v>-119.26</v>
      </c>
      <c r="J815" s="23">
        <v>657.1</v>
      </c>
      <c r="K815" s="23">
        <v>0</v>
      </c>
      <c r="L815" s="23">
        <v>-1467.42</v>
      </c>
      <c r="M815" s="23">
        <v>-32</v>
      </c>
      <c r="N815" s="23">
        <v>0</v>
      </c>
      <c r="O815" s="24">
        <f t="shared" si="84"/>
        <v>4256</v>
      </c>
      <c r="P815" s="23">
        <v>-2500</v>
      </c>
      <c r="Q815" s="23">
        <v>0</v>
      </c>
      <c r="R815" s="23">
        <v>0</v>
      </c>
      <c r="S815" s="23">
        <v>0</v>
      </c>
      <c r="T815" s="23">
        <v>0</v>
      </c>
      <c r="U815" s="23">
        <v>0</v>
      </c>
      <c r="V815" s="23">
        <v>0</v>
      </c>
      <c r="W815" s="23">
        <f t="shared" si="85"/>
        <v>1756</v>
      </c>
      <c r="X815" s="23">
        <f t="shared" si="86"/>
        <v>1756</v>
      </c>
      <c r="Y815" s="23">
        <f t="shared" si="87"/>
        <v>0</v>
      </c>
      <c r="Z815" s="23">
        <v>0</v>
      </c>
      <c r="AA815" s="23">
        <f t="shared" si="88"/>
        <v>0</v>
      </c>
      <c r="AB815" s="23">
        <f t="shared" si="89"/>
        <v>2500</v>
      </c>
      <c r="AC815" s="20" t="s">
        <v>226</v>
      </c>
      <c r="AD815" s="20" t="str">
        <f>VLOOKUP($C815,'[1]CTRL AUTOS'!$E:$AH,2,0)</f>
        <v>A35BHD</v>
      </c>
      <c r="AE815" s="11" t="str">
        <f t="shared" si="90"/>
        <v>A35BHD39</v>
      </c>
    </row>
    <row r="816" spans="1:31" ht="12.75" hidden="1" customHeight="1" x14ac:dyDescent="0.3">
      <c r="A816" s="8">
        <v>39</v>
      </c>
      <c r="B816" s="20" t="s">
        <v>105</v>
      </c>
      <c r="C816" s="20" t="s">
        <v>418</v>
      </c>
      <c r="D816" s="20" t="s">
        <v>237</v>
      </c>
      <c r="E816" s="22" t="s">
        <v>364</v>
      </c>
      <c r="F816" s="22" t="s">
        <v>364</v>
      </c>
      <c r="G816" s="20" t="s">
        <v>425</v>
      </c>
      <c r="H816" s="23">
        <v>0</v>
      </c>
      <c r="I816" s="23">
        <v>0</v>
      </c>
      <c r="J816" s="23">
        <v>0</v>
      </c>
      <c r="K816" s="23">
        <v>0</v>
      </c>
      <c r="L816" s="23">
        <v>0</v>
      </c>
      <c r="M816" s="23">
        <v>0</v>
      </c>
      <c r="N816" s="23">
        <v>0</v>
      </c>
      <c r="O816" s="24">
        <f t="shared" si="84"/>
        <v>0</v>
      </c>
      <c r="P816" s="23">
        <v>-2500</v>
      </c>
      <c r="Q816" s="23">
        <v>0</v>
      </c>
      <c r="R816" s="23">
        <v>-500</v>
      </c>
      <c r="S816" s="23">
        <v>0</v>
      </c>
      <c r="T816" s="23">
        <v>0</v>
      </c>
      <c r="U816" s="23">
        <v>0</v>
      </c>
      <c r="V816" s="23">
        <v>0</v>
      </c>
      <c r="W816" s="23">
        <f t="shared" si="85"/>
        <v>-3000</v>
      </c>
      <c r="X816" s="23">
        <f t="shared" si="86"/>
        <v>0</v>
      </c>
      <c r="Y816" s="23">
        <f t="shared" si="87"/>
        <v>-3000</v>
      </c>
      <c r="Z816" s="23">
        <f>2500+500</f>
        <v>3000</v>
      </c>
      <c r="AA816" s="23">
        <f t="shared" si="88"/>
        <v>0</v>
      </c>
      <c r="AB816" s="23">
        <f t="shared" si="89"/>
        <v>3000</v>
      </c>
      <c r="AC816" s="20" t="s">
        <v>383</v>
      </c>
      <c r="AD816" s="20" t="e">
        <f>VLOOKUP($C816,'[1]CTRL AUTOS'!$E:$AH,2,0)</f>
        <v>#N/A</v>
      </c>
      <c r="AE816" s="11" t="e">
        <f t="shared" si="90"/>
        <v>#N/A</v>
      </c>
    </row>
    <row r="817" spans="1:31" ht="12.75" hidden="1" customHeight="1" x14ac:dyDescent="0.3">
      <c r="A817" s="8">
        <v>39</v>
      </c>
      <c r="B817" s="20" t="s">
        <v>57</v>
      </c>
      <c r="C817" s="20" t="s">
        <v>16</v>
      </c>
      <c r="D817" s="20" t="s">
        <v>314</v>
      </c>
      <c r="E817" s="20" t="s">
        <v>232</v>
      </c>
      <c r="F817" s="20" t="s">
        <v>232</v>
      </c>
      <c r="G817" s="20" t="s">
        <v>234</v>
      </c>
      <c r="H817" s="23">
        <v>7208.12</v>
      </c>
      <c r="I817" s="23">
        <v>-127.91</v>
      </c>
      <c r="J817" s="23">
        <v>0</v>
      </c>
      <c r="K817" s="23">
        <v>0</v>
      </c>
      <c r="L817" s="23">
        <v>-2471.79</v>
      </c>
      <c r="M817" s="23">
        <v>-38</v>
      </c>
      <c r="N817" s="23">
        <v>0</v>
      </c>
      <c r="O817" s="24">
        <f t="shared" si="84"/>
        <v>4570.42</v>
      </c>
      <c r="P817" s="23">
        <v>-2500</v>
      </c>
      <c r="Q817" s="23">
        <v>-1343</v>
      </c>
      <c r="R817" s="23">
        <v>-393</v>
      </c>
      <c r="S817" s="23">
        <v>0</v>
      </c>
      <c r="T817" s="23">
        <v>0</v>
      </c>
      <c r="U817" s="23">
        <v>0</v>
      </c>
      <c r="V817" s="23">
        <v>0</v>
      </c>
      <c r="W817" s="23">
        <f t="shared" si="85"/>
        <v>334.42000000000007</v>
      </c>
      <c r="X817" s="23">
        <f t="shared" si="86"/>
        <v>334.42000000000007</v>
      </c>
      <c r="Y817" s="23">
        <f t="shared" si="87"/>
        <v>0</v>
      </c>
      <c r="Z817" s="23">
        <v>0</v>
      </c>
      <c r="AA817" s="23">
        <f t="shared" si="88"/>
        <v>0</v>
      </c>
      <c r="AB817" s="23">
        <f t="shared" si="89"/>
        <v>4236</v>
      </c>
      <c r="AC817" s="20" t="s">
        <v>226</v>
      </c>
      <c r="AD817" s="20" t="str">
        <f>VLOOKUP($C817,'[1]CTRL AUTOS'!$E:$AH,2,0)</f>
        <v>D28BET</v>
      </c>
      <c r="AE817" s="11" t="str">
        <f t="shared" si="90"/>
        <v>D28BET39</v>
      </c>
    </row>
    <row r="818" spans="1:31" ht="12.75" hidden="1" customHeight="1" x14ac:dyDescent="0.3">
      <c r="A818" s="8">
        <v>39</v>
      </c>
      <c r="B818" s="20" t="s">
        <v>288</v>
      </c>
      <c r="C818" s="20" t="s">
        <v>22</v>
      </c>
      <c r="D818" s="20" t="s">
        <v>319</v>
      </c>
      <c r="E818" s="20" t="s">
        <v>232</v>
      </c>
      <c r="F818" s="20" t="s">
        <v>232</v>
      </c>
      <c r="G818" s="20" t="s">
        <v>234</v>
      </c>
      <c r="H818" s="23">
        <v>8411.14</v>
      </c>
      <c r="I818" s="23">
        <v>-176.46</v>
      </c>
      <c r="J818" s="23">
        <v>27</v>
      </c>
      <c r="K818" s="23">
        <v>0</v>
      </c>
      <c r="L818" s="23">
        <v>-2034.21</v>
      </c>
      <c r="M818" s="23">
        <v>-32</v>
      </c>
      <c r="N818" s="23">
        <v>0</v>
      </c>
      <c r="O818" s="24">
        <f t="shared" si="84"/>
        <v>6195.47</v>
      </c>
      <c r="P818" s="23">
        <v>-2500</v>
      </c>
      <c r="Q818" s="23">
        <v>0</v>
      </c>
      <c r="R818" s="23">
        <v>0</v>
      </c>
      <c r="S818" s="23">
        <v>0</v>
      </c>
      <c r="T818" s="23">
        <v>0</v>
      </c>
      <c r="U818" s="23">
        <v>0</v>
      </c>
      <c r="V818" s="23">
        <v>0</v>
      </c>
      <c r="W818" s="23">
        <f t="shared" si="85"/>
        <v>3695.4700000000003</v>
      </c>
      <c r="X818" s="23">
        <f t="shared" si="86"/>
        <v>3695.4700000000003</v>
      </c>
      <c r="Y818" s="23">
        <f t="shared" si="87"/>
        <v>0</v>
      </c>
      <c r="Z818" s="23">
        <v>0</v>
      </c>
      <c r="AA818" s="23">
        <f t="shared" si="88"/>
        <v>0</v>
      </c>
      <c r="AB818" s="23">
        <f t="shared" si="89"/>
        <v>2500</v>
      </c>
      <c r="AC818" s="20" t="s">
        <v>226</v>
      </c>
      <c r="AD818" s="20" t="str">
        <f>VLOOKUP($C818,'[1]CTRL AUTOS'!$E:$AH,2,0)</f>
        <v>NCK475B</v>
      </c>
      <c r="AE818" s="11" t="str">
        <f t="shared" si="90"/>
        <v>NCK475B39</v>
      </c>
    </row>
    <row r="819" spans="1:31" ht="12.75" hidden="1" customHeight="1" x14ac:dyDescent="0.3">
      <c r="A819" s="8">
        <v>39</v>
      </c>
      <c r="B819" s="20" t="s">
        <v>35</v>
      </c>
      <c r="C819" s="20" t="s">
        <v>36</v>
      </c>
      <c r="D819" s="20" t="s">
        <v>273</v>
      </c>
      <c r="E819" s="20" t="s">
        <v>232</v>
      </c>
      <c r="F819" s="20" t="s">
        <v>291</v>
      </c>
      <c r="G819" s="20" t="s">
        <v>234</v>
      </c>
      <c r="H819" s="23">
        <v>8414.8700000000008</v>
      </c>
      <c r="I819" s="23">
        <v>-268.74</v>
      </c>
      <c r="J819" s="23">
        <v>0</v>
      </c>
      <c r="K819" s="23">
        <v>0</v>
      </c>
      <c r="L819" s="23">
        <v>-5192.4399999999996</v>
      </c>
      <c r="M819" s="23">
        <v>-32</v>
      </c>
      <c r="N819" s="23">
        <v>0</v>
      </c>
      <c r="O819" s="24">
        <f t="shared" si="84"/>
        <v>2921.6900000000014</v>
      </c>
      <c r="P819" s="23">
        <v>-2500</v>
      </c>
      <c r="Q819" s="23">
        <v>-328.16</v>
      </c>
      <c r="R819" s="23">
        <v>0</v>
      </c>
      <c r="S819" s="23">
        <v>0</v>
      </c>
      <c r="T819" s="23">
        <v>0</v>
      </c>
      <c r="U819" s="23">
        <v>0</v>
      </c>
      <c r="V819" s="23">
        <v>0</v>
      </c>
      <c r="W819" s="23">
        <f t="shared" si="85"/>
        <v>93.530000000001564</v>
      </c>
      <c r="X819" s="23">
        <f t="shared" si="86"/>
        <v>93.530000000001564</v>
      </c>
      <c r="Y819" s="23">
        <f t="shared" si="87"/>
        <v>0</v>
      </c>
      <c r="Z819" s="23">
        <v>0</v>
      </c>
      <c r="AA819" s="23">
        <f t="shared" si="88"/>
        <v>0</v>
      </c>
      <c r="AB819" s="23">
        <f t="shared" si="89"/>
        <v>2828.16</v>
      </c>
      <c r="AC819" s="20" t="s">
        <v>447</v>
      </c>
      <c r="AD819" s="20" t="str">
        <f>VLOOKUP($C819,'[1]CTRL AUTOS'!$E:$AH,2,0)</f>
        <v>MLC126A</v>
      </c>
      <c r="AE819" s="11" t="str">
        <f t="shared" si="90"/>
        <v>MLC126A39</v>
      </c>
    </row>
    <row r="820" spans="1:31" ht="12.75" hidden="1" customHeight="1" x14ac:dyDescent="0.3">
      <c r="A820" s="8">
        <v>39</v>
      </c>
      <c r="B820" s="20" t="s">
        <v>35</v>
      </c>
      <c r="C820" s="20" t="s">
        <v>97</v>
      </c>
      <c r="D820" s="20" t="s">
        <v>237</v>
      </c>
      <c r="E820" s="22" t="s">
        <v>232</v>
      </c>
      <c r="F820" s="20" t="s">
        <v>232</v>
      </c>
      <c r="G820" s="20" t="s">
        <v>234</v>
      </c>
      <c r="H820" s="23">
        <v>0</v>
      </c>
      <c r="I820" s="23">
        <v>0</v>
      </c>
      <c r="J820" s="23">
        <v>0</v>
      </c>
      <c r="K820" s="23">
        <v>0</v>
      </c>
      <c r="L820" s="23">
        <v>0</v>
      </c>
      <c r="M820" s="23">
        <v>0</v>
      </c>
      <c r="N820" s="23">
        <v>0</v>
      </c>
      <c r="O820" s="24">
        <f t="shared" si="84"/>
        <v>0</v>
      </c>
      <c r="P820" s="23">
        <v>0</v>
      </c>
      <c r="Q820" s="23">
        <v>-530.88</v>
      </c>
      <c r="R820" s="23">
        <v>0</v>
      </c>
      <c r="S820" s="23">
        <v>0</v>
      </c>
      <c r="T820" s="23">
        <v>0</v>
      </c>
      <c r="U820" s="23">
        <v>0</v>
      </c>
      <c r="V820" s="23">
        <v>0</v>
      </c>
      <c r="W820" s="23">
        <f t="shared" si="85"/>
        <v>-530.88</v>
      </c>
      <c r="X820" s="23">
        <f t="shared" si="86"/>
        <v>0</v>
      </c>
      <c r="Y820" s="23">
        <f t="shared" si="87"/>
        <v>-530.88</v>
      </c>
      <c r="Z820" s="23">
        <f>94+400</f>
        <v>494</v>
      </c>
      <c r="AA820" s="23">
        <f t="shared" si="88"/>
        <v>-36.879999999999995</v>
      </c>
      <c r="AB820" s="23">
        <f t="shared" si="89"/>
        <v>457.12</v>
      </c>
      <c r="AC820" s="20" t="s">
        <v>436</v>
      </c>
      <c r="AD820" s="20" t="str">
        <f>VLOOKUP($C820,'[1]CTRL AUTOS'!$E:$AH,2,0)</f>
        <v>MUF515A</v>
      </c>
      <c r="AE820" s="11" t="str">
        <f t="shared" si="90"/>
        <v>MUF515A39</v>
      </c>
    </row>
    <row r="821" spans="1:31" ht="12.75" hidden="1" customHeight="1" x14ac:dyDescent="0.3">
      <c r="A821" s="8">
        <v>39</v>
      </c>
      <c r="B821" s="20" t="s">
        <v>37</v>
      </c>
      <c r="C821" s="20" t="s">
        <v>30</v>
      </c>
      <c r="D821" s="20" t="s">
        <v>237</v>
      </c>
      <c r="E821" s="22" t="s">
        <v>232</v>
      </c>
      <c r="F821" s="20" t="s">
        <v>291</v>
      </c>
      <c r="G821" s="20" t="s">
        <v>234</v>
      </c>
      <c r="H821" s="23">
        <v>3283.14</v>
      </c>
      <c r="I821" s="23">
        <v>-51.58</v>
      </c>
      <c r="J821" s="23">
        <v>0</v>
      </c>
      <c r="K821" s="23">
        <v>0</v>
      </c>
      <c r="L821" s="23">
        <v>-1230.93</v>
      </c>
      <c r="M821" s="23">
        <v>-38</v>
      </c>
      <c r="N821" s="23">
        <v>0</v>
      </c>
      <c r="O821" s="24">
        <f t="shared" si="84"/>
        <v>1962.6299999999999</v>
      </c>
      <c r="P821" s="23">
        <v>-2500</v>
      </c>
      <c r="Q821" s="23">
        <v>0</v>
      </c>
      <c r="R821" s="23">
        <v>0</v>
      </c>
      <c r="S821" s="23">
        <v>0</v>
      </c>
      <c r="T821" s="23">
        <v>0</v>
      </c>
      <c r="U821" s="23">
        <v>0</v>
      </c>
      <c r="V821" s="23">
        <v>0</v>
      </c>
      <c r="W821" s="23">
        <f t="shared" si="85"/>
        <v>-537.37000000000012</v>
      </c>
      <c r="X821" s="23">
        <f t="shared" si="86"/>
        <v>0</v>
      </c>
      <c r="Y821" s="23">
        <f t="shared" si="87"/>
        <v>-537.37000000000012</v>
      </c>
      <c r="Z821" s="23">
        <v>0</v>
      </c>
      <c r="AA821" s="23">
        <f t="shared" si="88"/>
        <v>-537.37000000000012</v>
      </c>
      <c r="AB821" s="23">
        <f t="shared" si="89"/>
        <v>1425.2599999999998</v>
      </c>
      <c r="AC821" s="20" t="s">
        <v>395</v>
      </c>
      <c r="AD821" s="20" t="str">
        <f>VLOOKUP($C821,'[1]CTRL AUTOS'!$E:$AH,2,0)</f>
        <v>D51BHV</v>
      </c>
      <c r="AE821" s="11" t="str">
        <f t="shared" si="90"/>
        <v>D51BHV39</v>
      </c>
    </row>
    <row r="822" spans="1:31" ht="12.75" hidden="1" customHeight="1" x14ac:dyDescent="0.3">
      <c r="A822" s="8">
        <v>39</v>
      </c>
      <c r="B822" s="20" t="s">
        <v>61</v>
      </c>
      <c r="C822" s="20" t="s">
        <v>34</v>
      </c>
      <c r="D822" s="20" t="s">
        <v>285</v>
      </c>
      <c r="E822" s="20" t="s">
        <v>232</v>
      </c>
      <c r="F822" s="20" t="s">
        <v>232</v>
      </c>
      <c r="G822" s="20" t="s">
        <v>234</v>
      </c>
      <c r="H822" s="23">
        <v>5362.89</v>
      </c>
      <c r="I822" s="23">
        <v>-79.209999999999994</v>
      </c>
      <c r="J822" s="23">
        <v>0</v>
      </c>
      <c r="K822" s="23">
        <v>0</v>
      </c>
      <c r="L822" s="23">
        <v>-2735.2</v>
      </c>
      <c r="M822" s="23">
        <v>-34</v>
      </c>
      <c r="N822" s="23">
        <v>0</v>
      </c>
      <c r="O822" s="24">
        <f t="shared" si="84"/>
        <v>2514.4800000000005</v>
      </c>
      <c r="P822" s="23">
        <v>-2500</v>
      </c>
      <c r="Q822" s="23">
        <v>0</v>
      </c>
      <c r="R822" s="23">
        <v>-500</v>
      </c>
      <c r="S822" s="23">
        <v>0</v>
      </c>
      <c r="T822" s="23">
        <v>0</v>
      </c>
      <c r="U822" s="23">
        <v>0</v>
      </c>
      <c r="V822" s="23">
        <v>0</v>
      </c>
      <c r="W822" s="23">
        <f t="shared" si="85"/>
        <v>-485.51999999999953</v>
      </c>
      <c r="X822" s="23">
        <f t="shared" si="86"/>
        <v>0</v>
      </c>
      <c r="Y822" s="23">
        <f t="shared" si="87"/>
        <v>-485.51999999999953</v>
      </c>
      <c r="Z822" s="23">
        <v>486</v>
      </c>
      <c r="AA822" s="23">
        <f t="shared" si="88"/>
        <v>0.48000000000047294</v>
      </c>
      <c r="AB822" s="23">
        <f t="shared" si="89"/>
        <v>3000.9600000000009</v>
      </c>
      <c r="AC822" s="20"/>
      <c r="AD822" s="20" t="str">
        <f>VLOOKUP($C822,'[1]CTRL AUTOS'!$E:$AH,2,0)</f>
        <v>X59AWG</v>
      </c>
      <c r="AE822" s="11" t="str">
        <f t="shared" si="90"/>
        <v>X59AWG39</v>
      </c>
    </row>
    <row r="823" spans="1:31" ht="12.75" hidden="1" customHeight="1" x14ac:dyDescent="0.3">
      <c r="A823" s="8">
        <v>39</v>
      </c>
      <c r="B823" s="20" t="s">
        <v>361</v>
      </c>
      <c r="C823" s="20" t="s">
        <v>56</v>
      </c>
      <c r="D823" s="20" t="s">
        <v>336</v>
      </c>
      <c r="E823" s="22" t="s">
        <v>241</v>
      </c>
      <c r="F823" s="20" t="s">
        <v>291</v>
      </c>
      <c r="G823" s="20" t="s">
        <v>234</v>
      </c>
      <c r="H823" s="23">
        <v>4149.55</v>
      </c>
      <c r="I823" s="23">
        <v>-67.09</v>
      </c>
      <c r="J823" s="23">
        <v>0</v>
      </c>
      <c r="K823" s="23">
        <v>0</v>
      </c>
      <c r="L823" s="23">
        <v>-1507.42</v>
      </c>
      <c r="M823" s="23">
        <v>-32</v>
      </c>
      <c r="N823" s="23">
        <v>0</v>
      </c>
      <c r="O823" s="24">
        <f t="shared" si="84"/>
        <v>2543.04</v>
      </c>
      <c r="P823" s="23">
        <v>-2500</v>
      </c>
      <c r="Q823" s="23">
        <v>0</v>
      </c>
      <c r="R823" s="23">
        <v>0</v>
      </c>
      <c r="S823" s="23">
        <v>0</v>
      </c>
      <c r="T823" s="23">
        <v>0</v>
      </c>
      <c r="U823" s="23">
        <v>-625</v>
      </c>
      <c r="V823" s="23">
        <v>0</v>
      </c>
      <c r="W823" s="23">
        <f t="shared" si="85"/>
        <v>-581.96</v>
      </c>
      <c r="X823" s="23">
        <f t="shared" si="86"/>
        <v>0</v>
      </c>
      <c r="Y823" s="23">
        <f t="shared" si="87"/>
        <v>-581.96</v>
      </c>
      <c r="Z823" s="23">
        <v>582</v>
      </c>
      <c r="AA823" s="23">
        <f t="shared" si="88"/>
        <v>3.999999999996362E-2</v>
      </c>
      <c r="AB823" s="23">
        <f t="shared" si="89"/>
        <v>3125.08</v>
      </c>
      <c r="AC823" s="20" t="s">
        <v>297</v>
      </c>
      <c r="AD823" s="20" t="str">
        <f>VLOOKUP($C823,'[1]CTRL AUTOS'!$E:$AH,2,0)</f>
        <v>MYE912A</v>
      </c>
      <c r="AE823" s="11" t="str">
        <f t="shared" si="90"/>
        <v>MYE912A39</v>
      </c>
    </row>
    <row r="824" spans="1:31" ht="12.75" hidden="1" customHeight="1" x14ac:dyDescent="0.3">
      <c r="A824" s="9">
        <v>39</v>
      </c>
      <c r="B824" s="30" t="s">
        <v>434</v>
      </c>
      <c r="C824" s="44" t="s">
        <v>79</v>
      </c>
      <c r="D824" s="20" t="s">
        <v>250</v>
      </c>
      <c r="E824" s="20" t="s">
        <v>291</v>
      </c>
      <c r="F824" s="20" t="s">
        <v>291</v>
      </c>
      <c r="G824" s="22" t="s">
        <v>234</v>
      </c>
      <c r="H824" s="23">
        <v>0</v>
      </c>
      <c r="I824" s="23">
        <v>0</v>
      </c>
      <c r="J824" s="23">
        <v>0</v>
      </c>
      <c r="K824" s="23">
        <v>0</v>
      </c>
      <c r="L824" s="23">
        <v>0</v>
      </c>
      <c r="M824" s="23">
        <v>0</v>
      </c>
      <c r="N824" s="23">
        <v>0</v>
      </c>
      <c r="O824" s="24">
        <f t="shared" si="84"/>
        <v>0</v>
      </c>
      <c r="P824" s="23">
        <v>0</v>
      </c>
      <c r="Q824" s="23">
        <v>-779</v>
      </c>
      <c r="R824" s="23">
        <v>0</v>
      </c>
      <c r="S824" s="23">
        <v>0</v>
      </c>
      <c r="T824" s="23">
        <v>0</v>
      </c>
      <c r="U824" s="23">
        <v>0</v>
      </c>
      <c r="V824" s="23">
        <v>0</v>
      </c>
      <c r="W824" s="23">
        <f t="shared" si="85"/>
        <v>-779</v>
      </c>
      <c r="X824" s="23">
        <f t="shared" si="86"/>
        <v>0</v>
      </c>
      <c r="Y824" s="23">
        <f t="shared" si="87"/>
        <v>-779</v>
      </c>
      <c r="Z824" s="23">
        <v>0</v>
      </c>
      <c r="AA824" s="23">
        <f t="shared" si="88"/>
        <v>-779</v>
      </c>
      <c r="AB824" s="23">
        <f t="shared" si="89"/>
        <v>-779</v>
      </c>
      <c r="AC824" s="20" t="s">
        <v>448</v>
      </c>
      <c r="AD824" s="20" t="str">
        <f>VLOOKUP($C824,'[1]CTRL AUTOS'!$E:$AH,2,0)</f>
        <v>MAY737C</v>
      </c>
      <c r="AE824" s="11" t="str">
        <f t="shared" si="90"/>
        <v>MAY737C39</v>
      </c>
    </row>
    <row r="825" spans="1:31" ht="12.75" hidden="1" customHeight="1" x14ac:dyDescent="0.3">
      <c r="A825" s="8">
        <v>39</v>
      </c>
      <c r="B825" s="41" t="s">
        <v>434</v>
      </c>
      <c r="C825" s="41" t="s">
        <v>42</v>
      </c>
      <c r="D825" s="41" t="s">
        <v>250</v>
      </c>
      <c r="E825" s="41" t="s">
        <v>232</v>
      </c>
      <c r="F825" s="41" t="s">
        <v>232</v>
      </c>
      <c r="G825" s="20" t="s">
        <v>234</v>
      </c>
      <c r="H825" s="23">
        <v>655.57</v>
      </c>
      <c r="I825" s="23">
        <v>-12.19</v>
      </c>
      <c r="J825" s="23">
        <v>0</v>
      </c>
      <c r="K825" s="23">
        <v>0</v>
      </c>
      <c r="L825" s="23">
        <v>0</v>
      </c>
      <c r="M825" s="23">
        <v>-34</v>
      </c>
      <c r="N825" s="23">
        <v>0</v>
      </c>
      <c r="O825" s="24">
        <f t="shared" si="84"/>
        <v>609.38</v>
      </c>
      <c r="P825" s="23">
        <v>-1964</v>
      </c>
      <c r="Q825" s="23">
        <v>0</v>
      </c>
      <c r="R825" s="23">
        <v>0</v>
      </c>
      <c r="S825" s="23">
        <v>0</v>
      </c>
      <c r="T825" s="23">
        <v>0</v>
      </c>
      <c r="U825" s="23">
        <v>-1000</v>
      </c>
      <c r="V825" s="23">
        <v>0</v>
      </c>
      <c r="W825" s="23">
        <f t="shared" si="85"/>
        <v>-2354.62</v>
      </c>
      <c r="X825" s="23">
        <f t="shared" si="86"/>
        <v>0</v>
      </c>
      <c r="Y825" s="23">
        <f t="shared" si="87"/>
        <v>-2354.62</v>
      </c>
      <c r="Z825" s="23">
        <v>2355</v>
      </c>
      <c r="AA825" s="23">
        <f t="shared" si="88"/>
        <v>0.38000000000010914</v>
      </c>
      <c r="AB825" s="23">
        <f t="shared" si="89"/>
        <v>2964.76</v>
      </c>
      <c r="AC825" s="20" t="s">
        <v>448</v>
      </c>
      <c r="AD825" s="20" t="str">
        <f>VLOOKUP($C825,'[1]CTRL AUTOS'!$E:$AH,2,0)</f>
        <v>MMA672C</v>
      </c>
      <c r="AE825" s="11" t="str">
        <f t="shared" si="90"/>
        <v>MMA672C39</v>
      </c>
    </row>
    <row r="826" spans="1:31" ht="12.75" hidden="1" customHeight="1" x14ac:dyDescent="0.3">
      <c r="A826" s="8">
        <v>39</v>
      </c>
      <c r="B826" s="20" t="s">
        <v>417</v>
      </c>
      <c r="C826" s="20" t="s">
        <v>428</v>
      </c>
      <c r="D826" s="20" t="s">
        <v>237</v>
      </c>
      <c r="E826" s="22" t="s">
        <v>364</v>
      </c>
      <c r="F826" s="22" t="s">
        <v>364</v>
      </c>
      <c r="G826" s="20" t="s">
        <v>234</v>
      </c>
      <c r="H826" s="23">
        <v>3044.87</v>
      </c>
      <c r="I826" s="23">
        <v>-46.19</v>
      </c>
      <c r="J826" s="23">
        <v>-10.71</v>
      </c>
      <c r="K826" s="23">
        <v>0</v>
      </c>
      <c r="L826" s="23">
        <v>-944.39</v>
      </c>
      <c r="M826" s="23">
        <v>0</v>
      </c>
      <c r="N826" s="23">
        <v>0</v>
      </c>
      <c r="O826" s="24">
        <f t="shared" si="84"/>
        <v>2043.58</v>
      </c>
      <c r="P826" s="23">
        <v>-2500</v>
      </c>
      <c r="Q826" s="23">
        <v>0</v>
      </c>
      <c r="R826" s="23">
        <v>-500</v>
      </c>
      <c r="S826" s="23">
        <v>0</v>
      </c>
      <c r="T826" s="23">
        <v>0</v>
      </c>
      <c r="U826" s="23">
        <v>0</v>
      </c>
      <c r="V826" s="23">
        <v>0</v>
      </c>
      <c r="W826" s="23">
        <f t="shared" si="85"/>
        <v>-956.42000000000007</v>
      </c>
      <c r="X826" s="23">
        <f t="shared" si="86"/>
        <v>0</v>
      </c>
      <c r="Y826" s="23">
        <f t="shared" si="87"/>
        <v>-956.42000000000007</v>
      </c>
      <c r="Z826" s="23">
        <v>0</v>
      </c>
      <c r="AA826" s="23">
        <f t="shared" si="88"/>
        <v>-956.42000000000007</v>
      </c>
      <c r="AB826" s="23">
        <f t="shared" si="89"/>
        <v>1087.1599999999999</v>
      </c>
      <c r="AC826" s="20" t="s">
        <v>449</v>
      </c>
      <c r="AD826" s="20" t="e">
        <f>VLOOKUP($C826,'[1]CTRL AUTOS'!$E:$AH,2,0)</f>
        <v>#N/A</v>
      </c>
      <c r="AE826" s="11" t="e">
        <f t="shared" si="90"/>
        <v>#N/A</v>
      </c>
    </row>
    <row r="827" spans="1:31" ht="12.75" hidden="1" customHeight="1" x14ac:dyDescent="0.3">
      <c r="A827" s="8">
        <v>39</v>
      </c>
      <c r="B827" s="20" t="s">
        <v>45</v>
      </c>
      <c r="C827" s="20" t="s">
        <v>46</v>
      </c>
      <c r="D827" s="20" t="s">
        <v>257</v>
      </c>
      <c r="E827" s="20" t="s">
        <v>232</v>
      </c>
      <c r="F827" s="20" t="s">
        <v>232</v>
      </c>
      <c r="G827" s="20" t="s">
        <v>234</v>
      </c>
      <c r="H827" s="23">
        <v>3485.27</v>
      </c>
      <c r="I827" s="23">
        <v>-53.16</v>
      </c>
      <c r="J827" s="23">
        <v>-7.14</v>
      </c>
      <c r="K827" s="23">
        <v>0</v>
      </c>
      <c r="L827" s="23">
        <v>-1671.29</v>
      </c>
      <c r="M827" s="23">
        <v>-38</v>
      </c>
      <c r="N827" s="23">
        <v>0</v>
      </c>
      <c r="O827" s="24">
        <f t="shared" si="84"/>
        <v>1715.6800000000003</v>
      </c>
      <c r="P827" s="23">
        <v>-2500</v>
      </c>
      <c r="Q827" s="23">
        <v>0</v>
      </c>
      <c r="R827" s="23">
        <v>0</v>
      </c>
      <c r="S827" s="23">
        <v>0</v>
      </c>
      <c r="T827" s="23">
        <v>-500</v>
      </c>
      <c r="U827" s="23">
        <v>-500</v>
      </c>
      <c r="V827" s="23">
        <v>0</v>
      </c>
      <c r="W827" s="23">
        <f t="shared" si="85"/>
        <v>-1784.3199999999997</v>
      </c>
      <c r="X827" s="23">
        <f t="shared" si="86"/>
        <v>0</v>
      </c>
      <c r="Y827" s="23">
        <f t="shared" si="87"/>
        <v>-1784.3199999999997</v>
      </c>
      <c r="Z827" s="23">
        <v>1284</v>
      </c>
      <c r="AA827" s="23">
        <f t="shared" si="88"/>
        <v>-500.31999999999971</v>
      </c>
      <c r="AB827" s="23">
        <f t="shared" si="89"/>
        <v>2499.3600000000006</v>
      </c>
      <c r="AC827" s="20" t="s">
        <v>397</v>
      </c>
      <c r="AD827" s="20" t="str">
        <f>VLOOKUP($C827,'[1]CTRL AUTOS'!$E:$AH,2,0)</f>
        <v>R66BER</v>
      </c>
      <c r="AE827" s="11" t="str">
        <f t="shared" si="90"/>
        <v>R66BER39</v>
      </c>
    </row>
    <row r="828" spans="1:31" ht="12.75" hidden="1" customHeight="1" x14ac:dyDescent="0.3">
      <c r="A828" s="8">
        <v>39</v>
      </c>
      <c r="B828" s="20" t="s">
        <v>5</v>
      </c>
      <c r="C828" s="20" t="s">
        <v>28</v>
      </c>
      <c r="D828" s="20" t="s">
        <v>274</v>
      </c>
      <c r="E828" s="20" t="s">
        <v>232</v>
      </c>
      <c r="F828" s="20" t="s">
        <v>232</v>
      </c>
      <c r="G828" s="20" t="s">
        <v>234</v>
      </c>
      <c r="H828" s="23">
        <v>3100.48</v>
      </c>
      <c r="I828" s="23">
        <v>-53.1</v>
      </c>
      <c r="J828" s="23">
        <v>0</v>
      </c>
      <c r="K828" s="23">
        <v>0</v>
      </c>
      <c r="L828" s="23">
        <v>-906.69</v>
      </c>
      <c r="M828" s="23">
        <v>-32</v>
      </c>
      <c r="N828" s="23">
        <v>0</v>
      </c>
      <c r="O828" s="24">
        <f t="shared" si="84"/>
        <v>2108.69</v>
      </c>
      <c r="P828" s="23">
        <v>-2500</v>
      </c>
      <c r="Q828" s="23">
        <v>-73</v>
      </c>
      <c r="R828" s="23">
        <v>0</v>
      </c>
      <c r="S828" s="23">
        <v>0</v>
      </c>
      <c r="T828" s="23">
        <v>0</v>
      </c>
      <c r="U828" s="23">
        <v>0</v>
      </c>
      <c r="V828" s="23">
        <v>0</v>
      </c>
      <c r="W828" s="23">
        <f t="shared" si="85"/>
        <v>-464.30999999999995</v>
      </c>
      <c r="X828" s="23">
        <f t="shared" si="86"/>
        <v>0</v>
      </c>
      <c r="Y828" s="23">
        <f t="shared" si="87"/>
        <v>-464.30999999999995</v>
      </c>
      <c r="Z828" s="23">
        <v>250</v>
      </c>
      <c r="AA828" s="23">
        <f t="shared" si="88"/>
        <v>-214.30999999999995</v>
      </c>
      <c r="AB828" s="23">
        <f t="shared" si="89"/>
        <v>2144.38</v>
      </c>
      <c r="AC828" s="20" t="s">
        <v>397</v>
      </c>
      <c r="AD828" s="20" t="str">
        <f>VLOOKUP($C828,'[1]CTRL AUTOS'!$E:$AH,2,0)</f>
        <v>NCT814A</v>
      </c>
      <c r="AE828" s="11" t="str">
        <f t="shared" si="90"/>
        <v>NCT814A39</v>
      </c>
    </row>
    <row r="829" spans="1:31" ht="12.75" hidden="1" customHeight="1" x14ac:dyDescent="0.3">
      <c r="A829" s="8">
        <v>39</v>
      </c>
      <c r="B829" s="20" t="s">
        <v>49</v>
      </c>
      <c r="C829" s="20" t="s">
        <v>104</v>
      </c>
      <c r="D829" s="20" t="s">
        <v>402</v>
      </c>
      <c r="E829" s="20" t="s">
        <v>364</v>
      </c>
      <c r="F829" s="22" t="s">
        <v>364</v>
      </c>
      <c r="G829" s="20" t="s">
        <v>234</v>
      </c>
      <c r="H829" s="23">
        <v>4951.38</v>
      </c>
      <c r="I829" s="23">
        <v>-117.75</v>
      </c>
      <c r="J829" s="23">
        <v>0</v>
      </c>
      <c r="K829" s="23">
        <v>0</v>
      </c>
      <c r="L829" s="23">
        <v>0</v>
      </c>
      <c r="M829" s="23">
        <v>0</v>
      </c>
      <c r="N829" s="23">
        <v>0</v>
      </c>
      <c r="O829" s="24">
        <f t="shared" si="84"/>
        <v>4833.63</v>
      </c>
      <c r="P829" s="23">
        <v>-1607.14</v>
      </c>
      <c r="Q829" s="23">
        <v>0</v>
      </c>
      <c r="R829" s="23">
        <v>-321.42</v>
      </c>
      <c r="S829" s="23">
        <v>0</v>
      </c>
      <c r="T829" s="23">
        <v>0</v>
      </c>
      <c r="U829" s="23">
        <v>0</v>
      </c>
      <c r="V829" s="23">
        <v>0</v>
      </c>
      <c r="W829" s="23">
        <f t="shared" si="85"/>
        <v>2905.0699999999997</v>
      </c>
      <c r="X829" s="23">
        <f t="shared" si="86"/>
        <v>2905.0699999999997</v>
      </c>
      <c r="Y829" s="23">
        <f t="shared" si="87"/>
        <v>0</v>
      </c>
      <c r="Z829" s="23">
        <v>0</v>
      </c>
      <c r="AA829" s="23">
        <f t="shared" si="88"/>
        <v>0</v>
      </c>
      <c r="AB829" s="23">
        <f t="shared" si="89"/>
        <v>1928.5600000000004</v>
      </c>
      <c r="AC829" s="20" t="s">
        <v>373</v>
      </c>
      <c r="AD829" s="20" t="e">
        <f>VLOOKUP($C829,'[1]CTRL AUTOS'!$E:$AH,2,0)</f>
        <v>#N/A</v>
      </c>
      <c r="AE829" s="11" t="e">
        <f t="shared" si="90"/>
        <v>#N/A</v>
      </c>
    </row>
    <row r="830" spans="1:31" ht="12.75" hidden="1" customHeight="1" x14ac:dyDescent="0.3">
      <c r="A830" s="8">
        <v>39</v>
      </c>
      <c r="B830" s="20" t="s">
        <v>362</v>
      </c>
      <c r="C830" s="20" t="s">
        <v>50</v>
      </c>
      <c r="D830" s="20" t="s">
        <v>267</v>
      </c>
      <c r="E830" s="20" t="s">
        <v>232</v>
      </c>
      <c r="F830" s="20" t="s">
        <v>232</v>
      </c>
      <c r="G830" s="20" t="s">
        <v>234</v>
      </c>
      <c r="H830" s="23">
        <v>1635.26</v>
      </c>
      <c r="I830" s="23">
        <v>-27.49</v>
      </c>
      <c r="J830" s="23">
        <v>0</v>
      </c>
      <c r="K830" s="23">
        <v>0</v>
      </c>
      <c r="L830" s="23">
        <v>-858.01</v>
      </c>
      <c r="M830" s="23">
        <v>-34</v>
      </c>
      <c r="N830" s="23">
        <v>0</v>
      </c>
      <c r="O830" s="24">
        <f t="shared" si="84"/>
        <v>715.76</v>
      </c>
      <c r="P830" s="23">
        <v>-2500</v>
      </c>
      <c r="Q830" s="23">
        <v>167</v>
      </c>
      <c r="R830" s="23">
        <v>0</v>
      </c>
      <c r="S830" s="23">
        <v>0</v>
      </c>
      <c r="T830" s="23">
        <v>0</v>
      </c>
      <c r="U830" s="23">
        <v>0</v>
      </c>
      <c r="V830" s="23">
        <v>0</v>
      </c>
      <c r="W830" s="23">
        <f t="shared" si="85"/>
        <v>-1617.24</v>
      </c>
      <c r="X830" s="23">
        <f t="shared" si="86"/>
        <v>0</v>
      </c>
      <c r="Y830" s="23">
        <f t="shared" si="87"/>
        <v>-1617.24</v>
      </c>
      <c r="Z830" s="23">
        <f>1000+600</f>
        <v>1600</v>
      </c>
      <c r="AA830" s="23">
        <f t="shared" si="88"/>
        <v>-17.240000000000009</v>
      </c>
      <c r="AB830" s="23">
        <f t="shared" si="89"/>
        <v>2298.5200000000004</v>
      </c>
      <c r="AC830" s="20" t="s">
        <v>435</v>
      </c>
      <c r="AD830" s="20" t="str">
        <f>VLOOKUP($C830,'[1]CTRL AUTOS'!$E:$AH,2,0)</f>
        <v>NBS225A</v>
      </c>
      <c r="AE830" s="11" t="str">
        <f t="shared" si="90"/>
        <v>NBS225A39</v>
      </c>
    </row>
    <row r="831" spans="1:31" ht="12.75" hidden="1" customHeight="1" x14ac:dyDescent="0.3">
      <c r="A831" s="8">
        <v>39</v>
      </c>
      <c r="B831" s="20" t="s">
        <v>414</v>
      </c>
      <c r="C831" s="20" t="s">
        <v>59</v>
      </c>
      <c r="D831" s="20" t="s">
        <v>237</v>
      </c>
      <c r="E831" s="22" t="s">
        <v>232</v>
      </c>
      <c r="F831" s="20" t="s">
        <v>291</v>
      </c>
      <c r="G831" s="20" t="s">
        <v>234</v>
      </c>
      <c r="H831" s="23">
        <v>1756.45</v>
      </c>
      <c r="I831" s="23">
        <v>-30.15</v>
      </c>
      <c r="J831" s="23">
        <v>0</v>
      </c>
      <c r="K831" s="23">
        <v>0</v>
      </c>
      <c r="L831" s="23">
        <v>0</v>
      </c>
      <c r="M831" s="23">
        <v>-34</v>
      </c>
      <c r="N831" s="23">
        <v>0</v>
      </c>
      <c r="O831" s="24">
        <f t="shared" si="84"/>
        <v>1692.3</v>
      </c>
      <c r="P831" s="23">
        <v>-893</v>
      </c>
      <c r="Q831" s="23">
        <v>0</v>
      </c>
      <c r="R831" s="23">
        <v>0</v>
      </c>
      <c r="S831" s="23">
        <v>0</v>
      </c>
      <c r="T831" s="23">
        <v>0</v>
      </c>
      <c r="U831" s="23">
        <v>0</v>
      </c>
      <c r="V831" s="23">
        <v>0</v>
      </c>
      <c r="W831" s="23">
        <f t="shared" si="85"/>
        <v>799.3</v>
      </c>
      <c r="X831" s="23">
        <f t="shared" si="86"/>
        <v>799.3</v>
      </c>
      <c r="Y831" s="23">
        <f t="shared" si="87"/>
        <v>0</v>
      </c>
      <c r="Z831" s="23">
        <v>0</v>
      </c>
      <c r="AA831" s="23">
        <f t="shared" si="88"/>
        <v>0</v>
      </c>
      <c r="AB831" s="23">
        <f t="shared" si="89"/>
        <v>893</v>
      </c>
      <c r="AC831" s="20" t="s">
        <v>226</v>
      </c>
      <c r="AD831" s="20" t="str">
        <f>VLOOKUP($C831,'[1]CTRL AUTOS'!$E:$AH,2,0)</f>
        <v>P62BHW</v>
      </c>
      <c r="AE831" s="11" t="str">
        <f t="shared" si="90"/>
        <v>P62BHW39</v>
      </c>
    </row>
    <row r="832" spans="1:31" ht="12.75" hidden="1" customHeight="1" x14ac:dyDescent="0.3">
      <c r="A832" s="8">
        <v>39</v>
      </c>
      <c r="B832" s="20" t="s">
        <v>414</v>
      </c>
      <c r="C832" s="20" t="s">
        <v>204</v>
      </c>
      <c r="D832" s="20" t="s">
        <v>237</v>
      </c>
      <c r="E832" s="22" t="s">
        <v>364</v>
      </c>
      <c r="F832" s="22" t="s">
        <v>364</v>
      </c>
      <c r="G832" s="20" t="s">
        <v>234</v>
      </c>
      <c r="H832" s="23">
        <v>4982.28</v>
      </c>
      <c r="I832" s="23">
        <v>-66.430000000000007</v>
      </c>
      <c r="J832" s="23">
        <v>0</v>
      </c>
      <c r="K832" s="23">
        <v>0</v>
      </c>
      <c r="L832" s="23">
        <v>0</v>
      </c>
      <c r="M832" s="23">
        <v>0</v>
      </c>
      <c r="N832" s="23">
        <v>0</v>
      </c>
      <c r="O832" s="24">
        <f t="shared" si="84"/>
        <v>4915.8499999999995</v>
      </c>
      <c r="P832" s="23">
        <v>-893</v>
      </c>
      <c r="Q832" s="23">
        <v>0</v>
      </c>
      <c r="R832" s="23">
        <v>0</v>
      </c>
      <c r="S832" s="23">
        <v>0</v>
      </c>
      <c r="T832" s="23">
        <v>0</v>
      </c>
      <c r="U832" s="23">
        <v>0</v>
      </c>
      <c r="V832" s="23">
        <v>0</v>
      </c>
      <c r="W832" s="23">
        <f t="shared" si="85"/>
        <v>4022.8499999999995</v>
      </c>
      <c r="X832" s="23">
        <f t="shared" si="86"/>
        <v>4022.8499999999995</v>
      </c>
      <c r="Y832" s="23">
        <f t="shared" si="87"/>
        <v>0</v>
      </c>
      <c r="Z832" s="23">
        <v>0</v>
      </c>
      <c r="AA832" s="23">
        <f t="shared" si="88"/>
        <v>0</v>
      </c>
      <c r="AB832" s="23">
        <f t="shared" si="89"/>
        <v>893</v>
      </c>
      <c r="AC832" s="20" t="s">
        <v>373</v>
      </c>
      <c r="AD832" s="20" t="e">
        <f>VLOOKUP($C832,'[1]CTRL AUTOS'!$E:$AH,2,0)</f>
        <v>#N/A</v>
      </c>
      <c r="AE832" s="11" t="e">
        <f t="shared" si="90"/>
        <v>#N/A</v>
      </c>
    </row>
    <row r="833" spans="1:31" ht="12.75" hidden="1" customHeight="1" x14ac:dyDescent="0.3">
      <c r="A833" s="8">
        <v>39</v>
      </c>
      <c r="B833" s="20" t="s">
        <v>74</v>
      </c>
      <c r="C833" s="20" t="s">
        <v>77</v>
      </c>
      <c r="D833" s="20" t="s">
        <v>237</v>
      </c>
      <c r="E833" s="22" t="s">
        <v>232</v>
      </c>
      <c r="F833" s="20" t="s">
        <v>291</v>
      </c>
      <c r="G833" s="20" t="s">
        <v>234</v>
      </c>
      <c r="H833" s="23">
        <v>4714.22</v>
      </c>
      <c r="I833" s="23">
        <v>-77.56</v>
      </c>
      <c r="J833" s="23">
        <v>-196.53</v>
      </c>
      <c r="K833" s="23">
        <v>0</v>
      </c>
      <c r="L833" s="23">
        <v>-878.69</v>
      </c>
      <c r="M833" s="23">
        <v>-38</v>
      </c>
      <c r="N833" s="23">
        <v>0</v>
      </c>
      <c r="O833" s="24">
        <f t="shared" si="84"/>
        <v>3523.44</v>
      </c>
      <c r="P833" s="23">
        <v>-2500</v>
      </c>
      <c r="Q833" s="23">
        <v>0</v>
      </c>
      <c r="R833" s="23">
        <v>0</v>
      </c>
      <c r="S833" s="23">
        <v>0</v>
      </c>
      <c r="T833" s="23">
        <v>0</v>
      </c>
      <c r="U833" s="23">
        <v>0</v>
      </c>
      <c r="V833" s="23">
        <v>0</v>
      </c>
      <c r="W833" s="23">
        <f t="shared" si="85"/>
        <v>1023.44</v>
      </c>
      <c r="X833" s="23">
        <f t="shared" si="86"/>
        <v>1023.44</v>
      </c>
      <c r="Y833" s="23">
        <f t="shared" si="87"/>
        <v>0</v>
      </c>
      <c r="Z833" s="23">
        <v>0</v>
      </c>
      <c r="AA833" s="23">
        <f t="shared" si="88"/>
        <v>0</v>
      </c>
      <c r="AB833" s="23">
        <f t="shared" si="89"/>
        <v>2500</v>
      </c>
      <c r="AC833" s="20" t="s">
        <v>226</v>
      </c>
      <c r="AD833" s="20" t="str">
        <f>VLOOKUP($C833,'[1]CTRL AUTOS'!$E:$AH,2,0)</f>
        <v>MEE228C</v>
      </c>
      <c r="AE833" s="11" t="str">
        <f t="shared" si="90"/>
        <v>MEE228C39</v>
      </c>
    </row>
    <row r="834" spans="1:31" ht="12.75" hidden="1" customHeight="1" x14ac:dyDescent="0.3">
      <c r="A834" s="8">
        <v>39</v>
      </c>
      <c r="B834" s="20" t="s">
        <v>132</v>
      </c>
      <c r="C834" s="20" t="s">
        <v>204</v>
      </c>
      <c r="D834" s="20" t="s">
        <v>237</v>
      </c>
      <c r="E834" s="22" t="s">
        <v>364</v>
      </c>
      <c r="F834" s="22" t="s">
        <v>364</v>
      </c>
      <c r="G834" s="20" t="s">
        <v>234</v>
      </c>
      <c r="H834" s="23">
        <v>3216.77</v>
      </c>
      <c r="I834" s="23">
        <v>-59.05</v>
      </c>
      <c r="J834" s="23">
        <v>-12.08</v>
      </c>
      <c r="K834" s="23">
        <v>0</v>
      </c>
      <c r="L834" s="23">
        <v>0</v>
      </c>
      <c r="M834" s="23">
        <v>0</v>
      </c>
      <c r="N834" s="23">
        <v>0</v>
      </c>
      <c r="O834" s="24">
        <f t="shared" si="84"/>
        <v>3145.64</v>
      </c>
      <c r="P834" s="23">
        <v>-2500</v>
      </c>
      <c r="Q834" s="23">
        <v>0</v>
      </c>
      <c r="R834" s="23">
        <v>0</v>
      </c>
      <c r="S834" s="23">
        <v>0</v>
      </c>
      <c r="T834" s="23">
        <v>0</v>
      </c>
      <c r="U834" s="23">
        <v>0</v>
      </c>
      <c r="V834" s="23">
        <v>0</v>
      </c>
      <c r="W834" s="23">
        <f t="shared" si="85"/>
        <v>645.63999999999987</v>
      </c>
      <c r="X834" s="23">
        <f t="shared" si="86"/>
        <v>645.63999999999987</v>
      </c>
      <c r="Y834" s="23">
        <f t="shared" si="87"/>
        <v>0</v>
      </c>
      <c r="Z834" s="23">
        <v>0</v>
      </c>
      <c r="AA834" s="23">
        <f t="shared" si="88"/>
        <v>0</v>
      </c>
      <c r="AB834" s="23">
        <f t="shared" si="89"/>
        <v>2500</v>
      </c>
      <c r="AC834" s="20" t="s">
        <v>373</v>
      </c>
      <c r="AD834" s="20" t="e">
        <f>VLOOKUP($C834,'[1]CTRL AUTOS'!$E:$AH,2,0)</f>
        <v>#N/A</v>
      </c>
      <c r="AE834" s="11" t="e">
        <f t="shared" si="90"/>
        <v>#N/A</v>
      </c>
    </row>
    <row r="835" spans="1:31" ht="12.75" hidden="1" customHeight="1" x14ac:dyDescent="0.3">
      <c r="A835" s="8">
        <v>39</v>
      </c>
      <c r="B835" s="20" t="s">
        <v>51</v>
      </c>
      <c r="C835" s="44" t="s">
        <v>79</v>
      </c>
      <c r="D835" s="20" t="s">
        <v>250</v>
      </c>
      <c r="E835" s="20" t="s">
        <v>291</v>
      </c>
      <c r="F835" s="20" t="s">
        <v>291</v>
      </c>
      <c r="G835" s="22" t="s">
        <v>234</v>
      </c>
      <c r="H835" s="23">
        <v>2844</v>
      </c>
      <c r="I835" s="23">
        <v>-67.53</v>
      </c>
      <c r="J835" s="23">
        <v>0</v>
      </c>
      <c r="K835" s="23">
        <v>0</v>
      </c>
      <c r="L835" s="23">
        <v>0</v>
      </c>
      <c r="M835" s="23">
        <v>-25</v>
      </c>
      <c r="N835" s="23">
        <v>0</v>
      </c>
      <c r="O835" s="24">
        <f t="shared" ref="O835:O898" si="91">SUM(H835:N835)</f>
        <v>2751.47</v>
      </c>
      <c r="P835" s="23">
        <v>-1072</v>
      </c>
      <c r="Q835" s="23">
        <v>0</v>
      </c>
      <c r="R835" s="23">
        <v>-214</v>
      </c>
      <c r="S835" s="23">
        <v>0</v>
      </c>
      <c r="T835" s="23">
        <v>0</v>
      </c>
      <c r="U835" s="23">
        <v>0</v>
      </c>
      <c r="V835" s="23">
        <v>0</v>
      </c>
      <c r="W835" s="23">
        <f t="shared" ref="W835:W898" si="92">+O835+SUM(P835:V835)</f>
        <v>1465.4699999999998</v>
      </c>
      <c r="X835" s="23">
        <f t="shared" ref="X835:X898" si="93">IF(W835&gt;=0,W835,0)</f>
        <v>1465.4699999999998</v>
      </c>
      <c r="Y835" s="23">
        <f t="shared" ref="Y835:Y898" si="94">IF(W835&lt;=0,W835,0)</f>
        <v>0</v>
      </c>
      <c r="Z835" s="23">
        <v>0</v>
      </c>
      <c r="AA835" s="23">
        <f t="shared" ref="AA835:AA898" si="95">+Y835+Z835</f>
        <v>0</v>
      </c>
      <c r="AB835" s="23">
        <f t="shared" ref="AB835:AB898" si="96">+O835-X835+Z835+AA835</f>
        <v>1286</v>
      </c>
      <c r="AC835" s="20" t="s">
        <v>226</v>
      </c>
      <c r="AD835" s="20" t="str">
        <f>VLOOKUP($C835,'[1]CTRL AUTOS'!$E:$AH,2,0)</f>
        <v>MAY737C</v>
      </c>
      <c r="AE835" s="11" t="str">
        <f t="shared" si="90"/>
        <v>MAY737C39</v>
      </c>
    </row>
    <row r="836" spans="1:31" ht="12.75" hidden="1" customHeight="1" x14ac:dyDescent="0.3">
      <c r="A836" s="8">
        <v>39</v>
      </c>
      <c r="B836" s="20" t="s">
        <v>98</v>
      </c>
      <c r="C836" s="20" t="s">
        <v>168</v>
      </c>
      <c r="D836" s="20" t="s">
        <v>265</v>
      </c>
      <c r="E836" s="20" t="s">
        <v>232</v>
      </c>
      <c r="F836" s="20" t="s">
        <v>232</v>
      </c>
      <c r="G836" s="20" t="s">
        <v>234</v>
      </c>
      <c r="H836" s="23">
        <v>2458.29</v>
      </c>
      <c r="I836" s="23">
        <v>-37.22</v>
      </c>
      <c r="J836" s="23">
        <v>0</v>
      </c>
      <c r="K836" s="23">
        <v>0</v>
      </c>
      <c r="L836" s="23">
        <v>0</v>
      </c>
      <c r="M836" s="23">
        <v>-83</v>
      </c>
      <c r="N836" s="23">
        <v>-194</v>
      </c>
      <c r="O836" s="24">
        <f t="shared" si="91"/>
        <v>2144.0700000000002</v>
      </c>
      <c r="P836" s="23">
        <v>-1786</v>
      </c>
      <c r="Q836" s="23">
        <v>-4130</v>
      </c>
      <c r="R836" s="23">
        <v>0</v>
      </c>
      <c r="S836" s="23">
        <v>0</v>
      </c>
      <c r="T836" s="23">
        <v>0</v>
      </c>
      <c r="U836" s="23">
        <v>0</v>
      </c>
      <c r="V836" s="23">
        <v>0</v>
      </c>
      <c r="W836" s="23">
        <f t="shared" si="92"/>
        <v>-3771.93</v>
      </c>
      <c r="X836" s="23">
        <f t="shared" si="93"/>
        <v>0</v>
      </c>
      <c r="Y836" s="23">
        <f t="shared" si="94"/>
        <v>-3771.93</v>
      </c>
      <c r="Z836" s="23">
        <v>1850</v>
      </c>
      <c r="AA836" s="23">
        <f t="shared" si="95"/>
        <v>-1921.9299999999998</v>
      </c>
      <c r="AB836" s="23">
        <f t="shared" si="96"/>
        <v>2072.1400000000003</v>
      </c>
      <c r="AC836" s="20" t="s">
        <v>450</v>
      </c>
      <c r="AD836" s="20" t="e">
        <f>VLOOKUP($C836,'[1]CTRL AUTOS'!$E:$AH,2,0)</f>
        <v>#N/A</v>
      </c>
      <c r="AE836" s="11" t="e">
        <f t="shared" ref="AE836:AE899" si="97">AD836&amp;A836</f>
        <v>#N/A</v>
      </c>
    </row>
    <row r="837" spans="1:31" ht="12.75" hidden="1" customHeight="1" x14ac:dyDescent="0.3">
      <c r="A837" s="8">
        <v>40</v>
      </c>
      <c r="B837" s="20" t="s">
        <v>11</v>
      </c>
      <c r="C837" s="20" t="s">
        <v>54</v>
      </c>
      <c r="D837" s="20" t="s">
        <v>265</v>
      </c>
      <c r="E837" s="20" t="s">
        <v>232</v>
      </c>
      <c r="F837" s="20" t="s">
        <v>232</v>
      </c>
      <c r="G837" s="20" t="s">
        <v>234</v>
      </c>
      <c r="H837" s="23">
        <v>6140.97</v>
      </c>
      <c r="I837" s="23">
        <v>-118.46</v>
      </c>
      <c r="J837" s="23">
        <v>0</v>
      </c>
      <c r="K837" s="23">
        <v>0</v>
      </c>
      <c r="L837" s="23">
        <v>-2160</v>
      </c>
      <c r="M837" s="23">
        <v>-38</v>
      </c>
      <c r="N837" s="23">
        <v>0</v>
      </c>
      <c r="O837" s="24">
        <f t="shared" si="91"/>
        <v>3824.51</v>
      </c>
      <c r="P837" s="23">
        <v>-1780.71</v>
      </c>
      <c r="Q837" s="23">
        <v>0</v>
      </c>
      <c r="R837" s="23">
        <v>-500</v>
      </c>
      <c r="S837" s="23">
        <v>0</v>
      </c>
      <c r="T837" s="23">
        <v>0</v>
      </c>
      <c r="U837" s="23">
        <v>0</v>
      </c>
      <c r="V837" s="23">
        <v>0</v>
      </c>
      <c r="W837" s="23">
        <f t="shared" si="92"/>
        <v>1543.8000000000002</v>
      </c>
      <c r="X837" s="23">
        <f t="shared" si="93"/>
        <v>1543.8000000000002</v>
      </c>
      <c r="Y837" s="23">
        <f t="shared" si="94"/>
        <v>0</v>
      </c>
      <c r="Z837" s="23">
        <v>0</v>
      </c>
      <c r="AA837" s="23">
        <f t="shared" si="95"/>
        <v>0</v>
      </c>
      <c r="AB837" s="23">
        <f t="shared" si="96"/>
        <v>2280.71</v>
      </c>
      <c r="AC837" s="20"/>
      <c r="AD837" s="20" t="str">
        <f>VLOOKUP($C837,'[1]CTRL AUTOS'!$E:$AH,2,0)</f>
        <v>NZY685B</v>
      </c>
      <c r="AE837" s="11" t="str">
        <f t="shared" si="97"/>
        <v>NZY685B40</v>
      </c>
    </row>
    <row r="838" spans="1:31" ht="12.75" hidden="1" customHeight="1" x14ac:dyDescent="0.3">
      <c r="A838" s="8">
        <v>40</v>
      </c>
      <c r="B838" s="20" t="s">
        <v>11</v>
      </c>
      <c r="C838" s="44" t="s">
        <v>79</v>
      </c>
      <c r="D838" s="20" t="s">
        <v>250</v>
      </c>
      <c r="E838" s="20" t="s">
        <v>291</v>
      </c>
      <c r="F838" s="20" t="s">
        <v>291</v>
      </c>
      <c r="G838" s="20" t="s">
        <v>234</v>
      </c>
      <c r="H838" s="23">
        <v>1512.27</v>
      </c>
      <c r="I838" s="23">
        <v>-23.92</v>
      </c>
      <c r="J838" s="23">
        <v>0</v>
      </c>
      <c r="K838" s="23">
        <v>0</v>
      </c>
      <c r="L838" s="23">
        <v>-744.52</v>
      </c>
      <c r="M838" s="24">
        <v>-25</v>
      </c>
      <c r="N838" s="23">
        <v>0</v>
      </c>
      <c r="O838" s="24">
        <f t="shared" si="91"/>
        <v>718.82999999999993</v>
      </c>
      <c r="P838" s="23">
        <v>-719</v>
      </c>
      <c r="Q838" s="23">
        <v>0</v>
      </c>
      <c r="R838" s="23">
        <v>0</v>
      </c>
      <c r="S838" s="23">
        <v>0</v>
      </c>
      <c r="T838" s="23">
        <v>0</v>
      </c>
      <c r="U838" s="23">
        <v>0</v>
      </c>
      <c r="V838" s="23">
        <v>0</v>
      </c>
      <c r="W838" s="23">
        <f t="shared" si="92"/>
        <v>-0.17000000000007276</v>
      </c>
      <c r="X838" s="23">
        <f t="shared" si="93"/>
        <v>0</v>
      </c>
      <c r="Y838" s="23">
        <f t="shared" si="94"/>
        <v>-0.17000000000007276</v>
      </c>
      <c r="Z838" s="23">
        <v>0</v>
      </c>
      <c r="AA838" s="23">
        <f t="shared" si="95"/>
        <v>-0.17000000000007276</v>
      </c>
      <c r="AB838" s="23">
        <f t="shared" si="96"/>
        <v>718.65999999999985</v>
      </c>
      <c r="AC838" s="20"/>
      <c r="AD838" s="20" t="str">
        <f>VLOOKUP($C838,'[1]CTRL AUTOS'!$E:$AH,2,0)</f>
        <v>MAY737C</v>
      </c>
      <c r="AE838" s="11" t="str">
        <f t="shared" si="97"/>
        <v>MAY737C40</v>
      </c>
    </row>
    <row r="839" spans="1:31" ht="12.75" hidden="1" customHeight="1" x14ac:dyDescent="0.3">
      <c r="A839" s="8">
        <v>40</v>
      </c>
      <c r="B839" s="20" t="s">
        <v>80</v>
      </c>
      <c r="C839" s="20" t="s">
        <v>81</v>
      </c>
      <c r="D839" s="20" t="s">
        <v>317</v>
      </c>
      <c r="E839" s="20" t="s">
        <v>232</v>
      </c>
      <c r="F839" s="20" t="s">
        <v>232</v>
      </c>
      <c r="G839" s="20" t="s">
        <v>234</v>
      </c>
      <c r="H839" s="23">
        <v>0</v>
      </c>
      <c r="I839" s="23">
        <v>0</v>
      </c>
      <c r="J839" s="23">
        <v>0</v>
      </c>
      <c r="K839" s="23">
        <v>0</v>
      </c>
      <c r="L839" s="23">
        <v>0</v>
      </c>
      <c r="M839" s="23">
        <v>0</v>
      </c>
      <c r="N839" s="23">
        <v>0</v>
      </c>
      <c r="O839" s="24">
        <f t="shared" si="91"/>
        <v>0</v>
      </c>
      <c r="P839" s="23">
        <v>-2500</v>
      </c>
      <c r="Q839" s="23">
        <v>0</v>
      </c>
      <c r="R839" s="23">
        <v>0</v>
      </c>
      <c r="S839" s="23">
        <v>0</v>
      </c>
      <c r="T839" s="23">
        <v>0</v>
      </c>
      <c r="U839" s="23">
        <v>0</v>
      </c>
      <c r="V839" s="23">
        <v>0</v>
      </c>
      <c r="W839" s="23">
        <f t="shared" si="92"/>
        <v>-2500</v>
      </c>
      <c r="X839" s="23">
        <f t="shared" si="93"/>
        <v>0</v>
      </c>
      <c r="Y839" s="23">
        <f t="shared" si="94"/>
        <v>-2500</v>
      </c>
      <c r="Z839" s="23">
        <v>2500</v>
      </c>
      <c r="AA839" s="23">
        <f t="shared" si="95"/>
        <v>0</v>
      </c>
      <c r="AB839" s="23">
        <f t="shared" si="96"/>
        <v>2500</v>
      </c>
      <c r="AC839" s="20"/>
      <c r="AD839" s="20" t="str">
        <f>VLOOKUP($C839,'[1]CTRL AUTOS'!$E:$AH,2,0)</f>
        <v>NLP172B</v>
      </c>
      <c r="AE839" s="11" t="str">
        <f t="shared" si="97"/>
        <v>NLP172B40</v>
      </c>
    </row>
    <row r="840" spans="1:31" ht="12.75" hidden="1" customHeight="1" x14ac:dyDescent="0.3">
      <c r="A840" s="8">
        <v>40</v>
      </c>
      <c r="B840" s="20" t="s">
        <v>13</v>
      </c>
      <c r="C840" s="20" t="s">
        <v>40</v>
      </c>
      <c r="D840" s="20" t="s">
        <v>315</v>
      </c>
      <c r="E840" s="20" t="s">
        <v>232</v>
      </c>
      <c r="F840" s="20" t="s">
        <v>232</v>
      </c>
      <c r="G840" s="20" t="s">
        <v>234</v>
      </c>
      <c r="H840" s="23">
        <v>10278.959999999999</v>
      </c>
      <c r="I840" s="23">
        <v>-281.60000000000002</v>
      </c>
      <c r="J840" s="23">
        <v>117.68</v>
      </c>
      <c r="K840" s="23">
        <v>0</v>
      </c>
      <c r="L840" s="23">
        <v>0</v>
      </c>
      <c r="M840" s="23">
        <v>-22</v>
      </c>
      <c r="N840" s="23">
        <v>0</v>
      </c>
      <c r="O840" s="24">
        <f t="shared" si="91"/>
        <v>10093.039999999999</v>
      </c>
      <c r="P840" s="23">
        <v>-2500</v>
      </c>
      <c r="Q840" s="23">
        <v>0</v>
      </c>
      <c r="R840" s="23">
        <v>-500</v>
      </c>
      <c r="S840" s="23">
        <v>0</v>
      </c>
      <c r="T840" s="23">
        <v>0</v>
      </c>
      <c r="U840" s="23">
        <v>0</v>
      </c>
      <c r="V840" s="23">
        <v>0</v>
      </c>
      <c r="W840" s="23">
        <f t="shared" si="92"/>
        <v>7093.0399999999991</v>
      </c>
      <c r="X840" s="23">
        <f t="shared" si="93"/>
        <v>7093.0399999999991</v>
      </c>
      <c r="Y840" s="23">
        <f t="shared" si="94"/>
        <v>0</v>
      </c>
      <c r="Z840" s="23">
        <v>0</v>
      </c>
      <c r="AA840" s="23">
        <f t="shared" si="95"/>
        <v>0</v>
      </c>
      <c r="AB840" s="23">
        <f t="shared" si="96"/>
        <v>3000</v>
      </c>
      <c r="AC840" s="20"/>
      <c r="AD840" s="20" t="str">
        <f>VLOOKUP($C840,'[1]CTRL AUTOS'!$E:$AH,2,0)</f>
        <v>NEL860A</v>
      </c>
      <c r="AE840" s="11" t="str">
        <f t="shared" si="97"/>
        <v>NEL860A40</v>
      </c>
    </row>
    <row r="841" spans="1:31" ht="12.75" hidden="1" customHeight="1" x14ac:dyDescent="0.3">
      <c r="A841" s="8">
        <v>40</v>
      </c>
      <c r="B841" s="20" t="s">
        <v>111</v>
      </c>
      <c r="C841" s="20" t="s">
        <v>63</v>
      </c>
      <c r="D841" s="20" t="s">
        <v>374</v>
      </c>
      <c r="E841" s="20" t="s">
        <v>291</v>
      </c>
      <c r="F841" s="20" t="s">
        <v>291</v>
      </c>
      <c r="G841" s="20" t="s">
        <v>234</v>
      </c>
      <c r="H841" s="23">
        <v>5128.26</v>
      </c>
      <c r="I841" s="23">
        <v>-78.900000000000006</v>
      </c>
      <c r="J841" s="23">
        <v>0</v>
      </c>
      <c r="K841" s="23">
        <v>0</v>
      </c>
      <c r="L841" s="23">
        <v>-1073</v>
      </c>
      <c r="M841" s="23">
        <v>-48</v>
      </c>
      <c r="N841" s="23">
        <v>0</v>
      </c>
      <c r="O841" s="24">
        <f t="shared" si="91"/>
        <v>3928.3600000000006</v>
      </c>
      <c r="P841" s="24">
        <v>-2500</v>
      </c>
      <c r="Q841" s="23">
        <v>0</v>
      </c>
      <c r="R841" s="23">
        <v>0</v>
      </c>
      <c r="S841" s="23">
        <v>0</v>
      </c>
      <c r="T841" s="23">
        <v>0</v>
      </c>
      <c r="U841" s="23">
        <v>0</v>
      </c>
      <c r="V841" s="23">
        <v>0</v>
      </c>
      <c r="W841" s="23">
        <f t="shared" si="92"/>
        <v>1428.3600000000006</v>
      </c>
      <c r="X841" s="23">
        <f t="shared" si="93"/>
        <v>1428.3600000000006</v>
      </c>
      <c r="Y841" s="23">
        <f t="shared" si="94"/>
        <v>0</v>
      </c>
      <c r="Z841" s="23">
        <v>0</v>
      </c>
      <c r="AA841" s="23">
        <f t="shared" si="95"/>
        <v>0</v>
      </c>
      <c r="AB841" s="23">
        <f t="shared" si="96"/>
        <v>2500</v>
      </c>
      <c r="AC841" s="20"/>
      <c r="AD841" s="20" t="str">
        <f>VLOOKUP($C841,'[1]CTRL AUTOS'!$E:$AH,2,0)</f>
        <v>X89ALV</v>
      </c>
      <c r="AE841" s="11" t="str">
        <f t="shared" si="97"/>
        <v>X89ALV40</v>
      </c>
    </row>
    <row r="842" spans="1:31" ht="12.75" hidden="1" customHeight="1" x14ac:dyDescent="0.3">
      <c r="A842" s="8">
        <v>40</v>
      </c>
      <c r="B842" s="20" t="s">
        <v>17</v>
      </c>
      <c r="C842" s="20" t="s">
        <v>69</v>
      </c>
      <c r="D842" s="20" t="s">
        <v>237</v>
      </c>
      <c r="E842" s="22" t="s">
        <v>241</v>
      </c>
      <c r="F842" s="20" t="s">
        <v>291</v>
      </c>
      <c r="G842" s="20" t="s">
        <v>234</v>
      </c>
      <c r="H842" s="23">
        <v>7976.02</v>
      </c>
      <c r="I842" s="23">
        <v>-135.51</v>
      </c>
      <c r="J842" s="23">
        <v>0</v>
      </c>
      <c r="K842" s="23">
        <v>0</v>
      </c>
      <c r="L842" s="23">
        <v>0</v>
      </c>
      <c r="M842" s="24">
        <v>-36</v>
      </c>
      <c r="N842" s="23">
        <v>0</v>
      </c>
      <c r="O842" s="24">
        <f t="shared" si="91"/>
        <v>7804.51</v>
      </c>
      <c r="P842" s="23">
        <v>-2500</v>
      </c>
      <c r="Q842" s="23">
        <v>0</v>
      </c>
      <c r="R842" s="23">
        <v>0</v>
      </c>
      <c r="S842" s="23">
        <v>0</v>
      </c>
      <c r="T842" s="23">
        <v>0</v>
      </c>
      <c r="U842" s="23">
        <v>250</v>
      </c>
      <c r="V842" s="23">
        <v>0</v>
      </c>
      <c r="W842" s="23">
        <f t="shared" si="92"/>
        <v>5554.51</v>
      </c>
      <c r="X842" s="23">
        <f t="shared" si="93"/>
        <v>5554.51</v>
      </c>
      <c r="Y842" s="23">
        <f t="shared" si="94"/>
        <v>0</v>
      </c>
      <c r="Z842" s="23">
        <v>0</v>
      </c>
      <c r="AA842" s="23">
        <f t="shared" si="95"/>
        <v>0</v>
      </c>
      <c r="AB842" s="23">
        <f t="shared" si="96"/>
        <v>2250</v>
      </c>
      <c r="AC842" s="20"/>
      <c r="AD842" s="20" t="str">
        <f>VLOOKUP($C842,'[1]CTRL AUTOS'!$E:$AH,2,0)</f>
        <v>R51BKD</v>
      </c>
      <c r="AE842" s="11" t="str">
        <f t="shared" si="97"/>
        <v>R51BKD40</v>
      </c>
    </row>
    <row r="843" spans="1:31" ht="12.75" hidden="1" customHeight="1" x14ac:dyDescent="0.3">
      <c r="A843" s="8">
        <v>40</v>
      </c>
      <c r="B843" s="20" t="s">
        <v>19</v>
      </c>
      <c r="C843" s="20" t="s">
        <v>20</v>
      </c>
      <c r="D843" s="20" t="s">
        <v>239</v>
      </c>
      <c r="E843" s="20" t="s">
        <v>232</v>
      </c>
      <c r="F843" s="20" t="s">
        <v>232</v>
      </c>
      <c r="G843" s="20" t="s">
        <v>234</v>
      </c>
      <c r="H843" s="23">
        <v>4940</v>
      </c>
      <c r="I843" s="23">
        <v>-74.290000000000006</v>
      </c>
      <c r="J843" s="23">
        <v>0</v>
      </c>
      <c r="K843" s="23">
        <v>-39.54</v>
      </c>
      <c r="L843" s="23">
        <v>-100</v>
      </c>
      <c r="M843" s="23">
        <v>-38</v>
      </c>
      <c r="N843" s="23">
        <v>0</v>
      </c>
      <c r="O843" s="24">
        <f t="shared" si="91"/>
        <v>4688.17</v>
      </c>
      <c r="P843" s="23">
        <v>-2143</v>
      </c>
      <c r="Q843" s="23">
        <v>0</v>
      </c>
      <c r="R843" s="23">
        <v>0</v>
      </c>
      <c r="S843" s="23">
        <v>0</v>
      </c>
      <c r="T843" s="23">
        <v>0</v>
      </c>
      <c r="U843" s="23">
        <v>-1000</v>
      </c>
      <c r="V843" s="23">
        <v>0</v>
      </c>
      <c r="W843" s="23">
        <f t="shared" si="92"/>
        <v>1545.17</v>
      </c>
      <c r="X843" s="23">
        <f t="shared" si="93"/>
        <v>1545.17</v>
      </c>
      <c r="Y843" s="23">
        <f t="shared" si="94"/>
        <v>0</v>
      </c>
      <c r="Z843" s="23">
        <v>0</v>
      </c>
      <c r="AA843" s="23">
        <f t="shared" si="95"/>
        <v>0</v>
      </c>
      <c r="AB843" s="23">
        <f t="shared" si="96"/>
        <v>3143</v>
      </c>
      <c r="AC843" s="20"/>
      <c r="AD843" s="20" t="str">
        <f>VLOOKUP($C843,'[1]CTRL AUTOS'!$E:$AH,2,0)</f>
        <v>D40BKD</v>
      </c>
      <c r="AE843" s="11" t="str">
        <f t="shared" si="97"/>
        <v>D40BKD40</v>
      </c>
    </row>
    <row r="844" spans="1:31" ht="12.75" hidden="1" customHeight="1" x14ac:dyDescent="0.3">
      <c r="A844" s="8">
        <v>40</v>
      </c>
      <c r="B844" s="20" t="s">
        <v>444</v>
      </c>
      <c r="C844" s="20" t="s">
        <v>4</v>
      </c>
      <c r="D844" s="20" t="s">
        <v>245</v>
      </c>
      <c r="E844" s="20" t="s">
        <v>232</v>
      </c>
      <c r="F844" s="20" t="s">
        <v>232</v>
      </c>
      <c r="G844" s="20" t="s">
        <v>234</v>
      </c>
      <c r="H844" s="23">
        <v>357.27</v>
      </c>
      <c r="I844" s="23">
        <v>-4.92</v>
      </c>
      <c r="J844" s="23">
        <v>0</v>
      </c>
      <c r="K844" s="23">
        <v>0</v>
      </c>
      <c r="L844" s="23">
        <v>0</v>
      </c>
      <c r="M844" s="23">
        <v>-20</v>
      </c>
      <c r="N844" s="23">
        <v>0</v>
      </c>
      <c r="O844" s="24">
        <f t="shared" si="91"/>
        <v>332.34999999999997</v>
      </c>
      <c r="P844" s="23">
        <v>-714.28</v>
      </c>
      <c r="Q844" s="23">
        <v>0</v>
      </c>
      <c r="R844" s="23">
        <v>0</v>
      </c>
      <c r="S844" s="23">
        <v>0</v>
      </c>
      <c r="T844" s="23">
        <v>0</v>
      </c>
      <c r="U844" s="23">
        <v>0</v>
      </c>
      <c r="V844" s="23">
        <v>0</v>
      </c>
      <c r="W844" s="23">
        <f t="shared" si="92"/>
        <v>-381.93</v>
      </c>
      <c r="X844" s="23">
        <f t="shared" si="93"/>
        <v>0</v>
      </c>
      <c r="Y844" s="23">
        <f t="shared" si="94"/>
        <v>-381.93</v>
      </c>
      <c r="Z844" s="23">
        <v>382</v>
      </c>
      <c r="AA844" s="23">
        <f t="shared" si="95"/>
        <v>6.9999999999993179E-2</v>
      </c>
      <c r="AB844" s="23">
        <f t="shared" si="96"/>
        <v>714.41999999999985</v>
      </c>
      <c r="AC844" s="20"/>
      <c r="AD844" s="20" t="str">
        <f>VLOOKUP($C844,'[1]CTRL AUTOS'!$E:$AH,2,0)</f>
        <v>N15BKD</v>
      </c>
      <c r="AE844" s="11" t="str">
        <f t="shared" si="97"/>
        <v>N15BKD40</v>
      </c>
    </row>
    <row r="845" spans="1:31" ht="12.75" hidden="1" customHeight="1" x14ac:dyDescent="0.3">
      <c r="A845" s="8">
        <v>40</v>
      </c>
      <c r="B845" s="20" t="s">
        <v>444</v>
      </c>
      <c r="C845" s="20" t="s">
        <v>44</v>
      </c>
      <c r="D845" s="20" t="s">
        <v>237</v>
      </c>
      <c r="E845" s="22" t="s">
        <v>232</v>
      </c>
      <c r="F845" s="20" t="s">
        <v>291</v>
      </c>
      <c r="G845" s="20" t="s">
        <v>234</v>
      </c>
      <c r="H845" s="23">
        <v>3572.93</v>
      </c>
      <c r="I845" s="23">
        <v>-55.3</v>
      </c>
      <c r="J845" s="23">
        <v>0</v>
      </c>
      <c r="K845" s="23">
        <v>0</v>
      </c>
      <c r="L845" s="23">
        <v>-1453.92</v>
      </c>
      <c r="M845" s="24">
        <v>-38</v>
      </c>
      <c r="N845" s="23">
        <v>0</v>
      </c>
      <c r="O845" s="24">
        <f t="shared" si="91"/>
        <v>2025.7099999999996</v>
      </c>
      <c r="P845" s="23">
        <v>-1785.7</v>
      </c>
      <c r="Q845" s="23">
        <v>0</v>
      </c>
      <c r="R845" s="23">
        <v>-500</v>
      </c>
      <c r="S845" s="23">
        <v>0</v>
      </c>
      <c r="T845" s="23">
        <v>0</v>
      </c>
      <c r="U845" s="23">
        <v>0</v>
      </c>
      <c r="V845" s="23">
        <v>0</v>
      </c>
      <c r="W845" s="23">
        <f t="shared" si="92"/>
        <v>-259.99000000000024</v>
      </c>
      <c r="X845" s="23">
        <f t="shared" si="93"/>
        <v>0</v>
      </c>
      <c r="Y845" s="23">
        <f t="shared" si="94"/>
        <v>-259.99000000000024</v>
      </c>
      <c r="Z845" s="23">
        <v>260</v>
      </c>
      <c r="AA845" s="23">
        <f t="shared" si="95"/>
        <v>9.9999999997635314E-3</v>
      </c>
      <c r="AB845" s="23">
        <f t="shared" si="96"/>
        <v>2285.7199999999993</v>
      </c>
      <c r="AC845" s="20"/>
      <c r="AD845" s="20" t="str">
        <f>VLOOKUP($C845,'[1]CTRL AUTOS'!$E:$AH,2,0)</f>
        <v>MAY730C</v>
      </c>
      <c r="AE845" s="11" t="str">
        <f t="shared" si="97"/>
        <v>MAY730C40</v>
      </c>
    </row>
    <row r="846" spans="1:31" ht="12.75" hidden="1" customHeight="1" x14ac:dyDescent="0.3">
      <c r="A846" s="8">
        <v>40</v>
      </c>
      <c r="B846" s="20" t="s">
        <v>23</v>
      </c>
      <c r="C846" s="20" t="s">
        <v>106</v>
      </c>
      <c r="D846" s="20" t="s">
        <v>322</v>
      </c>
      <c r="E846" s="20" t="s">
        <v>232</v>
      </c>
      <c r="F846" s="20" t="s">
        <v>232</v>
      </c>
      <c r="G846" s="20" t="s">
        <v>234</v>
      </c>
      <c r="H846" s="23">
        <v>6081.44</v>
      </c>
      <c r="I846" s="23">
        <v>-96.76</v>
      </c>
      <c r="J846" s="23">
        <v>9.7899999999999991</v>
      </c>
      <c r="K846" s="23">
        <v>0</v>
      </c>
      <c r="L846" s="23">
        <v>-5040.1000000000004</v>
      </c>
      <c r="M846" s="23">
        <v>-32</v>
      </c>
      <c r="N846" s="23">
        <v>0</v>
      </c>
      <c r="O846" s="24">
        <f t="shared" si="91"/>
        <v>922.36999999999898</v>
      </c>
      <c r="P846" s="23">
        <v>-2500</v>
      </c>
      <c r="Q846" s="23">
        <v>-7</v>
      </c>
      <c r="R846" s="23">
        <v>0</v>
      </c>
      <c r="S846" s="23">
        <v>0</v>
      </c>
      <c r="T846" s="23">
        <v>-500</v>
      </c>
      <c r="U846" s="23">
        <v>0</v>
      </c>
      <c r="V846" s="23">
        <v>0</v>
      </c>
      <c r="W846" s="23">
        <f t="shared" si="92"/>
        <v>-2084.630000000001</v>
      </c>
      <c r="X846" s="23">
        <f t="shared" si="93"/>
        <v>0</v>
      </c>
      <c r="Y846" s="23">
        <f t="shared" si="94"/>
        <v>-2084.630000000001</v>
      </c>
      <c r="Z846" s="23">
        <v>1583</v>
      </c>
      <c r="AA846" s="23">
        <f t="shared" si="95"/>
        <v>-501.63000000000102</v>
      </c>
      <c r="AB846" s="23">
        <f t="shared" si="96"/>
        <v>2003.739999999998</v>
      </c>
      <c r="AC846" s="20"/>
      <c r="AD846" s="20" t="str">
        <f>VLOOKUP($C846,'[1]CTRL AUTOS'!$E:$AH,2,0)</f>
        <v>NZU5163</v>
      </c>
      <c r="AE846" s="11" t="str">
        <f t="shared" si="97"/>
        <v>NZU516340</v>
      </c>
    </row>
    <row r="847" spans="1:31" ht="12.75" hidden="1" customHeight="1" x14ac:dyDescent="0.3">
      <c r="A847" s="8">
        <v>40</v>
      </c>
      <c r="B847" s="20" t="s">
        <v>25</v>
      </c>
      <c r="C847" s="20" t="s">
        <v>67</v>
      </c>
      <c r="D847" s="20" t="s">
        <v>343</v>
      </c>
      <c r="E847" s="20" t="s">
        <v>232</v>
      </c>
      <c r="F847" s="20" t="s">
        <v>291</v>
      </c>
      <c r="G847" s="20" t="s">
        <v>234</v>
      </c>
      <c r="H847" s="23">
        <v>3460.09</v>
      </c>
      <c r="I847" s="23">
        <v>-57.55</v>
      </c>
      <c r="J847" s="23">
        <v>0</v>
      </c>
      <c r="K847" s="23">
        <v>0</v>
      </c>
      <c r="L847" s="23">
        <v>-1158.05</v>
      </c>
      <c r="M847" s="23">
        <v>-32</v>
      </c>
      <c r="N847" s="23">
        <v>0</v>
      </c>
      <c r="O847" s="24">
        <f t="shared" si="91"/>
        <v>2212.4899999999998</v>
      </c>
      <c r="P847" s="24">
        <v>-2143</v>
      </c>
      <c r="Q847" s="23">
        <v>-720</v>
      </c>
      <c r="R847" s="23">
        <v>0</v>
      </c>
      <c r="S847" s="23">
        <v>0</v>
      </c>
      <c r="T847" s="23">
        <v>0</v>
      </c>
      <c r="U847" s="23">
        <v>100</v>
      </c>
      <c r="V847" s="23">
        <v>0</v>
      </c>
      <c r="W847" s="23">
        <f t="shared" si="92"/>
        <v>-550.51000000000022</v>
      </c>
      <c r="X847" s="23">
        <f t="shared" si="93"/>
        <v>0</v>
      </c>
      <c r="Y847" s="23">
        <f t="shared" si="94"/>
        <v>-550.51000000000022</v>
      </c>
      <c r="Z847" s="23">
        <v>0</v>
      </c>
      <c r="AA847" s="23">
        <f t="shared" si="95"/>
        <v>-550.51000000000022</v>
      </c>
      <c r="AB847" s="23">
        <f t="shared" si="96"/>
        <v>1661.9799999999996</v>
      </c>
      <c r="AC847" s="20"/>
      <c r="AD847" s="20" t="str">
        <f>VLOOKUP($C847,'[1]CTRL AUTOS'!$E:$AH,2,0)</f>
        <v>MFP751C</v>
      </c>
      <c r="AE847" s="11" t="str">
        <f t="shared" si="97"/>
        <v>MFP751C40</v>
      </c>
    </row>
    <row r="848" spans="1:31" ht="12.75" hidden="1" customHeight="1" x14ac:dyDescent="0.3">
      <c r="A848" s="8">
        <v>40</v>
      </c>
      <c r="B848" s="20" t="s">
        <v>7</v>
      </c>
      <c r="C848" s="20" t="s">
        <v>8</v>
      </c>
      <c r="D848" s="20" t="s">
        <v>237</v>
      </c>
      <c r="E848" s="22" t="s">
        <v>364</v>
      </c>
      <c r="F848" s="22" t="s">
        <v>364</v>
      </c>
      <c r="G848" s="20" t="s">
        <v>425</v>
      </c>
      <c r="H848" s="23">
        <v>8394.85</v>
      </c>
      <c r="I848" s="23">
        <v>0</v>
      </c>
      <c r="J848" s="23">
        <v>0</v>
      </c>
      <c r="K848" s="23">
        <v>0</v>
      </c>
      <c r="L848" s="23">
        <v>-5925</v>
      </c>
      <c r="M848" s="20">
        <v>0</v>
      </c>
      <c r="N848" s="23">
        <v>0</v>
      </c>
      <c r="O848" s="24">
        <f t="shared" si="91"/>
        <v>2469.8500000000004</v>
      </c>
      <c r="P848" s="23">
        <v>-2600</v>
      </c>
      <c r="Q848" s="23">
        <v>0</v>
      </c>
      <c r="R848" s="23">
        <v>-500</v>
      </c>
      <c r="S848" s="23">
        <v>0</v>
      </c>
      <c r="T848" s="23">
        <v>0</v>
      </c>
      <c r="U848" s="23">
        <v>0</v>
      </c>
      <c r="V848" s="23">
        <v>0</v>
      </c>
      <c r="W848" s="23">
        <f t="shared" si="92"/>
        <v>-630.14999999999964</v>
      </c>
      <c r="X848" s="23">
        <f t="shared" si="93"/>
        <v>0</v>
      </c>
      <c r="Y848" s="23">
        <f t="shared" si="94"/>
        <v>-630.14999999999964</v>
      </c>
      <c r="Z848" s="23">
        <v>630</v>
      </c>
      <c r="AA848" s="23">
        <f t="shared" si="95"/>
        <v>-0.1499999999996362</v>
      </c>
      <c r="AB848" s="23">
        <f t="shared" si="96"/>
        <v>3099.7000000000007</v>
      </c>
      <c r="AC848" s="20" t="s">
        <v>451</v>
      </c>
      <c r="AD848" s="20" t="e">
        <f>VLOOKUP($C848,'[1]CTRL AUTOS'!$E:$AH,2,0)</f>
        <v>#N/A</v>
      </c>
      <c r="AE848" s="11" t="e">
        <f t="shared" si="97"/>
        <v>#N/A</v>
      </c>
    </row>
    <row r="849" spans="1:31" ht="12.75" hidden="1" customHeight="1" x14ac:dyDescent="0.3">
      <c r="A849" s="8">
        <v>40</v>
      </c>
      <c r="B849" s="20" t="s">
        <v>9</v>
      </c>
      <c r="C849" s="20" t="s">
        <v>10</v>
      </c>
      <c r="D849" s="20" t="s">
        <v>343</v>
      </c>
      <c r="E849" s="20" t="s">
        <v>232</v>
      </c>
      <c r="F849" s="20" t="s">
        <v>232</v>
      </c>
      <c r="G849" s="20" t="s">
        <v>234</v>
      </c>
      <c r="H849" s="23">
        <v>5546</v>
      </c>
      <c r="I849" s="23">
        <v>-94.61</v>
      </c>
      <c r="J849" s="23">
        <v>302.99</v>
      </c>
      <c r="K849" s="23">
        <v>0</v>
      </c>
      <c r="L849" s="23">
        <v>-3604.66</v>
      </c>
      <c r="M849" s="23">
        <v>-38</v>
      </c>
      <c r="N849" s="23">
        <v>0</v>
      </c>
      <c r="O849" s="24">
        <f t="shared" si="91"/>
        <v>2111.7200000000003</v>
      </c>
      <c r="P849" s="23">
        <v>-2500</v>
      </c>
      <c r="Q849" s="23">
        <v>0</v>
      </c>
      <c r="R849" s="23">
        <v>-500</v>
      </c>
      <c r="S849" s="23">
        <v>0</v>
      </c>
      <c r="T849" s="23">
        <v>0</v>
      </c>
      <c r="U849" s="23">
        <v>0</v>
      </c>
      <c r="V849" s="23">
        <v>0</v>
      </c>
      <c r="W849" s="23">
        <f t="shared" si="92"/>
        <v>-888.27999999999975</v>
      </c>
      <c r="X849" s="23">
        <f t="shared" si="93"/>
        <v>0</v>
      </c>
      <c r="Y849" s="23">
        <f t="shared" si="94"/>
        <v>-888.27999999999975</v>
      </c>
      <c r="Z849" s="23">
        <v>888</v>
      </c>
      <c r="AA849" s="23">
        <f t="shared" si="95"/>
        <v>-0.27999999999974534</v>
      </c>
      <c r="AB849" s="23">
        <f t="shared" si="96"/>
        <v>2999.4400000000005</v>
      </c>
      <c r="AC849" s="20"/>
      <c r="AD849" s="20" t="str">
        <f>VLOOKUP($C849,'[1]CTRL AUTOS'!$E:$AH,2,0)</f>
        <v>LRL009C</v>
      </c>
      <c r="AE849" s="11" t="str">
        <f t="shared" si="97"/>
        <v>LRL009C40</v>
      </c>
    </row>
    <row r="850" spans="1:31" ht="12.75" hidden="1" customHeight="1" x14ac:dyDescent="0.3">
      <c r="A850" s="8">
        <v>40</v>
      </c>
      <c r="B850" s="20" t="s">
        <v>70</v>
      </c>
      <c r="C850" s="20" t="s">
        <v>44</v>
      </c>
      <c r="D850" s="20" t="s">
        <v>237</v>
      </c>
      <c r="E850" s="22" t="s">
        <v>232</v>
      </c>
      <c r="F850" s="20" t="s">
        <v>291</v>
      </c>
      <c r="G850" s="20" t="s">
        <v>234</v>
      </c>
      <c r="H850" s="23">
        <v>1780.34</v>
      </c>
      <c r="I850" s="23">
        <v>-29.93</v>
      </c>
      <c r="J850" s="23">
        <v>0</v>
      </c>
      <c r="K850" s="23">
        <v>0</v>
      </c>
      <c r="L850" s="23">
        <v>-138.07</v>
      </c>
      <c r="M850" s="24">
        <v>0</v>
      </c>
      <c r="N850" s="23">
        <v>0</v>
      </c>
      <c r="O850" s="24">
        <f t="shared" si="91"/>
        <v>1612.34</v>
      </c>
      <c r="P850" s="23">
        <v>-1612</v>
      </c>
      <c r="Q850" s="23">
        <v>0</v>
      </c>
      <c r="R850" s="23">
        <v>0</v>
      </c>
      <c r="S850" s="23">
        <v>0</v>
      </c>
      <c r="T850" s="23">
        <v>0</v>
      </c>
      <c r="U850" s="23">
        <v>0</v>
      </c>
      <c r="V850" s="23">
        <v>0</v>
      </c>
      <c r="W850" s="23">
        <f t="shared" si="92"/>
        <v>0.33999999999991815</v>
      </c>
      <c r="X850" s="23">
        <f t="shared" si="93"/>
        <v>0.33999999999991815</v>
      </c>
      <c r="Y850" s="23">
        <f t="shared" si="94"/>
        <v>0</v>
      </c>
      <c r="Z850" s="23">
        <v>0</v>
      </c>
      <c r="AA850" s="23">
        <f t="shared" si="95"/>
        <v>0</v>
      </c>
      <c r="AB850" s="23">
        <f t="shared" si="96"/>
        <v>1612</v>
      </c>
      <c r="AC850" s="20" t="s">
        <v>423</v>
      </c>
      <c r="AD850" s="20" t="str">
        <f>VLOOKUP($C850,'[1]CTRL AUTOS'!$E:$AH,2,0)</f>
        <v>MAY730C</v>
      </c>
      <c r="AE850" s="11" t="str">
        <f t="shared" si="97"/>
        <v>MAY730C40</v>
      </c>
    </row>
    <row r="851" spans="1:31" ht="12.75" hidden="1" customHeight="1" x14ac:dyDescent="0.3">
      <c r="A851" s="8">
        <v>40</v>
      </c>
      <c r="B851" s="20" t="s">
        <v>424</v>
      </c>
      <c r="C851" s="20" t="s">
        <v>418</v>
      </c>
      <c r="D851" s="20" t="s">
        <v>237</v>
      </c>
      <c r="E851" s="22" t="s">
        <v>364</v>
      </c>
      <c r="F851" s="22" t="s">
        <v>364</v>
      </c>
      <c r="G851" s="20" t="s">
        <v>234</v>
      </c>
      <c r="H851" s="23">
        <v>0</v>
      </c>
      <c r="I851" s="23">
        <v>0</v>
      </c>
      <c r="J851" s="23">
        <v>0</v>
      </c>
      <c r="K851" s="23">
        <v>0</v>
      </c>
      <c r="L851" s="23">
        <v>0</v>
      </c>
      <c r="M851" s="23">
        <v>0</v>
      </c>
      <c r="N851" s="23">
        <v>0</v>
      </c>
      <c r="O851" s="24">
        <f t="shared" si="91"/>
        <v>0</v>
      </c>
      <c r="P851" s="23">
        <v>0</v>
      </c>
      <c r="Q851" s="23">
        <v>200</v>
      </c>
      <c r="R851" s="23">
        <v>0</v>
      </c>
      <c r="S851" s="23">
        <v>0</v>
      </c>
      <c r="T851" s="23">
        <v>0</v>
      </c>
      <c r="U851" s="23">
        <v>0</v>
      </c>
      <c r="V851" s="23">
        <v>0</v>
      </c>
      <c r="W851" s="23">
        <f t="shared" si="92"/>
        <v>200</v>
      </c>
      <c r="X851" s="23">
        <f t="shared" si="93"/>
        <v>200</v>
      </c>
      <c r="Y851" s="23">
        <f t="shared" si="94"/>
        <v>0</v>
      </c>
      <c r="Z851" s="23">
        <v>0</v>
      </c>
      <c r="AA851" s="23">
        <f t="shared" si="95"/>
        <v>0</v>
      </c>
      <c r="AB851" s="23">
        <f t="shared" si="96"/>
        <v>-200</v>
      </c>
      <c r="AC851" s="20" t="s">
        <v>452</v>
      </c>
      <c r="AD851" s="20" t="e">
        <f>VLOOKUP($C851,'[1]CTRL AUTOS'!$E:$AH,2,0)</f>
        <v>#N/A</v>
      </c>
      <c r="AE851" s="11" t="e">
        <f t="shared" si="97"/>
        <v>#N/A</v>
      </c>
    </row>
    <row r="852" spans="1:31" ht="12.75" hidden="1" customHeight="1" x14ac:dyDescent="0.3">
      <c r="A852" s="8">
        <v>40</v>
      </c>
      <c r="B852" s="20" t="s">
        <v>440</v>
      </c>
      <c r="C852" s="20" t="s">
        <v>86</v>
      </c>
      <c r="D852" s="20" t="s">
        <v>237</v>
      </c>
      <c r="E852" s="22" t="s">
        <v>232</v>
      </c>
      <c r="F852" s="20" t="s">
        <v>291</v>
      </c>
      <c r="G852" s="20" t="s">
        <v>234</v>
      </c>
      <c r="H852" s="23">
        <v>2896.63</v>
      </c>
      <c r="I852" s="23">
        <v>-52.45</v>
      </c>
      <c r="J852" s="23">
        <v>0</v>
      </c>
      <c r="K852" s="23">
        <v>0</v>
      </c>
      <c r="L852" s="23">
        <v>-2947.14</v>
      </c>
      <c r="M852" s="23">
        <v>-42</v>
      </c>
      <c r="N852" s="23">
        <v>0</v>
      </c>
      <c r="O852" s="24">
        <f t="shared" si="91"/>
        <v>-144.95999999999958</v>
      </c>
      <c r="P852" s="23">
        <v>-2500</v>
      </c>
      <c r="Q852" s="23">
        <v>-1767.36</v>
      </c>
      <c r="R852" s="23">
        <v>0</v>
      </c>
      <c r="S852" s="23">
        <v>0</v>
      </c>
      <c r="T852" s="23">
        <v>0</v>
      </c>
      <c r="U852" s="23">
        <v>0</v>
      </c>
      <c r="V852" s="23">
        <v>0</v>
      </c>
      <c r="W852" s="23">
        <f t="shared" si="92"/>
        <v>-4412.32</v>
      </c>
      <c r="X852" s="23">
        <f t="shared" si="93"/>
        <v>0</v>
      </c>
      <c r="Y852" s="23">
        <f t="shared" si="94"/>
        <v>-4412.32</v>
      </c>
      <c r="Z852" s="23">
        <v>2300</v>
      </c>
      <c r="AA852" s="23">
        <f t="shared" si="95"/>
        <v>-2112.3199999999997</v>
      </c>
      <c r="AB852" s="23">
        <f t="shared" si="96"/>
        <v>42.720000000000709</v>
      </c>
      <c r="AC852" s="20"/>
      <c r="AD852" s="20" t="str">
        <f>VLOOKUP($C852,'[1]CTRL AUTOS'!$E:$AH,2,0)</f>
        <v>R22BMR</v>
      </c>
      <c r="AE852" s="11" t="str">
        <f t="shared" si="97"/>
        <v>R22BMR40</v>
      </c>
    </row>
    <row r="853" spans="1:31" ht="12.75" hidden="1" customHeight="1" x14ac:dyDescent="0.3">
      <c r="A853" s="8">
        <v>40</v>
      </c>
      <c r="B853" s="20" t="s">
        <v>72</v>
      </c>
      <c r="C853" s="20" t="s">
        <v>73</v>
      </c>
      <c r="D853" s="20" t="s">
        <v>368</v>
      </c>
      <c r="E853" s="22" t="s">
        <v>241</v>
      </c>
      <c r="F853" s="20" t="s">
        <v>291</v>
      </c>
      <c r="G853" s="20" t="s">
        <v>234</v>
      </c>
      <c r="H853" s="23">
        <v>5630.03</v>
      </c>
      <c r="I853" s="23">
        <v>-95.37</v>
      </c>
      <c r="J853" s="23">
        <v>0</v>
      </c>
      <c r="K853" s="23">
        <v>-59.84</v>
      </c>
      <c r="L853" s="23">
        <v>-2797.42</v>
      </c>
      <c r="M853" s="23">
        <v>-72</v>
      </c>
      <c r="N853" s="23">
        <v>-95</v>
      </c>
      <c r="O853" s="24">
        <f t="shared" si="91"/>
        <v>2510.3999999999996</v>
      </c>
      <c r="P853" s="23">
        <v>-2500</v>
      </c>
      <c r="Q853" s="23">
        <v>0</v>
      </c>
      <c r="R853" s="23">
        <v>0</v>
      </c>
      <c r="S853" s="23">
        <v>0</v>
      </c>
      <c r="T853" s="23">
        <v>0</v>
      </c>
      <c r="U853" s="23">
        <v>0</v>
      </c>
      <c r="V853" s="23">
        <v>0</v>
      </c>
      <c r="W853" s="23">
        <f t="shared" si="92"/>
        <v>10.399999999999636</v>
      </c>
      <c r="X853" s="23">
        <f t="shared" si="93"/>
        <v>10.399999999999636</v>
      </c>
      <c r="Y853" s="23">
        <f t="shared" si="94"/>
        <v>0</v>
      </c>
      <c r="Z853" s="23">
        <v>0</v>
      </c>
      <c r="AA853" s="23">
        <f t="shared" si="95"/>
        <v>0</v>
      </c>
      <c r="AB853" s="23">
        <f t="shared" si="96"/>
        <v>2500</v>
      </c>
      <c r="AC853" s="20"/>
      <c r="AD853" s="20" t="str">
        <f>VLOOKUP($C853,'[1]CTRL AUTOS'!$E:$AH,2,0)</f>
        <v>H99BLC</v>
      </c>
      <c r="AE853" s="11" t="str">
        <f t="shared" si="97"/>
        <v>H99BLC40</v>
      </c>
    </row>
    <row r="854" spans="1:31" ht="12.75" hidden="1" customHeight="1" x14ac:dyDescent="0.3">
      <c r="A854" s="8">
        <v>40</v>
      </c>
      <c r="B854" s="20" t="s">
        <v>292</v>
      </c>
      <c r="C854" s="20" t="s">
        <v>52</v>
      </c>
      <c r="D854" s="20" t="s">
        <v>313</v>
      </c>
      <c r="E854" s="20" t="s">
        <v>232</v>
      </c>
      <c r="F854" s="20" t="s">
        <v>232</v>
      </c>
      <c r="G854" s="20" t="s">
        <v>234</v>
      </c>
      <c r="H854" s="23">
        <v>7622.94</v>
      </c>
      <c r="I854" s="23">
        <v>-156.6</v>
      </c>
      <c r="J854" s="23">
        <v>0</v>
      </c>
      <c r="K854" s="23">
        <v>0</v>
      </c>
      <c r="L854" s="23">
        <v>-4421.68</v>
      </c>
      <c r="M854" s="23">
        <v>-34</v>
      </c>
      <c r="N854" s="23">
        <v>0</v>
      </c>
      <c r="O854" s="24">
        <f t="shared" si="91"/>
        <v>3010.6599999999989</v>
      </c>
      <c r="P854" s="23">
        <v>-2500</v>
      </c>
      <c r="Q854" s="23">
        <v>0</v>
      </c>
      <c r="R854" s="23">
        <v>0</v>
      </c>
      <c r="S854" s="23">
        <v>0</v>
      </c>
      <c r="T854" s="23">
        <v>0</v>
      </c>
      <c r="U854" s="23">
        <v>0</v>
      </c>
      <c r="V854" s="23">
        <v>0</v>
      </c>
      <c r="W854" s="23">
        <f t="shared" si="92"/>
        <v>510.65999999999894</v>
      </c>
      <c r="X854" s="23">
        <f t="shared" si="93"/>
        <v>510.65999999999894</v>
      </c>
      <c r="Y854" s="23">
        <f t="shared" si="94"/>
        <v>0</v>
      </c>
      <c r="Z854" s="23">
        <v>0</v>
      </c>
      <c r="AA854" s="23">
        <f t="shared" si="95"/>
        <v>0</v>
      </c>
      <c r="AB854" s="23">
        <f t="shared" si="96"/>
        <v>2500</v>
      </c>
      <c r="AC854" s="20"/>
      <c r="AD854" s="20" t="str">
        <f>VLOOKUP($C854,'[1]CTRL AUTOS'!$E:$AH,2,0)</f>
        <v>A35BHD</v>
      </c>
      <c r="AE854" s="11" t="str">
        <f t="shared" si="97"/>
        <v>A35BHD40</v>
      </c>
    </row>
    <row r="855" spans="1:31" ht="12.75" hidden="1" customHeight="1" x14ac:dyDescent="0.3">
      <c r="A855" s="8">
        <v>40</v>
      </c>
      <c r="B855" s="20" t="s">
        <v>105</v>
      </c>
      <c r="C855" s="20" t="s">
        <v>204</v>
      </c>
      <c r="D855" s="20" t="s">
        <v>237</v>
      </c>
      <c r="E855" s="22" t="s">
        <v>364</v>
      </c>
      <c r="F855" s="22" t="s">
        <v>364</v>
      </c>
      <c r="G855" s="20" t="s">
        <v>425</v>
      </c>
      <c r="H855" s="23">
        <v>2500</v>
      </c>
      <c r="I855" s="23">
        <v>0</v>
      </c>
      <c r="J855" s="23">
        <v>0</v>
      </c>
      <c r="K855" s="23">
        <v>0</v>
      </c>
      <c r="L855" s="23">
        <v>0</v>
      </c>
      <c r="M855" s="23">
        <v>0</v>
      </c>
      <c r="N855" s="23">
        <v>0</v>
      </c>
      <c r="O855" s="24">
        <f t="shared" si="91"/>
        <v>2500</v>
      </c>
      <c r="P855" s="23">
        <v>-2500</v>
      </c>
      <c r="Q855" s="23">
        <v>0</v>
      </c>
      <c r="R855" s="23">
        <v>-500</v>
      </c>
      <c r="S855" s="23">
        <v>0</v>
      </c>
      <c r="T855" s="23">
        <v>0</v>
      </c>
      <c r="U855" s="23">
        <v>0</v>
      </c>
      <c r="V855" s="23">
        <v>0</v>
      </c>
      <c r="W855" s="23">
        <f t="shared" si="92"/>
        <v>-500</v>
      </c>
      <c r="X855" s="23">
        <f t="shared" si="93"/>
        <v>0</v>
      </c>
      <c r="Y855" s="23">
        <f t="shared" si="94"/>
        <v>-500</v>
      </c>
      <c r="Z855" s="23">
        <v>0</v>
      </c>
      <c r="AA855" s="23">
        <f t="shared" si="95"/>
        <v>-500</v>
      </c>
      <c r="AB855" s="23">
        <f t="shared" si="96"/>
        <v>2000</v>
      </c>
      <c r="AC855" s="20" t="s">
        <v>453</v>
      </c>
      <c r="AD855" s="20" t="e">
        <f>VLOOKUP($C855,'[1]CTRL AUTOS'!$E:$AH,2,0)</f>
        <v>#N/A</v>
      </c>
      <c r="AE855" s="11" t="e">
        <f t="shared" si="97"/>
        <v>#N/A</v>
      </c>
    </row>
    <row r="856" spans="1:31" ht="12.75" hidden="1" customHeight="1" x14ac:dyDescent="0.3">
      <c r="A856" s="8">
        <v>40</v>
      </c>
      <c r="B856" s="20" t="s">
        <v>454</v>
      </c>
      <c r="C856" s="20" t="s">
        <v>4</v>
      </c>
      <c r="D856" s="20" t="s">
        <v>245</v>
      </c>
      <c r="E856" s="20" t="s">
        <v>232</v>
      </c>
      <c r="F856" s="20" t="s">
        <v>232</v>
      </c>
      <c r="G856" s="20" t="s">
        <v>234</v>
      </c>
      <c r="H856" s="23">
        <v>3927.57</v>
      </c>
      <c r="I856" s="23">
        <v>-60.26</v>
      </c>
      <c r="J856" s="23">
        <v>0</v>
      </c>
      <c r="K856" s="23">
        <v>0</v>
      </c>
      <c r="L856" s="23">
        <v>-900.3</v>
      </c>
      <c r="M856" s="24">
        <v>-35</v>
      </c>
      <c r="N856" s="23">
        <v>0</v>
      </c>
      <c r="O856" s="24">
        <f t="shared" si="91"/>
        <v>2932.01</v>
      </c>
      <c r="P856" s="23">
        <v>-1428.57</v>
      </c>
      <c r="Q856" s="23"/>
      <c r="R856" s="23">
        <v>-285.70999999999998</v>
      </c>
      <c r="S856" s="23">
        <v>0</v>
      </c>
      <c r="T856" s="23">
        <v>0</v>
      </c>
      <c r="U856" s="23">
        <v>0</v>
      </c>
      <c r="V856" s="23">
        <v>0</v>
      </c>
      <c r="W856" s="23">
        <f t="shared" si="92"/>
        <v>1217.7300000000002</v>
      </c>
      <c r="X856" s="23">
        <f t="shared" si="93"/>
        <v>1217.7300000000002</v>
      </c>
      <c r="Y856" s="23">
        <f t="shared" si="94"/>
        <v>0</v>
      </c>
      <c r="Z856" s="23">
        <v>0</v>
      </c>
      <c r="AA856" s="23">
        <f t="shared" si="95"/>
        <v>0</v>
      </c>
      <c r="AB856" s="23">
        <f t="shared" si="96"/>
        <v>1714.28</v>
      </c>
      <c r="AC856" s="20"/>
      <c r="AD856" s="20" t="str">
        <f>VLOOKUP($C856,'[1]CTRL AUTOS'!$E:$AH,2,0)</f>
        <v>N15BKD</v>
      </c>
      <c r="AE856" s="11" t="str">
        <f t="shared" si="97"/>
        <v>N15BKD40</v>
      </c>
    </row>
    <row r="857" spans="1:31" ht="12.75" hidden="1" customHeight="1" x14ac:dyDescent="0.3">
      <c r="A857" s="8">
        <v>40</v>
      </c>
      <c r="B857" s="20" t="s">
        <v>57</v>
      </c>
      <c r="C857" s="20" t="s">
        <v>16</v>
      </c>
      <c r="D857" s="20" t="s">
        <v>314</v>
      </c>
      <c r="E857" s="20" t="s">
        <v>232</v>
      </c>
      <c r="F857" s="20" t="s">
        <v>232</v>
      </c>
      <c r="G857" s="20" t="s">
        <v>234</v>
      </c>
      <c r="H857" s="23">
        <v>3513.34</v>
      </c>
      <c r="I857" s="23">
        <v>-45.83</v>
      </c>
      <c r="J857" s="23">
        <v>0</v>
      </c>
      <c r="K857" s="23">
        <v>0</v>
      </c>
      <c r="L857" s="23">
        <v>-2009.88</v>
      </c>
      <c r="M857" s="23">
        <v>-36</v>
      </c>
      <c r="N857" s="23">
        <v>0</v>
      </c>
      <c r="O857" s="24">
        <f t="shared" si="91"/>
        <v>1421.63</v>
      </c>
      <c r="P857" s="23">
        <v>-2500</v>
      </c>
      <c r="Q857" s="23">
        <v>0</v>
      </c>
      <c r="R857" s="23">
        <v>0</v>
      </c>
      <c r="S857" s="23">
        <v>0</v>
      </c>
      <c r="T857" s="23">
        <v>0</v>
      </c>
      <c r="U857" s="23">
        <v>0</v>
      </c>
      <c r="V857" s="23">
        <v>0</v>
      </c>
      <c r="W857" s="23">
        <f t="shared" si="92"/>
        <v>-1078.3699999999999</v>
      </c>
      <c r="X857" s="23">
        <f t="shared" si="93"/>
        <v>0</v>
      </c>
      <c r="Y857" s="23">
        <f t="shared" si="94"/>
        <v>-1078.3699999999999</v>
      </c>
      <c r="Z857" s="23">
        <v>1078</v>
      </c>
      <c r="AA857" s="23">
        <f t="shared" si="95"/>
        <v>-0.36999999999989086</v>
      </c>
      <c r="AB857" s="23">
        <f t="shared" si="96"/>
        <v>2499.2600000000002</v>
      </c>
      <c r="AC857" s="20"/>
      <c r="AD857" s="20" t="str">
        <f>VLOOKUP($C857,'[1]CTRL AUTOS'!$E:$AH,2,0)</f>
        <v>D28BET</v>
      </c>
      <c r="AE857" s="11" t="str">
        <f t="shared" si="97"/>
        <v>D28BET40</v>
      </c>
    </row>
    <row r="858" spans="1:31" ht="12.75" hidden="1" customHeight="1" x14ac:dyDescent="0.3">
      <c r="A858" s="8">
        <v>40</v>
      </c>
      <c r="B858" s="20" t="s">
        <v>35</v>
      </c>
      <c r="C858" s="20" t="s">
        <v>36</v>
      </c>
      <c r="D858" s="20" t="s">
        <v>273</v>
      </c>
      <c r="E858" s="20" t="s">
        <v>232</v>
      </c>
      <c r="F858" s="20" t="s">
        <v>291</v>
      </c>
      <c r="G858" s="20" t="s">
        <v>234</v>
      </c>
      <c r="H858" s="23">
        <v>8238.4</v>
      </c>
      <c r="I858" s="23">
        <v>-265.14</v>
      </c>
      <c r="J858" s="23">
        <v>9.7899999999999991</v>
      </c>
      <c r="K858" s="23">
        <v>0</v>
      </c>
      <c r="L858" s="23">
        <v>-5388.48</v>
      </c>
      <c r="M858" s="23">
        <v>-34</v>
      </c>
      <c r="N858" s="23">
        <v>0</v>
      </c>
      <c r="O858" s="24">
        <f t="shared" si="91"/>
        <v>2560.5699999999997</v>
      </c>
      <c r="P858" s="23">
        <v>-2500</v>
      </c>
      <c r="Q858" s="23">
        <v>-42</v>
      </c>
      <c r="R858" s="23">
        <v>0</v>
      </c>
      <c r="S858" s="23">
        <v>0</v>
      </c>
      <c r="T858" s="23">
        <v>0</v>
      </c>
      <c r="U858" s="23">
        <v>0</v>
      </c>
      <c r="V858" s="23">
        <v>0</v>
      </c>
      <c r="W858" s="23">
        <f t="shared" si="92"/>
        <v>18.569999999999709</v>
      </c>
      <c r="X858" s="23">
        <f t="shared" si="93"/>
        <v>18.569999999999709</v>
      </c>
      <c r="Y858" s="23">
        <f t="shared" si="94"/>
        <v>0</v>
      </c>
      <c r="Z858" s="23">
        <v>0</v>
      </c>
      <c r="AA858" s="23">
        <f t="shared" si="95"/>
        <v>0</v>
      </c>
      <c r="AB858" s="23">
        <f t="shared" si="96"/>
        <v>2542</v>
      </c>
      <c r="AC858" s="20"/>
      <c r="AD858" s="20" t="str">
        <f>VLOOKUP($C858,'[1]CTRL AUTOS'!$E:$AH,2,0)</f>
        <v>MLC126A</v>
      </c>
      <c r="AE858" s="11" t="str">
        <f t="shared" si="97"/>
        <v>MLC126A40</v>
      </c>
    </row>
    <row r="859" spans="1:31" ht="12.75" hidden="1" customHeight="1" x14ac:dyDescent="0.3">
      <c r="A859" s="8">
        <v>40</v>
      </c>
      <c r="B859" s="20" t="s">
        <v>37</v>
      </c>
      <c r="C859" s="20" t="s">
        <v>30</v>
      </c>
      <c r="D859" s="20" t="s">
        <v>237</v>
      </c>
      <c r="E859" s="22" t="s">
        <v>232</v>
      </c>
      <c r="F859" s="20" t="s">
        <v>291</v>
      </c>
      <c r="G859" s="20" t="s">
        <v>234</v>
      </c>
      <c r="H859" s="23">
        <v>3120.41</v>
      </c>
      <c r="I859" s="23">
        <v>-46.36</v>
      </c>
      <c r="J859" s="23">
        <v>0</v>
      </c>
      <c r="K859" s="23">
        <v>0</v>
      </c>
      <c r="L859" s="23">
        <v>-148.26</v>
      </c>
      <c r="M859" s="23">
        <v>-42</v>
      </c>
      <c r="N859" s="23">
        <v>0</v>
      </c>
      <c r="O859" s="24">
        <f t="shared" si="91"/>
        <v>2883.79</v>
      </c>
      <c r="P859" s="23">
        <v>-2500</v>
      </c>
      <c r="Q859" s="23">
        <v>-601.44000000000005</v>
      </c>
      <c r="R859" s="23">
        <v>0</v>
      </c>
      <c r="S859" s="23">
        <v>0</v>
      </c>
      <c r="T859" s="23">
        <v>0</v>
      </c>
      <c r="U859" s="23">
        <v>0</v>
      </c>
      <c r="V859" s="23">
        <v>0</v>
      </c>
      <c r="W859" s="23">
        <f t="shared" si="92"/>
        <v>-217.65000000000009</v>
      </c>
      <c r="X859" s="23">
        <f t="shared" si="93"/>
        <v>0</v>
      </c>
      <c r="Y859" s="23">
        <f t="shared" si="94"/>
        <v>-217.65000000000009</v>
      </c>
      <c r="Z859" s="23">
        <v>200</v>
      </c>
      <c r="AA859" s="23">
        <f t="shared" si="95"/>
        <v>-17.650000000000091</v>
      </c>
      <c r="AB859" s="23">
        <f t="shared" si="96"/>
        <v>3066.14</v>
      </c>
      <c r="AC859" s="20"/>
      <c r="AD859" s="20" t="str">
        <f>VLOOKUP($C859,'[1]CTRL AUTOS'!$E:$AH,2,0)</f>
        <v>D51BHV</v>
      </c>
      <c r="AE859" s="11" t="str">
        <f t="shared" si="97"/>
        <v>D51BHV40</v>
      </c>
    </row>
    <row r="860" spans="1:31" ht="12.75" hidden="1" customHeight="1" x14ac:dyDescent="0.3">
      <c r="A860" s="8">
        <v>40</v>
      </c>
      <c r="B860" s="20" t="s">
        <v>61</v>
      </c>
      <c r="C860" s="20" t="s">
        <v>34</v>
      </c>
      <c r="D860" s="20" t="s">
        <v>285</v>
      </c>
      <c r="E860" s="20" t="s">
        <v>232</v>
      </c>
      <c r="F860" s="20" t="s">
        <v>232</v>
      </c>
      <c r="G860" s="20" t="s">
        <v>234</v>
      </c>
      <c r="H860" s="23">
        <v>5106.75</v>
      </c>
      <c r="I860" s="23">
        <v>-80.92</v>
      </c>
      <c r="J860" s="23">
        <v>0</v>
      </c>
      <c r="K860" s="23">
        <v>0</v>
      </c>
      <c r="L860" s="23">
        <v>-1637.56</v>
      </c>
      <c r="M860" s="23">
        <v>-32</v>
      </c>
      <c r="N860" s="23">
        <v>0</v>
      </c>
      <c r="O860" s="24">
        <f t="shared" si="91"/>
        <v>3356.27</v>
      </c>
      <c r="P860" s="23">
        <v>-2500</v>
      </c>
      <c r="Q860" s="23">
        <v>0</v>
      </c>
      <c r="R860" s="23">
        <v>-500</v>
      </c>
      <c r="S860" s="23">
        <v>0</v>
      </c>
      <c r="T860" s="23">
        <v>0</v>
      </c>
      <c r="U860" s="23">
        <v>0</v>
      </c>
      <c r="V860" s="23">
        <v>0</v>
      </c>
      <c r="W860" s="23">
        <f t="shared" si="92"/>
        <v>356.27</v>
      </c>
      <c r="X860" s="23">
        <f t="shared" si="93"/>
        <v>356.27</v>
      </c>
      <c r="Y860" s="23">
        <f t="shared" si="94"/>
        <v>0</v>
      </c>
      <c r="Z860" s="23">
        <v>0</v>
      </c>
      <c r="AA860" s="23">
        <f t="shared" si="95"/>
        <v>0</v>
      </c>
      <c r="AB860" s="23">
        <f t="shared" si="96"/>
        <v>3000</v>
      </c>
      <c r="AC860" s="20"/>
      <c r="AD860" s="20" t="str">
        <f>VLOOKUP($C860,'[1]CTRL AUTOS'!$E:$AH,2,0)</f>
        <v>X59AWG</v>
      </c>
      <c r="AE860" s="11" t="str">
        <f t="shared" si="97"/>
        <v>X59AWG40</v>
      </c>
    </row>
    <row r="861" spans="1:31" ht="12.75" hidden="1" customHeight="1" x14ac:dyDescent="0.3">
      <c r="A861" s="8">
        <v>40</v>
      </c>
      <c r="B861" s="20" t="s">
        <v>361</v>
      </c>
      <c r="C861" s="20" t="s">
        <v>56</v>
      </c>
      <c r="D861" s="20" t="s">
        <v>336</v>
      </c>
      <c r="E861" s="22" t="s">
        <v>241</v>
      </c>
      <c r="F861" s="20" t="s">
        <v>291</v>
      </c>
      <c r="G861" s="20" t="s">
        <v>234</v>
      </c>
      <c r="H861" s="23">
        <v>3881.68</v>
      </c>
      <c r="I861" s="23">
        <v>-58.04</v>
      </c>
      <c r="J861" s="23">
        <v>0</v>
      </c>
      <c r="K861" s="23">
        <v>0</v>
      </c>
      <c r="L861" s="23">
        <v>-219.79</v>
      </c>
      <c r="M861" s="23">
        <v>-36</v>
      </c>
      <c r="N861" s="23">
        <v>0</v>
      </c>
      <c r="O861" s="24">
        <f t="shared" si="91"/>
        <v>3567.85</v>
      </c>
      <c r="P861" s="23">
        <v>-2500</v>
      </c>
      <c r="Q861" s="23">
        <v>0</v>
      </c>
      <c r="R861" s="23">
        <v>0</v>
      </c>
      <c r="S861" s="23">
        <v>0</v>
      </c>
      <c r="T861" s="23">
        <v>0</v>
      </c>
      <c r="U861" s="23">
        <v>-625</v>
      </c>
      <c r="V861" s="23">
        <v>0</v>
      </c>
      <c r="W861" s="23">
        <f t="shared" si="92"/>
        <v>442.84999999999991</v>
      </c>
      <c r="X861" s="23">
        <f t="shared" si="93"/>
        <v>442.84999999999991</v>
      </c>
      <c r="Y861" s="23">
        <f t="shared" si="94"/>
        <v>0</v>
      </c>
      <c r="Z861" s="23">
        <v>0</v>
      </c>
      <c r="AA861" s="23">
        <f t="shared" si="95"/>
        <v>0</v>
      </c>
      <c r="AB861" s="23">
        <f t="shared" si="96"/>
        <v>3125</v>
      </c>
      <c r="AC861" s="20"/>
      <c r="AD861" s="20" t="str">
        <f>VLOOKUP($C861,'[1]CTRL AUTOS'!$E:$AH,2,0)</f>
        <v>MYE912A</v>
      </c>
      <c r="AE861" s="11" t="str">
        <f t="shared" si="97"/>
        <v>MYE912A40</v>
      </c>
    </row>
    <row r="862" spans="1:31" ht="12.75" hidden="1" customHeight="1" x14ac:dyDescent="0.3">
      <c r="A862" s="8">
        <v>40</v>
      </c>
      <c r="B862" s="20" t="s">
        <v>417</v>
      </c>
      <c r="C862" s="20" t="s">
        <v>428</v>
      </c>
      <c r="D862" s="20" t="s">
        <v>237</v>
      </c>
      <c r="E862" s="22" t="s">
        <v>364</v>
      </c>
      <c r="F862" s="22" t="s">
        <v>364</v>
      </c>
      <c r="G862" s="20" t="s">
        <v>234</v>
      </c>
      <c r="H862" s="23">
        <v>5178.8</v>
      </c>
      <c r="I862" s="23">
        <v>-106.11</v>
      </c>
      <c r="J862" s="23">
        <v>0</v>
      </c>
      <c r="K862" s="23">
        <v>0</v>
      </c>
      <c r="L862" s="23">
        <v>-1731.52</v>
      </c>
      <c r="M862" s="23">
        <v>0</v>
      </c>
      <c r="N862" s="23">
        <v>0</v>
      </c>
      <c r="O862" s="24">
        <f t="shared" si="91"/>
        <v>3341.1700000000005</v>
      </c>
      <c r="P862" s="23">
        <v>-2500</v>
      </c>
      <c r="Q862" s="23">
        <v>-956</v>
      </c>
      <c r="R862" s="23">
        <v>-500</v>
      </c>
      <c r="S862" s="23">
        <v>0</v>
      </c>
      <c r="T862" s="23">
        <v>0</v>
      </c>
      <c r="U862" s="23">
        <v>0</v>
      </c>
      <c r="V862" s="23">
        <v>0</v>
      </c>
      <c r="W862" s="23">
        <f t="shared" si="92"/>
        <v>-614.82999999999947</v>
      </c>
      <c r="X862" s="23">
        <f t="shared" si="93"/>
        <v>0</v>
      </c>
      <c r="Y862" s="23">
        <f t="shared" si="94"/>
        <v>-614.82999999999947</v>
      </c>
      <c r="Z862" s="23">
        <f>500+115</f>
        <v>615</v>
      </c>
      <c r="AA862" s="23">
        <f t="shared" si="95"/>
        <v>0.17000000000052751</v>
      </c>
      <c r="AB862" s="23">
        <f t="shared" si="96"/>
        <v>3956.3400000000011</v>
      </c>
      <c r="AC862" s="20" t="s">
        <v>383</v>
      </c>
      <c r="AD862" s="20" t="e">
        <f>VLOOKUP($C862,'[1]CTRL AUTOS'!$E:$AH,2,0)</f>
        <v>#N/A</v>
      </c>
      <c r="AE862" s="11" t="e">
        <f t="shared" si="97"/>
        <v>#N/A</v>
      </c>
    </row>
    <row r="863" spans="1:31" ht="12.75" hidden="1" customHeight="1" x14ac:dyDescent="0.3">
      <c r="A863" s="8">
        <v>40</v>
      </c>
      <c r="B863" s="20" t="s">
        <v>45</v>
      </c>
      <c r="C863" s="20" t="s">
        <v>46</v>
      </c>
      <c r="D863" s="20" t="s">
        <v>257</v>
      </c>
      <c r="E863" s="20" t="s">
        <v>232</v>
      </c>
      <c r="F863" s="20" t="s">
        <v>232</v>
      </c>
      <c r="G863" s="20" t="s">
        <v>234</v>
      </c>
      <c r="H863" s="23">
        <v>1384.79</v>
      </c>
      <c r="I863" s="23">
        <v>-20.95</v>
      </c>
      <c r="J863" s="23">
        <v>0</v>
      </c>
      <c r="K863" s="23">
        <v>0</v>
      </c>
      <c r="L863" s="23">
        <v>-581</v>
      </c>
      <c r="M863" s="23">
        <v>-34</v>
      </c>
      <c r="N863" s="23">
        <v>0</v>
      </c>
      <c r="O863" s="24">
        <f t="shared" si="91"/>
        <v>748.83999999999992</v>
      </c>
      <c r="P863" s="23">
        <v>-2143</v>
      </c>
      <c r="Q863" s="23">
        <v>-560</v>
      </c>
      <c r="R863" s="23">
        <v>0</v>
      </c>
      <c r="S863" s="23">
        <v>0</v>
      </c>
      <c r="T863" s="23">
        <v>0</v>
      </c>
      <c r="U863" s="23">
        <v>-500</v>
      </c>
      <c r="V863" s="23">
        <v>0</v>
      </c>
      <c r="W863" s="23">
        <f t="shared" si="92"/>
        <v>-2454.16</v>
      </c>
      <c r="X863" s="23">
        <f t="shared" si="93"/>
        <v>0</v>
      </c>
      <c r="Y863" s="23">
        <f t="shared" si="94"/>
        <v>-2454.16</v>
      </c>
      <c r="Z863" s="23">
        <v>2454</v>
      </c>
      <c r="AA863" s="23">
        <f t="shared" si="95"/>
        <v>-0.15999999999985448</v>
      </c>
      <c r="AB863" s="23">
        <f t="shared" si="96"/>
        <v>3202.6800000000003</v>
      </c>
      <c r="AC863" s="20"/>
      <c r="AD863" s="20" t="str">
        <f>VLOOKUP($C863,'[1]CTRL AUTOS'!$E:$AH,2,0)</f>
        <v>R66BER</v>
      </c>
      <c r="AE863" s="11" t="str">
        <f t="shared" si="97"/>
        <v>R66BER40</v>
      </c>
    </row>
    <row r="864" spans="1:31" ht="12.75" hidden="1" customHeight="1" x14ac:dyDescent="0.3">
      <c r="A864" s="8">
        <v>40</v>
      </c>
      <c r="B864" s="20" t="s">
        <v>5</v>
      </c>
      <c r="C864" s="20" t="s">
        <v>28</v>
      </c>
      <c r="D864" s="20" t="s">
        <v>274</v>
      </c>
      <c r="E864" s="20" t="s">
        <v>232</v>
      </c>
      <c r="F864" s="20" t="s">
        <v>232</v>
      </c>
      <c r="G864" s="20" t="s">
        <v>234</v>
      </c>
      <c r="H864" s="23">
        <v>1329.07</v>
      </c>
      <c r="I864" s="23">
        <v>-21.84</v>
      </c>
      <c r="J864" s="23">
        <v>0</v>
      </c>
      <c r="K864" s="23">
        <v>0</v>
      </c>
      <c r="L864" s="23">
        <v>-332.31</v>
      </c>
      <c r="M864" s="23">
        <v>-42</v>
      </c>
      <c r="N864" s="23">
        <v>0</v>
      </c>
      <c r="O864" s="24">
        <f t="shared" si="91"/>
        <v>932.92000000000007</v>
      </c>
      <c r="P864" s="23">
        <v>-2500</v>
      </c>
      <c r="Q864" s="23">
        <v>-240</v>
      </c>
      <c r="R864" s="23">
        <v>0</v>
      </c>
      <c r="S864" s="23">
        <v>0</v>
      </c>
      <c r="T864" s="23">
        <v>0</v>
      </c>
      <c r="U864" s="23">
        <v>0</v>
      </c>
      <c r="V864" s="23">
        <v>0</v>
      </c>
      <c r="W864" s="23">
        <f t="shared" si="92"/>
        <v>-1807.08</v>
      </c>
      <c r="X864" s="23">
        <f t="shared" si="93"/>
        <v>0</v>
      </c>
      <c r="Y864" s="23">
        <f t="shared" si="94"/>
        <v>-1807.08</v>
      </c>
      <c r="Z864" s="23">
        <f>900+400+257</f>
        <v>1557</v>
      </c>
      <c r="AA864" s="23">
        <f t="shared" si="95"/>
        <v>-250.07999999999993</v>
      </c>
      <c r="AB864" s="23">
        <f t="shared" si="96"/>
        <v>2239.84</v>
      </c>
      <c r="AC864" s="20"/>
      <c r="AD864" s="20" t="str">
        <f>VLOOKUP($C864,'[1]CTRL AUTOS'!$E:$AH,2,0)</f>
        <v>NCT814A</v>
      </c>
      <c r="AE864" s="11" t="str">
        <f t="shared" si="97"/>
        <v>NCT814A40</v>
      </c>
    </row>
    <row r="865" spans="1:31" ht="12.75" hidden="1" customHeight="1" x14ac:dyDescent="0.3">
      <c r="A865" s="8">
        <v>40</v>
      </c>
      <c r="B865" s="20" t="s">
        <v>49</v>
      </c>
      <c r="C865" s="20" t="s">
        <v>104</v>
      </c>
      <c r="D865" s="20" t="s">
        <v>402</v>
      </c>
      <c r="E865" s="20" t="s">
        <v>364</v>
      </c>
      <c r="F865" s="22" t="s">
        <v>364</v>
      </c>
      <c r="G865" s="20" t="s">
        <v>234</v>
      </c>
      <c r="H865" s="23">
        <v>5899.73</v>
      </c>
      <c r="I865" s="23">
        <v>-145.72</v>
      </c>
      <c r="J865" s="23">
        <v>164.99</v>
      </c>
      <c r="K865" s="23">
        <v>0</v>
      </c>
      <c r="L865" s="23">
        <v>-268.69</v>
      </c>
      <c r="M865" s="23">
        <v>0</v>
      </c>
      <c r="N865" s="23">
        <v>0</v>
      </c>
      <c r="O865" s="24">
        <f t="shared" si="91"/>
        <v>5650.3099999999995</v>
      </c>
      <c r="P865" s="23">
        <v>-2500</v>
      </c>
      <c r="Q865" s="23">
        <v>0</v>
      </c>
      <c r="R865" s="23">
        <v>-500</v>
      </c>
      <c r="S865" s="23">
        <v>0</v>
      </c>
      <c r="T865" s="23">
        <v>0</v>
      </c>
      <c r="U865" s="23">
        <v>0</v>
      </c>
      <c r="V865" s="23">
        <v>0</v>
      </c>
      <c r="W865" s="23">
        <f t="shared" si="92"/>
        <v>2650.3099999999995</v>
      </c>
      <c r="X865" s="23">
        <f t="shared" si="93"/>
        <v>2650.3099999999995</v>
      </c>
      <c r="Y865" s="23">
        <f t="shared" si="94"/>
        <v>0</v>
      </c>
      <c r="Z865" s="23">
        <v>0</v>
      </c>
      <c r="AA865" s="23">
        <f t="shared" si="95"/>
        <v>0</v>
      </c>
      <c r="AB865" s="23">
        <f t="shared" si="96"/>
        <v>3000</v>
      </c>
      <c r="AC865" s="20"/>
      <c r="AD865" s="20" t="e">
        <f>VLOOKUP($C865,'[1]CTRL AUTOS'!$E:$AH,2,0)</f>
        <v>#N/A</v>
      </c>
      <c r="AE865" s="11" t="e">
        <f t="shared" si="97"/>
        <v>#N/A</v>
      </c>
    </row>
    <row r="866" spans="1:31" ht="12.75" hidden="1" customHeight="1" x14ac:dyDescent="0.3">
      <c r="A866" s="8">
        <v>40</v>
      </c>
      <c r="B866" s="20" t="s">
        <v>362</v>
      </c>
      <c r="C866" s="20" t="s">
        <v>50</v>
      </c>
      <c r="D866" s="20" t="s">
        <v>267</v>
      </c>
      <c r="E866" s="20" t="s">
        <v>232</v>
      </c>
      <c r="F866" s="20" t="s">
        <v>232</v>
      </c>
      <c r="G866" s="20" t="s">
        <v>234</v>
      </c>
      <c r="H866" s="23">
        <v>0</v>
      </c>
      <c r="I866" s="23">
        <v>0</v>
      </c>
      <c r="J866" s="23">
        <v>0</v>
      </c>
      <c r="K866" s="23">
        <v>0</v>
      </c>
      <c r="L866" s="23">
        <v>0</v>
      </c>
      <c r="M866" s="23">
        <v>0</v>
      </c>
      <c r="N866" s="23">
        <v>0</v>
      </c>
      <c r="O866" s="24">
        <f t="shared" si="91"/>
        <v>0</v>
      </c>
      <c r="P866" s="23">
        <v>-2500</v>
      </c>
      <c r="Q866" s="23">
        <v>-19</v>
      </c>
      <c r="R866" s="23">
        <v>0</v>
      </c>
      <c r="S866" s="23">
        <v>0</v>
      </c>
      <c r="T866" s="23">
        <v>0</v>
      </c>
      <c r="U866" s="23">
        <v>0</v>
      </c>
      <c r="V866" s="23">
        <v>0</v>
      </c>
      <c r="W866" s="23">
        <f t="shared" si="92"/>
        <v>-2519</v>
      </c>
      <c r="X866" s="23">
        <f t="shared" si="93"/>
        <v>0</v>
      </c>
      <c r="Y866" s="23">
        <f t="shared" si="94"/>
        <v>-2519</v>
      </c>
      <c r="Z866" s="23">
        <v>2150</v>
      </c>
      <c r="AA866" s="23">
        <f t="shared" si="95"/>
        <v>-369</v>
      </c>
      <c r="AB866" s="23">
        <f t="shared" si="96"/>
        <v>1781</v>
      </c>
      <c r="AC866" s="20" t="s">
        <v>455</v>
      </c>
      <c r="AD866" s="20" t="str">
        <f>VLOOKUP($C866,'[1]CTRL AUTOS'!$E:$AH,2,0)</f>
        <v>NBS225A</v>
      </c>
      <c r="AE866" s="11" t="str">
        <f t="shared" si="97"/>
        <v>NBS225A40</v>
      </c>
    </row>
    <row r="867" spans="1:31" ht="12.75" hidden="1" customHeight="1" x14ac:dyDescent="0.3">
      <c r="A867" s="8">
        <v>40</v>
      </c>
      <c r="B867" s="20" t="s">
        <v>414</v>
      </c>
      <c r="C867" s="20" t="s">
        <v>59</v>
      </c>
      <c r="D867" s="20" t="s">
        <v>237</v>
      </c>
      <c r="E867" s="22" t="s">
        <v>232</v>
      </c>
      <c r="F867" s="20" t="s">
        <v>291</v>
      </c>
      <c r="G867" s="20" t="s">
        <v>234</v>
      </c>
      <c r="H867" s="23">
        <v>3436.58</v>
      </c>
      <c r="I867" s="23">
        <v>-56.73</v>
      </c>
      <c r="J867" s="23">
        <v>0</v>
      </c>
      <c r="K867" s="23">
        <v>0</v>
      </c>
      <c r="L867" s="23">
        <v>0</v>
      </c>
      <c r="M867" s="23">
        <v>-35</v>
      </c>
      <c r="N867" s="23">
        <v>0</v>
      </c>
      <c r="O867" s="24">
        <f t="shared" si="91"/>
        <v>3344.85</v>
      </c>
      <c r="P867" s="23">
        <v>-714.28</v>
      </c>
      <c r="Q867" s="23">
        <v>0</v>
      </c>
      <c r="R867" s="23">
        <v>0</v>
      </c>
      <c r="S867" s="23">
        <v>0</v>
      </c>
      <c r="T867" s="23">
        <v>0</v>
      </c>
      <c r="U867" s="23">
        <v>0</v>
      </c>
      <c r="V867" s="23">
        <v>0</v>
      </c>
      <c r="W867" s="23">
        <f t="shared" si="92"/>
        <v>2630.5699999999997</v>
      </c>
      <c r="X867" s="23">
        <f t="shared" si="93"/>
        <v>2630.5699999999997</v>
      </c>
      <c r="Y867" s="23">
        <f t="shared" si="94"/>
        <v>0</v>
      </c>
      <c r="Z867" s="23">
        <v>0</v>
      </c>
      <c r="AA867" s="23">
        <f t="shared" si="95"/>
        <v>0</v>
      </c>
      <c r="AB867" s="23">
        <f t="shared" si="96"/>
        <v>714.2800000000002</v>
      </c>
      <c r="AC867" s="20"/>
      <c r="AD867" s="20" t="str">
        <f>VLOOKUP($C867,'[1]CTRL AUTOS'!$E:$AH,2,0)</f>
        <v>P62BHW</v>
      </c>
      <c r="AE867" s="11" t="str">
        <f t="shared" si="97"/>
        <v>P62BHW40</v>
      </c>
    </row>
    <row r="868" spans="1:31" ht="12.75" hidden="1" customHeight="1" x14ac:dyDescent="0.3">
      <c r="A868" s="8">
        <v>40</v>
      </c>
      <c r="B868" s="20" t="s">
        <v>414</v>
      </c>
      <c r="C868" s="20" t="s">
        <v>204</v>
      </c>
      <c r="D868" s="20" t="s">
        <v>237</v>
      </c>
      <c r="E868" s="22" t="s">
        <v>364</v>
      </c>
      <c r="F868" s="22" t="s">
        <v>364</v>
      </c>
      <c r="G868" s="20" t="s">
        <v>234</v>
      </c>
      <c r="H868" s="23">
        <v>2094.2399999999998</v>
      </c>
      <c r="I868" s="23">
        <v>-32.909999999999997</v>
      </c>
      <c r="J868" s="23">
        <v>0</v>
      </c>
      <c r="K868" s="23">
        <v>0</v>
      </c>
      <c r="L868" s="23">
        <v>0</v>
      </c>
      <c r="M868" s="24">
        <v>0</v>
      </c>
      <c r="N868" s="23">
        <v>0</v>
      </c>
      <c r="O868" s="24">
        <f t="shared" si="91"/>
        <v>2061.33</v>
      </c>
      <c r="P868" s="23">
        <v>-1071.1400000000001</v>
      </c>
      <c r="Q868" s="23">
        <v>0</v>
      </c>
      <c r="R868" s="23">
        <v>0</v>
      </c>
      <c r="S868" s="23">
        <v>0</v>
      </c>
      <c r="T868" s="23">
        <v>0</v>
      </c>
      <c r="U868" s="23">
        <v>0</v>
      </c>
      <c r="V868" s="23">
        <v>0</v>
      </c>
      <c r="W868" s="23">
        <f t="shared" si="92"/>
        <v>990.18999999999983</v>
      </c>
      <c r="X868" s="23">
        <f t="shared" si="93"/>
        <v>990.18999999999983</v>
      </c>
      <c r="Y868" s="23">
        <f t="shared" si="94"/>
        <v>0</v>
      </c>
      <c r="Z868" s="23">
        <v>0</v>
      </c>
      <c r="AA868" s="23">
        <f t="shared" si="95"/>
        <v>0</v>
      </c>
      <c r="AB868" s="23">
        <f t="shared" si="96"/>
        <v>1071.1400000000001</v>
      </c>
      <c r="AC868" s="20" t="s">
        <v>456</v>
      </c>
      <c r="AD868" s="20" t="e">
        <f>VLOOKUP($C868,'[1]CTRL AUTOS'!$E:$AH,2,0)</f>
        <v>#N/A</v>
      </c>
      <c r="AE868" s="11" t="e">
        <f t="shared" si="97"/>
        <v>#N/A</v>
      </c>
    </row>
    <row r="869" spans="1:31" ht="12.75" hidden="1" customHeight="1" x14ac:dyDescent="0.3">
      <c r="A869" s="8">
        <v>40</v>
      </c>
      <c r="B869" s="20" t="s">
        <v>74</v>
      </c>
      <c r="C869" s="20" t="s">
        <v>77</v>
      </c>
      <c r="D869" s="20" t="s">
        <v>237</v>
      </c>
      <c r="E869" s="22" t="s">
        <v>232</v>
      </c>
      <c r="F869" s="20" t="s">
        <v>291</v>
      </c>
      <c r="G869" s="20" t="s">
        <v>234</v>
      </c>
      <c r="H869" s="23">
        <v>2464.69</v>
      </c>
      <c r="I869" s="23">
        <v>-38.549999999999997</v>
      </c>
      <c r="J869" s="23">
        <v>0</v>
      </c>
      <c r="K869" s="23">
        <v>0</v>
      </c>
      <c r="L869" s="23">
        <v>-488.49</v>
      </c>
      <c r="M869" s="23">
        <v>-87</v>
      </c>
      <c r="N869" s="23">
        <v>-221</v>
      </c>
      <c r="O869" s="24">
        <f t="shared" si="91"/>
        <v>1629.6499999999999</v>
      </c>
      <c r="P869" s="23">
        <v>-2500</v>
      </c>
      <c r="Q869" s="23">
        <v>0</v>
      </c>
      <c r="R869" s="23">
        <v>0</v>
      </c>
      <c r="S869" s="23">
        <v>0</v>
      </c>
      <c r="T869" s="23">
        <v>0</v>
      </c>
      <c r="U869" s="23">
        <v>0</v>
      </c>
      <c r="V869" s="23">
        <v>0</v>
      </c>
      <c r="W869" s="23">
        <f t="shared" si="92"/>
        <v>-870.35000000000014</v>
      </c>
      <c r="X869" s="23">
        <f t="shared" si="93"/>
        <v>0</v>
      </c>
      <c r="Y869" s="23">
        <f t="shared" si="94"/>
        <v>-870.35000000000014</v>
      </c>
      <c r="Z869" s="23">
        <v>870</v>
      </c>
      <c r="AA869" s="23">
        <f t="shared" si="95"/>
        <v>-0.35000000000013642</v>
      </c>
      <c r="AB869" s="23">
        <f t="shared" si="96"/>
        <v>2499.2999999999993</v>
      </c>
      <c r="AC869" s="20"/>
      <c r="AD869" s="20" t="str">
        <f>VLOOKUP($C869,'[1]CTRL AUTOS'!$E:$AH,2,0)</f>
        <v>MEE228C</v>
      </c>
      <c r="AE869" s="11" t="str">
        <f t="shared" si="97"/>
        <v>MEE228C40</v>
      </c>
    </row>
    <row r="870" spans="1:31" ht="12.75" hidden="1" customHeight="1" x14ac:dyDescent="0.3">
      <c r="A870" s="8">
        <v>40</v>
      </c>
      <c r="B870" s="20" t="s">
        <v>132</v>
      </c>
      <c r="C870" s="20" t="s">
        <v>204</v>
      </c>
      <c r="D870" s="20" t="s">
        <v>237</v>
      </c>
      <c r="E870" s="22" t="s">
        <v>364</v>
      </c>
      <c r="F870" s="20" t="s">
        <v>232</v>
      </c>
      <c r="G870" s="20" t="s">
        <v>234</v>
      </c>
      <c r="H870" s="23">
        <v>574.54999999999995</v>
      </c>
      <c r="I870" s="23">
        <v>-8.18</v>
      </c>
      <c r="J870" s="23">
        <v>0</v>
      </c>
      <c r="K870" s="23">
        <v>0</v>
      </c>
      <c r="L870" s="23">
        <v>0</v>
      </c>
      <c r="M870" s="24">
        <v>0</v>
      </c>
      <c r="N870" s="23">
        <v>0</v>
      </c>
      <c r="O870" s="24">
        <f t="shared" si="91"/>
        <v>566.37</v>
      </c>
      <c r="P870" s="23">
        <v>-566</v>
      </c>
      <c r="Q870" s="23">
        <v>0</v>
      </c>
      <c r="R870" s="23">
        <v>0</v>
      </c>
      <c r="S870" s="23">
        <v>0</v>
      </c>
      <c r="T870" s="23">
        <v>0</v>
      </c>
      <c r="U870" s="23">
        <v>0</v>
      </c>
      <c r="V870" s="23">
        <v>0</v>
      </c>
      <c r="W870" s="23">
        <f t="shared" si="92"/>
        <v>0.37000000000000455</v>
      </c>
      <c r="X870" s="23">
        <f t="shared" si="93"/>
        <v>0.37000000000000455</v>
      </c>
      <c r="Y870" s="23">
        <f t="shared" si="94"/>
        <v>0</v>
      </c>
      <c r="Z870" s="23">
        <v>0</v>
      </c>
      <c r="AA870" s="23">
        <f t="shared" si="95"/>
        <v>0</v>
      </c>
      <c r="AB870" s="23">
        <f t="shared" si="96"/>
        <v>566</v>
      </c>
      <c r="AC870" s="20"/>
      <c r="AD870" s="20" t="e">
        <f>VLOOKUP($C870,'[1]CTRL AUTOS'!$E:$AH,2,0)</f>
        <v>#N/A</v>
      </c>
      <c r="AE870" s="11" t="e">
        <f t="shared" si="97"/>
        <v>#N/A</v>
      </c>
    </row>
    <row r="871" spans="1:31" ht="12.75" hidden="1" customHeight="1" x14ac:dyDescent="0.3">
      <c r="A871" s="8">
        <v>40</v>
      </c>
      <c r="B871" s="20" t="s">
        <v>51</v>
      </c>
      <c r="C871" s="44" t="s">
        <v>79</v>
      </c>
      <c r="D871" s="20" t="s">
        <v>250</v>
      </c>
      <c r="E871" s="20" t="s">
        <v>291</v>
      </c>
      <c r="F871" s="20" t="s">
        <v>291</v>
      </c>
      <c r="G871" s="20" t="s">
        <v>234</v>
      </c>
      <c r="H871" s="23">
        <v>5144.1000000000004</v>
      </c>
      <c r="I871" s="23">
        <v>-85.25</v>
      </c>
      <c r="J871" s="23">
        <v>0</v>
      </c>
      <c r="K871" s="23">
        <v>0</v>
      </c>
      <c r="L871" s="23">
        <v>0</v>
      </c>
      <c r="M871" s="23">
        <v>-34</v>
      </c>
      <c r="N871" s="23">
        <v>0</v>
      </c>
      <c r="O871" s="24">
        <f t="shared" si="91"/>
        <v>5024.8500000000004</v>
      </c>
      <c r="P871" s="23">
        <v>-2500</v>
      </c>
      <c r="Q871" s="23">
        <v>0</v>
      </c>
      <c r="R871" s="23">
        <v>-500</v>
      </c>
      <c r="S871" s="23">
        <v>0</v>
      </c>
      <c r="T871" s="23">
        <v>0</v>
      </c>
      <c r="U871" s="23">
        <v>0</v>
      </c>
      <c r="V871" s="23">
        <v>0</v>
      </c>
      <c r="W871" s="23">
        <f t="shared" si="92"/>
        <v>2024.8500000000004</v>
      </c>
      <c r="X871" s="23">
        <f t="shared" si="93"/>
        <v>2024.8500000000004</v>
      </c>
      <c r="Y871" s="23">
        <f t="shared" si="94"/>
        <v>0</v>
      </c>
      <c r="Z871" s="23">
        <v>0</v>
      </c>
      <c r="AA871" s="23">
        <f t="shared" si="95"/>
        <v>0</v>
      </c>
      <c r="AB871" s="23">
        <f t="shared" si="96"/>
        <v>3000</v>
      </c>
      <c r="AC871" s="20"/>
      <c r="AD871" s="20" t="str">
        <f>VLOOKUP($C871,'[1]CTRL AUTOS'!$E:$AH,2,0)</f>
        <v>MAY737C</v>
      </c>
      <c r="AE871" s="11" t="str">
        <f t="shared" si="97"/>
        <v>MAY737C40</v>
      </c>
    </row>
    <row r="872" spans="1:31" ht="12.75" hidden="1" customHeight="1" x14ac:dyDescent="0.3">
      <c r="A872" s="8">
        <v>40</v>
      </c>
      <c r="B872" s="20" t="s">
        <v>98</v>
      </c>
      <c r="C872" s="20" t="s">
        <v>168</v>
      </c>
      <c r="D872" s="20" t="s">
        <v>265</v>
      </c>
      <c r="E872" s="20" t="s">
        <v>232</v>
      </c>
      <c r="F872" s="20" t="s">
        <v>232</v>
      </c>
      <c r="G872" s="20" t="s">
        <v>234</v>
      </c>
      <c r="H872" s="23">
        <v>953.02</v>
      </c>
      <c r="I872" s="23">
        <v>-22.59</v>
      </c>
      <c r="J872" s="23">
        <v>103.96</v>
      </c>
      <c r="K872" s="23">
        <v>0</v>
      </c>
      <c r="L872" s="23">
        <v>0</v>
      </c>
      <c r="M872" s="23">
        <v>-36</v>
      </c>
      <c r="N872" s="23">
        <v>0</v>
      </c>
      <c r="O872" s="24">
        <f t="shared" si="91"/>
        <v>998.38999999999987</v>
      </c>
      <c r="P872" s="23">
        <v>-2500</v>
      </c>
      <c r="Q872" s="23">
        <v>-2153</v>
      </c>
      <c r="R872" s="23">
        <v>0</v>
      </c>
      <c r="S872" s="23">
        <v>0</v>
      </c>
      <c r="T872" s="23">
        <v>0</v>
      </c>
      <c r="U872" s="23">
        <v>0</v>
      </c>
      <c r="V872" s="23">
        <v>0</v>
      </c>
      <c r="W872" s="23">
        <f t="shared" si="92"/>
        <v>-3654.61</v>
      </c>
      <c r="X872" s="23">
        <f t="shared" si="93"/>
        <v>0</v>
      </c>
      <c r="Y872" s="23">
        <f t="shared" si="94"/>
        <v>-3654.61</v>
      </c>
      <c r="Z872" s="23">
        <f>3000+655</f>
        <v>3655</v>
      </c>
      <c r="AA872" s="23">
        <f t="shared" si="95"/>
        <v>0.38999999999987267</v>
      </c>
      <c r="AB872" s="23">
        <f t="shared" si="96"/>
        <v>4653.7799999999988</v>
      </c>
      <c r="AC872" s="20" t="s">
        <v>435</v>
      </c>
      <c r="AD872" s="20" t="e">
        <f>VLOOKUP($C872,'[1]CTRL AUTOS'!$E:$AH,2,0)</f>
        <v>#N/A</v>
      </c>
      <c r="AE872" s="11" t="e">
        <f t="shared" si="97"/>
        <v>#N/A</v>
      </c>
    </row>
    <row r="873" spans="1:31" ht="12.75" hidden="1" customHeight="1" x14ac:dyDescent="0.3">
      <c r="A873" s="8">
        <v>41</v>
      </c>
      <c r="B873" s="20" t="s">
        <v>11</v>
      </c>
      <c r="C873" s="44" t="s">
        <v>79</v>
      </c>
      <c r="D873" s="20" t="s">
        <v>250</v>
      </c>
      <c r="E873" s="20" t="s">
        <v>291</v>
      </c>
      <c r="F873" s="20" t="s">
        <v>291</v>
      </c>
      <c r="G873" s="20" t="s">
        <v>234</v>
      </c>
      <c r="H873" s="23">
        <v>7754.16</v>
      </c>
      <c r="I873" s="23">
        <v>-117.77</v>
      </c>
      <c r="J873" s="23">
        <v>0</v>
      </c>
      <c r="K873" s="23">
        <v>0</v>
      </c>
      <c r="L873" s="23">
        <v>-2811.08</v>
      </c>
      <c r="M873" s="23">
        <v>-34</v>
      </c>
      <c r="N873" s="23">
        <v>0</v>
      </c>
      <c r="O873" s="24">
        <f t="shared" si="91"/>
        <v>4791.3099999999995</v>
      </c>
      <c r="P873" s="23">
        <v>-2500</v>
      </c>
      <c r="Q873" s="23">
        <v>0</v>
      </c>
      <c r="R873" s="23">
        <v>-500</v>
      </c>
      <c r="S873" s="23">
        <v>0</v>
      </c>
      <c r="T873" s="23">
        <v>0</v>
      </c>
      <c r="U873" s="23">
        <v>0</v>
      </c>
      <c r="V873" s="23">
        <v>0</v>
      </c>
      <c r="W873" s="23">
        <f t="shared" si="92"/>
        <v>1791.3099999999995</v>
      </c>
      <c r="X873" s="23">
        <f t="shared" si="93"/>
        <v>1791.3099999999995</v>
      </c>
      <c r="Y873" s="23">
        <f t="shared" si="94"/>
        <v>0</v>
      </c>
      <c r="Z873" s="23">
        <v>0</v>
      </c>
      <c r="AA873" s="23">
        <f t="shared" si="95"/>
        <v>0</v>
      </c>
      <c r="AB873" s="23">
        <f t="shared" si="96"/>
        <v>3000</v>
      </c>
      <c r="AC873" s="20" t="s">
        <v>226</v>
      </c>
      <c r="AD873" s="20" t="str">
        <f>VLOOKUP($C873,'[1]CTRL AUTOS'!$E:$AH,2,0)</f>
        <v>MAY737C</v>
      </c>
      <c r="AE873" s="11" t="str">
        <f t="shared" si="97"/>
        <v>MAY737C41</v>
      </c>
    </row>
    <row r="874" spans="1:31" ht="12.75" hidden="1" customHeight="1" x14ac:dyDescent="0.3">
      <c r="A874" s="8">
        <v>41</v>
      </c>
      <c r="B874" s="20" t="s">
        <v>80</v>
      </c>
      <c r="C874" s="20" t="s">
        <v>81</v>
      </c>
      <c r="D874" s="20" t="s">
        <v>317</v>
      </c>
      <c r="E874" s="20" t="s">
        <v>232</v>
      </c>
      <c r="F874" s="20" t="s">
        <v>232</v>
      </c>
      <c r="G874" s="20" t="s">
        <v>234</v>
      </c>
      <c r="H874" s="23">
        <v>855.73</v>
      </c>
      <c r="I874" s="23">
        <v>-18.98</v>
      </c>
      <c r="J874" s="23">
        <v>0</v>
      </c>
      <c r="K874" s="23">
        <v>0</v>
      </c>
      <c r="L874" s="23">
        <v>-390.9</v>
      </c>
      <c r="M874" s="23">
        <v>-32</v>
      </c>
      <c r="N874" s="23">
        <v>0</v>
      </c>
      <c r="O874" s="24">
        <f t="shared" si="91"/>
        <v>413.85</v>
      </c>
      <c r="P874" s="23">
        <v>-2500</v>
      </c>
      <c r="Q874" s="23">
        <v>0</v>
      </c>
      <c r="R874" s="23">
        <v>0</v>
      </c>
      <c r="S874" s="23">
        <v>0</v>
      </c>
      <c r="T874" s="23">
        <v>0</v>
      </c>
      <c r="U874" s="23">
        <v>0</v>
      </c>
      <c r="V874" s="23">
        <v>0</v>
      </c>
      <c r="W874" s="23">
        <f t="shared" si="92"/>
        <v>-2086.15</v>
      </c>
      <c r="X874" s="23">
        <f t="shared" si="93"/>
        <v>0</v>
      </c>
      <c r="Y874" s="23">
        <f t="shared" si="94"/>
        <v>-2086.15</v>
      </c>
      <c r="Z874" s="23">
        <v>2086</v>
      </c>
      <c r="AA874" s="23">
        <f t="shared" si="95"/>
        <v>-0.15000000000009095</v>
      </c>
      <c r="AB874" s="23">
        <f t="shared" si="96"/>
        <v>2499.6999999999998</v>
      </c>
      <c r="AC874" s="20"/>
      <c r="AD874" s="20" t="str">
        <f>VLOOKUP($C874,'[1]CTRL AUTOS'!$E:$AH,2,0)</f>
        <v>NLP172B</v>
      </c>
      <c r="AE874" s="11" t="str">
        <f t="shared" si="97"/>
        <v>NLP172B41</v>
      </c>
    </row>
    <row r="875" spans="1:31" ht="12.75" hidden="1" customHeight="1" x14ac:dyDescent="0.3">
      <c r="A875" s="8">
        <v>41</v>
      </c>
      <c r="B875" s="20" t="s">
        <v>13</v>
      </c>
      <c r="C875" s="20" t="s">
        <v>40</v>
      </c>
      <c r="D875" s="20" t="s">
        <v>315</v>
      </c>
      <c r="E875" s="20" t="s">
        <v>232</v>
      </c>
      <c r="F875" s="20" t="s">
        <v>232</v>
      </c>
      <c r="G875" s="20" t="s">
        <v>234</v>
      </c>
      <c r="H875" s="23">
        <v>7574.57</v>
      </c>
      <c r="I875" s="23">
        <f>-152.74-1.06</f>
        <v>-153.80000000000001</v>
      </c>
      <c r="J875" s="23">
        <v>131.07</v>
      </c>
      <c r="K875" s="23">
        <v>0</v>
      </c>
      <c r="L875" s="23">
        <v>0</v>
      </c>
      <c r="M875" s="23">
        <v>-32</v>
      </c>
      <c r="N875" s="23">
        <v>0</v>
      </c>
      <c r="O875" s="24">
        <f t="shared" si="91"/>
        <v>7519.8399999999992</v>
      </c>
      <c r="P875" s="23">
        <v>-2500</v>
      </c>
      <c r="Q875" s="23">
        <v>0</v>
      </c>
      <c r="R875" s="23">
        <v>-500</v>
      </c>
      <c r="S875" s="23">
        <v>0</v>
      </c>
      <c r="T875" s="23">
        <v>0</v>
      </c>
      <c r="U875" s="23">
        <v>0</v>
      </c>
      <c r="V875" s="23">
        <v>0</v>
      </c>
      <c r="W875" s="23">
        <f t="shared" si="92"/>
        <v>4519.8399999999992</v>
      </c>
      <c r="X875" s="23">
        <f t="shared" si="93"/>
        <v>4519.8399999999992</v>
      </c>
      <c r="Y875" s="23">
        <f t="shared" si="94"/>
        <v>0</v>
      </c>
      <c r="Z875" s="23">
        <v>0</v>
      </c>
      <c r="AA875" s="23">
        <f t="shared" si="95"/>
        <v>0</v>
      </c>
      <c r="AB875" s="23">
        <f t="shared" si="96"/>
        <v>3000</v>
      </c>
      <c r="AC875" s="20" t="s">
        <v>226</v>
      </c>
      <c r="AD875" s="20" t="str">
        <f>VLOOKUP($C875,'[1]CTRL AUTOS'!$E:$AH,2,0)</f>
        <v>NEL860A</v>
      </c>
      <c r="AE875" s="11" t="str">
        <f t="shared" si="97"/>
        <v>NEL860A41</v>
      </c>
    </row>
    <row r="876" spans="1:31" ht="12.75" hidden="1" customHeight="1" x14ac:dyDescent="0.3">
      <c r="A876" s="8">
        <v>41</v>
      </c>
      <c r="B876" s="20" t="s">
        <v>111</v>
      </c>
      <c r="C876" s="20" t="s">
        <v>63</v>
      </c>
      <c r="D876" s="20" t="s">
        <v>374</v>
      </c>
      <c r="E876" s="20" t="s">
        <v>291</v>
      </c>
      <c r="F876" s="20" t="s">
        <v>291</v>
      </c>
      <c r="G876" s="20" t="s">
        <v>234</v>
      </c>
      <c r="H876" s="23">
        <v>5074.79</v>
      </c>
      <c r="I876" s="23">
        <v>-76.12</v>
      </c>
      <c r="J876" s="23">
        <v>0</v>
      </c>
      <c r="K876" s="23">
        <v>0</v>
      </c>
      <c r="L876" s="23">
        <v>-1723.41</v>
      </c>
      <c r="M876" s="23">
        <v>-42</v>
      </c>
      <c r="N876" s="23">
        <v>0</v>
      </c>
      <c r="O876" s="24">
        <f t="shared" si="91"/>
        <v>3233.26</v>
      </c>
      <c r="P876" s="23">
        <v>-2500</v>
      </c>
      <c r="Q876" s="23">
        <v>0</v>
      </c>
      <c r="R876" s="23">
        <v>0</v>
      </c>
      <c r="S876" s="23">
        <v>0</v>
      </c>
      <c r="T876" s="23">
        <v>0</v>
      </c>
      <c r="U876" s="23">
        <v>0</v>
      </c>
      <c r="V876" s="23">
        <v>0</v>
      </c>
      <c r="W876" s="23">
        <f t="shared" si="92"/>
        <v>733.26000000000022</v>
      </c>
      <c r="X876" s="23">
        <f t="shared" si="93"/>
        <v>733.26000000000022</v>
      </c>
      <c r="Y876" s="23">
        <f t="shared" si="94"/>
        <v>0</v>
      </c>
      <c r="Z876" s="23">
        <v>0</v>
      </c>
      <c r="AA876" s="23">
        <f t="shared" si="95"/>
        <v>0</v>
      </c>
      <c r="AB876" s="23">
        <f t="shared" si="96"/>
        <v>2500</v>
      </c>
      <c r="AC876" s="20" t="s">
        <v>226</v>
      </c>
      <c r="AD876" s="20" t="str">
        <f>VLOOKUP($C876,'[1]CTRL AUTOS'!$E:$AH,2,0)</f>
        <v>X89ALV</v>
      </c>
      <c r="AE876" s="11" t="str">
        <f t="shared" si="97"/>
        <v>X89ALV41</v>
      </c>
    </row>
    <row r="877" spans="1:31" ht="12.75" hidden="1" customHeight="1" x14ac:dyDescent="0.3">
      <c r="A877" s="8">
        <v>41</v>
      </c>
      <c r="B877" s="20" t="s">
        <v>17</v>
      </c>
      <c r="C877" s="20" t="s">
        <v>69</v>
      </c>
      <c r="D877" s="20" t="s">
        <v>237</v>
      </c>
      <c r="E877" s="22" t="s">
        <v>241</v>
      </c>
      <c r="F877" s="20" t="s">
        <v>291</v>
      </c>
      <c r="G877" s="20" t="s">
        <v>234</v>
      </c>
      <c r="H877" s="23">
        <v>3335.4</v>
      </c>
      <c r="I877" s="23">
        <v>-57.38</v>
      </c>
      <c r="J877" s="23">
        <v>19.579999999999998</v>
      </c>
      <c r="K877" s="23">
        <v>0</v>
      </c>
      <c r="L877" s="23">
        <v>0</v>
      </c>
      <c r="M877" s="23">
        <v>-38</v>
      </c>
      <c r="N877" s="23">
        <v>0</v>
      </c>
      <c r="O877" s="24">
        <f t="shared" si="91"/>
        <v>3259.6</v>
      </c>
      <c r="P877" s="23">
        <v>-2500</v>
      </c>
      <c r="Q877" s="23">
        <v>0</v>
      </c>
      <c r="R877" s="23">
        <v>0</v>
      </c>
      <c r="S877" s="23">
        <v>0</v>
      </c>
      <c r="T877" s="23">
        <v>0</v>
      </c>
      <c r="U877" s="23">
        <f>100-100-50-550</f>
        <v>-600</v>
      </c>
      <c r="V877" s="23">
        <v>0</v>
      </c>
      <c r="W877" s="23">
        <f t="shared" si="92"/>
        <v>159.59999999999991</v>
      </c>
      <c r="X877" s="23">
        <f t="shared" si="93"/>
        <v>159.59999999999991</v>
      </c>
      <c r="Y877" s="23">
        <f t="shared" si="94"/>
        <v>0</v>
      </c>
      <c r="Z877" s="23">
        <v>0</v>
      </c>
      <c r="AA877" s="23">
        <f t="shared" si="95"/>
        <v>0</v>
      </c>
      <c r="AB877" s="23">
        <f t="shared" si="96"/>
        <v>3100</v>
      </c>
      <c r="AC877" s="20" t="s">
        <v>226</v>
      </c>
      <c r="AD877" s="20" t="str">
        <f>VLOOKUP($C877,'[1]CTRL AUTOS'!$E:$AH,2,0)</f>
        <v>R51BKD</v>
      </c>
      <c r="AE877" s="11" t="str">
        <f t="shared" si="97"/>
        <v>R51BKD41</v>
      </c>
    </row>
    <row r="878" spans="1:31" ht="12.75" hidden="1" customHeight="1" x14ac:dyDescent="0.3">
      <c r="A878" s="8">
        <v>41</v>
      </c>
      <c r="B878" s="20" t="s">
        <v>19</v>
      </c>
      <c r="C878" s="20" t="s">
        <v>20</v>
      </c>
      <c r="D878" s="20" t="s">
        <v>239</v>
      </c>
      <c r="E878" s="20" t="s">
        <v>232</v>
      </c>
      <c r="F878" s="20" t="s">
        <v>232</v>
      </c>
      <c r="G878" s="20" t="s">
        <v>234</v>
      </c>
      <c r="H878" s="23">
        <v>3423.13</v>
      </c>
      <c r="I878" s="23">
        <v>-40.6</v>
      </c>
      <c r="J878" s="23">
        <v>0</v>
      </c>
      <c r="K878" s="23">
        <v>-20.16</v>
      </c>
      <c r="L878" s="23">
        <v>0</v>
      </c>
      <c r="M878" s="23">
        <v>-34</v>
      </c>
      <c r="N878" s="23">
        <v>0</v>
      </c>
      <c r="O878" s="24">
        <f t="shared" si="91"/>
        <v>3328.3700000000003</v>
      </c>
      <c r="P878" s="23">
        <v>-892.85</v>
      </c>
      <c r="Q878" s="23">
        <v>0</v>
      </c>
      <c r="R878" s="23">
        <v>0</v>
      </c>
      <c r="S878" s="23">
        <v>0</v>
      </c>
      <c r="T878" s="23">
        <v>0</v>
      </c>
      <c r="U878" s="23">
        <v>-1000</v>
      </c>
      <c r="V878" s="23">
        <v>0</v>
      </c>
      <c r="W878" s="23">
        <f t="shared" si="92"/>
        <v>1435.5200000000004</v>
      </c>
      <c r="X878" s="23">
        <f t="shared" si="93"/>
        <v>1435.5200000000004</v>
      </c>
      <c r="Y878" s="23">
        <f t="shared" si="94"/>
        <v>0</v>
      </c>
      <c r="Z878" s="23">
        <v>0</v>
      </c>
      <c r="AA878" s="23">
        <f t="shared" si="95"/>
        <v>0</v>
      </c>
      <c r="AB878" s="23">
        <f t="shared" si="96"/>
        <v>1892.85</v>
      </c>
      <c r="AC878" s="20" t="s">
        <v>226</v>
      </c>
      <c r="AD878" s="20" t="str">
        <f>VLOOKUP($C878,'[1]CTRL AUTOS'!$E:$AH,2,0)</f>
        <v>D40BKD</v>
      </c>
      <c r="AE878" s="11" t="str">
        <f t="shared" si="97"/>
        <v>D40BKD41</v>
      </c>
    </row>
    <row r="879" spans="1:31" ht="12.75" hidden="1" customHeight="1" x14ac:dyDescent="0.3">
      <c r="A879" s="8">
        <v>41</v>
      </c>
      <c r="B879" s="20" t="s">
        <v>444</v>
      </c>
      <c r="C879" s="20" t="s">
        <v>44</v>
      </c>
      <c r="D879" s="20" t="s">
        <v>237</v>
      </c>
      <c r="E879" s="22" t="s">
        <v>232</v>
      </c>
      <c r="F879" s="20" t="s">
        <v>291</v>
      </c>
      <c r="G879" s="20" t="s">
        <v>234</v>
      </c>
      <c r="H879" s="23">
        <v>2234.9</v>
      </c>
      <c r="I879" s="23">
        <v>-33.979999999999997</v>
      </c>
      <c r="J879" s="23">
        <v>0</v>
      </c>
      <c r="K879" s="23">
        <v>0</v>
      </c>
      <c r="L879" s="23">
        <v>-967.47</v>
      </c>
      <c r="M879" s="23">
        <v>-30</v>
      </c>
      <c r="N879" s="23">
        <v>0</v>
      </c>
      <c r="O879" s="24">
        <f t="shared" si="91"/>
        <v>1203.45</v>
      </c>
      <c r="P879" s="23">
        <v>-2500</v>
      </c>
      <c r="Q879" s="23">
        <v>0</v>
      </c>
      <c r="R879" s="23">
        <v>-500</v>
      </c>
      <c r="S879" s="23">
        <v>0</v>
      </c>
      <c r="T879" s="23">
        <v>0</v>
      </c>
      <c r="U879" s="23">
        <v>0</v>
      </c>
      <c r="V879" s="23">
        <v>0</v>
      </c>
      <c r="W879" s="23">
        <f t="shared" si="92"/>
        <v>-1796.55</v>
      </c>
      <c r="X879" s="23">
        <f t="shared" si="93"/>
        <v>0</v>
      </c>
      <c r="Y879" s="23">
        <f t="shared" si="94"/>
        <v>-1796.55</v>
      </c>
      <c r="Z879" s="23">
        <v>1797</v>
      </c>
      <c r="AA879" s="23">
        <f t="shared" si="95"/>
        <v>0.45000000000004547</v>
      </c>
      <c r="AB879" s="23">
        <f t="shared" si="96"/>
        <v>3000.8999999999996</v>
      </c>
      <c r="AC879" s="20"/>
      <c r="AD879" s="20" t="str">
        <f>VLOOKUP($C879,'[1]CTRL AUTOS'!$E:$AH,2,0)</f>
        <v>MAY730C</v>
      </c>
      <c r="AE879" s="11" t="str">
        <f t="shared" si="97"/>
        <v>MAY730C41</v>
      </c>
    </row>
    <row r="880" spans="1:31" ht="12.75" hidden="1" customHeight="1" x14ac:dyDescent="0.3">
      <c r="A880" s="8">
        <v>41</v>
      </c>
      <c r="B880" s="20" t="s">
        <v>23</v>
      </c>
      <c r="C880" s="20" t="s">
        <v>22</v>
      </c>
      <c r="D880" s="20" t="s">
        <v>319</v>
      </c>
      <c r="E880" s="20" t="s">
        <v>232</v>
      </c>
      <c r="F880" s="20" t="s">
        <v>232</v>
      </c>
      <c r="G880" s="20" t="s">
        <v>234</v>
      </c>
      <c r="H880" s="23">
        <v>7075.24</v>
      </c>
      <c r="I880" s="23">
        <v>-156.97999999999999</v>
      </c>
      <c r="J880" s="23">
        <v>0</v>
      </c>
      <c r="K880" s="23">
        <v>0</v>
      </c>
      <c r="L880" s="23">
        <v>-5844.93</v>
      </c>
      <c r="M880" s="23">
        <v>-32</v>
      </c>
      <c r="N880" s="23">
        <v>0</v>
      </c>
      <c r="O880" s="24">
        <f t="shared" si="91"/>
        <v>1041.33</v>
      </c>
      <c r="P880" s="23">
        <f>-2500+357</f>
        <v>-2143</v>
      </c>
      <c r="Q880" s="23">
        <v>-562.24</v>
      </c>
      <c r="R880" s="23">
        <v>0</v>
      </c>
      <c r="S880" s="23">
        <v>0</v>
      </c>
      <c r="T880" s="23">
        <v>-500</v>
      </c>
      <c r="U880" s="23">
        <v>0</v>
      </c>
      <c r="V880" s="23">
        <v>0</v>
      </c>
      <c r="W880" s="23">
        <f t="shared" si="92"/>
        <v>-2163.91</v>
      </c>
      <c r="X880" s="23">
        <f t="shared" si="93"/>
        <v>0</v>
      </c>
      <c r="Y880" s="23">
        <f t="shared" si="94"/>
        <v>-2163.91</v>
      </c>
      <c r="Z880" s="23">
        <f>1900+264</f>
        <v>2164</v>
      </c>
      <c r="AA880" s="23">
        <f t="shared" si="95"/>
        <v>9.0000000000145519E-2</v>
      </c>
      <c r="AB880" s="23">
        <f t="shared" si="96"/>
        <v>3205.42</v>
      </c>
      <c r="AC880" s="20"/>
      <c r="AD880" s="20" t="str">
        <f>VLOOKUP($C880,'[1]CTRL AUTOS'!$E:$AH,2,0)</f>
        <v>NCK475B</v>
      </c>
      <c r="AE880" s="11" t="str">
        <f t="shared" si="97"/>
        <v>NCK475B41</v>
      </c>
    </row>
    <row r="881" spans="1:31" ht="12.75" hidden="1" customHeight="1" x14ac:dyDescent="0.3">
      <c r="A881" s="8">
        <v>41</v>
      </c>
      <c r="B881" s="20" t="s">
        <v>25</v>
      </c>
      <c r="C881" s="20" t="s">
        <v>67</v>
      </c>
      <c r="D881" s="20" t="s">
        <v>343</v>
      </c>
      <c r="E881" s="20" t="s">
        <v>232</v>
      </c>
      <c r="F881" s="20" t="s">
        <v>291</v>
      </c>
      <c r="G881" s="20" t="s">
        <v>234</v>
      </c>
      <c r="H881" s="23">
        <v>6554.3</v>
      </c>
      <c r="I881" s="23">
        <v>-111.28</v>
      </c>
      <c r="J881" s="23">
        <v>0</v>
      </c>
      <c r="K881" s="23">
        <v>0</v>
      </c>
      <c r="L881" s="23">
        <v>-2306.5500000000002</v>
      </c>
      <c r="M881" s="23">
        <v>-28</v>
      </c>
      <c r="N881" s="23">
        <v>0</v>
      </c>
      <c r="O881" s="24">
        <f t="shared" si="91"/>
        <v>4108.47</v>
      </c>
      <c r="P881" s="23">
        <v>-2500</v>
      </c>
      <c r="Q881" s="23">
        <v>-617.12</v>
      </c>
      <c r="R881" s="23">
        <v>0</v>
      </c>
      <c r="S881" s="23">
        <v>0</v>
      </c>
      <c r="T881" s="23">
        <v>0</v>
      </c>
      <c r="U881" s="23">
        <v>0</v>
      </c>
      <c r="V881" s="23">
        <v>0</v>
      </c>
      <c r="W881" s="23">
        <f t="shared" si="92"/>
        <v>991.35000000000036</v>
      </c>
      <c r="X881" s="23">
        <f t="shared" si="93"/>
        <v>991.35000000000036</v>
      </c>
      <c r="Y881" s="23">
        <f t="shared" si="94"/>
        <v>0</v>
      </c>
      <c r="Z881" s="23">
        <v>0</v>
      </c>
      <c r="AA881" s="23">
        <f t="shared" si="95"/>
        <v>0</v>
      </c>
      <c r="AB881" s="23">
        <f t="shared" si="96"/>
        <v>3117.12</v>
      </c>
      <c r="AC881" s="20" t="s">
        <v>226</v>
      </c>
      <c r="AD881" s="20" t="str">
        <f>VLOOKUP($C881,'[1]CTRL AUTOS'!$E:$AH,2,0)</f>
        <v>MFP751C</v>
      </c>
      <c r="AE881" s="11" t="str">
        <f t="shared" si="97"/>
        <v>MFP751C41</v>
      </c>
    </row>
    <row r="882" spans="1:31" ht="12.75" hidden="1" customHeight="1" x14ac:dyDescent="0.3">
      <c r="A882" s="8">
        <v>41</v>
      </c>
      <c r="B882" s="20" t="s">
        <v>7</v>
      </c>
      <c r="C882" s="20" t="s">
        <v>8</v>
      </c>
      <c r="D882" s="20" t="s">
        <v>237</v>
      </c>
      <c r="E882" s="22" t="s">
        <v>364</v>
      </c>
      <c r="F882" s="22" t="s">
        <v>364</v>
      </c>
      <c r="G882" s="20" t="s">
        <v>425</v>
      </c>
      <c r="H882" s="23">
        <v>7394.36</v>
      </c>
      <c r="I882" s="23">
        <v>0</v>
      </c>
      <c r="J882" s="23">
        <v>0</v>
      </c>
      <c r="K882" s="23">
        <v>0</v>
      </c>
      <c r="L882" s="23">
        <v>-5192.96</v>
      </c>
      <c r="M882" s="23">
        <v>0</v>
      </c>
      <c r="N882" s="23">
        <v>0</v>
      </c>
      <c r="O882" s="24">
        <f t="shared" si="91"/>
        <v>2201.3999999999996</v>
      </c>
      <c r="P882" s="23">
        <v>-2600</v>
      </c>
      <c r="Q882" s="23">
        <v>0</v>
      </c>
      <c r="R882" s="23">
        <v>-500</v>
      </c>
      <c r="S882" s="23">
        <v>0</v>
      </c>
      <c r="T882" s="23">
        <v>0</v>
      </c>
      <c r="U882" s="23">
        <v>0</v>
      </c>
      <c r="V882" s="23">
        <v>0</v>
      </c>
      <c r="W882" s="23">
        <f t="shared" si="92"/>
        <v>-898.60000000000036</v>
      </c>
      <c r="X882" s="23">
        <f t="shared" si="93"/>
        <v>0</v>
      </c>
      <c r="Y882" s="23">
        <f t="shared" si="94"/>
        <v>-898.60000000000036</v>
      </c>
      <c r="Z882" s="23">
        <v>900</v>
      </c>
      <c r="AA882" s="23">
        <f t="shared" si="95"/>
        <v>1.3999999999996362</v>
      </c>
      <c r="AB882" s="23">
        <f t="shared" si="96"/>
        <v>3102.7999999999993</v>
      </c>
      <c r="AC882" s="20" t="s">
        <v>457</v>
      </c>
      <c r="AD882" s="20" t="e">
        <f>VLOOKUP($C882,'[1]CTRL AUTOS'!$E:$AH,2,0)</f>
        <v>#N/A</v>
      </c>
      <c r="AE882" s="11" t="e">
        <f t="shared" si="97"/>
        <v>#N/A</v>
      </c>
    </row>
    <row r="883" spans="1:31" ht="12.75" hidden="1" customHeight="1" x14ac:dyDescent="0.3">
      <c r="A883" s="8">
        <v>41</v>
      </c>
      <c r="B883" s="20" t="s">
        <v>9</v>
      </c>
      <c r="C883" s="20" t="s">
        <v>10</v>
      </c>
      <c r="D883" s="20" t="s">
        <v>343</v>
      </c>
      <c r="E883" s="20" t="s">
        <v>232</v>
      </c>
      <c r="F883" s="20" t="s">
        <v>232</v>
      </c>
      <c r="G883" s="20" t="s">
        <v>234</v>
      </c>
      <c r="H883" s="23">
        <v>5635</v>
      </c>
      <c r="I883" s="23">
        <v>-90.44</v>
      </c>
      <c r="J883" s="23">
        <v>0</v>
      </c>
      <c r="K883" s="23">
        <v>0</v>
      </c>
      <c r="L883" s="23">
        <v>-3399.02</v>
      </c>
      <c r="M883" s="23">
        <v>-38</v>
      </c>
      <c r="N883" s="23">
        <v>0</v>
      </c>
      <c r="O883" s="24">
        <f t="shared" si="91"/>
        <v>2107.5400000000004</v>
      </c>
      <c r="P883" s="23">
        <v>-2500</v>
      </c>
      <c r="Q883" s="23">
        <v>0</v>
      </c>
      <c r="R883" s="23">
        <v>-500</v>
      </c>
      <c r="S883" s="23">
        <v>0</v>
      </c>
      <c r="T883" s="23">
        <v>0</v>
      </c>
      <c r="U883" s="23">
        <v>0</v>
      </c>
      <c r="V883" s="23">
        <v>0</v>
      </c>
      <c r="W883" s="23">
        <f t="shared" si="92"/>
        <v>-892.45999999999958</v>
      </c>
      <c r="X883" s="23">
        <f t="shared" si="93"/>
        <v>0</v>
      </c>
      <c r="Y883" s="23">
        <f t="shared" si="94"/>
        <v>-892.45999999999958</v>
      </c>
      <c r="Z883" s="23">
        <f>500+392</f>
        <v>892</v>
      </c>
      <c r="AA883" s="23">
        <f t="shared" si="95"/>
        <v>-0.45999999999958163</v>
      </c>
      <c r="AB883" s="23">
        <f t="shared" si="96"/>
        <v>2999.0800000000008</v>
      </c>
      <c r="AC883" s="20"/>
      <c r="AD883" s="20" t="str">
        <f>VLOOKUP($C883,'[1]CTRL AUTOS'!$E:$AH,2,0)</f>
        <v>LRL009C</v>
      </c>
      <c r="AE883" s="11" t="str">
        <f t="shared" si="97"/>
        <v>LRL009C41</v>
      </c>
    </row>
    <row r="884" spans="1:31" ht="12.75" hidden="1" customHeight="1" x14ac:dyDescent="0.3">
      <c r="A884" s="8">
        <v>41</v>
      </c>
      <c r="B884" s="20" t="s">
        <v>70</v>
      </c>
      <c r="C884" s="20" t="s">
        <v>44</v>
      </c>
      <c r="D884" s="20" t="s">
        <v>237</v>
      </c>
      <c r="E884" s="22" t="s">
        <v>232</v>
      </c>
      <c r="F884" s="20" t="s">
        <v>291</v>
      </c>
      <c r="G884" s="20" t="s">
        <v>234</v>
      </c>
      <c r="H884" s="23">
        <v>702.3</v>
      </c>
      <c r="I884" s="23">
        <v>-13.16</v>
      </c>
      <c r="J884" s="23">
        <v>9.7899999999999991</v>
      </c>
      <c r="K884" s="23">
        <v>0</v>
      </c>
      <c r="L884" s="23">
        <v>-59.91</v>
      </c>
      <c r="M884" s="23">
        <v>0</v>
      </c>
      <c r="N884" s="23">
        <v>0</v>
      </c>
      <c r="O884" s="24">
        <f t="shared" si="91"/>
        <v>639.02</v>
      </c>
      <c r="P884" s="23">
        <v>-639</v>
      </c>
      <c r="Q884" s="23">
        <v>0</v>
      </c>
      <c r="R884" s="23">
        <v>0</v>
      </c>
      <c r="S884" s="23">
        <v>0</v>
      </c>
      <c r="T884" s="23">
        <v>0</v>
      </c>
      <c r="U884" s="23">
        <v>0</v>
      </c>
      <c r="V884" s="23">
        <v>0</v>
      </c>
      <c r="W884" s="23">
        <f t="shared" si="92"/>
        <v>1.999999999998181E-2</v>
      </c>
      <c r="X884" s="23">
        <f t="shared" si="93"/>
        <v>1.999999999998181E-2</v>
      </c>
      <c r="Y884" s="23">
        <f t="shared" si="94"/>
        <v>0</v>
      </c>
      <c r="Z884" s="23">
        <v>0</v>
      </c>
      <c r="AA884" s="23">
        <f t="shared" si="95"/>
        <v>0</v>
      </c>
      <c r="AB884" s="23">
        <f t="shared" si="96"/>
        <v>639</v>
      </c>
      <c r="AC884" s="20" t="s">
        <v>423</v>
      </c>
      <c r="AD884" s="20" t="str">
        <f>VLOOKUP($C884,'[1]CTRL AUTOS'!$E:$AH,2,0)</f>
        <v>MAY730C</v>
      </c>
      <c r="AE884" s="11" t="str">
        <f t="shared" si="97"/>
        <v>MAY730C41</v>
      </c>
    </row>
    <row r="885" spans="1:31" ht="12.75" hidden="1" customHeight="1" x14ac:dyDescent="0.3">
      <c r="A885" s="8">
        <v>41</v>
      </c>
      <c r="B885" s="20" t="s">
        <v>105</v>
      </c>
      <c r="C885" s="20" t="s">
        <v>204</v>
      </c>
      <c r="D885" s="20" t="s">
        <v>237</v>
      </c>
      <c r="E885" s="22" t="s">
        <v>364</v>
      </c>
      <c r="F885" s="22" t="s">
        <v>364</v>
      </c>
      <c r="G885" s="20" t="s">
        <v>425</v>
      </c>
      <c r="H885" s="23">
        <v>0</v>
      </c>
      <c r="I885" s="23">
        <v>0</v>
      </c>
      <c r="J885" s="23">
        <v>0</v>
      </c>
      <c r="K885" s="23">
        <v>0</v>
      </c>
      <c r="L885" s="23">
        <v>0</v>
      </c>
      <c r="M885" s="23">
        <v>0</v>
      </c>
      <c r="N885" s="23">
        <v>0</v>
      </c>
      <c r="O885" s="24">
        <f t="shared" si="91"/>
        <v>0</v>
      </c>
      <c r="P885" s="23">
        <v>-2500</v>
      </c>
      <c r="Q885" s="23">
        <v>0</v>
      </c>
      <c r="R885" s="23">
        <v>-500</v>
      </c>
      <c r="S885" s="23">
        <v>0</v>
      </c>
      <c r="T885" s="23">
        <v>0</v>
      </c>
      <c r="U885" s="23">
        <v>0</v>
      </c>
      <c r="V885" s="23">
        <v>0</v>
      </c>
      <c r="W885" s="23">
        <f t="shared" si="92"/>
        <v>-3000</v>
      </c>
      <c r="X885" s="23">
        <f t="shared" si="93"/>
        <v>0</v>
      </c>
      <c r="Y885" s="23">
        <f t="shared" si="94"/>
        <v>-3000</v>
      </c>
      <c r="Z885" s="23">
        <v>500</v>
      </c>
      <c r="AA885" s="23">
        <f t="shared" si="95"/>
        <v>-2500</v>
      </c>
      <c r="AB885" s="23">
        <f t="shared" si="96"/>
        <v>-2000</v>
      </c>
      <c r="AC885" s="20"/>
      <c r="AD885" s="20" t="e">
        <f>VLOOKUP($C885,'[1]CTRL AUTOS'!$E:$AH,2,0)</f>
        <v>#N/A</v>
      </c>
      <c r="AE885" s="11" t="e">
        <f t="shared" si="97"/>
        <v>#N/A</v>
      </c>
    </row>
    <row r="886" spans="1:31" ht="12.75" hidden="1" customHeight="1" x14ac:dyDescent="0.3">
      <c r="A886" s="8">
        <v>41</v>
      </c>
      <c r="B886" s="20" t="s">
        <v>440</v>
      </c>
      <c r="C886" s="20" t="s">
        <v>86</v>
      </c>
      <c r="D886" s="20" t="s">
        <v>237</v>
      </c>
      <c r="E886" s="22" t="s">
        <v>232</v>
      </c>
      <c r="F886" s="20" t="s">
        <v>291</v>
      </c>
      <c r="G886" s="20" t="s">
        <v>234</v>
      </c>
      <c r="H886" s="23">
        <v>984.01</v>
      </c>
      <c r="I886" s="23">
        <v>-27.77</v>
      </c>
      <c r="J886" s="23">
        <v>0</v>
      </c>
      <c r="K886" s="23">
        <v>0</v>
      </c>
      <c r="L886" s="23">
        <v>0</v>
      </c>
      <c r="M886" s="23">
        <v>-32</v>
      </c>
      <c r="N886" s="23">
        <v>0</v>
      </c>
      <c r="O886" s="24">
        <f t="shared" si="91"/>
        <v>924.24</v>
      </c>
      <c r="P886" s="23">
        <v>-1428.57</v>
      </c>
      <c r="Q886" s="23">
        <v>-2365.44</v>
      </c>
      <c r="R886" s="23">
        <f>2000+250</f>
        <v>2250</v>
      </c>
      <c r="S886" s="23">
        <v>0</v>
      </c>
      <c r="T886" s="23">
        <v>0</v>
      </c>
      <c r="U886" s="23">
        <v>0</v>
      </c>
      <c r="V886" s="23">
        <v>0</v>
      </c>
      <c r="W886" s="23">
        <f t="shared" si="92"/>
        <v>-619.77000000000021</v>
      </c>
      <c r="X886" s="23">
        <f t="shared" si="93"/>
        <v>0</v>
      </c>
      <c r="Y886" s="23">
        <f t="shared" si="94"/>
        <v>-619.77000000000021</v>
      </c>
      <c r="Z886" s="23">
        <v>0</v>
      </c>
      <c r="AA886" s="23">
        <f t="shared" si="95"/>
        <v>-619.77000000000021</v>
      </c>
      <c r="AB886" s="23">
        <f t="shared" si="96"/>
        <v>304.4699999999998</v>
      </c>
      <c r="AC886" s="20"/>
      <c r="AD886" s="20" t="str">
        <f>VLOOKUP($C886,'[1]CTRL AUTOS'!$E:$AH,2,0)</f>
        <v>R22BMR</v>
      </c>
      <c r="AE886" s="11" t="str">
        <f t="shared" si="97"/>
        <v>R22BMR41</v>
      </c>
    </row>
    <row r="887" spans="1:31" ht="12.75" hidden="1" customHeight="1" x14ac:dyDescent="0.3">
      <c r="A887" s="8">
        <v>41</v>
      </c>
      <c r="B887" s="20" t="s">
        <v>72</v>
      </c>
      <c r="C887" s="20" t="s">
        <v>73</v>
      </c>
      <c r="D887" s="20" t="s">
        <v>368</v>
      </c>
      <c r="E887" s="22" t="s">
        <v>241</v>
      </c>
      <c r="F887" s="20" t="s">
        <v>291</v>
      </c>
      <c r="G887" s="20" t="s">
        <v>234</v>
      </c>
      <c r="H887" s="23">
        <v>6818.7</v>
      </c>
      <c r="I887" s="23">
        <v>-141.44</v>
      </c>
      <c r="J887" s="23">
        <v>0</v>
      </c>
      <c r="K887" s="23">
        <v>-64.14</v>
      </c>
      <c r="L887" s="23">
        <v>-3925.06</v>
      </c>
      <c r="M887" s="23">
        <f>-34-47.85</f>
        <v>-81.849999999999994</v>
      </c>
      <c r="N887" s="23">
        <v>-191.46</v>
      </c>
      <c r="O887" s="24">
        <f t="shared" si="91"/>
        <v>2414.75</v>
      </c>
      <c r="P887" s="23">
        <v>-2500</v>
      </c>
      <c r="Q887" s="23">
        <v>0</v>
      </c>
      <c r="R887" s="23">
        <v>0</v>
      </c>
      <c r="S887" s="23">
        <v>0</v>
      </c>
      <c r="T887" s="23">
        <v>0</v>
      </c>
      <c r="U887" s="23">
        <v>0</v>
      </c>
      <c r="V887" s="23">
        <v>0</v>
      </c>
      <c r="W887" s="23">
        <f t="shared" si="92"/>
        <v>-85.25</v>
      </c>
      <c r="X887" s="23">
        <f t="shared" si="93"/>
        <v>0</v>
      </c>
      <c r="Y887" s="23">
        <f t="shared" si="94"/>
        <v>-85.25</v>
      </c>
      <c r="Z887" s="23">
        <v>0</v>
      </c>
      <c r="AA887" s="23">
        <f t="shared" si="95"/>
        <v>-85.25</v>
      </c>
      <c r="AB887" s="23">
        <f t="shared" si="96"/>
        <v>2329.5</v>
      </c>
      <c r="AC887" s="20" t="s">
        <v>458</v>
      </c>
      <c r="AD887" s="20" t="str">
        <f>VLOOKUP($C887,'[1]CTRL AUTOS'!$E:$AH,2,0)</f>
        <v>H99BLC</v>
      </c>
      <c r="AE887" s="11" t="str">
        <f t="shared" si="97"/>
        <v>H99BLC41</v>
      </c>
    </row>
    <row r="888" spans="1:31" ht="12.75" hidden="1" customHeight="1" x14ac:dyDescent="0.3">
      <c r="A888" s="8">
        <v>41</v>
      </c>
      <c r="B888" s="20" t="s">
        <v>292</v>
      </c>
      <c r="C888" s="20" t="s">
        <v>52</v>
      </c>
      <c r="D888" s="20" t="s">
        <v>313</v>
      </c>
      <c r="E888" s="20" t="s">
        <v>232</v>
      </c>
      <c r="F888" s="20" t="s">
        <v>232</v>
      </c>
      <c r="G888" s="20" t="s">
        <v>234</v>
      </c>
      <c r="H888" s="23">
        <v>7330.6</v>
      </c>
      <c r="I888" s="23">
        <v>-125.37</v>
      </c>
      <c r="J888" s="23">
        <v>0</v>
      </c>
      <c r="K888" s="23">
        <v>0</v>
      </c>
      <c r="L888" s="23">
        <v>-2332.4899999999998</v>
      </c>
      <c r="M888" s="23">
        <v>-34</v>
      </c>
      <c r="N888" s="23">
        <v>0</v>
      </c>
      <c r="O888" s="24">
        <f t="shared" si="91"/>
        <v>4838.7400000000007</v>
      </c>
      <c r="P888" s="23">
        <v>-2500</v>
      </c>
      <c r="Q888" s="23">
        <v>0</v>
      </c>
      <c r="R888" s="23">
        <v>0</v>
      </c>
      <c r="S888" s="23">
        <v>0</v>
      </c>
      <c r="T888" s="23">
        <v>0</v>
      </c>
      <c r="U888" s="23">
        <v>0</v>
      </c>
      <c r="V888" s="23">
        <v>0</v>
      </c>
      <c r="W888" s="23">
        <f t="shared" si="92"/>
        <v>2338.7400000000007</v>
      </c>
      <c r="X888" s="23">
        <f t="shared" si="93"/>
        <v>2338.7400000000007</v>
      </c>
      <c r="Y888" s="23">
        <f t="shared" si="94"/>
        <v>0</v>
      </c>
      <c r="Z888" s="23">
        <v>0</v>
      </c>
      <c r="AA888" s="23">
        <f t="shared" si="95"/>
        <v>0</v>
      </c>
      <c r="AB888" s="23">
        <f t="shared" si="96"/>
        <v>2500</v>
      </c>
      <c r="AC888" s="20" t="s">
        <v>226</v>
      </c>
      <c r="AD888" s="20" t="str">
        <f>VLOOKUP($C888,'[1]CTRL AUTOS'!$E:$AH,2,0)</f>
        <v>A35BHD</v>
      </c>
      <c r="AE888" s="11" t="str">
        <f t="shared" si="97"/>
        <v>A35BHD41</v>
      </c>
    </row>
    <row r="889" spans="1:31" ht="12.75" hidden="1" customHeight="1" x14ac:dyDescent="0.3">
      <c r="A889" s="8">
        <v>41</v>
      </c>
      <c r="B889" s="20" t="s">
        <v>424</v>
      </c>
      <c r="C889" s="20" t="s">
        <v>418</v>
      </c>
      <c r="D889" s="20" t="s">
        <v>237</v>
      </c>
      <c r="E889" s="22" t="s">
        <v>364</v>
      </c>
      <c r="F889" s="22" t="s">
        <v>364</v>
      </c>
      <c r="G889" s="20" t="s">
        <v>234</v>
      </c>
      <c r="H889" s="23">
        <v>0</v>
      </c>
      <c r="I889" s="23">
        <v>0</v>
      </c>
      <c r="J889" s="23">
        <v>0</v>
      </c>
      <c r="K889" s="23">
        <v>0</v>
      </c>
      <c r="L889" s="23">
        <v>0</v>
      </c>
      <c r="M889" s="23">
        <v>0</v>
      </c>
      <c r="N889" s="23">
        <v>0</v>
      </c>
      <c r="O889" s="24">
        <f t="shared" si="91"/>
        <v>0</v>
      </c>
      <c r="P889" s="23">
        <v>0</v>
      </c>
      <c r="Q889" s="23">
        <v>200</v>
      </c>
      <c r="R889" s="23">
        <v>0</v>
      </c>
      <c r="S889" s="23">
        <v>0</v>
      </c>
      <c r="T889" s="23">
        <v>0</v>
      </c>
      <c r="U889" s="23">
        <v>0</v>
      </c>
      <c r="V889" s="23">
        <v>0</v>
      </c>
      <c r="W889" s="23">
        <f t="shared" si="92"/>
        <v>200</v>
      </c>
      <c r="X889" s="23">
        <f t="shared" si="93"/>
        <v>200</v>
      </c>
      <c r="Y889" s="23">
        <f t="shared" si="94"/>
        <v>0</v>
      </c>
      <c r="Z889" s="23">
        <v>0</v>
      </c>
      <c r="AA889" s="23">
        <f t="shared" si="95"/>
        <v>0</v>
      </c>
      <c r="AB889" s="23">
        <f t="shared" si="96"/>
        <v>-200</v>
      </c>
      <c r="AC889" s="20" t="s">
        <v>459</v>
      </c>
      <c r="AD889" s="20" t="e">
        <f>VLOOKUP($C889,'[1]CTRL AUTOS'!$E:$AH,2,0)</f>
        <v>#N/A</v>
      </c>
      <c r="AE889" s="11" t="e">
        <f t="shared" si="97"/>
        <v>#N/A</v>
      </c>
    </row>
    <row r="890" spans="1:31" ht="12.75" hidden="1" customHeight="1" x14ac:dyDescent="0.3">
      <c r="A890" s="8">
        <v>41</v>
      </c>
      <c r="B890" s="20" t="s">
        <v>454</v>
      </c>
      <c r="C890" s="20" t="s">
        <v>4</v>
      </c>
      <c r="D890" s="20" t="s">
        <v>245</v>
      </c>
      <c r="E890" s="20" t="s">
        <v>232</v>
      </c>
      <c r="F890" s="20" t="s">
        <v>232</v>
      </c>
      <c r="G890" s="20" t="s">
        <v>234</v>
      </c>
      <c r="H890" s="23">
        <v>891.26</v>
      </c>
      <c r="I890" s="23">
        <v>-14.36</v>
      </c>
      <c r="J890" s="23">
        <v>0</v>
      </c>
      <c r="K890" s="23">
        <v>0</v>
      </c>
      <c r="L890" s="23">
        <v>-206.42</v>
      </c>
      <c r="M890" s="23">
        <v>-42</v>
      </c>
      <c r="N890" s="23">
        <v>0</v>
      </c>
      <c r="O890" s="24">
        <f t="shared" si="91"/>
        <v>628.48</v>
      </c>
      <c r="P890" s="23">
        <v>-2500</v>
      </c>
      <c r="Q890" s="23">
        <v>0</v>
      </c>
      <c r="R890" s="23">
        <v>-500</v>
      </c>
      <c r="S890" s="23">
        <v>0</v>
      </c>
      <c r="T890" s="23">
        <v>0</v>
      </c>
      <c r="U890" s="23">
        <v>0</v>
      </c>
      <c r="V890" s="23">
        <v>0</v>
      </c>
      <c r="W890" s="23">
        <f t="shared" si="92"/>
        <v>-2371.52</v>
      </c>
      <c r="X890" s="23">
        <f t="shared" si="93"/>
        <v>0</v>
      </c>
      <c r="Y890" s="23">
        <f t="shared" si="94"/>
        <v>-2371.52</v>
      </c>
      <c r="Z890" s="23">
        <v>2300</v>
      </c>
      <c r="AA890" s="23">
        <f t="shared" si="95"/>
        <v>-71.519999999999982</v>
      </c>
      <c r="AB890" s="23">
        <f t="shared" si="96"/>
        <v>2856.96</v>
      </c>
      <c r="AC890" s="20"/>
      <c r="AD890" s="20" t="str">
        <f>VLOOKUP($C890,'[1]CTRL AUTOS'!$E:$AH,2,0)</f>
        <v>N15BKD</v>
      </c>
      <c r="AE890" s="11" t="str">
        <f t="shared" si="97"/>
        <v>N15BKD41</v>
      </c>
    </row>
    <row r="891" spans="1:31" ht="12.75" hidden="1" customHeight="1" x14ac:dyDescent="0.3">
      <c r="A891" s="8">
        <v>41</v>
      </c>
      <c r="B891" s="20" t="s">
        <v>57</v>
      </c>
      <c r="C891" s="20" t="s">
        <v>16</v>
      </c>
      <c r="D891" s="20" t="s">
        <v>314</v>
      </c>
      <c r="E891" s="20" t="s">
        <v>232</v>
      </c>
      <c r="F891" s="20" t="s">
        <v>232</v>
      </c>
      <c r="G891" s="20" t="s">
        <v>234</v>
      </c>
      <c r="H891" s="23">
        <v>6613.04</v>
      </c>
      <c r="I891" s="23">
        <v>-102.15</v>
      </c>
      <c r="J891" s="23">
        <v>0</v>
      </c>
      <c r="K891" s="23">
        <v>0</v>
      </c>
      <c r="L891" s="23">
        <v>-4157.2</v>
      </c>
      <c r="M891" s="23">
        <v>-38</v>
      </c>
      <c r="N891" s="23">
        <v>0</v>
      </c>
      <c r="O891" s="24">
        <f t="shared" si="91"/>
        <v>2315.6900000000005</v>
      </c>
      <c r="P891" s="23">
        <v>-2500</v>
      </c>
      <c r="Q891" s="23">
        <v>0</v>
      </c>
      <c r="R891" s="23">
        <v>0</v>
      </c>
      <c r="S891" s="23">
        <v>0</v>
      </c>
      <c r="T891" s="23">
        <v>0</v>
      </c>
      <c r="U891" s="23">
        <v>0</v>
      </c>
      <c r="V891" s="23">
        <v>0</v>
      </c>
      <c r="W891" s="23">
        <f t="shared" si="92"/>
        <v>-184.30999999999949</v>
      </c>
      <c r="X891" s="23">
        <f t="shared" si="93"/>
        <v>0</v>
      </c>
      <c r="Y891" s="23">
        <f t="shared" si="94"/>
        <v>-184.30999999999949</v>
      </c>
      <c r="Z891" s="23">
        <v>184</v>
      </c>
      <c r="AA891" s="23">
        <f t="shared" si="95"/>
        <v>-0.30999999999949068</v>
      </c>
      <c r="AB891" s="23">
        <f t="shared" si="96"/>
        <v>2499.380000000001</v>
      </c>
      <c r="AC891" s="20"/>
      <c r="AD891" s="20" t="str">
        <f>VLOOKUP($C891,'[1]CTRL AUTOS'!$E:$AH,2,0)</f>
        <v>D28BET</v>
      </c>
      <c r="AE891" s="11" t="str">
        <f t="shared" si="97"/>
        <v>D28BET41</v>
      </c>
    </row>
    <row r="892" spans="1:31" ht="12.75" hidden="1" customHeight="1" x14ac:dyDescent="0.3">
      <c r="A892" s="8">
        <v>41</v>
      </c>
      <c r="B892" s="20" t="s">
        <v>35</v>
      </c>
      <c r="C892" s="20" t="s">
        <v>36</v>
      </c>
      <c r="D892" s="20" t="s">
        <v>273</v>
      </c>
      <c r="E892" s="20" t="s">
        <v>232</v>
      </c>
      <c r="F892" s="20" t="s">
        <v>291</v>
      </c>
      <c r="G892" s="20" t="s">
        <v>234</v>
      </c>
      <c r="H892" s="23">
        <v>8516.49</v>
      </c>
      <c r="I892" s="23">
        <v>-240.6</v>
      </c>
      <c r="J892" s="23">
        <v>0</v>
      </c>
      <c r="K892" s="23">
        <v>0</v>
      </c>
      <c r="L892" s="23">
        <v>-5699.04</v>
      </c>
      <c r="M892" s="23">
        <f>-38-50</f>
        <v>-88</v>
      </c>
      <c r="N892" s="23">
        <v>0</v>
      </c>
      <c r="O892" s="24">
        <f t="shared" si="91"/>
        <v>2488.8499999999995</v>
      </c>
      <c r="P892" s="23">
        <v>-2500</v>
      </c>
      <c r="Q892" s="23">
        <v>19</v>
      </c>
      <c r="R892" s="23">
        <v>0</v>
      </c>
      <c r="S892" s="23">
        <v>0</v>
      </c>
      <c r="T892" s="23">
        <v>0</v>
      </c>
      <c r="U892" s="23">
        <v>0</v>
      </c>
      <c r="V892" s="23">
        <v>0</v>
      </c>
      <c r="W892" s="23">
        <f t="shared" si="92"/>
        <v>7.8499999999994543</v>
      </c>
      <c r="X892" s="23">
        <f t="shared" si="93"/>
        <v>7.8499999999994543</v>
      </c>
      <c r="Y892" s="23">
        <f t="shared" si="94"/>
        <v>0</v>
      </c>
      <c r="Z892" s="23">
        <v>0</v>
      </c>
      <c r="AA892" s="23">
        <f t="shared" si="95"/>
        <v>0</v>
      </c>
      <c r="AB892" s="23">
        <f t="shared" si="96"/>
        <v>2481</v>
      </c>
      <c r="AC892" s="20"/>
      <c r="AD892" s="20" t="str">
        <f>VLOOKUP($C892,'[1]CTRL AUTOS'!$E:$AH,2,0)</f>
        <v>MLC126A</v>
      </c>
      <c r="AE892" s="11" t="str">
        <f t="shared" si="97"/>
        <v>MLC126A41</v>
      </c>
    </row>
    <row r="893" spans="1:31" ht="12.75" hidden="1" customHeight="1" x14ac:dyDescent="0.3">
      <c r="A893" s="8">
        <v>41</v>
      </c>
      <c r="B893" s="20" t="s">
        <v>37</v>
      </c>
      <c r="C893" s="20" t="s">
        <v>30</v>
      </c>
      <c r="D893" s="20" t="s">
        <v>237</v>
      </c>
      <c r="E893" s="22" t="s">
        <v>232</v>
      </c>
      <c r="F893" s="20" t="s">
        <v>291</v>
      </c>
      <c r="G893" s="20" t="s">
        <v>234</v>
      </c>
      <c r="H893" s="23">
        <v>289.64999999999998</v>
      </c>
      <c r="I893" s="23">
        <v>-4.3099999999999996</v>
      </c>
      <c r="J893" s="23">
        <v>0</v>
      </c>
      <c r="K893" s="23">
        <v>0</v>
      </c>
      <c r="L893" s="23">
        <v>-89.88</v>
      </c>
      <c r="M893" s="23">
        <v>-42</v>
      </c>
      <c r="N893" s="23">
        <v>0</v>
      </c>
      <c r="O893" s="24">
        <f t="shared" si="91"/>
        <v>153.45999999999998</v>
      </c>
      <c r="P893" s="23">
        <v>-2500</v>
      </c>
      <c r="Q893" s="23">
        <v>-20.16</v>
      </c>
      <c r="R893" s="23">
        <v>0</v>
      </c>
      <c r="S893" s="23">
        <v>0</v>
      </c>
      <c r="T893" s="23">
        <v>0</v>
      </c>
      <c r="U893" s="23">
        <v>0</v>
      </c>
      <c r="V893" s="23">
        <v>0</v>
      </c>
      <c r="W893" s="23">
        <f t="shared" si="92"/>
        <v>-2366.6999999999998</v>
      </c>
      <c r="X893" s="23">
        <f t="shared" si="93"/>
        <v>0</v>
      </c>
      <c r="Y893" s="23">
        <f t="shared" si="94"/>
        <v>-2366.6999999999998</v>
      </c>
      <c r="Z893" s="23">
        <v>0</v>
      </c>
      <c r="AA893" s="23">
        <f t="shared" si="95"/>
        <v>-2366.6999999999998</v>
      </c>
      <c r="AB893" s="23">
        <f t="shared" si="96"/>
        <v>-2213.2399999999998</v>
      </c>
      <c r="AC893" s="20"/>
      <c r="AD893" s="20" t="str">
        <f>VLOOKUP($C893,'[1]CTRL AUTOS'!$E:$AH,2,0)</f>
        <v>D51BHV</v>
      </c>
      <c r="AE893" s="11" t="str">
        <f t="shared" si="97"/>
        <v>D51BHV41</v>
      </c>
    </row>
    <row r="894" spans="1:31" ht="12.75" hidden="1" customHeight="1" x14ac:dyDescent="0.3">
      <c r="A894" s="8">
        <v>41</v>
      </c>
      <c r="B894" s="20" t="s">
        <v>61</v>
      </c>
      <c r="C894" s="20" t="s">
        <v>34</v>
      </c>
      <c r="D894" s="20" t="s">
        <v>285</v>
      </c>
      <c r="E894" s="20" t="s">
        <v>232</v>
      </c>
      <c r="F894" s="20" t="s">
        <v>232</v>
      </c>
      <c r="G894" s="20" t="s">
        <v>234</v>
      </c>
      <c r="H894" s="23">
        <v>3376.82</v>
      </c>
      <c r="I894" s="23">
        <f>-47.35-5.73</f>
        <v>-53.08</v>
      </c>
      <c r="J894" s="23">
        <v>512.13199999999995</v>
      </c>
      <c r="K894" s="23">
        <v>0</v>
      </c>
      <c r="L894" s="23">
        <v>-520.46</v>
      </c>
      <c r="M894" s="23">
        <v>-38</v>
      </c>
      <c r="N894" s="23">
        <v>0</v>
      </c>
      <c r="O894" s="24">
        <f t="shared" si="91"/>
        <v>3277.4120000000003</v>
      </c>
      <c r="P894" s="23">
        <v>-2500</v>
      </c>
      <c r="Q894" s="23">
        <v>0</v>
      </c>
      <c r="R894" s="23">
        <v>-500</v>
      </c>
      <c r="S894" s="23">
        <v>-566</v>
      </c>
      <c r="T894" s="23">
        <v>0</v>
      </c>
      <c r="U894" s="23">
        <v>0</v>
      </c>
      <c r="V894" s="23">
        <v>0</v>
      </c>
      <c r="W894" s="23">
        <f t="shared" si="92"/>
        <v>-288.58799999999974</v>
      </c>
      <c r="X894" s="23">
        <f t="shared" si="93"/>
        <v>0</v>
      </c>
      <c r="Y894" s="23">
        <f t="shared" si="94"/>
        <v>-288.58799999999974</v>
      </c>
      <c r="Z894" s="23">
        <v>289</v>
      </c>
      <c r="AA894" s="23">
        <f t="shared" si="95"/>
        <v>0.41200000000026193</v>
      </c>
      <c r="AB894" s="23">
        <f t="shared" si="96"/>
        <v>3566.8240000000005</v>
      </c>
      <c r="AC894" s="20"/>
      <c r="AD894" s="20" t="str">
        <f>VLOOKUP($C894,'[1]CTRL AUTOS'!$E:$AH,2,0)</f>
        <v>X59AWG</v>
      </c>
      <c r="AE894" s="11" t="str">
        <f t="shared" si="97"/>
        <v>X59AWG41</v>
      </c>
    </row>
    <row r="895" spans="1:31" ht="12.75" hidden="1" customHeight="1" x14ac:dyDescent="0.3">
      <c r="A895" s="8">
        <v>41</v>
      </c>
      <c r="B895" s="20" t="s">
        <v>361</v>
      </c>
      <c r="C895" s="20" t="s">
        <v>56</v>
      </c>
      <c r="D895" s="20" t="s">
        <v>336</v>
      </c>
      <c r="E895" s="22" t="s">
        <v>241</v>
      </c>
      <c r="F895" s="20" t="s">
        <v>291</v>
      </c>
      <c r="G895" s="20" t="s">
        <v>234</v>
      </c>
      <c r="H895" s="23">
        <v>0</v>
      </c>
      <c r="I895" s="23">
        <v>0</v>
      </c>
      <c r="J895" s="23">
        <v>14.69</v>
      </c>
      <c r="K895" s="23">
        <v>0</v>
      </c>
      <c r="L895" s="23">
        <v>0</v>
      </c>
      <c r="M895" s="23">
        <v>0</v>
      </c>
      <c r="N895" s="23">
        <v>0</v>
      </c>
      <c r="O895" s="24">
        <f t="shared" si="91"/>
        <v>14.69</v>
      </c>
      <c r="P895" s="23">
        <v>-15</v>
      </c>
      <c r="Q895" s="23">
        <v>0</v>
      </c>
      <c r="R895" s="23">
        <v>0</v>
      </c>
      <c r="S895" s="23">
        <v>0</v>
      </c>
      <c r="T895" s="23">
        <v>0</v>
      </c>
      <c r="U895" s="23">
        <v>0</v>
      </c>
      <c r="V895" s="23">
        <v>0</v>
      </c>
      <c r="W895" s="23">
        <f t="shared" si="92"/>
        <v>-0.3100000000000005</v>
      </c>
      <c r="X895" s="23">
        <f t="shared" si="93"/>
        <v>0</v>
      </c>
      <c r="Y895" s="23">
        <f t="shared" si="94"/>
        <v>-0.3100000000000005</v>
      </c>
      <c r="Z895" s="23">
        <v>0</v>
      </c>
      <c r="AA895" s="23">
        <f t="shared" si="95"/>
        <v>-0.3100000000000005</v>
      </c>
      <c r="AB895" s="23">
        <f t="shared" si="96"/>
        <v>14.379999999999999</v>
      </c>
      <c r="AC895" s="20"/>
      <c r="AD895" s="20" t="str">
        <f>VLOOKUP($C895,'[1]CTRL AUTOS'!$E:$AH,2,0)</f>
        <v>MYE912A</v>
      </c>
      <c r="AE895" s="11" t="str">
        <f t="shared" si="97"/>
        <v>MYE912A41</v>
      </c>
    </row>
    <row r="896" spans="1:31" ht="12.75" hidden="1" customHeight="1" x14ac:dyDescent="0.3">
      <c r="A896" s="8">
        <v>41</v>
      </c>
      <c r="B896" s="20" t="s">
        <v>417</v>
      </c>
      <c r="C896" s="20" t="s">
        <v>428</v>
      </c>
      <c r="D896" s="20" t="s">
        <v>237</v>
      </c>
      <c r="E896" s="22" t="s">
        <v>364</v>
      </c>
      <c r="F896" s="22" t="s">
        <v>364</v>
      </c>
      <c r="G896" s="20" t="s">
        <v>234</v>
      </c>
      <c r="H896" s="23">
        <v>3788.94</v>
      </c>
      <c r="I896" s="23">
        <v>-56.78</v>
      </c>
      <c r="J896" s="23">
        <v>0</v>
      </c>
      <c r="K896" s="23">
        <v>0</v>
      </c>
      <c r="L896" s="23">
        <v>-1983.07</v>
      </c>
      <c r="M896" s="23">
        <v>0</v>
      </c>
      <c r="N896" s="23">
        <v>0</v>
      </c>
      <c r="O896" s="24">
        <f t="shared" si="91"/>
        <v>1749.09</v>
      </c>
      <c r="P896" s="23">
        <v>-2500</v>
      </c>
      <c r="Q896" s="23">
        <v>0</v>
      </c>
      <c r="R896" s="23">
        <v>-500</v>
      </c>
      <c r="S896" s="23">
        <v>0</v>
      </c>
      <c r="T896" s="23">
        <v>0</v>
      </c>
      <c r="U896" s="23">
        <v>0</v>
      </c>
      <c r="V896" s="23">
        <v>0</v>
      </c>
      <c r="W896" s="23">
        <f t="shared" si="92"/>
        <v>-1250.9100000000001</v>
      </c>
      <c r="X896" s="23">
        <f t="shared" si="93"/>
        <v>0</v>
      </c>
      <c r="Y896" s="23">
        <f t="shared" si="94"/>
        <v>-1250.9100000000001</v>
      </c>
      <c r="Z896" s="23">
        <f>1000+251</f>
        <v>1251</v>
      </c>
      <c r="AA896" s="23">
        <f t="shared" si="95"/>
        <v>8.9999999999918145E-2</v>
      </c>
      <c r="AB896" s="23">
        <f t="shared" si="96"/>
        <v>3000.1800000000003</v>
      </c>
      <c r="AC896" s="20"/>
      <c r="AD896" s="20" t="e">
        <f>VLOOKUP($C896,'[1]CTRL AUTOS'!$E:$AH,2,0)</f>
        <v>#N/A</v>
      </c>
      <c r="AE896" s="11" t="e">
        <f t="shared" si="97"/>
        <v>#N/A</v>
      </c>
    </row>
    <row r="897" spans="1:31" ht="12.75" hidden="1" customHeight="1" x14ac:dyDescent="0.3">
      <c r="A897" s="8">
        <v>41</v>
      </c>
      <c r="B897" s="20" t="s">
        <v>45</v>
      </c>
      <c r="C897" s="20" t="s">
        <v>46</v>
      </c>
      <c r="D897" s="20" t="s">
        <v>257</v>
      </c>
      <c r="E897" s="20" t="s">
        <v>232</v>
      </c>
      <c r="F897" s="20" t="s">
        <v>232</v>
      </c>
      <c r="G897" s="20" t="s">
        <v>234</v>
      </c>
      <c r="H897" s="23">
        <v>3999.76</v>
      </c>
      <c r="I897" s="23">
        <v>-68.5</v>
      </c>
      <c r="J897" s="23">
        <v>0</v>
      </c>
      <c r="K897" s="23">
        <v>0</v>
      </c>
      <c r="L897" s="23">
        <v>-1524.66</v>
      </c>
      <c r="M897" s="23">
        <f>-34-24.25</f>
        <v>-58.25</v>
      </c>
      <c r="N897" s="23">
        <v>-97.05</v>
      </c>
      <c r="O897" s="24">
        <f t="shared" si="91"/>
        <v>2251.3000000000002</v>
      </c>
      <c r="P897" s="23">
        <v>-2500</v>
      </c>
      <c r="Q897" s="23">
        <v>0</v>
      </c>
      <c r="R897" s="23">
        <v>0</v>
      </c>
      <c r="S897" s="23">
        <v>0</v>
      </c>
      <c r="T897" s="23">
        <v>0</v>
      </c>
      <c r="U897" s="23">
        <v>-500</v>
      </c>
      <c r="V897" s="23">
        <v>0</v>
      </c>
      <c r="W897" s="23">
        <f t="shared" si="92"/>
        <v>-748.69999999999982</v>
      </c>
      <c r="X897" s="23">
        <f t="shared" si="93"/>
        <v>0</v>
      </c>
      <c r="Y897" s="23">
        <f t="shared" si="94"/>
        <v>-748.69999999999982</v>
      </c>
      <c r="Z897" s="23">
        <v>749</v>
      </c>
      <c r="AA897" s="23">
        <f t="shared" si="95"/>
        <v>0.3000000000001819</v>
      </c>
      <c r="AB897" s="23">
        <f t="shared" si="96"/>
        <v>3000.6000000000004</v>
      </c>
      <c r="AC897" s="20"/>
      <c r="AD897" s="20" t="str">
        <f>VLOOKUP($C897,'[1]CTRL AUTOS'!$E:$AH,2,0)</f>
        <v>R66BER</v>
      </c>
      <c r="AE897" s="11" t="str">
        <f t="shared" si="97"/>
        <v>R66BER41</v>
      </c>
    </row>
    <row r="898" spans="1:31" ht="12.75" hidden="1" customHeight="1" x14ac:dyDescent="0.3">
      <c r="A898" s="8">
        <v>41</v>
      </c>
      <c r="B898" s="20" t="s">
        <v>5</v>
      </c>
      <c r="C898" s="20" t="s">
        <v>28</v>
      </c>
      <c r="D898" s="20" t="s">
        <v>274</v>
      </c>
      <c r="E898" s="20" t="s">
        <v>232</v>
      </c>
      <c r="F898" s="20" t="s">
        <v>232</v>
      </c>
      <c r="G898" s="20" t="s">
        <v>234</v>
      </c>
      <c r="H898" s="23">
        <v>2102.44</v>
      </c>
      <c r="I898" s="23">
        <v>-32.94</v>
      </c>
      <c r="J898" s="23">
        <v>0</v>
      </c>
      <c r="K898" s="23">
        <v>0</v>
      </c>
      <c r="L898" s="23">
        <v>-530.79999999999995</v>
      </c>
      <c r="M898" s="23">
        <f>-38-21.75</f>
        <v>-59.75</v>
      </c>
      <c r="N898" s="23">
        <v>-87</v>
      </c>
      <c r="O898" s="24">
        <f t="shared" si="91"/>
        <v>1391.95</v>
      </c>
      <c r="P898" s="23">
        <v>-2500</v>
      </c>
      <c r="Q898" s="23">
        <v>-280</v>
      </c>
      <c r="R898" s="23">
        <v>0</v>
      </c>
      <c r="S898" s="23">
        <v>0</v>
      </c>
      <c r="T898" s="23">
        <v>0</v>
      </c>
      <c r="U898" s="23">
        <v>0</v>
      </c>
      <c r="V898" s="23">
        <v>0</v>
      </c>
      <c r="W898" s="23">
        <f t="shared" si="92"/>
        <v>-1388.05</v>
      </c>
      <c r="X898" s="23">
        <f t="shared" si="93"/>
        <v>0</v>
      </c>
      <c r="Y898" s="23">
        <f t="shared" si="94"/>
        <v>-1388.05</v>
      </c>
      <c r="Z898" s="23">
        <v>500</v>
      </c>
      <c r="AA898" s="23">
        <f t="shared" si="95"/>
        <v>-888.05</v>
      </c>
      <c r="AB898" s="23">
        <f t="shared" si="96"/>
        <v>1003.9000000000001</v>
      </c>
      <c r="AC898" s="20"/>
      <c r="AD898" s="20" t="str">
        <f>VLOOKUP($C898,'[1]CTRL AUTOS'!$E:$AH,2,0)</f>
        <v>NCT814A</v>
      </c>
      <c r="AE898" s="11" t="str">
        <f t="shared" si="97"/>
        <v>NCT814A41</v>
      </c>
    </row>
    <row r="899" spans="1:31" ht="12.75" hidden="1" customHeight="1" x14ac:dyDescent="0.3">
      <c r="A899" s="8">
        <v>41</v>
      </c>
      <c r="B899" s="20" t="s">
        <v>49</v>
      </c>
      <c r="C899" s="20" t="s">
        <v>104</v>
      </c>
      <c r="D899" s="20" t="s">
        <v>402</v>
      </c>
      <c r="E899" s="20" t="s">
        <v>364</v>
      </c>
      <c r="F899" s="22" t="s">
        <v>364</v>
      </c>
      <c r="G899" s="20" t="s">
        <v>234</v>
      </c>
      <c r="H899" s="23">
        <v>4587.8100000000004</v>
      </c>
      <c r="I899" s="23">
        <v>-102.15</v>
      </c>
      <c r="J899" s="23">
        <v>0</v>
      </c>
      <c r="K899" s="23">
        <v>0</v>
      </c>
      <c r="L899" s="23">
        <v>-197.96</v>
      </c>
      <c r="M899" s="23">
        <v>0</v>
      </c>
      <c r="N899" s="23">
        <f>SUM(L899+L946+L1101)</f>
        <v>-687.23</v>
      </c>
      <c r="O899" s="24">
        <f t="shared" ref="O899:O962" si="98">SUM(H899:N899)</f>
        <v>3600.4700000000007</v>
      </c>
      <c r="P899" s="23">
        <v>-1785.71</v>
      </c>
      <c r="Q899" s="23">
        <v>0</v>
      </c>
      <c r="R899" s="23">
        <v>-500</v>
      </c>
      <c r="S899" s="23">
        <v>0</v>
      </c>
      <c r="T899" s="23">
        <v>0</v>
      </c>
      <c r="U899" s="23">
        <v>0</v>
      </c>
      <c r="V899" s="23">
        <v>0</v>
      </c>
      <c r="W899" s="23">
        <f t="shared" ref="W899:W962" si="99">+O899+SUM(P899:V899)</f>
        <v>1314.7600000000007</v>
      </c>
      <c r="X899" s="23">
        <f t="shared" ref="X899:X962" si="100">IF(W899&gt;=0,W899,0)</f>
        <v>1314.7600000000007</v>
      </c>
      <c r="Y899" s="23">
        <f t="shared" ref="Y899:Y962" si="101">IF(W899&lt;=0,W899,0)</f>
        <v>0</v>
      </c>
      <c r="Z899" s="23">
        <v>0</v>
      </c>
      <c r="AA899" s="23">
        <f t="shared" ref="AA899:AA962" si="102">+Y899+Z899</f>
        <v>0</v>
      </c>
      <c r="AB899" s="23">
        <f t="shared" ref="AB899:AB962" si="103">+O899-X899+Z899+AA899</f>
        <v>2285.71</v>
      </c>
      <c r="AC899" s="20" t="s">
        <v>401</v>
      </c>
      <c r="AD899" s="20" t="e">
        <f>VLOOKUP($C899,'[1]CTRL AUTOS'!$E:$AH,2,0)</f>
        <v>#N/A</v>
      </c>
      <c r="AE899" s="11" t="e">
        <f t="shared" si="97"/>
        <v>#N/A</v>
      </c>
    </row>
    <row r="900" spans="1:31" ht="12.75" hidden="1" customHeight="1" x14ac:dyDescent="0.3">
      <c r="A900" s="8">
        <v>41</v>
      </c>
      <c r="B900" s="20" t="s">
        <v>362</v>
      </c>
      <c r="C900" s="20" t="s">
        <v>50</v>
      </c>
      <c r="D900" s="20" t="s">
        <v>267</v>
      </c>
      <c r="E900" s="20" t="s">
        <v>232</v>
      </c>
      <c r="F900" s="20" t="s">
        <v>232</v>
      </c>
      <c r="G900" s="20" t="s">
        <v>234</v>
      </c>
      <c r="H900" s="23">
        <v>0</v>
      </c>
      <c r="I900" s="23">
        <v>0</v>
      </c>
      <c r="J900" s="23">
        <v>0</v>
      </c>
      <c r="K900" s="23">
        <v>0</v>
      </c>
      <c r="L900" s="23">
        <v>0</v>
      </c>
      <c r="M900" s="23">
        <v>0</v>
      </c>
      <c r="N900" s="23">
        <v>0</v>
      </c>
      <c r="O900" s="24">
        <f t="shared" si="98"/>
        <v>0</v>
      </c>
      <c r="P900" s="23">
        <v>-2500</v>
      </c>
      <c r="Q900" s="23">
        <v>-413.28</v>
      </c>
      <c r="R900" s="23">
        <v>0</v>
      </c>
      <c r="S900" s="23">
        <v>0</v>
      </c>
      <c r="T900" s="23">
        <v>0</v>
      </c>
      <c r="U900" s="23">
        <v>0</v>
      </c>
      <c r="V900" s="23">
        <v>0</v>
      </c>
      <c r="W900" s="23">
        <f t="shared" si="99"/>
        <v>-2913.2799999999997</v>
      </c>
      <c r="X900" s="23">
        <f t="shared" si="100"/>
        <v>0</v>
      </c>
      <c r="Y900" s="23">
        <f t="shared" si="101"/>
        <v>-2913.2799999999997</v>
      </c>
      <c r="Z900" s="23">
        <v>900</v>
      </c>
      <c r="AA900" s="23">
        <f t="shared" si="102"/>
        <v>-2013.2799999999997</v>
      </c>
      <c r="AB900" s="23">
        <f t="shared" si="103"/>
        <v>-1113.2799999999997</v>
      </c>
      <c r="AC900" s="20"/>
      <c r="AD900" s="20" t="str">
        <f>VLOOKUP($C900,'[1]CTRL AUTOS'!$E:$AH,2,0)</f>
        <v>NBS225A</v>
      </c>
      <c r="AE900" s="11" t="str">
        <f t="shared" ref="AE900:AE963" si="104">AD900&amp;A900</f>
        <v>NBS225A41</v>
      </c>
    </row>
    <row r="901" spans="1:31" ht="12.75" hidden="1" customHeight="1" x14ac:dyDescent="0.3">
      <c r="A901" s="8">
        <v>41</v>
      </c>
      <c r="B901" s="20" t="s">
        <v>414</v>
      </c>
      <c r="C901" s="20" t="s">
        <v>59</v>
      </c>
      <c r="D901" s="20" t="s">
        <v>237</v>
      </c>
      <c r="E901" s="22" t="s">
        <v>232</v>
      </c>
      <c r="F901" s="20" t="s">
        <v>291</v>
      </c>
      <c r="G901" s="20" t="s">
        <v>234</v>
      </c>
      <c r="H901" s="23">
        <v>8722.0300000000007</v>
      </c>
      <c r="I901" s="23">
        <v>-154.88999999999999</v>
      </c>
      <c r="J901" s="23">
        <v>0</v>
      </c>
      <c r="K901" s="23">
        <v>0</v>
      </c>
      <c r="L901" s="23">
        <v>0</v>
      </c>
      <c r="M901" s="23">
        <v>-32</v>
      </c>
      <c r="N901" s="23">
        <v>0</v>
      </c>
      <c r="O901" s="24">
        <f t="shared" si="98"/>
        <v>8535.1400000000012</v>
      </c>
      <c r="P901" s="23">
        <v>-2500</v>
      </c>
      <c r="Q901" s="23">
        <v>0</v>
      </c>
      <c r="R901" s="23">
        <v>0</v>
      </c>
      <c r="S901" s="23">
        <v>0</v>
      </c>
      <c r="T901" s="23">
        <v>0</v>
      </c>
      <c r="U901" s="23">
        <v>0</v>
      </c>
      <c r="V901" s="23">
        <v>0</v>
      </c>
      <c r="W901" s="23">
        <f t="shared" si="99"/>
        <v>6035.1400000000012</v>
      </c>
      <c r="X901" s="23">
        <f t="shared" si="100"/>
        <v>6035.1400000000012</v>
      </c>
      <c r="Y901" s="23">
        <f t="shared" si="101"/>
        <v>0</v>
      </c>
      <c r="Z901" s="23">
        <v>0</v>
      </c>
      <c r="AA901" s="23">
        <f t="shared" si="102"/>
        <v>0</v>
      </c>
      <c r="AB901" s="23">
        <f t="shared" si="103"/>
        <v>2500</v>
      </c>
      <c r="AC901" s="20" t="s">
        <v>226</v>
      </c>
      <c r="AD901" s="20" t="str">
        <f>VLOOKUP($C901,'[1]CTRL AUTOS'!$E:$AH,2,0)</f>
        <v>P62BHW</v>
      </c>
      <c r="AE901" s="11" t="str">
        <f t="shared" si="104"/>
        <v>P62BHW41</v>
      </c>
    </row>
    <row r="902" spans="1:31" ht="12.75" hidden="1" customHeight="1" x14ac:dyDescent="0.3">
      <c r="A902" s="8">
        <v>41</v>
      </c>
      <c r="B902" s="20" t="s">
        <v>74</v>
      </c>
      <c r="C902" s="20" t="s">
        <v>77</v>
      </c>
      <c r="D902" s="20" t="s">
        <v>237</v>
      </c>
      <c r="E902" s="22" t="s">
        <v>232</v>
      </c>
      <c r="F902" s="20" t="s">
        <v>291</v>
      </c>
      <c r="G902" s="20" t="s">
        <v>234</v>
      </c>
      <c r="H902" s="23">
        <v>4014.27</v>
      </c>
      <c r="I902" s="23">
        <v>-63.16</v>
      </c>
      <c r="J902" s="23">
        <v>0</v>
      </c>
      <c r="K902" s="23">
        <v>0</v>
      </c>
      <c r="L902" s="23">
        <v>-1667.6</v>
      </c>
      <c r="M902" s="23">
        <v>-32</v>
      </c>
      <c r="N902" s="23">
        <v>0</v>
      </c>
      <c r="O902" s="24">
        <f t="shared" si="98"/>
        <v>2251.5100000000002</v>
      </c>
      <c r="P902" s="23">
        <v>-2500</v>
      </c>
      <c r="Q902" s="23">
        <v>0</v>
      </c>
      <c r="R902" s="23">
        <v>0</v>
      </c>
      <c r="S902" s="23">
        <v>0</v>
      </c>
      <c r="T902" s="23">
        <v>0</v>
      </c>
      <c r="U902" s="23">
        <v>0</v>
      </c>
      <c r="V902" s="23">
        <v>0</v>
      </c>
      <c r="W902" s="23">
        <f t="shared" si="99"/>
        <v>-248.48999999999978</v>
      </c>
      <c r="X902" s="23">
        <f t="shared" si="100"/>
        <v>0</v>
      </c>
      <c r="Y902" s="23">
        <f t="shared" si="101"/>
        <v>-248.48999999999978</v>
      </c>
      <c r="Z902" s="23">
        <v>248</v>
      </c>
      <c r="AA902" s="23">
        <f t="shared" si="102"/>
        <v>-0.48999999999978172</v>
      </c>
      <c r="AB902" s="23">
        <f t="shared" si="103"/>
        <v>2499.0200000000004</v>
      </c>
      <c r="AC902" s="20" t="s">
        <v>460</v>
      </c>
      <c r="AD902" s="20" t="str">
        <f>VLOOKUP($C902,'[1]CTRL AUTOS'!$E:$AH,2,0)</f>
        <v>MEE228C</v>
      </c>
      <c r="AE902" s="11" t="str">
        <f t="shared" si="104"/>
        <v>MEE228C41</v>
      </c>
    </row>
    <row r="903" spans="1:31" ht="12.75" hidden="1" customHeight="1" x14ac:dyDescent="0.3">
      <c r="A903" s="8">
        <v>41</v>
      </c>
      <c r="B903" s="20" t="s">
        <v>51</v>
      </c>
      <c r="C903" s="20" t="s">
        <v>106</v>
      </c>
      <c r="D903" s="20" t="s">
        <v>322</v>
      </c>
      <c r="E903" s="20" t="s">
        <v>232</v>
      </c>
      <c r="F903" s="20" t="s">
        <v>232</v>
      </c>
      <c r="G903" s="20" t="s">
        <v>234</v>
      </c>
      <c r="H903" s="23">
        <v>4746.97</v>
      </c>
      <c r="I903" s="23">
        <v>-122.66</v>
      </c>
      <c r="J903" s="23">
        <v>0</v>
      </c>
      <c r="K903" s="23">
        <v>0</v>
      </c>
      <c r="L903" s="23">
        <v>0</v>
      </c>
      <c r="M903" s="23">
        <v>-38</v>
      </c>
      <c r="N903" s="23">
        <v>0</v>
      </c>
      <c r="O903" s="24">
        <f t="shared" si="98"/>
        <v>4586.3100000000004</v>
      </c>
      <c r="P903" s="23">
        <v>-2500</v>
      </c>
      <c r="Q903" s="23">
        <v>0</v>
      </c>
      <c r="R903" s="23">
        <v>-500</v>
      </c>
      <c r="S903" s="23">
        <v>0</v>
      </c>
      <c r="T903" s="23">
        <v>0</v>
      </c>
      <c r="U903" s="23">
        <v>0</v>
      </c>
      <c r="V903" s="23">
        <v>0</v>
      </c>
      <c r="W903" s="23">
        <f t="shared" si="99"/>
        <v>1586.3100000000004</v>
      </c>
      <c r="X903" s="23">
        <f t="shared" si="100"/>
        <v>1586.3100000000004</v>
      </c>
      <c r="Y903" s="23">
        <f t="shared" si="101"/>
        <v>0</v>
      </c>
      <c r="Z903" s="23">
        <v>0</v>
      </c>
      <c r="AA903" s="23">
        <f t="shared" si="102"/>
        <v>0</v>
      </c>
      <c r="AB903" s="23">
        <f t="shared" si="103"/>
        <v>3000</v>
      </c>
      <c r="AC903" s="20" t="s">
        <v>226</v>
      </c>
      <c r="AD903" s="20" t="str">
        <f>VLOOKUP($C903,'[1]CTRL AUTOS'!$E:$AH,2,0)</f>
        <v>NZU5163</v>
      </c>
      <c r="AE903" s="11" t="str">
        <f t="shared" si="104"/>
        <v>NZU516341</v>
      </c>
    </row>
    <row r="904" spans="1:31" ht="12.75" hidden="1" customHeight="1" x14ac:dyDescent="0.3">
      <c r="A904" s="8">
        <v>41</v>
      </c>
      <c r="B904" s="20" t="s">
        <v>98</v>
      </c>
      <c r="C904" s="20" t="s">
        <v>168</v>
      </c>
      <c r="D904" s="20" t="s">
        <v>265</v>
      </c>
      <c r="E904" s="20" t="s">
        <v>232</v>
      </c>
      <c r="F904" s="20" t="s">
        <v>232</v>
      </c>
      <c r="G904" s="20" t="s">
        <v>234</v>
      </c>
      <c r="H904" s="23">
        <v>2459.06</v>
      </c>
      <c r="I904" s="23">
        <v>-43.38</v>
      </c>
      <c r="J904" s="23">
        <v>0</v>
      </c>
      <c r="K904" s="23">
        <v>0</v>
      </c>
      <c r="L904" s="23">
        <v>-219.96</v>
      </c>
      <c r="M904" s="23">
        <f>-34-15.5</f>
        <v>-49.5</v>
      </c>
      <c r="N904" s="23">
        <v>-62</v>
      </c>
      <c r="O904" s="24">
        <f t="shared" si="98"/>
        <v>2084.2199999999998</v>
      </c>
      <c r="P904" s="23">
        <v>-2500</v>
      </c>
      <c r="Q904" s="23">
        <v>0</v>
      </c>
      <c r="R904" s="23">
        <v>0</v>
      </c>
      <c r="S904" s="23">
        <v>0</v>
      </c>
      <c r="T904" s="23">
        <v>0</v>
      </c>
      <c r="U904" s="23">
        <v>0</v>
      </c>
      <c r="V904" s="23">
        <v>0</v>
      </c>
      <c r="W904" s="23">
        <f t="shared" si="99"/>
        <v>-415.7800000000002</v>
      </c>
      <c r="X904" s="23">
        <f t="shared" si="100"/>
        <v>0</v>
      </c>
      <c r="Y904" s="23">
        <f t="shared" si="101"/>
        <v>-415.7800000000002</v>
      </c>
      <c r="Z904" s="23">
        <v>416</v>
      </c>
      <c r="AA904" s="23">
        <f t="shared" si="102"/>
        <v>0.21999999999979991</v>
      </c>
      <c r="AB904" s="23">
        <f t="shared" si="103"/>
        <v>2500.4399999999996</v>
      </c>
      <c r="AC904" s="20" t="s">
        <v>435</v>
      </c>
      <c r="AD904" s="20" t="e">
        <f>VLOOKUP($C904,'[1]CTRL AUTOS'!$E:$AH,2,0)</f>
        <v>#N/A</v>
      </c>
      <c r="AE904" s="11" t="e">
        <f t="shared" si="104"/>
        <v>#N/A</v>
      </c>
    </row>
    <row r="905" spans="1:31" ht="12.75" hidden="1" customHeight="1" x14ac:dyDescent="0.3">
      <c r="A905" s="8">
        <v>41</v>
      </c>
      <c r="B905" s="20" t="s">
        <v>78</v>
      </c>
      <c r="C905" s="44" t="s">
        <v>79</v>
      </c>
      <c r="D905" s="20" t="s">
        <v>250</v>
      </c>
      <c r="E905" s="20" t="s">
        <v>291</v>
      </c>
      <c r="F905" s="20" t="s">
        <v>291</v>
      </c>
      <c r="G905" s="20" t="s">
        <v>234</v>
      </c>
      <c r="H905" s="23">
        <v>1962.56</v>
      </c>
      <c r="I905" s="23">
        <v>-28.04</v>
      </c>
      <c r="J905" s="23">
        <v>0</v>
      </c>
      <c r="K905" s="23">
        <v>-17.36</v>
      </c>
      <c r="L905" s="23">
        <v>0</v>
      </c>
      <c r="M905" s="24">
        <f>-42-17.25</f>
        <v>-59.25</v>
      </c>
      <c r="N905" s="23">
        <v>-69</v>
      </c>
      <c r="O905" s="24">
        <f t="shared" si="98"/>
        <v>1788.91</v>
      </c>
      <c r="P905" s="23">
        <v>-1428.57</v>
      </c>
      <c r="Q905" s="23">
        <v>0</v>
      </c>
      <c r="R905" s="23">
        <v>-285.70999999999998</v>
      </c>
      <c r="S905" s="23">
        <v>0</v>
      </c>
      <c r="T905" s="23">
        <v>0</v>
      </c>
      <c r="U905" s="23">
        <v>-700</v>
      </c>
      <c r="V905" s="23">
        <v>0</v>
      </c>
      <c r="W905" s="23">
        <f t="shared" si="99"/>
        <v>-625.36999999999966</v>
      </c>
      <c r="X905" s="23">
        <f t="shared" si="100"/>
        <v>0</v>
      </c>
      <c r="Y905" s="23">
        <f t="shared" si="101"/>
        <v>-625.36999999999966</v>
      </c>
      <c r="Z905" s="23">
        <v>0</v>
      </c>
      <c r="AA905" s="23">
        <f t="shared" si="102"/>
        <v>-625.36999999999966</v>
      </c>
      <c r="AB905" s="23">
        <f t="shared" si="103"/>
        <v>1163.5400000000004</v>
      </c>
      <c r="AC905" s="20" t="s">
        <v>461</v>
      </c>
      <c r="AD905" s="20" t="str">
        <f>VLOOKUP($C905,'[1]CTRL AUTOS'!$E:$AH,2,0)</f>
        <v>MAY737C</v>
      </c>
      <c r="AE905" s="11" t="str">
        <f t="shared" si="104"/>
        <v>MAY737C41</v>
      </c>
    </row>
    <row r="906" spans="1:31" ht="12.75" hidden="1" customHeight="1" x14ac:dyDescent="0.3">
      <c r="A906" s="8">
        <v>41</v>
      </c>
      <c r="B906" s="20" t="s">
        <v>462</v>
      </c>
      <c r="C906" s="20" t="s">
        <v>418</v>
      </c>
      <c r="D906" s="20" t="s">
        <v>237</v>
      </c>
      <c r="E906" s="20" t="s">
        <v>364</v>
      </c>
      <c r="F906" s="22" t="s">
        <v>364</v>
      </c>
      <c r="G906" s="20" t="s">
        <v>234</v>
      </c>
      <c r="H906" s="23">
        <v>5058.95</v>
      </c>
      <c r="I906" s="23">
        <v>-71.19</v>
      </c>
      <c r="J906" s="23">
        <v>0</v>
      </c>
      <c r="K906" s="23">
        <v>0</v>
      </c>
      <c r="L906" s="23">
        <v>-2660.65</v>
      </c>
      <c r="M906" s="23">
        <v>0</v>
      </c>
      <c r="N906" s="23">
        <v>0</v>
      </c>
      <c r="O906" s="24">
        <f t="shared" si="98"/>
        <v>2327.11</v>
      </c>
      <c r="P906" s="23">
        <v>-1607.14</v>
      </c>
      <c r="Q906" s="23">
        <v>0</v>
      </c>
      <c r="R906" s="23">
        <v>-322</v>
      </c>
      <c r="S906" s="23">
        <v>0</v>
      </c>
      <c r="T906" s="23">
        <v>0</v>
      </c>
      <c r="U906" s="23">
        <v>0</v>
      </c>
      <c r="V906" s="23">
        <v>0</v>
      </c>
      <c r="W906" s="23">
        <f t="shared" si="99"/>
        <v>397.97</v>
      </c>
      <c r="X906" s="23">
        <f t="shared" si="100"/>
        <v>397.97</v>
      </c>
      <c r="Y906" s="23">
        <f t="shared" si="101"/>
        <v>0</v>
      </c>
      <c r="Z906" s="23">
        <v>0</v>
      </c>
      <c r="AA906" s="23">
        <f t="shared" si="102"/>
        <v>0</v>
      </c>
      <c r="AB906" s="23">
        <f t="shared" si="103"/>
        <v>1929.14</v>
      </c>
      <c r="AC906" s="20"/>
      <c r="AD906" s="20" t="e">
        <f>VLOOKUP($C906,'[1]CTRL AUTOS'!$E:$AH,2,0)</f>
        <v>#N/A</v>
      </c>
      <c r="AE906" s="11" t="e">
        <f t="shared" si="104"/>
        <v>#N/A</v>
      </c>
    </row>
    <row r="907" spans="1:31" ht="12.75" hidden="1" customHeight="1" x14ac:dyDescent="0.3">
      <c r="A907" s="8">
        <v>42</v>
      </c>
      <c r="B907" s="20" t="s">
        <v>11</v>
      </c>
      <c r="C907" s="20" t="s">
        <v>56</v>
      </c>
      <c r="D907" s="20" t="s">
        <v>336</v>
      </c>
      <c r="E907" s="22" t="s">
        <v>241</v>
      </c>
      <c r="F907" s="20" t="s">
        <v>291</v>
      </c>
      <c r="G907" s="20" t="s">
        <v>234</v>
      </c>
      <c r="H907" s="23">
        <v>7225.49</v>
      </c>
      <c r="I907" s="23">
        <v>-131.69999999999999</v>
      </c>
      <c r="J907" s="23">
        <v>-7.82</v>
      </c>
      <c r="K907" s="23">
        <v>0</v>
      </c>
      <c r="L907" s="23">
        <v>-3450.97</v>
      </c>
      <c r="M907" s="23">
        <v>-38</v>
      </c>
      <c r="N907" s="23">
        <v>0</v>
      </c>
      <c r="O907" s="24">
        <f t="shared" si="98"/>
        <v>3597.0000000000005</v>
      </c>
      <c r="P907" s="23">
        <f>-2500+357</f>
        <v>-2143</v>
      </c>
      <c r="Q907" s="23">
        <v>0</v>
      </c>
      <c r="R907" s="23">
        <v>-572</v>
      </c>
      <c r="S907" s="23">
        <v>0</v>
      </c>
      <c r="T907" s="23">
        <v>0</v>
      </c>
      <c r="U907" s="23">
        <v>0</v>
      </c>
      <c r="V907" s="23">
        <v>0</v>
      </c>
      <c r="W907" s="23">
        <f t="shared" si="99"/>
        <v>882.00000000000045</v>
      </c>
      <c r="X907" s="23">
        <f t="shared" si="100"/>
        <v>882.00000000000045</v>
      </c>
      <c r="Y907" s="23">
        <f t="shared" si="101"/>
        <v>0</v>
      </c>
      <c r="Z907" s="23">
        <v>0</v>
      </c>
      <c r="AA907" s="23">
        <f t="shared" si="102"/>
        <v>0</v>
      </c>
      <c r="AB907" s="23">
        <f t="shared" si="103"/>
        <v>2715</v>
      </c>
      <c r="AC907" s="20"/>
      <c r="AD907" s="20" t="str">
        <f>VLOOKUP($C907,'[1]CTRL AUTOS'!$E:$AH,2,0)</f>
        <v>MYE912A</v>
      </c>
      <c r="AE907" s="11" t="str">
        <f t="shared" si="104"/>
        <v>MYE912A42</v>
      </c>
    </row>
    <row r="908" spans="1:31" ht="12.75" hidden="1" customHeight="1" x14ac:dyDescent="0.3">
      <c r="A908" s="8">
        <v>42</v>
      </c>
      <c r="B908" s="20" t="s">
        <v>80</v>
      </c>
      <c r="C908" s="20" t="s">
        <v>81</v>
      </c>
      <c r="D908" s="20" t="s">
        <v>317</v>
      </c>
      <c r="E908" s="20" t="s">
        <v>232</v>
      </c>
      <c r="F908" s="20" t="s">
        <v>232</v>
      </c>
      <c r="G908" s="20" t="s">
        <v>234</v>
      </c>
      <c r="H908" s="23">
        <v>0</v>
      </c>
      <c r="I908" s="23">
        <v>0</v>
      </c>
      <c r="J908" s="23">
        <v>0</v>
      </c>
      <c r="K908" s="23">
        <v>0</v>
      </c>
      <c r="L908" s="23">
        <v>0</v>
      </c>
      <c r="M908" s="23">
        <v>0</v>
      </c>
      <c r="N908" s="23">
        <v>0</v>
      </c>
      <c r="O908" s="24">
        <f t="shared" si="98"/>
        <v>0</v>
      </c>
      <c r="P908" s="23">
        <v>0</v>
      </c>
      <c r="Q908" s="23">
        <v>0</v>
      </c>
      <c r="R908" s="23">
        <v>0</v>
      </c>
      <c r="S908" s="23">
        <v>0</v>
      </c>
      <c r="T908" s="23">
        <v>0</v>
      </c>
      <c r="U908" s="23">
        <v>0</v>
      </c>
      <c r="V908" s="23">
        <v>0</v>
      </c>
      <c r="W908" s="23">
        <f t="shared" si="99"/>
        <v>0</v>
      </c>
      <c r="X908" s="23">
        <f t="shared" si="100"/>
        <v>0</v>
      </c>
      <c r="Y908" s="23">
        <f t="shared" si="101"/>
        <v>0</v>
      </c>
      <c r="Z908" s="23">
        <v>0</v>
      </c>
      <c r="AA908" s="23">
        <f t="shared" si="102"/>
        <v>0</v>
      </c>
      <c r="AB908" s="23">
        <f t="shared" si="103"/>
        <v>0</v>
      </c>
      <c r="AC908" s="20" t="s">
        <v>463</v>
      </c>
      <c r="AD908" s="20" t="str">
        <f>VLOOKUP($C908,'[1]CTRL AUTOS'!$E:$AH,2,0)</f>
        <v>NLP172B</v>
      </c>
      <c r="AE908" s="11" t="str">
        <f t="shared" si="104"/>
        <v>NLP172B42</v>
      </c>
    </row>
    <row r="909" spans="1:31" ht="12.75" hidden="1" customHeight="1" x14ac:dyDescent="0.3">
      <c r="A909" s="8">
        <v>42</v>
      </c>
      <c r="B909" s="20" t="s">
        <v>13</v>
      </c>
      <c r="C909" s="20" t="s">
        <v>40</v>
      </c>
      <c r="D909" s="20" t="s">
        <v>237</v>
      </c>
      <c r="E909" s="20" t="s">
        <v>232</v>
      </c>
      <c r="F909" s="20" t="s">
        <v>232</v>
      </c>
      <c r="G909" s="20" t="s">
        <v>234</v>
      </c>
      <c r="H909" s="23">
        <v>842.41</v>
      </c>
      <c r="I909" s="23">
        <v>-16.72</v>
      </c>
      <c r="J909" s="23">
        <v>9.7899999999999991</v>
      </c>
      <c r="K909" s="23">
        <v>0</v>
      </c>
      <c r="L909" s="23">
        <v>0</v>
      </c>
      <c r="M909" s="23">
        <v>-15</v>
      </c>
      <c r="N909" s="23">
        <v>0</v>
      </c>
      <c r="O909" s="24">
        <f t="shared" si="98"/>
        <v>820.4799999999999</v>
      </c>
      <c r="P909" s="23">
        <v>-820</v>
      </c>
      <c r="Q909" s="23">
        <v>0</v>
      </c>
      <c r="R909" s="23">
        <v>0</v>
      </c>
      <c r="S909" s="23">
        <v>0</v>
      </c>
      <c r="T909" s="23">
        <v>0</v>
      </c>
      <c r="U909" s="23">
        <v>0</v>
      </c>
      <c r="V909" s="23">
        <v>0</v>
      </c>
      <c r="W909" s="23">
        <f t="shared" si="99"/>
        <v>0.4799999999999045</v>
      </c>
      <c r="X909" s="23">
        <f t="shared" si="100"/>
        <v>0.4799999999999045</v>
      </c>
      <c r="Y909" s="23">
        <f t="shared" si="101"/>
        <v>0</v>
      </c>
      <c r="Z909" s="23">
        <v>0</v>
      </c>
      <c r="AA909" s="23">
        <f t="shared" si="102"/>
        <v>0</v>
      </c>
      <c r="AB909" s="23">
        <f t="shared" si="103"/>
        <v>820</v>
      </c>
      <c r="AC909" s="20"/>
      <c r="AD909" s="20" t="str">
        <f>VLOOKUP($C909,'[1]CTRL AUTOS'!$E:$AH,2,0)</f>
        <v>NEL860A</v>
      </c>
      <c r="AE909" s="11" t="str">
        <f t="shared" si="104"/>
        <v>NEL860A42</v>
      </c>
    </row>
    <row r="910" spans="1:31" ht="12.75" hidden="1" customHeight="1" x14ac:dyDescent="0.3">
      <c r="A910" s="8">
        <v>42</v>
      </c>
      <c r="B910" s="20" t="s">
        <v>111</v>
      </c>
      <c r="C910" s="20" t="s">
        <v>63</v>
      </c>
      <c r="D910" s="20" t="s">
        <v>374</v>
      </c>
      <c r="E910" s="20" t="s">
        <v>291</v>
      </c>
      <c r="F910" s="20" t="s">
        <v>291</v>
      </c>
      <c r="G910" s="20" t="s">
        <v>234</v>
      </c>
      <c r="H910" s="23">
        <v>5839.74</v>
      </c>
      <c r="I910" s="23">
        <v>-87.84</v>
      </c>
      <c r="J910" s="23">
        <v>0</v>
      </c>
      <c r="K910" s="23">
        <v>0</v>
      </c>
      <c r="L910" s="23">
        <v>-1608.5</v>
      </c>
      <c r="M910" s="23">
        <v>-42</v>
      </c>
      <c r="N910" s="23">
        <v>0</v>
      </c>
      <c r="O910" s="24">
        <f t="shared" si="98"/>
        <v>4101.3999999999996</v>
      </c>
      <c r="P910" s="23">
        <v>-2500</v>
      </c>
      <c r="Q910" s="23">
        <v>0</v>
      </c>
      <c r="R910" s="23">
        <v>0</v>
      </c>
      <c r="S910" s="23">
        <v>0</v>
      </c>
      <c r="T910" s="23">
        <v>0</v>
      </c>
      <c r="U910" s="23">
        <v>0</v>
      </c>
      <c r="V910" s="23">
        <v>0</v>
      </c>
      <c r="W910" s="23">
        <f t="shared" si="99"/>
        <v>1601.3999999999996</v>
      </c>
      <c r="X910" s="23">
        <f t="shared" si="100"/>
        <v>1601.3999999999996</v>
      </c>
      <c r="Y910" s="23">
        <f t="shared" si="101"/>
        <v>0</v>
      </c>
      <c r="Z910" s="23">
        <v>0</v>
      </c>
      <c r="AA910" s="23">
        <f t="shared" si="102"/>
        <v>0</v>
      </c>
      <c r="AB910" s="23">
        <f t="shared" si="103"/>
        <v>2500</v>
      </c>
      <c r="AC910" s="20"/>
      <c r="AD910" s="20" t="str">
        <f>VLOOKUP($C910,'[1]CTRL AUTOS'!$E:$AH,2,0)</f>
        <v>X89ALV</v>
      </c>
      <c r="AE910" s="11" t="str">
        <f t="shared" si="104"/>
        <v>X89ALV42</v>
      </c>
    </row>
    <row r="911" spans="1:31" ht="12.75" hidden="1" customHeight="1" x14ac:dyDescent="0.3">
      <c r="A911" s="8">
        <v>42</v>
      </c>
      <c r="B911" s="20" t="s">
        <v>17</v>
      </c>
      <c r="C911" s="20" t="s">
        <v>69</v>
      </c>
      <c r="D911" s="20" t="s">
        <v>237</v>
      </c>
      <c r="E911" s="22" t="s">
        <v>241</v>
      </c>
      <c r="F911" s="20" t="s">
        <v>291</v>
      </c>
      <c r="G911" s="20" t="s">
        <v>234</v>
      </c>
      <c r="H911" s="23">
        <v>7883.3</v>
      </c>
      <c r="I911" s="23">
        <v>-128.4</v>
      </c>
      <c r="J911" s="23">
        <v>0</v>
      </c>
      <c r="K911" s="23">
        <v>0</v>
      </c>
      <c r="L911" s="23">
        <v>0</v>
      </c>
      <c r="M911" s="23">
        <v>-32</v>
      </c>
      <c r="N911" s="23">
        <v>0</v>
      </c>
      <c r="O911" s="24">
        <f t="shared" si="98"/>
        <v>7722.9000000000005</v>
      </c>
      <c r="P911" s="23">
        <v>-2500</v>
      </c>
      <c r="Q911" s="23">
        <v>0</v>
      </c>
      <c r="R911" s="23">
        <v>0</v>
      </c>
      <c r="S911" s="23">
        <v>0</v>
      </c>
      <c r="T911" s="23">
        <v>0</v>
      </c>
      <c r="U911" s="23">
        <v>0</v>
      </c>
      <c r="V911" s="23">
        <v>0</v>
      </c>
      <c r="W911" s="23">
        <f t="shared" si="99"/>
        <v>5222.9000000000005</v>
      </c>
      <c r="X911" s="23">
        <f t="shared" si="100"/>
        <v>5222.9000000000005</v>
      </c>
      <c r="Y911" s="23">
        <f t="shared" si="101"/>
        <v>0</v>
      </c>
      <c r="Z911" s="23">
        <v>0</v>
      </c>
      <c r="AA911" s="23">
        <f t="shared" si="102"/>
        <v>0</v>
      </c>
      <c r="AB911" s="23">
        <f t="shared" si="103"/>
        <v>2500</v>
      </c>
      <c r="AC911" s="20"/>
      <c r="AD911" s="20" t="str">
        <f>VLOOKUP($C911,'[1]CTRL AUTOS'!$E:$AH,2,0)</f>
        <v>R51BKD</v>
      </c>
      <c r="AE911" s="11" t="str">
        <f t="shared" si="104"/>
        <v>R51BKD42</v>
      </c>
    </row>
    <row r="912" spans="1:31" ht="12.75" hidden="1" customHeight="1" x14ac:dyDescent="0.3">
      <c r="A912" s="8">
        <v>42</v>
      </c>
      <c r="B912" s="20" t="s">
        <v>19</v>
      </c>
      <c r="C912" s="20" t="s">
        <v>20</v>
      </c>
      <c r="D912" s="20" t="s">
        <v>239</v>
      </c>
      <c r="E912" s="20" t="s">
        <v>232</v>
      </c>
      <c r="F912" s="20" t="s">
        <v>232</v>
      </c>
      <c r="G912" s="20" t="s">
        <v>234</v>
      </c>
      <c r="H912" s="23">
        <v>7841.87</v>
      </c>
      <c r="I912" s="23">
        <v>-147.12</v>
      </c>
      <c r="J912" s="23">
        <v>0</v>
      </c>
      <c r="K912" s="23">
        <v>-55.44</v>
      </c>
      <c r="L912" s="23">
        <v>0</v>
      </c>
      <c r="M912" s="23">
        <v>-32</v>
      </c>
      <c r="N912" s="23">
        <v>0</v>
      </c>
      <c r="O912" s="24">
        <f t="shared" si="98"/>
        <v>7607.31</v>
      </c>
      <c r="P912" s="23">
        <v>-2500</v>
      </c>
      <c r="Q912" s="23">
        <v>0</v>
      </c>
      <c r="R912" s="23">
        <v>0</v>
      </c>
      <c r="S912" s="23">
        <v>0</v>
      </c>
      <c r="T912" s="23">
        <v>0</v>
      </c>
      <c r="U912" s="23">
        <v>-1000</v>
      </c>
      <c r="V912" s="23">
        <v>0</v>
      </c>
      <c r="W912" s="23">
        <f t="shared" si="99"/>
        <v>4107.3100000000004</v>
      </c>
      <c r="X912" s="23">
        <f t="shared" si="100"/>
        <v>4107.3100000000004</v>
      </c>
      <c r="Y912" s="23">
        <f t="shared" si="101"/>
        <v>0</v>
      </c>
      <c r="Z912" s="23">
        <v>0</v>
      </c>
      <c r="AA912" s="23">
        <f t="shared" si="102"/>
        <v>0</v>
      </c>
      <c r="AB912" s="23">
        <f t="shared" si="103"/>
        <v>3500</v>
      </c>
      <c r="AC912" s="20"/>
      <c r="AD912" s="20" t="str">
        <f>VLOOKUP($C912,'[1]CTRL AUTOS'!$E:$AH,2,0)</f>
        <v>D40BKD</v>
      </c>
      <c r="AE912" s="11" t="str">
        <f t="shared" si="104"/>
        <v>D40BKD42</v>
      </c>
    </row>
    <row r="913" spans="1:31" ht="12.75" hidden="1" customHeight="1" x14ac:dyDescent="0.3">
      <c r="A913" s="8">
        <v>42</v>
      </c>
      <c r="B913" s="20" t="s">
        <v>444</v>
      </c>
      <c r="C913" s="20" t="s">
        <v>44</v>
      </c>
      <c r="D913" s="20" t="s">
        <v>237</v>
      </c>
      <c r="E913" s="22" t="s">
        <v>232</v>
      </c>
      <c r="F913" s="20" t="s">
        <v>291</v>
      </c>
      <c r="G913" s="20" t="s">
        <v>234</v>
      </c>
      <c r="H913" s="23">
        <v>0</v>
      </c>
      <c r="I913" s="23">
        <v>0</v>
      </c>
      <c r="J913" s="23">
        <v>0</v>
      </c>
      <c r="K913" s="23">
        <v>0</v>
      </c>
      <c r="L913" s="23">
        <v>0</v>
      </c>
      <c r="M913" s="23">
        <v>0</v>
      </c>
      <c r="N913" s="23">
        <v>0</v>
      </c>
      <c r="O913" s="24">
        <f t="shared" si="98"/>
        <v>0</v>
      </c>
      <c r="P913" s="23">
        <f>-2500+357</f>
        <v>-2143</v>
      </c>
      <c r="Q913" s="23">
        <v>0</v>
      </c>
      <c r="R913" s="23">
        <v>-500</v>
      </c>
      <c r="S913" s="23">
        <v>0</v>
      </c>
      <c r="T913" s="23">
        <v>0</v>
      </c>
      <c r="U913" s="23">
        <v>700</v>
      </c>
      <c r="V913" s="23">
        <v>0</v>
      </c>
      <c r="W913" s="23">
        <f t="shared" si="99"/>
        <v>-1943</v>
      </c>
      <c r="X913" s="23">
        <f t="shared" si="100"/>
        <v>0</v>
      </c>
      <c r="Y913" s="23">
        <f t="shared" si="101"/>
        <v>-1943</v>
      </c>
      <c r="Z913" s="23">
        <v>1943</v>
      </c>
      <c r="AA913" s="23">
        <f t="shared" si="102"/>
        <v>0</v>
      </c>
      <c r="AB913" s="23">
        <f t="shared" si="103"/>
        <v>1943</v>
      </c>
      <c r="AC913" s="20"/>
      <c r="AD913" s="20" t="str">
        <f>VLOOKUP($C913,'[1]CTRL AUTOS'!$E:$AH,2,0)</f>
        <v>MAY730C</v>
      </c>
      <c r="AE913" s="11" t="str">
        <f t="shared" si="104"/>
        <v>MAY730C42</v>
      </c>
    </row>
    <row r="914" spans="1:31" ht="12.75" hidden="1" customHeight="1" x14ac:dyDescent="0.3">
      <c r="A914" s="8">
        <v>42</v>
      </c>
      <c r="B914" s="20" t="s">
        <v>23</v>
      </c>
      <c r="C914" s="20" t="s">
        <v>97</v>
      </c>
      <c r="D914" s="20" t="s">
        <v>273</v>
      </c>
      <c r="E914" s="20" t="s">
        <v>232</v>
      </c>
      <c r="F914" s="20" t="s">
        <v>232</v>
      </c>
      <c r="G914" s="20" t="s">
        <v>234</v>
      </c>
      <c r="H914" s="23">
        <v>6348.34</v>
      </c>
      <c r="I914" s="23">
        <v>-133.19</v>
      </c>
      <c r="J914" s="23">
        <v>0</v>
      </c>
      <c r="K914" s="23">
        <v>0</v>
      </c>
      <c r="L914" s="23">
        <v>-5285.63</v>
      </c>
      <c r="M914" s="23">
        <f>-34-37.5</f>
        <v>-71.5</v>
      </c>
      <c r="N914" s="23">
        <v>-150</v>
      </c>
      <c r="O914" s="24">
        <f t="shared" si="98"/>
        <v>708.02000000000044</v>
      </c>
      <c r="P914" s="23">
        <v>-2500</v>
      </c>
      <c r="Q914" s="23">
        <v>0</v>
      </c>
      <c r="R914" s="23">
        <v>0</v>
      </c>
      <c r="S914" s="23">
        <v>0</v>
      </c>
      <c r="T914" s="23">
        <v>-500</v>
      </c>
      <c r="U914" s="23">
        <v>0</v>
      </c>
      <c r="V914" s="23">
        <v>0</v>
      </c>
      <c r="W914" s="23">
        <f t="shared" si="99"/>
        <v>-2291.9799999999996</v>
      </c>
      <c r="X914" s="23">
        <f t="shared" si="100"/>
        <v>0</v>
      </c>
      <c r="Y914" s="23">
        <f t="shared" si="101"/>
        <v>-2291.9799999999996</v>
      </c>
      <c r="Z914" s="23">
        <f>2100+193</f>
        <v>2293</v>
      </c>
      <c r="AA914" s="23">
        <f t="shared" si="102"/>
        <v>1.0200000000004366</v>
      </c>
      <c r="AB914" s="23">
        <f t="shared" si="103"/>
        <v>3002.0400000000009</v>
      </c>
      <c r="AC914" s="20" t="s">
        <v>435</v>
      </c>
      <c r="AD914" s="20" t="str">
        <f>VLOOKUP($C914,'[1]CTRL AUTOS'!$E:$AH,2,0)</f>
        <v>MUF515A</v>
      </c>
      <c r="AE914" s="11" t="str">
        <f t="shared" si="104"/>
        <v>MUF515A42</v>
      </c>
    </row>
    <row r="915" spans="1:31" ht="12.75" hidden="1" customHeight="1" x14ac:dyDescent="0.3">
      <c r="A915" s="8">
        <v>42</v>
      </c>
      <c r="B915" s="20" t="s">
        <v>25</v>
      </c>
      <c r="C915" s="20" t="s">
        <v>67</v>
      </c>
      <c r="D915" s="20" t="s">
        <v>343</v>
      </c>
      <c r="E915" s="20" t="s">
        <v>232</v>
      </c>
      <c r="F915" s="20" t="s">
        <v>291</v>
      </c>
      <c r="G915" s="20" t="s">
        <v>234</v>
      </c>
      <c r="H915" s="23">
        <v>5406.1</v>
      </c>
      <c r="I915" s="23">
        <v>-127.98</v>
      </c>
      <c r="J915" s="23">
        <v>0</v>
      </c>
      <c r="K915" s="23">
        <v>0</v>
      </c>
      <c r="L915" s="23">
        <v>-2016.09</v>
      </c>
      <c r="M915" s="23">
        <v>-30</v>
      </c>
      <c r="N915" s="23">
        <v>-7.18</v>
      </c>
      <c r="O915" s="24">
        <f t="shared" si="98"/>
        <v>3224.8500000000008</v>
      </c>
      <c r="P915" s="23">
        <v>-2500</v>
      </c>
      <c r="Q915" s="23">
        <v>0</v>
      </c>
      <c r="R915" s="23">
        <v>0</v>
      </c>
      <c r="S915" s="23">
        <v>0</v>
      </c>
      <c r="T915" s="23">
        <v>0</v>
      </c>
      <c r="U915" s="23">
        <v>0</v>
      </c>
      <c r="V915" s="23">
        <v>0</v>
      </c>
      <c r="W915" s="23">
        <f t="shared" si="99"/>
        <v>724.85000000000082</v>
      </c>
      <c r="X915" s="23">
        <f t="shared" si="100"/>
        <v>724.85000000000082</v>
      </c>
      <c r="Y915" s="23">
        <f t="shared" si="101"/>
        <v>0</v>
      </c>
      <c r="Z915" s="23">
        <v>0</v>
      </c>
      <c r="AA915" s="23">
        <f t="shared" si="102"/>
        <v>0</v>
      </c>
      <c r="AB915" s="23">
        <f t="shared" si="103"/>
        <v>2500</v>
      </c>
      <c r="AC915" s="20"/>
      <c r="AD915" s="20" t="str">
        <f>VLOOKUP($C915,'[1]CTRL AUTOS'!$E:$AH,2,0)</f>
        <v>MFP751C</v>
      </c>
      <c r="AE915" s="11" t="str">
        <f t="shared" si="104"/>
        <v>MFP751C42</v>
      </c>
    </row>
    <row r="916" spans="1:31" ht="12.75" hidden="1" customHeight="1" x14ac:dyDescent="0.3">
      <c r="A916" s="8">
        <v>42</v>
      </c>
      <c r="B916" s="20" t="s">
        <v>7</v>
      </c>
      <c r="C916" s="20" t="s">
        <v>8</v>
      </c>
      <c r="D916" s="20" t="s">
        <v>237</v>
      </c>
      <c r="E916" s="22" t="s">
        <v>364</v>
      </c>
      <c r="F916" s="22" t="s">
        <v>364</v>
      </c>
      <c r="G916" s="20" t="s">
        <v>425</v>
      </c>
      <c r="H916" s="23">
        <v>8480.49</v>
      </c>
      <c r="I916" s="23">
        <v>0</v>
      </c>
      <c r="J916" s="23">
        <v>0</v>
      </c>
      <c r="K916" s="23">
        <v>0</v>
      </c>
      <c r="L916" s="23">
        <v>-5402.9</v>
      </c>
      <c r="M916" s="23">
        <v>0</v>
      </c>
      <c r="N916" s="23">
        <v>0</v>
      </c>
      <c r="O916" s="24">
        <f t="shared" si="98"/>
        <v>3077.59</v>
      </c>
      <c r="P916" s="23">
        <v>-2600</v>
      </c>
      <c r="Q916" s="23">
        <v>0</v>
      </c>
      <c r="R916" s="23">
        <v>-500</v>
      </c>
      <c r="S916" s="23">
        <v>0</v>
      </c>
      <c r="T916" s="23">
        <v>0</v>
      </c>
      <c r="U916" s="23">
        <v>0</v>
      </c>
      <c r="V916" s="23">
        <v>0</v>
      </c>
      <c r="W916" s="23">
        <f t="shared" si="99"/>
        <v>-22.409999999999854</v>
      </c>
      <c r="X916" s="23">
        <f t="shared" si="100"/>
        <v>0</v>
      </c>
      <c r="Y916" s="23">
        <f t="shared" si="101"/>
        <v>-22.409999999999854</v>
      </c>
      <c r="Z916" s="23">
        <v>22</v>
      </c>
      <c r="AA916" s="23">
        <f t="shared" si="102"/>
        <v>-0.40999999999985448</v>
      </c>
      <c r="AB916" s="23">
        <f t="shared" si="103"/>
        <v>3099.1800000000003</v>
      </c>
      <c r="AC916" s="20" t="s">
        <v>297</v>
      </c>
      <c r="AD916" s="20" t="e">
        <f>VLOOKUP($C916,'[1]CTRL AUTOS'!$E:$AH,2,0)</f>
        <v>#N/A</v>
      </c>
      <c r="AE916" s="11" t="e">
        <f t="shared" si="104"/>
        <v>#N/A</v>
      </c>
    </row>
    <row r="917" spans="1:31" ht="12.75" hidden="1" customHeight="1" x14ac:dyDescent="0.3">
      <c r="A917" s="8">
        <v>42</v>
      </c>
      <c r="B917" s="20" t="s">
        <v>9</v>
      </c>
      <c r="C917" s="20" t="s">
        <v>10</v>
      </c>
      <c r="D917" s="20" t="s">
        <v>343</v>
      </c>
      <c r="E917" s="20" t="s">
        <v>232</v>
      </c>
      <c r="F917" s="20" t="s">
        <v>232</v>
      </c>
      <c r="G917" s="20" t="s">
        <v>234</v>
      </c>
      <c r="H917" s="23">
        <v>5052.0600000000004</v>
      </c>
      <c r="I917" s="23">
        <v>-91.31</v>
      </c>
      <c r="J917" s="23">
        <v>0</v>
      </c>
      <c r="K917" s="23">
        <v>0</v>
      </c>
      <c r="L917" s="23">
        <v>-3467.14</v>
      </c>
      <c r="M917" s="23">
        <v>-38</v>
      </c>
      <c r="N917" s="23">
        <v>0</v>
      </c>
      <c r="O917" s="24">
        <f t="shared" si="98"/>
        <v>1455.6100000000001</v>
      </c>
      <c r="P917" s="23">
        <v>-2500</v>
      </c>
      <c r="Q917" s="23">
        <v>0</v>
      </c>
      <c r="R917" s="23">
        <v>-500</v>
      </c>
      <c r="S917" s="23">
        <v>0</v>
      </c>
      <c r="T917" s="23">
        <v>0</v>
      </c>
      <c r="U917" s="23">
        <v>0</v>
      </c>
      <c r="V917" s="23">
        <v>0</v>
      </c>
      <c r="W917" s="23">
        <f t="shared" si="99"/>
        <v>-1544.3899999999999</v>
      </c>
      <c r="X917" s="23">
        <f t="shared" si="100"/>
        <v>0</v>
      </c>
      <c r="Y917" s="23">
        <f t="shared" si="101"/>
        <v>-1544.3899999999999</v>
      </c>
      <c r="Z917" s="23">
        <v>1544</v>
      </c>
      <c r="AA917" s="23">
        <f t="shared" si="102"/>
        <v>-0.38999999999987267</v>
      </c>
      <c r="AB917" s="23">
        <f t="shared" si="103"/>
        <v>2999.2200000000003</v>
      </c>
      <c r="AC917" s="20" t="s">
        <v>409</v>
      </c>
      <c r="AD917" s="20" t="str">
        <f>VLOOKUP($C917,'[1]CTRL AUTOS'!$E:$AH,2,0)</f>
        <v>LRL009C</v>
      </c>
      <c r="AE917" s="11" t="str">
        <f t="shared" si="104"/>
        <v>LRL009C42</v>
      </c>
    </row>
    <row r="918" spans="1:31" ht="12.75" hidden="1" customHeight="1" x14ac:dyDescent="0.3">
      <c r="A918" s="8">
        <v>42</v>
      </c>
      <c r="B918" s="20" t="s">
        <v>70</v>
      </c>
      <c r="C918" s="20" t="s">
        <v>44</v>
      </c>
      <c r="D918" s="20" t="s">
        <v>237</v>
      </c>
      <c r="E918" s="22" t="s">
        <v>232</v>
      </c>
      <c r="F918" s="20" t="s">
        <v>291</v>
      </c>
      <c r="G918" s="20" t="s">
        <v>234</v>
      </c>
      <c r="H918" s="23">
        <v>475.57</v>
      </c>
      <c r="I918" s="23">
        <v>-9.94</v>
      </c>
      <c r="J918" s="23">
        <v>0</v>
      </c>
      <c r="K918" s="23">
        <v>0</v>
      </c>
      <c r="L918" s="23">
        <v>0</v>
      </c>
      <c r="M918" s="23">
        <v>0</v>
      </c>
      <c r="N918" s="23">
        <v>0</v>
      </c>
      <c r="O918" s="24">
        <f t="shared" si="98"/>
        <v>465.63</v>
      </c>
      <c r="P918" s="23">
        <v>-466</v>
      </c>
      <c r="Q918" s="23">
        <v>0</v>
      </c>
      <c r="R918" s="23">
        <v>0</v>
      </c>
      <c r="S918" s="23">
        <v>0</v>
      </c>
      <c r="T918" s="23">
        <v>0</v>
      </c>
      <c r="U918" s="23">
        <v>0</v>
      </c>
      <c r="V918" s="23">
        <v>0</v>
      </c>
      <c r="W918" s="23">
        <f t="shared" si="99"/>
        <v>-0.37000000000000455</v>
      </c>
      <c r="X918" s="23">
        <f t="shared" si="100"/>
        <v>0</v>
      </c>
      <c r="Y918" s="23">
        <f t="shared" si="101"/>
        <v>-0.37000000000000455</v>
      </c>
      <c r="Z918" s="23">
        <v>0</v>
      </c>
      <c r="AA918" s="23">
        <f t="shared" si="102"/>
        <v>-0.37000000000000455</v>
      </c>
      <c r="AB918" s="23">
        <f t="shared" si="103"/>
        <v>465.26</v>
      </c>
      <c r="AC918" s="20" t="s">
        <v>423</v>
      </c>
      <c r="AD918" s="20" t="str">
        <f>VLOOKUP($C918,'[1]CTRL AUTOS'!$E:$AH,2,0)</f>
        <v>MAY730C</v>
      </c>
      <c r="AE918" s="11" t="str">
        <f t="shared" si="104"/>
        <v>MAY730C42</v>
      </c>
    </row>
    <row r="919" spans="1:31" ht="12.75" hidden="1" customHeight="1" x14ac:dyDescent="0.3">
      <c r="A919" s="8">
        <v>42</v>
      </c>
      <c r="B919" s="20" t="s">
        <v>105</v>
      </c>
      <c r="C919" s="20" t="s">
        <v>204</v>
      </c>
      <c r="D919" s="20" t="s">
        <v>237</v>
      </c>
      <c r="E919" s="22" t="s">
        <v>364</v>
      </c>
      <c r="F919" s="22" t="s">
        <v>364</v>
      </c>
      <c r="G919" s="20" t="s">
        <v>425</v>
      </c>
      <c r="H919" s="23">
        <v>0</v>
      </c>
      <c r="I919" s="23">
        <v>0</v>
      </c>
      <c r="J919" s="23">
        <v>0</v>
      </c>
      <c r="K919" s="23">
        <v>0</v>
      </c>
      <c r="L919" s="23">
        <v>0</v>
      </c>
      <c r="M919" s="23">
        <v>0</v>
      </c>
      <c r="N919" s="23">
        <v>0</v>
      </c>
      <c r="O919" s="24">
        <f t="shared" si="98"/>
        <v>0</v>
      </c>
      <c r="P919" s="23">
        <v>-2500</v>
      </c>
      <c r="Q919" s="23">
        <v>0</v>
      </c>
      <c r="R919" s="23">
        <v>-500</v>
      </c>
      <c r="S919" s="23">
        <v>0</v>
      </c>
      <c r="T919" s="23">
        <v>0</v>
      </c>
      <c r="U919" s="23">
        <v>0</v>
      </c>
      <c r="V919" s="23">
        <v>0</v>
      </c>
      <c r="W919" s="23">
        <f t="shared" si="99"/>
        <v>-3000</v>
      </c>
      <c r="X919" s="23">
        <f t="shared" si="100"/>
        <v>0</v>
      </c>
      <c r="Y919" s="23">
        <f t="shared" si="101"/>
        <v>-3000</v>
      </c>
      <c r="Z919" s="23">
        <v>3000</v>
      </c>
      <c r="AA919" s="23">
        <f t="shared" si="102"/>
        <v>0</v>
      </c>
      <c r="AB919" s="23">
        <f t="shared" si="103"/>
        <v>3000</v>
      </c>
      <c r="AC919" s="20"/>
      <c r="AD919" s="20" t="e">
        <f>VLOOKUP($C919,'[1]CTRL AUTOS'!$E:$AH,2,0)</f>
        <v>#N/A</v>
      </c>
      <c r="AE919" s="11" t="e">
        <f t="shared" si="104"/>
        <v>#N/A</v>
      </c>
    </row>
    <row r="920" spans="1:31" ht="12.75" hidden="1" customHeight="1" x14ac:dyDescent="0.3">
      <c r="A920" s="8">
        <v>42</v>
      </c>
      <c r="B920" s="20" t="s">
        <v>440</v>
      </c>
      <c r="C920" s="20" t="s">
        <v>86</v>
      </c>
      <c r="D920" s="20" t="s">
        <v>237</v>
      </c>
      <c r="E920" s="22" t="s">
        <v>232</v>
      </c>
      <c r="F920" s="20" t="s">
        <v>291</v>
      </c>
      <c r="G920" s="20" t="s">
        <v>234</v>
      </c>
      <c r="H920" s="23">
        <v>0</v>
      </c>
      <c r="I920" s="23">
        <v>0</v>
      </c>
      <c r="J920" s="23">
        <v>0</v>
      </c>
      <c r="K920" s="23">
        <v>0</v>
      </c>
      <c r="L920" s="23">
        <v>0</v>
      </c>
      <c r="M920" s="23">
        <v>0</v>
      </c>
      <c r="N920" s="23">
        <v>0</v>
      </c>
      <c r="O920" s="24">
        <f t="shared" si="98"/>
        <v>0</v>
      </c>
      <c r="P920" s="23">
        <v>0</v>
      </c>
      <c r="Q920" s="23">
        <v>-620</v>
      </c>
      <c r="R920" s="23">
        <v>0</v>
      </c>
      <c r="S920" s="23">
        <v>0</v>
      </c>
      <c r="T920" s="23">
        <v>0</v>
      </c>
      <c r="U920" s="23">
        <v>0</v>
      </c>
      <c r="V920" s="23">
        <v>0</v>
      </c>
      <c r="W920" s="23">
        <f t="shared" si="99"/>
        <v>-620</v>
      </c>
      <c r="X920" s="23">
        <f t="shared" si="100"/>
        <v>0</v>
      </c>
      <c r="Y920" s="23">
        <f t="shared" si="101"/>
        <v>-620</v>
      </c>
      <c r="Z920" s="23">
        <v>0</v>
      </c>
      <c r="AA920" s="23">
        <f t="shared" si="102"/>
        <v>-620</v>
      </c>
      <c r="AB920" s="23">
        <f t="shared" si="103"/>
        <v>-620</v>
      </c>
      <c r="AC920" s="20" t="s">
        <v>464</v>
      </c>
      <c r="AD920" s="20" t="str">
        <f>VLOOKUP($C920,'[1]CTRL AUTOS'!$E:$AH,2,0)</f>
        <v>R22BMR</v>
      </c>
      <c r="AE920" s="11" t="str">
        <f t="shared" si="104"/>
        <v>R22BMR42</v>
      </c>
    </row>
    <row r="921" spans="1:31" ht="12.75" hidden="1" customHeight="1" x14ac:dyDescent="0.3">
      <c r="A921" s="8">
        <v>42</v>
      </c>
      <c r="B921" s="20" t="s">
        <v>72</v>
      </c>
      <c r="C921" s="20" t="s">
        <v>73</v>
      </c>
      <c r="D921" s="20" t="s">
        <v>368</v>
      </c>
      <c r="E921" s="22" t="s">
        <v>241</v>
      </c>
      <c r="F921" s="20" t="s">
        <v>291</v>
      </c>
      <c r="G921" s="20" t="s">
        <v>234</v>
      </c>
      <c r="H921" s="23">
        <v>8843.27</v>
      </c>
      <c r="I921" s="23">
        <v>-217</v>
      </c>
      <c r="J921" s="23">
        <v>0</v>
      </c>
      <c r="K921" s="23">
        <v>-81.03</v>
      </c>
      <c r="L921" s="23">
        <v>-4451.84</v>
      </c>
      <c r="M921" s="23">
        <f>-38-18</f>
        <v>-56</v>
      </c>
      <c r="N921" s="23">
        <v>-72</v>
      </c>
      <c r="O921" s="24">
        <f t="shared" si="98"/>
        <v>3965.3999999999996</v>
      </c>
      <c r="P921" s="23">
        <v>-2500</v>
      </c>
      <c r="Q921" s="23">
        <v>-95</v>
      </c>
      <c r="R921" s="23">
        <v>0</v>
      </c>
      <c r="S921" s="23">
        <v>0</v>
      </c>
      <c r="T921" s="23">
        <v>0</v>
      </c>
      <c r="U921" s="23">
        <v>0</v>
      </c>
      <c r="V921" s="23">
        <v>0</v>
      </c>
      <c r="W921" s="23">
        <f t="shared" si="99"/>
        <v>1370.3999999999996</v>
      </c>
      <c r="X921" s="23">
        <f t="shared" si="100"/>
        <v>1370.3999999999996</v>
      </c>
      <c r="Y921" s="23">
        <f t="shared" si="101"/>
        <v>0</v>
      </c>
      <c r="Z921" s="23">
        <v>0</v>
      </c>
      <c r="AA921" s="23">
        <f t="shared" si="102"/>
        <v>0</v>
      </c>
      <c r="AB921" s="23">
        <f t="shared" si="103"/>
        <v>2595</v>
      </c>
      <c r="AC921" s="20"/>
      <c r="AD921" s="20" t="str">
        <f>VLOOKUP($C921,'[1]CTRL AUTOS'!$E:$AH,2,0)</f>
        <v>H99BLC</v>
      </c>
      <c r="AE921" s="11" t="str">
        <f t="shared" si="104"/>
        <v>H99BLC42</v>
      </c>
    </row>
    <row r="922" spans="1:31" ht="12.75" hidden="1" customHeight="1" x14ac:dyDescent="0.3">
      <c r="A922" s="8">
        <v>42</v>
      </c>
      <c r="B922" s="20" t="s">
        <v>292</v>
      </c>
      <c r="C922" s="20" t="s">
        <v>52</v>
      </c>
      <c r="D922" s="20" t="s">
        <v>313</v>
      </c>
      <c r="E922" s="20" t="s">
        <v>232</v>
      </c>
      <c r="F922" s="20" t="s">
        <v>232</v>
      </c>
      <c r="G922" s="20" t="s">
        <v>234</v>
      </c>
      <c r="H922" s="23">
        <v>7816.61</v>
      </c>
      <c r="I922" s="23">
        <v>-134.96</v>
      </c>
      <c r="J922" s="23">
        <v>0</v>
      </c>
      <c r="K922" s="23">
        <v>0</v>
      </c>
      <c r="L922" s="23">
        <v>-4845.76</v>
      </c>
      <c r="M922" s="23">
        <v>-38</v>
      </c>
      <c r="N922" s="23">
        <v>0</v>
      </c>
      <c r="O922" s="24">
        <f t="shared" si="98"/>
        <v>2797.8899999999994</v>
      </c>
      <c r="P922" s="23">
        <v>-2500</v>
      </c>
      <c r="Q922" s="23">
        <v>0</v>
      </c>
      <c r="R922" s="23">
        <v>0</v>
      </c>
      <c r="S922" s="23">
        <v>0</v>
      </c>
      <c r="T922" s="23">
        <v>0</v>
      </c>
      <c r="U922" s="23">
        <v>0</v>
      </c>
      <c r="V922" s="23">
        <v>0</v>
      </c>
      <c r="W922" s="23">
        <f t="shared" si="99"/>
        <v>297.88999999999942</v>
      </c>
      <c r="X922" s="23">
        <f t="shared" si="100"/>
        <v>297.88999999999942</v>
      </c>
      <c r="Y922" s="23">
        <f t="shared" si="101"/>
        <v>0</v>
      </c>
      <c r="Z922" s="23">
        <v>0</v>
      </c>
      <c r="AA922" s="23">
        <f t="shared" si="102"/>
        <v>0</v>
      </c>
      <c r="AB922" s="23">
        <f t="shared" si="103"/>
        <v>2500</v>
      </c>
      <c r="AC922" s="20"/>
      <c r="AD922" s="20" t="str">
        <f>VLOOKUP($C922,'[1]CTRL AUTOS'!$E:$AH,2,0)</f>
        <v>A35BHD</v>
      </c>
      <c r="AE922" s="11" t="str">
        <f t="shared" si="104"/>
        <v>A35BHD42</v>
      </c>
    </row>
    <row r="923" spans="1:31" ht="12.75" hidden="1" customHeight="1" x14ac:dyDescent="0.3">
      <c r="A923" s="8">
        <v>42</v>
      </c>
      <c r="B923" s="20" t="s">
        <v>424</v>
      </c>
      <c r="C923" s="20" t="s">
        <v>418</v>
      </c>
      <c r="D923" s="20" t="s">
        <v>237</v>
      </c>
      <c r="E923" s="22" t="s">
        <v>364</v>
      </c>
      <c r="F923" s="22" t="s">
        <v>364</v>
      </c>
      <c r="G923" s="20" t="s">
        <v>234</v>
      </c>
      <c r="H923" s="23">
        <v>0</v>
      </c>
      <c r="I923" s="23">
        <v>0</v>
      </c>
      <c r="J923" s="23">
        <v>0</v>
      </c>
      <c r="K923" s="23">
        <v>0</v>
      </c>
      <c r="L923" s="23">
        <v>0</v>
      </c>
      <c r="M923" s="23">
        <v>0</v>
      </c>
      <c r="N923" s="23">
        <v>0</v>
      </c>
      <c r="O923" s="24">
        <f t="shared" si="98"/>
        <v>0</v>
      </c>
      <c r="P923" s="23">
        <v>0</v>
      </c>
      <c r="Q923" s="23">
        <v>200</v>
      </c>
      <c r="R923" s="23">
        <v>0</v>
      </c>
      <c r="S923" s="23">
        <v>0</v>
      </c>
      <c r="T923" s="23">
        <v>0</v>
      </c>
      <c r="U923" s="23">
        <v>0</v>
      </c>
      <c r="V923" s="23">
        <v>0</v>
      </c>
      <c r="W923" s="23">
        <f t="shared" si="99"/>
        <v>200</v>
      </c>
      <c r="X923" s="23">
        <f t="shared" si="100"/>
        <v>200</v>
      </c>
      <c r="Y923" s="23">
        <f t="shared" si="101"/>
        <v>0</v>
      </c>
      <c r="Z923" s="23">
        <v>0</v>
      </c>
      <c r="AA923" s="23">
        <f t="shared" si="102"/>
        <v>0</v>
      </c>
      <c r="AB923" s="23">
        <f t="shared" si="103"/>
        <v>-200</v>
      </c>
      <c r="AC923" s="20" t="s">
        <v>439</v>
      </c>
      <c r="AD923" s="20" t="e">
        <f>VLOOKUP($C923,'[1]CTRL AUTOS'!$E:$AH,2,0)</f>
        <v>#N/A</v>
      </c>
      <c r="AE923" s="11" t="e">
        <f t="shared" si="104"/>
        <v>#N/A</v>
      </c>
    </row>
    <row r="924" spans="1:31" ht="12.75" hidden="1" customHeight="1" x14ac:dyDescent="0.3">
      <c r="A924" s="8">
        <v>42</v>
      </c>
      <c r="B924" s="20" t="s">
        <v>454</v>
      </c>
      <c r="C924" s="20" t="s">
        <v>4</v>
      </c>
      <c r="D924" s="20" t="s">
        <v>245</v>
      </c>
      <c r="E924" s="20" t="s">
        <v>232</v>
      </c>
      <c r="F924" s="20" t="s">
        <v>232</v>
      </c>
      <c r="G924" s="20" t="s">
        <v>234</v>
      </c>
      <c r="H924" s="23">
        <v>126.6</v>
      </c>
      <c r="I924" s="23">
        <v>-2.0299999999999998</v>
      </c>
      <c r="J924" s="23">
        <v>0</v>
      </c>
      <c r="K924" s="23">
        <v>0</v>
      </c>
      <c r="L924" s="23">
        <v>-128.19</v>
      </c>
      <c r="M924" s="23">
        <v>-25</v>
      </c>
      <c r="N924" s="23">
        <v>0</v>
      </c>
      <c r="O924" s="24">
        <f t="shared" si="98"/>
        <v>-28.620000000000005</v>
      </c>
      <c r="P924" s="23">
        <v>-1429</v>
      </c>
      <c r="Q924" s="23">
        <v>-80</v>
      </c>
      <c r="R924" s="23">
        <v>786</v>
      </c>
      <c r="S924" s="23">
        <v>0</v>
      </c>
      <c r="T924" s="23">
        <v>0</v>
      </c>
      <c r="U924" s="23">
        <v>0</v>
      </c>
      <c r="V924" s="23">
        <v>0</v>
      </c>
      <c r="W924" s="23">
        <f t="shared" si="99"/>
        <v>-751.62</v>
      </c>
      <c r="X924" s="23">
        <f t="shared" si="100"/>
        <v>0</v>
      </c>
      <c r="Y924" s="23">
        <f t="shared" si="101"/>
        <v>-751.62</v>
      </c>
      <c r="Z924" s="23">
        <v>0</v>
      </c>
      <c r="AA924" s="23">
        <f t="shared" si="102"/>
        <v>-751.62</v>
      </c>
      <c r="AB924" s="23">
        <f t="shared" si="103"/>
        <v>-780.24</v>
      </c>
      <c r="AC924" s="20" t="s">
        <v>464</v>
      </c>
      <c r="AD924" s="20" t="str">
        <f>VLOOKUP($C924,'[1]CTRL AUTOS'!$E:$AH,2,0)</f>
        <v>N15BKD</v>
      </c>
      <c r="AE924" s="11" t="str">
        <f t="shared" si="104"/>
        <v>N15BKD42</v>
      </c>
    </row>
    <row r="925" spans="1:31" ht="12.75" hidden="1" customHeight="1" x14ac:dyDescent="0.3">
      <c r="A925" s="8">
        <v>42</v>
      </c>
      <c r="B925" s="20" t="s">
        <v>57</v>
      </c>
      <c r="C925" s="20" t="s">
        <v>16</v>
      </c>
      <c r="D925" s="20" t="s">
        <v>314</v>
      </c>
      <c r="E925" s="20" t="s">
        <v>232</v>
      </c>
      <c r="F925" s="20" t="s">
        <v>232</v>
      </c>
      <c r="G925" s="20" t="s">
        <v>234</v>
      </c>
      <c r="H925" s="23">
        <v>4763.1899999999996</v>
      </c>
      <c r="I925" s="23">
        <v>-64.66</v>
      </c>
      <c r="J925" s="23">
        <v>0</v>
      </c>
      <c r="K925" s="23">
        <v>0</v>
      </c>
      <c r="L925" s="23">
        <v>-1952.44</v>
      </c>
      <c r="M925" s="23">
        <v>-42</v>
      </c>
      <c r="N925" s="23">
        <v>0</v>
      </c>
      <c r="O925" s="24">
        <f t="shared" si="98"/>
        <v>2704.0899999999997</v>
      </c>
      <c r="P925" s="23">
        <v>-2500</v>
      </c>
      <c r="Q925" s="23">
        <v>0</v>
      </c>
      <c r="R925" s="23">
        <v>0</v>
      </c>
      <c r="S925" s="23">
        <v>0</v>
      </c>
      <c r="T925" s="23">
        <v>0</v>
      </c>
      <c r="U925" s="23">
        <v>0</v>
      </c>
      <c r="V925" s="23">
        <v>0</v>
      </c>
      <c r="W925" s="23">
        <f t="shared" si="99"/>
        <v>204.08999999999969</v>
      </c>
      <c r="X925" s="23">
        <f t="shared" si="100"/>
        <v>204.08999999999969</v>
      </c>
      <c r="Y925" s="23">
        <f t="shared" si="101"/>
        <v>0</v>
      </c>
      <c r="Z925" s="23">
        <v>0</v>
      </c>
      <c r="AA925" s="23">
        <f t="shared" si="102"/>
        <v>0</v>
      </c>
      <c r="AB925" s="23">
        <f t="shared" si="103"/>
        <v>2500</v>
      </c>
      <c r="AC925" s="20"/>
      <c r="AD925" s="20" t="str">
        <f>VLOOKUP($C925,'[1]CTRL AUTOS'!$E:$AH,2,0)</f>
        <v>D28BET</v>
      </c>
      <c r="AE925" s="11" t="str">
        <f t="shared" si="104"/>
        <v>D28BET42</v>
      </c>
    </row>
    <row r="926" spans="1:31" ht="12.75" hidden="1" customHeight="1" x14ac:dyDescent="0.3">
      <c r="A926" s="8">
        <v>42</v>
      </c>
      <c r="B926" s="20" t="s">
        <v>35</v>
      </c>
      <c r="C926" s="20" t="s">
        <v>36</v>
      </c>
      <c r="D926" s="20" t="s">
        <v>273</v>
      </c>
      <c r="E926" s="20" t="s">
        <v>232</v>
      </c>
      <c r="F926" s="20" t="s">
        <v>291</v>
      </c>
      <c r="G926" s="20" t="s">
        <v>234</v>
      </c>
      <c r="H926" s="23">
        <v>7597.7</v>
      </c>
      <c r="I926" s="23">
        <v>-125.13</v>
      </c>
      <c r="J926" s="23">
        <v>0</v>
      </c>
      <c r="K926" s="23">
        <v>0</v>
      </c>
      <c r="L926" s="23">
        <v>-5245.81</v>
      </c>
      <c r="M926" s="23">
        <v>-38</v>
      </c>
      <c r="N926" s="23">
        <v>0</v>
      </c>
      <c r="O926" s="24">
        <f t="shared" si="98"/>
        <v>2188.7599999999993</v>
      </c>
      <c r="P926" s="23">
        <v>-2500</v>
      </c>
      <c r="Q926" s="23">
        <v>8</v>
      </c>
      <c r="R926" s="23">
        <v>0</v>
      </c>
      <c r="S926" s="23">
        <v>0</v>
      </c>
      <c r="T926" s="23">
        <v>0</v>
      </c>
      <c r="U926" s="23">
        <v>0</v>
      </c>
      <c r="V926" s="23">
        <v>0</v>
      </c>
      <c r="W926" s="23">
        <f t="shared" si="99"/>
        <v>-303.24000000000069</v>
      </c>
      <c r="X926" s="23">
        <f t="shared" si="100"/>
        <v>0</v>
      </c>
      <c r="Y926" s="23">
        <f t="shared" si="101"/>
        <v>-303.24000000000069</v>
      </c>
      <c r="Z926" s="23">
        <v>0</v>
      </c>
      <c r="AA926" s="23">
        <f t="shared" si="102"/>
        <v>-303.24000000000069</v>
      </c>
      <c r="AB926" s="23">
        <f t="shared" si="103"/>
        <v>1885.5199999999986</v>
      </c>
      <c r="AC926" s="20" t="s">
        <v>465</v>
      </c>
      <c r="AD926" s="20" t="str">
        <f>VLOOKUP($C926,'[1]CTRL AUTOS'!$E:$AH,2,0)</f>
        <v>MLC126A</v>
      </c>
      <c r="AE926" s="11" t="str">
        <f t="shared" si="104"/>
        <v>MLC126A42</v>
      </c>
    </row>
    <row r="927" spans="1:31" ht="12.75" hidden="1" customHeight="1" x14ac:dyDescent="0.3">
      <c r="A927" s="8">
        <v>42</v>
      </c>
      <c r="B927" s="20" t="s">
        <v>61</v>
      </c>
      <c r="C927" s="20" t="s">
        <v>34</v>
      </c>
      <c r="D927" s="20" t="s">
        <v>285</v>
      </c>
      <c r="E927" s="20" t="s">
        <v>232</v>
      </c>
      <c r="F927" s="20" t="s">
        <v>232</v>
      </c>
      <c r="G927" s="20" t="s">
        <v>234</v>
      </c>
      <c r="H927" s="23">
        <v>3119.36</v>
      </c>
      <c r="I927" s="23">
        <v>-51.82</v>
      </c>
      <c r="J927" s="23">
        <v>0</v>
      </c>
      <c r="K927" s="23">
        <v>0</v>
      </c>
      <c r="L927" s="23">
        <v>-77.53</v>
      </c>
      <c r="M927" s="23">
        <v>-38</v>
      </c>
      <c r="N927" s="23">
        <v>0</v>
      </c>
      <c r="O927" s="24">
        <f t="shared" si="98"/>
        <v>2952.0099999999998</v>
      </c>
      <c r="P927" s="23">
        <v>-2500</v>
      </c>
      <c r="Q927" s="23">
        <v>0</v>
      </c>
      <c r="R927" s="23">
        <v>-500</v>
      </c>
      <c r="S927" s="23">
        <v>0</v>
      </c>
      <c r="T927" s="23">
        <v>-700</v>
      </c>
      <c r="U927" s="23">
        <v>0</v>
      </c>
      <c r="V927" s="23">
        <v>0</v>
      </c>
      <c r="W927" s="23">
        <f t="shared" si="99"/>
        <v>-747.99000000000024</v>
      </c>
      <c r="X927" s="23">
        <f t="shared" si="100"/>
        <v>0</v>
      </c>
      <c r="Y927" s="23">
        <f t="shared" si="101"/>
        <v>-747.99000000000024</v>
      </c>
      <c r="Z927" s="23">
        <f>500+240+67</f>
        <v>807</v>
      </c>
      <c r="AA927" s="23">
        <f t="shared" si="102"/>
        <v>59.009999999999764</v>
      </c>
      <c r="AB927" s="23">
        <f t="shared" si="103"/>
        <v>3818.0199999999995</v>
      </c>
      <c r="AC927" s="20" t="s">
        <v>465</v>
      </c>
      <c r="AD927" s="20" t="str">
        <f>VLOOKUP($C927,'[1]CTRL AUTOS'!$E:$AH,2,0)</f>
        <v>X59AWG</v>
      </c>
      <c r="AE927" s="11" t="str">
        <f t="shared" si="104"/>
        <v>X59AWG42</v>
      </c>
    </row>
    <row r="928" spans="1:31" ht="12.75" hidden="1" customHeight="1" x14ac:dyDescent="0.3">
      <c r="A928" s="8">
        <v>42</v>
      </c>
      <c r="B928" s="20" t="s">
        <v>417</v>
      </c>
      <c r="C928" s="20" t="s">
        <v>428</v>
      </c>
      <c r="D928" s="20" t="s">
        <v>237</v>
      </c>
      <c r="E928" s="22" t="s">
        <v>364</v>
      </c>
      <c r="F928" s="22" t="s">
        <v>364</v>
      </c>
      <c r="G928" s="20" t="s">
        <v>234</v>
      </c>
      <c r="H928" s="23">
        <v>5864.01</v>
      </c>
      <c r="I928" s="23">
        <v>-113.38</v>
      </c>
      <c r="J928" s="23">
        <v>0</v>
      </c>
      <c r="K928" s="23">
        <v>0</v>
      </c>
      <c r="L928" s="23">
        <v>-2063.16</v>
      </c>
      <c r="M928" s="23">
        <v>0</v>
      </c>
      <c r="N928" s="23">
        <v>0</v>
      </c>
      <c r="O928" s="24">
        <f t="shared" si="98"/>
        <v>3687.4700000000003</v>
      </c>
      <c r="P928" s="23">
        <v>-2500</v>
      </c>
      <c r="Q928" s="23">
        <v>0</v>
      </c>
      <c r="R928" s="23">
        <v>-500</v>
      </c>
      <c r="S928" s="23">
        <v>0</v>
      </c>
      <c r="T928" s="23">
        <v>0</v>
      </c>
      <c r="U928" s="23">
        <v>0</v>
      </c>
      <c r="V928" s="23">
        <v>0</v>
      </c>
      <c r="W928" s="23">
        <f t="shared" si="99"/>
        <v>687.47000000000025</v>
      </c>
      <c r="X928" s="23">
        <f t="shared" si="100"/>
        <v>687.47000000000025</v>
      </c>
      <c r="Y928" s="23">
        <f t="shared" si="101"/>
        <v>0</v>
      </c>
      <c r="Z928" s="23">
        <v>0</v>
      </c>
      <c r="AA928" s="23">
        <f t="shared" si="102"/>
        <v>0</v>
      </c>
      <c r="AB928" s="23">
        <f t="shared" si="103"/>
        <v>3000</v>
      </c>
      <c r="AC928" s="20"/>
      <c r="AD928" s="20" t="e">
        <f>VLOOKUP($C928,'[1]CTRL AUTOS'!$E:$AH,2,0)</f>
        <v>#N/A</v>
      </c>
      <c r="AE928" s="11" t="e">
        <f t="shared" si="104"/>
        <v>#N/A</v>
      </c>
    </row>
    <row r="929" spans="1:31" ht="12.75" hidden="1" customHeight="1" x14ac:dyDescent="0.3">
      <c r="A929" s="8">
        <v>42</v>
      </c>
      <c r="B929" s="20" t="s">
        <v>45</v>
      </c>
      <c r="C929" s="20" t="s">
        <v>46</v>
      </c>
      <c r="D929" s="20" t="s">
        <v>257</v>
      </c>
      <c r="E929" s="20" t="s">
        <v>232</v>
      </c>
      <c r="F929" s="20" t="s">
        <v>232</v>
      </c>
      <c r="G929" s="20" t="s">
        <v>234</v>
      </c>
      <c r="H929" s="23">
        <v>3921.7</v>
      </c>
      <c r="I929" s="23">
        <v>-75.599999999999994</v>
      </c>
      <c r="J929" s="23">
        <v>-13.76</v>
      </c>
      <c r="K929" s="23">
        <v>0</v>
      </c>
      <c r="L929" s="23">
        <v>-1664.58</v>
      </c>
      <c r="M929" s="23">
        <v>-38</v>
      </c>
      <c r="N929" s="23">
        <v>0</v>
      </c>
      <c r="O929" s="24">
        <f t="shared" si="98"/>
        <v>2129.7599999999998</v>
      </c>
      <c r="P929" s="23">
        <v>-2500</v>
      </c>
      <c r="Q929" s="23">
        <v>0</v>
      </c>
      <c r="R929" s="23">
        <v>0</v>
      </c>
      <c r="S929" s="23">
        <v>0</v>
      </c>
      <c r="T929" s="23">
        <v>0</v>
      </c>
      <c r="U929" s="23">
        <v>-500</v>
      </c>
      <c r="V929" s="23">
        <v>0</v>
      </c>
      <c r="W929" s="23">
        <f t="shared" si="99"/>
        <v>-870.24000000000024</v>
      </c>
      <c r="X929" s="23">
        <f t="shared" si="100"/>
        <v>0</v>
      </c>
      <c r="Y929" s="23">
        <f t="shared" si="101"/>
        <v>-870.24000000000024</v>
      </c>
      <c r="Z929" s="23">
        <v>870</v>
      </c>
      <c r="AA929" s="23">
        <f t="shared" si="102"/>
        <v>-0.24000000000023647</v>
      </c>
      <c r="AB929" s="23">
        <f t="shared" si="103"/>
        <v>2999.5199999999995</v>
      </c>
      <c r="AC929" s="20"/>
      <c r="AD929" s="20" t="str">
        <f>VLOOKUP($C929,'[1]CTRL AUTOS'!$E:$AH,2,0)</f>
        <v>R66BER</v>
      </c>
      <c r="AE929" s="11" t="str">
        <f t="shared" si="104"/>
        <v>R66BER42</v>
      </c>
    </row>
    <row r="930" spans="1:31" ht="12.75" hidden="1" customHeight="1" x14ac:dyDescent="0.3">
      <c r="A930" s="8">
        <v>42</v>
      </c>
      <c r="B930" s="20" t="s">
        <v>5</v>
      </c>
      <c r="C930" s="20" t="s">
        <v>28</v>
      </c>
      <c r="D930" s="20" t="s">
        <v>274</v>
      </c>
      <c r="E930" s="20" t="s">
        <v>232</v>
      </c>
      <c r="F930" s="20" t="s">
        <v>232</v>
      </c>
      <c r="G930" s="20" t="s">
        <v>234</v>
      </c>
      <c r="H930" s="23">
        <v>3136.37</v>
      </c>
      <c r="I930" s="23">
        <v>-58.13</v>
      </c>
      <c r="J930" s="23">
        <v>238.02</v>
      </c>
      <c r="K930" s="23">
        <v>0</v>
      </c>
      <c r="L930" s="23">
        <v>-227.24</v>
      </c>
      <c r="M930" s="23">
        <f>-32-2</f>
        <v>-34</v>
      </c>
      <c r="N930" s="23">
        <v>-8.49</v>
      </c>
      <c r="O930" s="24">
        <f t="shared" si="98"/>
        <v>3046.5299999999997</v>
      </c>
      <c r="P930" s="23">
        <v>-2500</v>
      </c>
      <c r="Q930" s="23">
        <v>-995</v>
      </c>
      <c r="R930" s="23">
        <v>0</v>
      </c>
      <c r="S930" s="23">
        <v>0</v>
      </c>
      <c r="T930" s="23">
        <v>0</v>
      </c>
      <c r="U930" s="23">
        <v>0</v>
      </c>
      <c r="V930" s="23">
        <v>0</v>
      </c>
      <c r="W930" s="23">
        <f t="shared" si="99"/>
        <v>-448.47000000000025</v>
      </c>
      <c r="X930" s="23">
        <f t="shared" si="100"/>
        <v>0</v>
      </c>
      <c r="Y930" s="23">
        <f t="shared" si="101"/>
        <v>-448.47000000000025</v>
      </c>
      <c r="Z930" s="23">
        <v>0</v>
      </c>
      <c r="AA930" s="23">
        <f t="shared" si="102"/>
        <v>-448.47000000000025</v>
      </c>
      <c r="AB930" s="23">
        <f t="shared" si="103"/>
        <v>2598.0599999999995</v>
      </c>
      <c r="AC930" s="20" t="s">
        <v>465</v>
      </c>
      <c r="AD930" s="20" t="str">
        <f>VLOOKUP($C930,'[1]CTRL AUTOS'!$E:$AH,2,0)</f>
        <v>NCT814A</v>
      </c>
      <c r="AE930" s="11" t="str">
        <f t="shared" si="104"/>
        <v>NCT814A42</v>
      </c>
    </row>
    <row r="931" spans="1:31" ht="12.75" hidden="1" customHeight="1" x14ac:dyDescent="0.3">
      <c r="A931" s="8">
        <v>42</v>
      </c>
      <c r="B931" s="20" t="s">
        <v>49</v>
      </c>
      <c r="C931" s="20" t="s">
        <v>104</v>
      </c>
      <c r="D931" s="20" t="s">
        <v>402</v>
      </c>
      <c r="E931" s="20" t="s">
        <v>364</v>
      </c>
      <c r="F931" s="22" t="s">
        <v>364</v>
      </c>
      <c r="G931" s="20" t="s">
        <v>234</v>
      </c>
      <c r="H931" s="23">
        <v>0</v>
      </c>
      <c r="I931" s="23">
        <v>0</v>
      </c>
      <c r="J931" s="23">
        <v>9.7899999999999991</v>
      </c>
      <c r="K931" s="23">
        <v>0</v>
      </c>
      <c r="L931" s="23">
        <v>0</v>
      </c>
      <c r="M931" s="23">
        <v>0</v>
      </c>
      <c r="N931" s="23">
        <v>0</v>
      </c>
      <c r="O931" s="24">
        <f t="shared" si="98"/>
        <v>9.7899999999999991</v>
      </c>
      <c r="P931" s="23">
        <v>0</v>
      </c>
      <c r="Q931" s="23">
        <v>0</v>
      </c>
      <c r="R931" s="23">
        <v>0</v>
      </c>
      <c r="S931" s="23">
        <v>0</v>
      </c>
      <c r="T931" s="23">
        <v>0</v>
      </c>
      <c r="U931" s="23">
        <v>0</v>
      </c>
      <c r="V931" s="23">
        <v>0</v>
      </c>
      <c r="W931" s="23">
        <f t="shared" si="99"/>
        <v>9.7899999999999991</v>
      </c>
      <c r="X931" s="23">
        <f t="shared" si="100"/>
        <v>9.7899999999999991</v>
      </c>
      <c r="Y931" s="23">
        <f t="shared" si="101"/>
        <v>0</v>
      </c>
      <c r="Z931" s="23">
        <v>0</v>
      </c>
      <c r="AA931" s="23">
        <f t="shared" si="102"/>
        <v>0</v>
      </c>
      <c r="AB931" s="23">
        <f t="shared" si="103"/>
        <v>0</v>
      </c>
      <c r="AC931" s="20"/>
      <c r="AD931" s="20" t="e">
        <f>VLOOKUP($C931,'[1]CTRL AUTOS'!$E:$AH,2,0)</f>
        <v>#N/A</v>
      </c>
      <c r="AE931" s="11" t="e">
        <f t="shared" si="104"/>
        <v>#N/A</v>
      </c>
    </row>
    <row r="932" spans="1:31" ht="12.75" hidden="1" customHeight="1" x14ac:dyDescent="0.3">
      <c r="A932" s="8">
        <v>42</v>
      </c>
      <c r="B932" s="20" t="s">
        <v>362</v>
      </c>
      <c r="C932" s="20" t="s">
        <v>50</v>
      </c>
      <c r="D932" s="20" t="s">
        <v>267</v>
      </c>
      <c r="E932" s="20" t="s">
        <v>232</v>
      </c>
      <c r="F932" s="20" t="s">
        <v>232</v>
      </c>
      <c r="G932" s="20" t="s">
        <v>234</v>
      </c>
      <c r="H932" s="23">
        <v>3735.14</v>
      </c>
      <c r="I932" s="23">
        <v>-70.63</v>
      </c>
      <c r="J932" s="23">
        <v>0</v>
      </c>
      <c r="K932" s="23">
        <v>0</v>
      </c>
      <c r="L932" s="23">
        <v>-893.3</v>
      </c>
      <c r="M932" s="23">
        <f>-42</f>
        <v>-42</v>
      </c>
      <c r="N932" s="23">
        <v>0</v>
      </c>
      <c r="O932" s="24">
        <f t="shared" si="98"/>
        <v>2729.21</v>
      </c>
      <c r="P932" s="23">
        <v>-2500</v>
      </c>
      <c r="Q932" s="23">
        <v>-2255</v>
      </c>
      <c r="R932" s="23">
        <v>0</v>
      </c>
      <c r="S932" s="23">
        <v>0</v>
      </c>
      <c r="T932" s="23">
        <v>0</v>
      </c>
      <c r="U932" s="23">
        <v>0</v>
      </c>
      <c r="V932" s="23">
        <v>0</v>
      </c>
      <c r="W932" s="23">
        <f t="shared" si="99"/>
        <v>-2025.79</v>
      </c>
      <c r="X932" s="23">
        <f t="shared" si="100"/>
        <v>0</v>
      </c>
      <c r="Y932" s="23">
        <f t="shared" si="101"/>
        <v>-2025.79</v>
      </c>
      <c r="Z932" s="23">
        <f>500+2000</f>
        <v>2500</v>
      </c>
      <c r="AA932" s="23">
        <f t="shared" si="102"/>
        <v>474.21000000000004</v>
      </c>
      <c r="AB932" s="23">
        <f t="shared" si="103"/>
        <v>5703.42</v>
      </c>
      <c r="AC932" s="20" t="s">
        <v>435</v>
      </c>
      <c r="AD932" s="20" t="str">
        <f>VLOOKUP($C932,'[1]CTRL AUTOS'!$E:$AH,2,0)</f>
        <v>NBS225A</v>
      </c>
      <c r="AE932" s="11" t="str">
        <f t="shared" si="104"/>
        <v>NBS225A42</v>
      </c>
    </row>
    <row r="933" spans="1:31" ht="12.75" hidden="1" customHeight="1" x14ac:dyDescent="0.3">
      <c r="A933" s="8">
        <v>42</v>
      </c>
      <c r="B933" s="20" t="s">
        <v>414</v>
      </c>
      <c r="C933" s="20" t="s">
        <v>59</v>
      </c>
      <c r="D933" s="20" t="s">
        <v>237</v>
      </c>
      <c r="E933" s="22" t="s">
        <v>232</v>
      </c>
      <c r="F933" s="20" t="s">
        <v>291</v>
      </c>
      <c r="G933" s="20" t="s">
        <v>234</v>
      </c>
      <c r="H933" s="23">
        <v>9006.7099999999991</v>
      </c>
      <c r="I933" s="23">
        <v>-152.97</v>
      </c>
      <c r="J933" s="23">
        <v>0</v>
      </c>
      <c r="K933" s="23">
        <v>0</v>
      </c>
      <c r="L933" s="23">
        <v>0</v>
      </c>
      <c r="M933" s="23">
        <v>0</v>
      </c>
      <c r="N933" s="23">
        <v>0</v>
      </c>
      <c r="O933" s="24">
        <f t="shared" si="98"/>
        <v>8853.74</v>
      </c>
      <c r="P933" s="23">
        <v>-2500</v>
      </c>
      <c r="Q933" s="23">
        <v>0</v>
      </c>
      <c r="R933" s="23">
        <v>0</v>
      </c>
      <c r="S933" s="23">
        <v>0</v>
      </c>
      <c r="T933" s="23">
        <v>0</v>
      </c>
      <c r="U933" s="23">
        <v>0</v>
      </c>
      <c r="V933" s="23">
        <v>0</v>
      </c>
      <c r="W933" s="23">
        <f t="shared" si="99"/>
        <v>6353.74</v>
      </c>
      <c r="X933" s="23">
        <f t="shared" si="100"/>
        <v>6353.74</v>
      </c>
      <c r="Y933" s="23">
        <f t="shared" si="101"/>
        <v>0</v>
      </c>
      <c r="Z933" s="23">
        <v>0</v>
      </c>
      <c r="AA933" s="23">
        <f t="shared" si="102"/>
        <v>0</v>
      </c>
      <c r="AB933" s="23">
        <f t="shared" si="103"/>
        <v>2500</v>
      </c>
      <c r="AC933" s="20"/>
      <c r="AD933" s="20" t="str">
        <f>VLOOKUP($C933,'[1]CTRL AUTOS'!$E:$AH,2,0)</f>
        <v>P62BHW</v>
      </c>
      <c r="AE933" s="11" t="str">
        <f t="shared" si="104"/>
        <v>P62BHW42</v>
      </c>
    </row>
    <row r="934" spans="1:31" ht="12.75" hidden="1" customHeight="1" x14ac:dyDescent="0.3">
      <c r="A934" s="8">
        <v>42</v>
      </c>
      <c r="B934" s="20" t="s">
        <v>74</v>
      </c>
      <c r="C934" s="20" t="s">
        <v>77</v>
      </c>
      <c r="D934" s="20" t="s">
        <v>237</v>
      </c>
      <c r="E934" s="22" t="s">
        <v>232</v>
      </c>
      <c r="F934" s="20" t="s">
        <v>291</v>
      </c>
      <c r="G934" s="20" t="s">
        <v>234</v>
      </c>
      <c r="H934" s="23">
        <v>6499.73</v>
      </c>
      <c r="I934" s="23">
        <v>-106.35</v>
      </c>
      <c r="J934" s="23">
        <v>38.39</v>
      </c>
      <c r="K934" s="23">
        <v>0</v>
      </c>
      <c r="L934" s="23">
        <v>-3463.08</v>
      </c>
      <c r="M934" s="23">
        <v>-32</v>
      </c>
      <c r="N934" s="23">
        <v>0</v>
      </c>
      <c r="O934" s="24">
        <f t="shared" si="98"/>
        <v>2936.6899999999996</v>
      </c>
      <c r="P934" s="23">
        <v>-2500</v>
      </c>
      <c r="Q934" s="23">
        <v>0</v>
      </c>
      <c r="R934" s="23">
        <v>0</v>
      </c>
      <c r="S934" s="23">
        <v>0</v>
      </c>
      <c r="T934" s="23">
        <v>0</v>
      </c>
      <c r="U934" s="23">
        <v>0</v>
      </c>
      <c r="V934" s="23">
        <v>0</v>
      </c>
      <c r="W934" s="23">
        <f t="shared" si="99"/>
        <v>436.6899999999996</v>
      </c>
      <c r="X934" s="23">
        <f t="shared" si="100"/>
        <v>436.6899999999996</v>
      </c>
      <c r="Y934" s="23">
        <f t="shared" si="101"/>
        <v>0</v>
      </c>
      <c r="Z934" s="23">
        <v>0</v>
      </c>
      <c r="AA934" s="23">
        <f t="shared" si="102"/>
        <v>0</v>
      </c>
      <c r="AB934" s="23">
        <f t="shared" si="103"/>
        <v>2500</v>
      </c>
      <c r="AC934" s="20"/>
      <c r="AD934" s="20" t="str">
        <f>VLOOKUP($C934,'[1]CTRL AUTOS'!$E:$AH,2,0)</f>
        <v>MEE228C</v>
      </c>
      <c r="AE934" s="11" t="str">
        <f t="shared" si="104"/>
        <v>MEE228C42</v>
      </c>
    </row>
    <row r="935" spans="1:31" ht="12.75" hidden="1" customHeight="1" x14ac:dyDescent="0.3">
      <c r="A935" s="8">
        <v>42</v>
      </c>
      <c r="B935" s="20" t="s">
        <v>51</v>
      </c>
      <c r="C935" s="20" t="s">
        <v>106</v>
      </c>
      <c r="D935" s="20" t="s">
        <v>322</v>
      </c>
      <c r="E935" s="20" t="s">
        <v>232</v>
      </c>
      <c r="F935" s="20" t="s">
        <v>232</v>
      </c>
      <c r="G935" s="20" t="s">
        <v>234</v>
      </c>
      <c r="H935" s="23">
        <v>4949.57</v>
      </c>
      <c r="I935" s="23">
        <v>-89.72</v>
      </c>
      <c r="J935" s="23">
        <v>9.7899999999999991</v>
      </c>
      <c r="K935" s="23">
        <v>-34.03</v>
      </c>
      <c r="L935" s="23">
        <v>0</v>
      </c>
      <c r="M935" s="23">
        <v>-36</v>
      </c>
      <c r="N935" s="23">
        <v>0</v>
      </c>
      <c r="O935" s="24">
        <f t="shared" si="98"/>
        <v>4799.6099999999997</v>
      </c>
      <c r="P935" s="23">
        <v>-2500</v>
      </c>
      <c r="Q935" s="23">
        <v>0</v>
      </c>
      <c r="R935" s="23">
        <v>-500</v>
      </c>
      <c r="S935" s="23">
        <v>0</v>
      </c>
      <c r="T935" s="23">
        <v>0</v>
      </c>
      <c r="U935" s="23">
        <v>0</v>
      </c>
      <c r="V935" s="23">
        <v>0</v>
      </c>
      <c r="W935" s="23">
        <f t="shared" si="99"/>
        <v>1799.6099999999997</v>
      </c>
      <c r="X935" s="23">
        <f t="shared" si="100"/>
        <v>1799.6099999999997</v>
      </c>
      <c r="Y935" s="23">
        <f t="shared" si="101"/>
        <v>0</v>
      </c>
      <c r="Z935" s="23">
        <v>0</v>
      </c>
      <c r="AA935" s="23">
        <f t="shared" si="102"/>
        <v>0</v>
      </c>
      <c r="AB935" s="23">
        <f t="shared" si="103"/>
        <v>3000</v>
      </c>
      <c r="AC935" s="20"/>
      <c r="AD935" s="20" t="str">
        <f>VLOOKUP($C935,'[1]CTRL AUTOS'!$E:$AH,2,0)</f>
        <v>NZU5163</v>
      </c>
      <c r="AE935" s="11" t="str">
        <f t="shared" si="104"/>
        <v>NZU516342</v>
      </c>
    </row>
    <row r="936" spans="1:31" ht="12.75" hidden="1" customHeight="1" x14ac:dyDescent="0.3">
      <c r="A936" s="8">
        <v>42</v>
      </c>
      <c r="B936" s="20" t="s">
        <v>98</v>
      </c>
      <c r="C936" s="20" t="s">
        <v>168</v>
      </c>
      <c r="D936" s="20" t="s">
        <v>265</v>
      </c>
      <c r="E936" s="20" t="s">
        <v>232</v>
      </c>
      <c r="F936" s="20" t="s">
        <v>232</v>
      </c>
      <c r="G936" s="20" t="s">
        <v>234</v>
      </c>
      <c r="H936" s="23">
        <v>1205.5899999999999</v>
      </c>
      <c r="I936" s="23">
        <v>-23.39</v>
      </c>
      <c r="J936" s="23">
        <v>0</v>
      </c>
      <c r="K936" s="23">
        <v>0</v>
      </c>
      <c r="L936" s="23">
        <v>0</v>
      </c>
      <c r="M936" s="23">
        <f>-32-12</f>
        <v>-44</v>
      </c>
      <c r="N936" s="23">
        <v>-49</v>
      </c>
      <c r="O936" s="24">
        <f t="shared" si="98"/>
        <v>1089.1999999999998</v>
      </c>
      <c r="P936" s="23">
        <v>-2500</v>
      </c>
      <c r="Q936" s="23">
        <v>0</v>
      </c>
      <c r="R936" s="23">
        <v>0</v>
      </c>
      <c r="S936" s="23">
        <v>0</v>
      </c>
      <c r="T936" s="23">
        <v>0</v>
      </c>
      <c r="U936" s="23">
        <v>0</v>
      </c>
      <c r="V936" s="23">
        <v>0</v>
      </c>
      <c r="W936" s="23">
        <f t="shared" si="99"/>
        <v>-1410.8000000000002</v>
      </c>
      <c r="X936" s="23">
        <f t="shared" si="100"/>
        <v>0</v>
      </c>
      <c r="Y936" s="23">
        <f t="shared" si="101"/>
        <v>-1410.8000000000002</v>
      </c>
      <c r="Z936" s="23">
        <v>0</v>
      </c>
      <c r="AA936" s="23">
        <f t="shared" si="102"/>
        <v>-1410.8000000000002</v>
      </c>
      <c r="AB936" s="23">
        <f t="shared" si="103"/>
        <v>-321.60000000000036</v>
      </c>
      <c r="AC936" s="20"/>
      <c r="AD936" s="20" t="e">
        <f>VLOOKUP($C936,'[1]CTRL AUTOS'!$E:$AH,2,0)</f>
        <v>#N/A</v>
      </c>
      <c r="AE936" s="11" t="e">
        <f t="shared" si="104"/>
        <v>#N/A</v>
      </c>
    </row>
    <row r="937" spans="1:31" ht="12.75" hidden="1" customHeight="1" x14ac:dyDescent="0.3">
      <c r="A937" s="8">
        <v>42</v>
      </c>
      <c r="B937" s="20" t="s">
        <v>78</v>
      </c>
      <c r="C937" s="44" t="s">
        <v>79</v>
      </c>
      <c r="D937" s="20" t="s">
        <v>250</v>
      </c>
      <c r="E937" s="20" t="s">
        <v>291</v>
      </c>
      <c r="F937" s="20" t="s">
        <v>291</v>
      </c>
      <c r="G937" s="20" t="s">
        <v>234</v>
      </c>
      <c r="H937" s="23">
        <v>4025.16</v>
      </c>
      <c r="I937" s="23">
        <v>-83.53</v>
      </c>
      <c r="J937" s="23">
        <v>0</v>
      </c>
      <c r="K937" s="23">
        <v>-34.35</v>
      </c>
      <c r="L937" s="23">
        <v>-395.98</v>
      </c>
      <c r="M937" s="23">
        <v>-38</v>
      </c>
      <c r="N937" s="23">
        <v>0</v>
      </c>
      <c r="O937" s="24">
        <f t="shared" si="98"/>
        <v>3473.2999999999997</v>
      </c>
      <c r="P937" s="23">
        <v>-2500</v>
      </c>
      <c r="Q937" s="23">
        <v>-700</v>
      </c>
      <c r="R937" s="23">
        <v>-500</v>
      </c>
      <c r="S937" s="23">
        <v>0</v>
      </c>
      <c r="T937" s="23">
        <v>0</v>
      </c>
      <c r="U937" s="23">
        <v>0</v>
      </c>
      <c r="V937" s="23">
        <v>0</v>
      </c>
      <c r="W937" s="23">
        <f t="shared" si="99"/>
        <v>-226.70000000000027</v>
      </c>
      <c r="X937" s="23">
        <f t="shared" si="100"/>
        <v>0</v>
      </c>
      <c r="Y937" s="23">
        <f t="shared" si="101"/>
        <v>-226.70000000000027</v>
      </c>
      <c r="Z937" s="23">
        <v>227</v>
      </c>
      <c r="AA937" s="23">
        <f t="shared" si="102"/>
        <v>0.29999999999972715</v>
      </c>
      <c r="AB937" s="23">
        <f t="shared" si="103"/>
        <v>3700.5999999999995</v>
      </c>
      <c r="AC937" s="20"/>
      <c r="AD937" s="20" t="str">
        <f>VLOOKUP($C937,'[1]CTRL AUTOS'!$E:$AH,2,0)</f>
        <v>MAY737C</v>
      </c>
      <c r="AE937" s="11" t="str">
        <f t="shared" si="104"/>
        <v>MAY737C42</v>
      </c>
    </row>
    <row r="938" spans="1:31" ht="12.75" hidden="1" customHeight="1" x14ac:dyDescent="0.3">
      <c r="A938" s="8">
        <v>42</v>
      </c>
      <c r="B938" s="20" t="s">
        <v>462</v>
      </c>
      <c r="C938" s="20" t="s">
        <v>418</v>
      </c>
      <c r="D938" s="20" t="s">
        <v>237</v>
      </c>
      <c r="E938" s="20" t="s">
        <v>364</v>
      </c>
      <c r="F938" s="22" t="s">
        <v>364</v>
      </c>
      <c r="G938" s="20" t="s">
        <v>234</v>
      </c>
      <c r="H938" s="23">
        <v>3969.31</v>
      </c>
      <c r="I938" s="23">
        <v>-57.3</v>
      </c>
      <c r="J938" s="23">
        <v>0</v>
      </c>
      <c r="K938" s="23">
        <v>0</v>
      </c>
      <c r="L938" s="23">
        <v>-1997.32</v>
      </c>
      <c r="M938" s="23">
        <v>0</v>
      </c>
      <c r="N938" s="23">
        <v>0</v>
      </c>
      <c r="O938" s="24">
        <f t="shared" si="98"/>
        <v>1914.6899999999998</v>
      </c>
      <c r="P938" s="23">
        <v>-2500</v>
      </c>
      <c r="Q938" s="23">
        <v>0</v>
      </c>
      <c r="R938" s="23">
        <v>0</v>
      </c>
      <c r="S938" s="23">
        <v>0</v>
      </c>
      <c r="T938" s="23">
        <v>0</v>
      </c>
      <c r="U938" s="23">
        <v>0</v>
      </c>
      <c r="V938" s="23">
        <v>0</v>
      </c>
      <c r="W938" s="23">
        <f t="shared" si="99"/>
        <v>-585.31000000000017</v>
      </c>
      <c r="X938" s="23">
        <f t="shared" si="100"/>
        <v>0</v>
      </c>
      <c r="Y938" s="23">
        <f t="shared" si="101"/>
        <v>-585.31000000000017</v>
      </c>
      <c r="Z938" s="23">
        <v>0</v>
      </c>
      <c r="AA938" s="23">
        <f t="shared" si="102"/>
        <v>-585.31000000000017</v>
      </c>
      <c r="AB938" s="23">
        <f t="shared" si="103"/>
        <v>1329.3799999999997</v>
      </c>
      <c r="AC938" s="20"/>
      <c r="AD938" s="20" t="e">
        <f>VLOOKUP($C938,'[1]CTRL AUTOS'!$E:$AH,2,0)</f>
        <v>#N/A</v>
      </c>
      <c r="AE938" s="11" t="e">
        <f t="shared" si="104"/>
        <v>#N/A</v>
      </c>
    </row>
    <row r="939" spans="1:31" ht="12.75" hidden="1" customHeight="1" x14ac:dyDescent="0.3">
      <c r="A939" s="8">
        <v>42</v>
      </c>
      <c r="B939" s="20" t="s">
        <v>37</v>
      </c>
      <c r="C939" s="20" t="s">
        <v>40</v>
      </c>
      <c r="D939" s="20" t="s">
        <v>237</v>
      </c>
      <c r="E939" s="20" t="s">
        <v>232</v>
      </c>
      <c r="F939" s="20" t="s">
        <v>232</v>
      </c>
      <c r="G939" s="20" t="s">
        <v>234</v>
      </c>
      <c r="H939" s="23">
        <v>4073.48</v>
      </c>
      <c r="I939" s="23">
        <v>-64.02</v>
      </c>
      <c r="J939" s="23">
        <v>42</v>
      </c>
      <c r="K939" s="23">
        <v>0</v>
      </c>
      <c r="L939" s="23">
        <v>-232.37</v>
      </c>
      <c r="M939" s="24">
        <v>-38</v>
      </c>
      <c r="N939" s="23">
        <v>0</v>
      </c>
      <c r="O939" s="24">
        <f t="shared" si="98"/>
        <v>3781.09</v>
      </c>
      <c r="P939" s="23">
        <v>-2500</v>
      </c>
      <c r="Q939" s="23">
        <v>-2651</v>
      </c>
      <c r="R939" s="23">
        <v>0</v>
      </c>
      <c r="S939" s="23">
        <v>0</v>
      </c>
      <c r="T939" s="23">
        <v>0</v>
      </c>
      <c r="U939" s="23">
        <v>0</v>
      </c>
      <c r="V939" s="23">
        <v>0</v>
      </c>
      <c r="W939" s="23">
        <f t="shared" si="99"/>
        <v>-1369.9099999999999</v>
      </c>
      <c r="X939" s="23">
        <f t="shared" si="100"/>
        <v>0</v>
      </c>
      <c r="Y939" s="23">
        <f t="shared" si="101"/>
        <v>-1369.9099999999999</v>
      </c>
      <c r="Z939" s="23">
        <v>0</v>
      </c>
      <c r="AA939" s="23">
        <f t="shared" si="102"/>
        <v>-1369.9099999999999</v>
      </c>
      <c r="AB939" s="23">
        <f t="shared" si="103"/>
        <v>2411.1800000000003</v>
      </c>
      <c r="AC939" s="20"/>
      <c r="AD939" s="20" t="str">
        <f>VLOOKUP($C939,'[1]CTRL AUTOS'!$E:$AH,2,0)</f>
        <v>NEL860A</v>
      </c>
      <c r="AE939" s="11" t="str">
        <f t="shared" si="104"/>
        <v>NEL860A42</v>
      </c>
    </row>
    <row r="940" spans="1:31" ht="12.75" hidden="1" customHeight="1" x14ac:dyDescent="0.3">
      <c r="A940" s="8">
        <v>42</v>
      </c>
      <c r="B940" s="20" t="s">
        <v>60</v>
      </c>
      <c r="C940" s="41" t="s">
        <v>42</v>
      </c>
      <c r="D940" s="20" t="s">
        <v>237</v>
      </c>
      <c r="E940" s="20" t="s">
        <v>232</v>
      </c>
      <c r="F940" s="20" t="s">
        <v>232</v>
      </c>
      <c r="G940" s="20" t="s">
        <v>234</v>
      </c>
      <c r="H940" s="23">
        <v>1033.5899999999999</v>
      </c>
      <c r="I940" s="23">
        <v>-16.22</v>
      </c>
      <c r="J940" s="23">
        <v>0</v>
      </c>
      <c r="K940" s="23">
        <v>0</v>
      </c>
      <c r="L940" s="23">
        <v>0</v>
      </c>
      <c r="M940" s="24">
        <v>-25</v>
      </c>
      <c r="N940" s="23">
        <v>0</v>
      </c>
      <c r="O940" s="24">
        <f t="shared" si="98"/>
        <v>992.36999999999989</v>
      </c>
      <c r="P940" s="23">
        <v>-536</v>
      </c>
      <c r="Q940" s="23">
        <v>0</v>
      </c>
      <c r="R940" s="23">
        <v>-107</v>
      </c>
      <c r="S940" s="23">
        <v>0</v>
      </c>
      <c r="T940" s="23">
        <v>0</v>
      </c>
      <c r="U940" s="23">
        <v>0</v>
      </c>
      <c r="V940" s="23">
        <v>0</v>
      </c>
      <c r="W940" s="23">
        <f t="shared" si="99"/>
        <v>349.36999999999989</v>
      </c>
      <c r="X940" s="23">
        <f t="shared" si="100"/>
        <v>349.36999999999989</v>
      </c>
      <c r="Y940" s="23">
        <f t="shared" si="101"/>
        <v>0</v>
      </c>
      <c r="Z940" s="23">
        <v>0</v>
      </c>
      <c r="AA940" s="23">
        <f t="shared" si="102"/>
        <v>0</v>
      </c>
      <c r="AB940" s="23">
        <f t="shared" si="103"/>
        <v>643</v>
      </c>
      <c r="AC940" s="20"/>
      <c r="AD940" s="20" t="str">
        <f>VLOOKUP($C940,'[1]CTRL AUTOS'!$E:$AH,2,0)</f>
        <v>MMA672C</v>
      </c>
      <c r="AE940" s="11" t="str">
        <f t="shared" si="104"/>
        <v>MMA672C42</v>
      </c>
    </row>
    <row r="941" spans="1:31" ht="12.75" hidden="1" customHeight="1" x14ac:dyDescent="0.3">
      <c r="A941" s="8">
        <v>42</v>
      </c>
      <c r="B941" s="20" t="s">
        <v>13</v>
      </c>
      <c r="C941" s="20" t="s">
        <v>30</v>
      </c>
      <c r="D941" s="20" t="s">
        <v>237</v>
      </c>
      <c r="E941" s="20" t="s">
        <v>232</v>
      </c>
      <c r="F941" s="20" t="s">
        <v>291</v>
      </c>
      <c r="G941" s="20" t="s">
        <v>234</v>
      </c>
      <c r="H941" s="23">
        <v>6837.41</v>
      </c>
      <c r="I941" s="23">
        <v>-180.11</v>
      </c>
      <c r="J941" s="23">
        <v>0</v>
      </c>
      <c r="K941" s="23">
        <v>0</v>
      </c>
      <c r="L941" s="23">
        <v>0</v>
      </c>
      <c r="M941" s="24">
        <v>0</v>
      </c>
      <c r="N941" s="23">
        <v>0</v>
      </c>
      <c r="O941" s="24">
        <f t="shared" si="98"/>
        <v>6657.3</v>
      </c>
      <c r="P941" s="23">
        <v>-1680</v>
      </c>
      <c r="Q941" s="23">
        <v>0</v>
      </c>
      <c r="R941" s="23">
        <v>-500</v>
      </c>
      <c r="S941" s="23">
        <v>0</v>
      </c>
      <c r="T941" s="23">
        <v>0</v>
      </c>
      <c r="U941" s="23">
        <v>0</v>
      </c>
      <c r="V941" s="23">
        <v>0</v>
      </c>
      <c r="W941" s="23">
        <f t="shared" si="99"/>
        <v>4477.3</v>
      </c>
      <c r="X941" s="23">
        <f t="shared" si="100"/>
        <v>4477.3</v>
      </c>
      <c r="Y941" s="23">
        <f t="shared" si="101"/>
        <v>0</v>
      </c>
      <c r="Z941" s="23">
        <v>0</v>
      </c>
      <c r="AA941" s="23">
        <f t="shared" si="102"/>
        <v>0</v>
      </c>
      <c r="AB941" s="23">
        <f t="shared" si="103"/>
        <v>2180</v>
      </c>
      <c r="AC941" s="20"/>
      <c r="AD941" s="20" t="str">
        <f>VLOOKUP($C941,'[1]CTRL AUTOS'!$E:$AH,2,0)</f>
        <v>D51BHV</v>
      </c>
      <c r="AE941" s="11" t="str">
        <f t="shared" si="104"/>
        <v>D51BHV42</v>
      </c>
    </row>
    <row r="942" spans="1:31" ht="12.75" hidden="1" customHeight="1" x14ac:dyDescent="0.3">
      <c r="A942" s="8">
        <v>42</v>
      </c>
      <c r="B942" s="20" t="s">
        <v>49</v>
      </c>
      <c r="C942" s="20" t="s">
        <v>75</v>
      </c>
      <c r="D942" s="20" t="s">
        <v>237</v>
      </c>
      <c r="E942" s="22" t="s">
        <v>241</v>
      </c>
      <c r="F942" s="20" t="s">
        <v>291</v>
      </c>
      <c r="G942" s="20" t="s">
        <v>234</v>
      </c>
      <c r="H942" s="23">
        <v>4697.21</v>
      </c>
      <c r="I942" s="23">
        <v>-108.21</v>
      </c>
      <c r="J942" s="23">
        <v>0</v>
      </c>
      <c r="K942" s="23">
        <v>0</v>
      </c>
      <c r="L942" s="23">
        <v>0</v>
      </c>
      <c r="M942" s="24">
        <v>-32</v>
      </c>
      <c r="N942" s="23">
        <v>0</v>
      </c>
      <c r="O942" s="24">
        <f t="shared" si="98"/>
        <v>4557</v>
      </c>
      <c r="P942" s="23">
        <v>-1250</v>
      </c>
      <c r="Q942" s="23">
        <v>0</v>
      </c>
      <c r="R942" s="23">
        <v>-250</v>
      </c>
      <c r="S942" s="23">
        <v>0</v>
      </c>
      <c r="T942" s="23">
        <v>0</v>
      </c>
      <c r="U942" s="23">
        <v>-700</v>
      </c>
      <c r="V942" s="23">
        <v>0</v>
      </c>
      <c r="W942" s="23">
        <f t="shared" si="99"/>
        <v>2357</v>
      </c>
      <c r="X942" s="23">
        <f t="shared" si="100"/>
        <v>2357</v>
      </c>
      <c r="Y942" s="23">
        <f t="shared" si="101"/>
        <v>0</v>
      </c>
      <c r="Z942" s="23">
        <v>0</v>
      </c>
      <c r="AA942" s="23">
        <f t="shared" si="102"/>
        <v>0</v>
      </c>
      <c r="AB942" s="23">
        <f t="shared" si="103"/>
        <v>2200</v>
      </c>
      <c r="AC942" s="20"/>
      <c r="AD942" s="20" t="str">
        <f>VLOOKUP($C942,'[1]CTRL AUTOS'!$E:$AH,2,0)</f>
        <v>NFN014B</v>
      </c>
      <c r="AE942" s="11" t="str">
        <f t="shared" si="104"/>
        <v>NFN014B42</v>
      </c>
    </row>
    <row r="943" spans="1:31" ht="12.75" hidden="1" customHeight="1" x14ac:dyDescent="0.3">
      <c r="A943" s="8">
        <v>42</v>
      </c>
      <c r="B943" s="20" t="s">
        <v>396</v>
      </c>
      <c r="C943" s="20" t="s">
        <v>75</v>
      </c>
      <c r="D943" s="20" t="s">
        <v>237</v>
      </c>
      <c r="E943" s="22" t="s">
        <v>241</v>
      </c>
      <c r="F943" s="20" t="s">
        <v>291</v>
      </c>
      <c r="G943" s="20" t="s">
        <v>234</v>
      </c>
      <c r="H943" s="23">
        <v>0</v>
      </c>
      <c r="I943" s="23">
        <v>0</v>
      </c>
      <c r="J943" s="23">
        <v>0</v>
      </c>
      <c r="K943" s="23">
        <v>0</v>
      </c>
      <c r="L943" s="23">
        <v>0</v>
      </c>
      <c r="M943" s="24">
        <v>0</v>
      </c>
      <c r="N943" s="23">
        <v>0</v>
      </c>
      <c r="O943" s="24">
        <f t="shared" si="98"/>
        <v>0</v>
      </c>
      <c r="P943" s="23">
        <v>0</v>
      </c>
      <c r="Q943" s="23">
        <v>0</v>
      </c>
      <c r="R943" s="23">
        <v>1016</v>
      </c>
      <c r="S943" s="23">
        <v>0</v>
      </c>
      <c r="T943" s="23">
        <v>0</v>
      </c>
      <c r="U943" s="23">
        <v>0</v>
      </c>
      <c r="V943" s="23">
        <v>0</v>
      </c>
      <c r="W943" s="23">
        <f t="shared" si="99"/>
        <v>1016</v>
      </c>
      <c r="X943" s="23">
        <f t="shared" si="100"/>
        <v>1016</v>
      </c>
      <c r="Y943" s="23">
        <f t="shared" si="101"/>
        <v>0</v>
      </c>
      <c r="Z943" s="23">
        <v>0</v>
      </c>
      <c r="AA943" s="23">
        <f t="shared" si="102"/>
        <v>0</v>
      </c>
      <c r="AB943" s="23">
        <f t="shared" si="103"/>
        <v>-1016</v>
      </c>
      <c r="AC943" s="20"/>
      <c r="AD943" s="20" t="str">
        <f>VLOOKUP($C943,'[1]CTRL AUTOS'!$E:$AH,2,0)</f>
        <v>NFN014B</v>
      </c>
      <c r="AE943" s="11" t="str">
        <f t="shared" si="104"/>
        <v>NFN014B42</v>
      </c>
    </row>
    <row r="944" spans="1:31" ht="12.75" hidden="1" customHeight="1" x14ac:dyDescent="0.3">
      <c r="A944" s="8">
        <v>43</v>
      </c>
      <c r="B944" s="20" t="s">
        <v>11</v>
      </c>
      <c r="C944" s="20" t="s">
        <v>86</v>
      </c>
      <c r="D944" s="20" t="s">
        <v>237</v>
      </c>
      <c r="E944" s="20" t="s">
        <v>232</v>
      </c>
      <c r="F944" s="20" t="s">
        <v>291</v>
      </c>
      <c r="G944" s="20" t="s">
        <v>234</v>
      </c>
      <c r="H944" s="23">
        <v>7566.34</v>
      </c>
      <c r="I944" s="23">
        <v>-132.22</v>
      </c>
      <c r="J944" s="23">
        <v>22.65</v>
      </c>
      <c r="K944" s="23">
        <v>0</v>
      </c>
      <c r="L944" s="23">
        <v>-3219.01</v>
      </c>
      <c r="M944" s="23">
        <v>-45</v>
      </c>
      <c r="N944" s="23">
        <v>0</v>
      </c>
      <c r="O944" s="24">
        <f t="shared" si="98"/>
        <v>4192.7599999999993</v>
      </c>
      <c r="P944" s="23">
        <v>-2500</v>
      </c>
      <c r="Q944" s="23">
        <v>0</v>
      </c>
      <c r="R944" s="23">
        <v>0</v>
      </c>
      <c r="S944" s="23">
        <v>0</v>
      </c>
      <c r="T944" s="23">
        <v>0</v>
      </c>
      <c r="U944" s="23">
        <v>0</v>
      </c>
      <c r="V944" s="23">
        <v>0</v>
      </c>
      <c r="W944" s="23">
        <f t="shared" si="99"/>
        <v>1692.7599999999993</v>
      </c>
      <c r="X944" s="23">
        <f t="shared" si="100"/>
        <v>1692.7599999999993</v>
      </c>
      <c r="Y944" s="23">
        <f t="shared" si="101"/>
        <v>0</v>
      </c>
      <c r="Z944" s="23">
        <v>0</v>
      </c>
      <c r="AA944" s="23">
        <f t="shared" si="102"/>
        <v>0</v>
      </c>
      <c r="AB944" s="23">
        <f t="shared" si="103"/>
        <v>2500</v>
      </c>
      <c r="AC944" s="20" t="s">
        <v>405</v>
      </c>
      <c r="AD944" s="20" t="str">
        <f>VLOOKUP($C944,'[1]CTRL AUTOS'!$E:$AH,2,0)</f>
        <v>R22BMR</v>
      </c>
      <c r="AE944" s="11" t="str">
        <f t="shared" si="104"/>
        <v>R22BMR43</v>
      </c>
    </row>
    <row r="945" spans="1:31" ht="12.75" hidden="1" customHeight="1" x14ac:dyDescent="0.3">
      <c r="A945" s="8">
        <v>43</v>
      </c>
      <c r="B945" s="20" t="s">
        <v>80</v>
      </c>
      <c r="C945" s="20" t="s">
        <v>81</v>
      </c>
      <c r="D945" s="20" t="s">
        <v>317</v>
      </c>
      <c r="E945" s="20" t="s">
        <v>232</v>
      </c>
      <c r="F945" s="20" t="s">
        <v>232</v>
      </c>
      <c r="G945" s="20" t="s">
        <v>234</v>
      </c>
      <c r="H945" s="23">
        <v>0</v>
      </c>
      <c r="I945" s="23">
        <v>0</v>
      </c>
      <c r="J945" s="23">
        <v>0</v>
      </c>
      <c r="K945" s="23">
        <v>0</v>
      </c>
      <c r="L945" s="23">
        <v>0</v>
      </c>
      <c r="M945" s="23">
        <v>0</v>
      </c>
      <c r="N945" s="23">
        <v>0</v>
      </c>
      <c r="O945" s="24">
        <f t="shared" si="98"/>
        <v>0</v>
      </c>
      <c r="P945" s="23">
        <v>0</v>
      </c>
      <c r="Q945" s="23">
        <v>-2500</v>
      </c>
      <c r="R945" s="23">
        <v>0</v>
      </c>
      <c r="S945" s="23">
        <v>0</v>
      </c>
      <c r="T945" s="23">
        <v>0</v>
      </c>
      <c r="U945" s="23">
        <v>0</v>
      </c>
      <c r="V945" s="23">
        <v>0</v>
      </c>
      <c r="W945" s="23">
        <f t="shared" si="99"/>
        <v>-2500</v>
      </c>
      <c r="X945" s="23">
        <f t="shared" si="100"/>
        <v>0</v>
      </c>
      <c r="Y945" s="23">
        <f t="shared" si="101"/>
        <v>-2500</v>
      </c>
      <c r="Z945" s="23">
        <v>2500</v>
      </c>
      <c r="AA945" s="23">
        <f t="shared" si="102"/>
        <v>0</v>
      </c>
      <c r="AB945" s="23">
        <f t="shared" si="103"/>
        <v>2500</v>
      </c>
      <c r="AC945" s="20" t="s">
        <v>409</v>
      </c>
      <c r="AD945" s="20" t="str">
        <f>VLOOKUP($C945,'[1]CTRL AUTOS'!$E:$AH,2,0)</f>
        <v>NLP172B</v>
      </c>
      <c r="AE945" s="11" t="str">
        <f t="shared" si="104"/>
        <v>NLP172B43</v>
      </c>
    </row>
    <row r="946" spans="1:31" ht="12.75" hidden="1" customHeight="1" x14ac:dyDescent="0.3">
      <c r="A946" s="8">
        <v>43</v>
      </c>
      <c r="B946" s="20" t="s">
        <v>13</v>
      </c>
      <c r="C946" s="20" t="s">
        <v>4</v>
      </c>
      <c r="D946" s="20" t="s">
        <v>245</v>
      </c>
      <c r="E946" s="20" t="s">
        <v>232</v>
      </c>
      <c r="F946" s="20" t="s">
        <v>232</v>
      </c>
      <c r="G946" s="20" t="s">
        <v>234</v>
      </c>
      <c r="H946" s="23">
        <v>4074.62</v>
      </c>
      <c r="I946" s="23">
        <v>-126.69</v>
      </c>
      <c r="J946" s="23">
        <v>0</v>
      </c>
      <c r="K946" s="23">
        <v>0</v>
      </c>
      <c r="L946" s="23">
        <v>0</v>
      </c>
      <c r="M946" s="23">
        <v>-45</v>
      </c>
      <c r="N946" s="23">
        <v>0</v>
      </c>
      <c r="O946" s="24">
        <f t="shared" si="98"/>
        <v>3902.93</v>
      </c>
      <c r="P946" s="23">
        <v>0</v>
      </c>
      <c r="Q946" s="23">
        <v>0</v>
      </c>
      <c r="R946" s="23">
        <v>0</v>
      </c>
      <c r="S946" s="23">
        <v>0</v>
      </c>
      <c r="T946" s="23">
        <v>0</v>
      </c>
      <c r="U946" s="23">
        <v>0</v>
      </c>
      <c r="V946" s="23">
        <v>0</v>
      </c>
      <c r="W946" s="23">
        <f t="shared" si="99"/>
        <v>3902.93</v>
      </c>
      <c r="X946" s="23">
        <f t="shared" si="100"/>
        <v>3902.93</v>
      </c>
      <c r="Y946" s="23">
        <f t="shared" si="101"/>
        <v>0</v>
      </c>
      <c r="Z946" s="23">
        <v>0</v>
      </c>
      <c r="AA946" s="23">
        <f t="shared" si="102"/>
        <v>0</v>
      </c>
      <c r="AB946" s="23">
        <f t="shared" si="103"/>
        <v>0</v>
      </c>
      <c r="AC946" s="20" t="s">
        <v>466</v>
      </c>
      <c r="AD946" s="20" t="str">
        <f>VLOOKUP($C946,'[1]CTRL AUTOS'!$E:$AH,2,0)</f>
        <v>N15BKD</v>
      </c>
      <c r="AE946" s="11" t="str">
        <f t="shared" si="104"/>
        <v>N15BKD43</v>
      </c>
    </row>
    <row r="947" spans="1:31" ht="12.75" hidden="1" customHeight="1" x14ac:dyDescent="0.3">
      <c r="A947" s="8">
        <v>43</v>
      </c>
      <c r="B947" s="20" t="s">
        <v>111</v>
      </c>
      <c r="C947" s="20" t="s">
        <v>63</v>
      </c>
      <c r="D947" s="20" t="s">
        <v>374</v>
      </c>
      <c r="E947" s="20" t="s">
        <v>291</v>
      </c>
      <c r="F947" s="20" t="s">
        <v>291</v>
      </c>
      <c r="G947" s="20" t="s">
        <v>234</v>
      </c>
      <c r="H947" s="23">
        <v>5737.72</v>
      </c>
      <c r="I947" s="23">
        <v>-89.63</v>
      </c>
      <c r="J947" s="23">
        <v>0</v>
      </c>
      <c r="K947" s="23">
        <v>0</v>
      </c>
      <c r="L947" s="23">
        <v>-1981.17</v>
      </c>
      <c r="M947" s="23">
        <v>-52</v>
      </c>
      <c r="N947" s="23">
        <v>0</v>
      </c>
      <c r="O947" s="24">
        <f t="shared" si="98"/>
        <v>3614.92</v>
      </c>
      <c r="P947" s="23">
        <v>-2500</v>
      </c>
      <c r="Q947" s="23">
        <v>0</v>
      </c>
      <c r="R947" s="23">
        <v>0</v>
      </c>
      <c r="S947" s="23">
        <v>0</v>
      </c>
      <c r="T947" s="23">
        <v>0</v>
      </c>
      <c r="U947" s="23">
        <v>0</v>
      </c>
      <c r="V947" s="23">
        <v>0</v>
      </c>
      <c r="W947" s="23">
        <f t="shared" si="99"/>
        <v>1114.92</v>
      </c>
      <c r="X947" s="23">
        <f t="shared" si="100"/>
        <v>1114.92</v>
      </c>
      <c r="Y947" s="23">
        <f t="shared" si="101"/>
        <v>0</v>
      </c>
      <c r="Z947" s="23">
        <v>0</v>
      </c>
      <c r="AA947" s="23">
        <f t="shared" si="102"/>
        <v>0</v>
      </c>
      <c r="AB947" s="23">
        <f t="shared" si="103"/>
        <v>2500</v>
      </c>
      <c r="AC947" s="20" t="s">
        <v>405</v>
      </c>
      <c r="AD947" s="20" t="str">
        <f>VLOOKUP($C947,'[1]CTRL AUTOS'!$E:$AH,2,0)</f>
        <v>X89ALV</v>
      </c>
      <c r="AE947" s="11" t="str">
        <f t="shared" si="104"/>
        <v>X89ALV43</v>
      </c>
    </row>
    <row r="948" spans="1:31" ht="12.75" hidden="1" customHeight="1" x14ac:dyDescent="0.3">
      <c r="A948" s="8">
        <v>43</v>
      </c>
      <c r="B948" s="20" t="s">
        <v>17</v>
      </c>
      <c r="C948" s="20" t="s">
        <v>69</v>
      </c>
      <c r="D948" s="20" t="s">
        <v>370</v>
      </c>
      <c r="E948" s="22" t="s">
        <v>241</v>
      </c>
      <c r="F948" s="20" t="s">
        <v>291</v>
      </c>
      <c r="G948" s="20" t="s">
        <v>234</v>
      </c>
      <c r="H948" s="23">
        <v>5601.58</v>
      </c>
      <c r="I948" s="23">
        <v>-96.77</v>
      </c>
      <c r="J948" s="23">
        <v>0</v>
      </c>
      <c r="K948" s="23">
        <v>0</v>
      </c>
      <c r="L948" s="23">
        <v>0</v>
      </c>
      <c r="M948" s="23">
        <v>-45</v>
      </c>
      <c r="N948" s="23">
        <v>0</v>
      </c>
      <c r="O948" s="24">
        <f t="shared" si="98"/>
        <v>5459.8099999999995</v>
      </c>
      <c r="P948" s="23">
        <v>-2500</v>
      </c>
      <c r="Q948" s="23">
        <v>0</v>
      </c>
      <c r="R948" s="23">
        <v>0</v>
      </c>
      <c r="S948" s="23">
        <v>0</v>
      </c>
      <c r="T948" s="23">
        <v>0</v>
      </c>
      <c r="U948" s="23">
        <v>0</v>
      </c>
      <c r="V948" s="23">
        <v>0</v>
      </c>
      <c r="W948" s="23">
        <f t="shared" si="99"/>
        <v>2959.8099999999995</v>
      </c>
      <c r="X948" s="23">
        <f t="shared" si="100"/>
        <v>2959.8099999999995</v>
      </c>
      <c r="Y948" s="23">
        <f t="shared" si="101"/>
        <v>0</v>
      </c>
      <c r="Z948" s="23">
        <v>0</v>
      </c>
      <c r="AA948" s="23">
        <f t="shared" si="102"/>
        <v>0</v>
      </c>
      <c r="AB948" s="23">
        <f t="shared" si="103"/>
        <v>2500</v>
      </c>
      <c r="AC948" s="20" t="s">
        <v>405</v>
      </c>
      <c r="AD948" s="20" t="str">
        <f>VLOOKUP($C948,'[1]CTRL AUTOS'!$E:$AH,2,0)</f>
        <v>R51BKD</v>
      </c>
      <c r="AE948" s="11" t="str">
        <f t="shared" si="104"/>
        <v>R51BKD43</v>
      </c>
    </row>
    <row r="949" spans="1:31" ht="12.75" hidden="1" customHeight="1" x14ac:dyDescent="0.3">
      <c r="A949" s="8">
        <v>43</v>
      </c>
      <c r="B949" s="20" t="s">
        <v>19</v>
      </c>
      <c r="C949" s="20" t="s">
        <v>20</v>
      </c>
      <c r="D949" s="20" t="s">
        <v>239</v>
      </c>
      <c r="E949" s="20" t="s">
        <v>232</v>
      </c>
      <c r="F949" s="20" t="s">
        <v>232</v>
      </c>
      <c r="G949" s="20" t="s">
        <v>234</v>
      </c>
      <c r="H949" s="23">
        <v>9156.56</v>
      </c>
      <c r="I949" s="23">
        <v>-144.86000000000001</v>
      </c>
      <c r="J949" s="23">
        <v>0</v>
      </c>
      <c r="K949" s="23">
        <v>-61.57</v>
      </c>
      <c r="L949" s="23">
        <v>0</v>
      </c>
      <c r="M949" s="23">
        <v>-48</v>
      </c>
      <c r="N949" s="23">
        <v>0</v>
      </c>
      <c r="O949" s="24">
        <f t="shared" si="98"/>
        <v>8902.1299999999992</v>
      </c>
      <c r="P949" s="23">
        <v>-2500</v>
      </c>
      <c r="Q949" s="23">
        <v>0</v>
      </c>
      <c r="R949" s="23">
        <v>0</v>
      </c>
      <c r="S949" s="23">
        <v>0</v>
      </c>
      <c r="T949" s="23">
        <v>0</v>
      </c>
      <c r="U949" s="23">
        <v>-1000</v>
      </c>
      <c r="V949" s="23">
        <v>0</v>
      </c>
      <c r="W949" s="23">
        <f t="shared" si="99"/>
        <v>5402.1299999999992</v>
      </c>
      <c r="X949" s="23">
        <f t="shared" si="100"/>
        <v>5402.1299999999992</v>
      </c>
      <c r="Y949" s="23">
        <f t="shared" si="101"/>
        <v>0</v>
      </c>
      <c r="Z949" s="23">
        <v>0</v>
      </c>
      <c r="AA949" s="23">
        <f t="shared" si="102"/>
        <v>0</v>
      </c>
      <c r="AB949" s="23">
        <f t="shared" si="103"/>
        <v>3500</v>
      </c>
      <c r="AC949" s="20" t="s">
        <v>466</v>
      </c>
      <c r="AD949" s="20" t="str">
        <f>VLOOKUP($C949,'[1]CTRL AUTOS'!$E:$AH,2,0)</f>
        <v>D40BKD</v>
      </c>
      <c r="AE949" s="11" t="str">
        <f t="shared" si="104"/>
        <v>D40BKD43</v>
      </c>
    </row>
    <row r="950" spans="1:31" ht="12.75" hidden="1" customHeight="1" x14ac:dyDescent="0.3">
      <c r="A950" s="8">
        <v>43</v>
      </c>
      <c r="B950" s="20" t="s">
        <v>444</v>
      </c>
      <c r="C950" s="20" t="s">
        <v>44</v>
      </c>
      <c r="D950" s="20" t="s">
        <v>467</v>
      </c>
      <c r="E950" s="22" t="s">
        <v>232</v>
      </c>
      <c r="F950" s="20" t="s">
        <v>291</v>
      </c>
      <c r="G950" s="20" t="s">
        <v>234</v>
      </c>
      <c r="H950" s="23">
        <v>0</v>
      </c>
      <c r="I950" s="23">
        <v>0</v>
      </c>
      <c r="J950" s="23">
        <v>0</v>
      </c>
      <c r="K950" s="23">
        <v>0</v>
      </c>
      <c r="L950" s="23">
        <v>0</v>
      </c>
      <c r="M950" s="23">
        <v>0</v>
      </c>
      <c r="N950" s="23">
        <v>0</v>
      </c>
      <c r="O950" s="24">
        <f t="shared" si="98"/>
        <v>0</v>
      </c>
      <c r="P950" s="23">
        <v>-2500</v>
      </c>
      <c r="Q950" s="23">
        <v>0</v>
      </c>
      <c r="R950" s="23">
        <v>-500</v>
      </c>
      <c r="S950" s="23">
        <v>0</v>
      </c>
      <c r="T950" s="23">
        <v>0</v>
      </c>
      <c r="U950" s="23">
        <v>0</v>
      </c>
      <c r="V950" s="23">
        <v>0</v>
      </c>
      <c r="W950" s="23">
        <f t="shared" si="99"/>
        <v>-3000</v>
      </c>
      <c r="X950" s="23">
        <f t="shared" si="100"/>
        <v>0</v>
      </c>
      <c r="Y950" s="23">
        <f t="shared" si="101"/>
        <v>-3000</v>
      </c>
      <c r="Z950" s="23">
        <v>3000</v>
      </c>
      <c r="AA950" s="23">
        <f t="shared" si="102"/>
        <v>0</v>
      </c>
      <c r="AB950" s="23">
        <f t="shared" si="103"/>
        <v>3000</v>
      </c>
      <c r="AC950" s="20" t="s">
        <v>409</v>
      </c>
      <c r="AD950" s="20" t="str">
        <f>VLOOKUP($C950,'[1]CTRL AUTOS'!$E:$AH,2,0)</f>
        <v>MAY730C</v>
      </c>
      <c r="AE950" s="11" t="str">
        <f t="shared" si="104"/>
        <v>MAY730C43</v>
      </c>
    </row>
    <row r="951" spans="1:31" ht="12.75" hidden="1" customHeight="1" x14ac:dyDescent="0.3">
      <c r="A951" s="8">
        <v>43</v>
      </c>
      <c r="B951" s="20" t="s">
        <v>23</v>
      </c>
      <c r="C951" s="20" t="s">
        <v>97</v>
      </c>
      <c r="D951" s="20" t="s">
        <v>273</v>
      </c>
      <c r="E951" s="20" t="s">
        <v>232</v>
      </c>
      <c r="F951" s="20" t="s">
        <v>232</v>
      </c>
      <c r="G951" s="20" t="s">
        <v>234</v>
      </c>
      <c r="H951" s="23">
        <v>7713.89</v>
      </c>
      <c r="I951" s="23">
        <v>-149.08000000000001</v>
      </c>
      <c r="J951" s="23">
        <v>0</v>
      </c>
      <c r="K951" s="23">
        <v>0</v>
      </c>
      <c r="L951" s="23">
        <v>-6603.87</v>
      </c>
      <c r="M951" s="23">
        <v>-44</v>
      </c>
      <c r="N951" s="23">
        <f>-216-165</f>
        <v>-381</v>
      </c>
      <c r="O951" s="24">
        <f t="shared" si="98"/>
        <v>535.94000000000051</v>
      </c>
      <c r="P951" s="23">
        <v>-2500</v>
      </c>
      <c r="Q951" s="23">
        <v>1</v>
      </c>
      <c r="R951" s="23">
        <v>0</v>
      </c>
      <c r="S951" s="23">
        <v>0</v>
      </c>
      <c r="T951" s="23">
        <v>-1000</v>
      </c>
      <c r="U951" s="23">
        <v>0</v>
      </c>
      <c r="V951" s="23">
        <v>0</v>
      </c>
      <c r="W951" s="23">
        <f t="shared" si="99"/>
        <v>-2963.0599999999995</v>
      </c>
      <c r="X951" s="23">
        <f t="shared" si="100"/>
        <v>0</v>
      </c>
      <c r="Y951" s="23">
        <f t="shared" si="101"/>
        <v>-2963.0599999999995</v>
      </c>
      <c r="Z951" s="23">
        <f>1500+500+500+450</f>
        <v>2950</v>
      </c>
      <c r="AA951" s="23">
        <f t="shared" si="102"/>
        <v>-13.059999999999491</v>
      </c>
      <c r="AB951" s="23">
        <f t="shared" si="103"/>
        <v>3472.880000000001</v>
      </c>
      <c r="AC951" s="20" t="s">
        <v>468</v>
      </c>
      <c r="AD951" s="20" t="str">
        <f>VLOOKUP($C951,'[1]CTRL AUTOS'!$E:$AH,2,0)</f>
        <v>MUF515A</v>
      </c>
      <c r="AE951" s="11" t="str">
        <f t="shared" si="104"/>
        <v>MUF515A43</v>
      </c>
    </row>
    <row r="952" spans="1:31" ht="12.75" hidden="1" customHeight="1" x14ac:dyDescent="0.3">
      <c r="A952" s="8">
        <v>43</v>
      </c>
      <c r="B952" s="20" t="s">
        <v>25</v>
      </c>
      <c r="C952" s="20" t="s">
        <v>67</v>
      </c>
      <c r="D952" s="20" t="s">
        <v>343</v>
      </c>
      <c r="E952" s="20" t="s">
        <v>232</v>
      </c>
      <c r="F952" s="20" t="s">
        <v>291</v>
      </c>
      <c r="G952" s="20" t="s">
        <v>234</v>
      </c>
      <c r="H952" s="23">
        <v>3755.83</v>
      </c>
      <c r="I952" s="23">
        <v>-82</v>
      </c>
      <c r="J952" s="23">
        <v>0</v>
      </c>
      <c r="K952" s="23">
        <v>0</v>
      </c>
      <c r="L952" s="23">
        <v>-1282.17</v>
      </c>
      <c r="M952" s="23">
        <f>(-35-16)+-10</f>
        <v>-61</v>
      </c>
      <c r="N952" s="23">
        <v>-95</v>
      </c>
      <c r="O952" s="24">
        <f t="shared" si="98"/>
        <v>2235.66</v>
      </c>
      <c r="P952" s="23">
        <v>-2500</v>
      </c>
      <c r="Q952" s="23">
        <v>0</v>
      </c>
      <c r="R952" s="23">
        <v>0</v>
      </c>
      <c r="S952" s="23">
        <v>0</v>
      </c>
      <c r="T952" s="23">
        <v>0</v>
      </c>
      <c r="U952" s="23">
        <v>0</v>
      </c>
      <c r="V952" s="23">
        <v>0</v>
      </c>
      <c r="W952" s="23">
        <f t="shared" si="99"/>
        <v>-264.34000000000015</v>
      </c>
      <c r="X952" s="23">
        <f t="shared" si="100"/>
        <v>0</v>
      </c>
      <c r="Y952" s="23">
        <f t="shared" si="101"/>
        <v>-264.34000000000015</v>
      </c>
      <c r="Z952" s="23">
        <v>0</v>
      </c>
      <c r="AA952" s="23">
        <f t="shared" si="102"/>
        <v>-264.34000000000015</v>
      </c>
      <c r="AB952" s="23">
        <f t="shared" si="103"/>
        <v>1971.3199999999997</v>
      </c>
      <c r="AC952" s="20"/>
      <c r="AD952" s="20" t="str">
        <f>VLOOKUP($C952,'[1]CTRL AUTOS'!$E:$AH,2,0)</f>
        <v>MFP751C</v>
      </c>
      <c r="AE952" s="11" t="str">
        <f t="shared" si="104"/>
        <v>MFP751C43</v>
      </c>
    </row>
    <row r="953" spans="1:31" ht="12.75" hidden="1" customHeight="1" x14ac:dyDescent="0.3">
      <c r="A953" s="8">
        <v>43</v>
      </c>
      <c r="B953" s="20" t="s">
        <v>7</v>
      </c>
      <c r="C953" s="20" t="s">
        <v>8</v>
      </c>
      <c r="D953" s="20" t="s">
        <v>367</v>
      </c>
      <c r="E953" s="22" t="s">
        <v>364</v>
      </c>
      <c r="F953" s="22" t="s">
        <v>364</v>
      </c>
      <c r="G953" s="20" t="s">
        <v>425</v>
      </c>
      <c r="H953" s="23">
        <v>9408</v>
      </c>
      <c r="I953" s="23">
        <v>0</v>
      </c>
      <c r="J953" s="23">
        <v>0</v>
      </c>
      <c r="K953" s="23">
        <v>0</v>
      </c>
      <c r="L953" s="23">
        <v>-7077.6</v>
      </c>
      <c r="M953" s="23">
        <v>0</v>
      </c>
      <c r="N953" s="23">
        <v>0</v>
      </c>
      <c r="O953" s="24">
        <f t="shared" si="98"/>
        <v>2330.3999999999996</v>
      </c>
      <c r="P953" s="23">
        <v>-2600</v>
      </c>
      <c r="Q953" s="23">
        <v>0</v>
      </c>
      <c r="R953" s="23">
        <v>-500</v>
      </c>
      <c r="S953" s="23">
        <v>0</v>
      </c>
      <c r="T953" s="23">
        <v>0</v>
      </c>
      <c r="U953" s="23">
        <v>0</v>
      </c>
      <c r="V953" s="23">
        <v>0</v>
      </c>
      <c r="W953" s="23">
        <f t="shared" si="99"/>
        <v>-769.60000000000036</v>
      </c>
      <c r="X953" s="23">
        <f t="shared" si="100"/>
        <v>0</v>
      </c>
      <c r="Y953" s="23">
        <f t="shared" si="101"/>
        <v>-769.60000000000036</v>
      </c>
      <c r="Z953" s="23">
        <v>770</v>
      </c>
      <c r="AA953" s="23">
        <f t="shared" si="102"/>
        <v>0.3999999999996362</v>
      </c>
      <c r="AB953" s="23">
        <f t="shared" si="103"/>
        <v>3100.7999999999993</v>
      </c>
      <c r="AC953" s="20" t="s">
        <v>469</v>
      </c>
      <c r="AD953" s="20" t="e">
        <f>VLOOKUP($C953,'[1]CTRL AUTOS'!$E:$AH,2,0)</f>
        <v>#N/A</v>
      </c>
      <c r="AE953" s="11" t="e">
        <f t="shared" si="104"/>
        <v>#N/A</v>
      </c>
    </row>
    <row r="954" spans="1:31" ht="12.75" hidden="1" customHeight="1" x14ac:dyDescent="0.3">
      <c r="A954" s="8">
        <v>43</v>
      </c>
      <c r="B954" s="20" t="s">
        <v>9</v>
      </c>
      <c r="C954" s="20" t="s">
        <v>10</v>
      </c>
      <c r="D954" s="20" t="s">
        <v>343</v>
      </c>
      <c r="E954" s="20" t="s">
        <v>232</v>
      </c>
      <c r="F954" s="20" t="s">
        <v>232</v>
      </c>
      <c r="G954" s="20" t="s">
        <v>234</v>
      </c>
      <c r="H954" s="23">
        <v>6357.79</v>
      </c>
      <c r="I954" s="23">
        <v>-121.39</v>
      </c>
      <c r="J954" s="23">
        <v>0</v>
      </c>
      <c r="K954" s="23">
        <v>0</v>
      </c>
      <c r="L954" s="23">
        <v>-4322.87</v>
      </c>
      <c r="M954" s="23">
        <v>-46</v>
      </c>
      <c r="N954" s="23">
        <v>0</v>
      </c>
      <c r="O954" s="24">
        <f t="shared" si="98"/>
        <v>1867.5299999999997</v>
      </c>
      <c r="P954" s="23">
        <v>-2500</v>
      </c>
      <c r="Q954" s="23">
        <v>0</v>
      </c>
      <c r="R954" s="23">
        <v>-500</v>
      </c>
      <c r="S954" s="23">
        <v>0</v>
      </c>
      <c r="T954" s="23">
        <v>0</v>
      </c>
      <c r="U954" s="23">
        <v>0</v>
      </c>
      <c r="V954" s="23">
        <v>0</v>
      </c>
      <c r="W954" s="23">
        <f t="shared" si="99"/>
        <v>-1132.4700000000003</v>
      </c>
      <c r="X954" s="23">
        <f t="shared" si="100"/>
        <v>0</v>
      </c>
      <c r="Y954" s="23">
        <f t="shared" si="101"/>
        <v>-1132.4700000000003</v>
      </c>
      <c r="Z954" s="23">
        <f>500+500+132</f>
        <v>1132</v>
      </c>
      <c r="AA954" s="23">
        <f t="shared" si="102"/>
        <v>-0.47000000000025466</v>
      </c>
      <c r="AB954" s="23">
        <f t="shared" si="103"/>
        <v>2999.0599999999995</v>
      </c>
      <c r="AC954" s="20" t="s">
        <v>409</v>
      </c>
      <c r="AD954" s="20" t="str">
        <f>VLOOKUP($C954,'[1]CTRL AUTOS'!$E:$AH,2,0)</f>
        <v>LRL009C</v>
      </c>
      <c r="AE954" s="11" t="str">
        <f t="shared" si="104"/>
        <v>LRL009C43</v>
      </c>
    </row>
    <row r="955" spans="1:31" ht="12.75" hidden="1" customHeight="1" x14ac:dyDescent="0.3">
      <c r="A955" s="8">
        <v>43</v>
      </c>
      <c r="B955" s="20" t="s">
        <v>105</v>
      </c>
      <c r="C955" s="20" t="s">
        <v>204</v>
      </c>
      <c r="D955" s="20" t="s">
        <v>470</v>
      </c>
      <c r="E955" s="22" t="s">
        <v>364</v>
      </c>
      <c r="F955" s="22" t="s">
        <v>364</v>
      </c>
      <c r="G955" s="20" t="s">
        <v>425</v>
      </c>
      <c r="H955" s="23">
        <v>0</v>
      </c>
      <c r="I955" s="23">
        <v>0</v>
      </c>
      <c r="J955" s="23">
        <v>0</v>
      </c>
      <c r="K955" s="23">
        <v>0</v>
      </c>
      <c r="L955" s="23">
        <v>0</v>
      </c>
      <c r="M955" s="23">
        <v>0</v>
      </c>
      <c r="N955" s="23">
        <v>0</v>
      </c>
      <c r="O955" s="24">
        <f t="shared" si="98"/>
        <v>0</v>
      </c>
      <c r="P955" s="23">
        <v>-2500</v>
      </c>
      <c r="Q955" s="23">
        <v>0</v>
      </c>
      <c r="R955" s="23">
        <v>-500</v>
      </c>
      <c r="S955" s="23">
        <v>0</v>
      </c>
      <c r="T955" s="23">
        <v>0</v>
      </c>
      <c r="U955" s="23">
        <v>0</v>
      </c>
      <c r="V955" s="23">
        <v>0</v>
      </c>
      <c r="W955" s="23">
        <f t="shared" si="99"/>
        <v>-3000</v>
      </c>
      <c r="X955" s="23">
        <f t="shared" si="100"/>
        <v>0</v>
      </c>
      <c r="Y955" s="23">
        <f t="shared" si="101"/>
        <v>-3000</v>
      </c>
      <c r="Z955" s="23">
        <f>2500+500</f>
        <v>3000</v>
      </c>
      <c r="AA955" s="23">
        <f t="shared" si="102"/>
        <v>0</v>
      </c>
      <c r="AB955" s="23">
        <f t="shared" si="103"/>
        <v>3000</v>
      </c>
      <c r="AC955" s="20" t="s">
        <v>471</v>
      </c>
      <c r="AD955" s="20" t="e">
        <f>VLOOKUP($C955,'[1]CTRL AUTOS'!$E:$AH,2,0)</f>
        <v>#N/A</v>
      </c>
      <c r="AE955" s="11" t="e">
        <f t="shared" si="104"/>
        <v>#N/A</v>
      </c>
    </row>
    <row r="956" spans="1:31" ht="12.75" hidden="1" customHeight="1" x14ac:dyDescent="0.3">
      <c r="A956" s="8">
        <v>43</v>
      </c>
      <c r="B956" s="20" t="s">
        <v>72</v>
      </c>
      <c r="C956" s="20" t="s">
        <v>73</v>
      </c>
      <c r="D956" s="20" t="s">
        <v>368</v>
      </c>
      <c r="E956" s="22" t="s">
        <v>241</v>
      </c>
      <c r="F956" s="20" t="s">
        <v>291</v>
      </c>
      <c r="G956" s="20" t="s">
        <v>234</v>
      </c>
      <c r="H956" s="23">
        <v>9608.86</v>
      </c>
      <c r="I956" s="23">
        <v>-189.34</v>
      </c>
      <c r="J956" s="23">
        <v>0</v>
      </c>
      <c r="K956" s="23">
        <v>-84.11</v>
      </c>
      <c r="L956" s="23">
        <v>-4022.62</v>
      </c>
      <c r="M956" s="23">
        <f>(-35-20)+-10</f>
        <v>-65</v>
      </c>
      <c r="N956" s="23">
        <v>-96.51</v>
      </c>
      <c r="O956" s="24">
        <f t="shared" si="98"/>
        <v>5151.28</v>
      </c>
      <c r="P956" s="23">
        <v>-2500</v>
      </c>
      <c r="Q956" s="23">
        <v>0</v>
      </c>
      <c r="R956" s="23">
        <v>0</v>
      </c>
      <c r="S956" s="23">
        <v>0</v>
      </c>
      <c r="T956" s="23">
        <v>-700</v>
      </c>
      <c r="U956" s="23">
        <v>0</v>
      </c>
      <c r="V956" s="23">
        <v>0</v>
      </c>
      <c r="W956" s="23">
        <f t="shared" si="99"/>
        <v>1951.2799999999997</v>
      </c>
      <c r="X956" s="23">
        <f t="shared" si="100"/>
        <v>1951.2799999999997</v>
      </c>
      <c r="Y956" s="23">
        <f t="shared" si="101"/>
        <v>0</v>
      </c>
      <c r="Z956" s="23">
        <v>0</v>
      </c>
      <c r="AA956" s="23">
        <f t="shared" si="102"/>
        <v>0</v>
      </c>
      <c r="AB956" s="23">
        <f t="shared" si="103"/>
        <v>3200</v>
      </c>
      <c r="AC956" s="20" t="s">
        <v>405</v>
      </c>
      <c r="AD956" s="20" t="str">
        <f>VLOOKUP($C956,'[1]CTRL AUTOS'!$E:$AH,2,0)</f>
        <v>H99BLC</v>
      </c>
      <c r="AE956" s="11" t="str">
        <f t="shared" si="104"/>
        <v>H99BLC43</v>
      </c>
    </row>
    <row r="957" spans="1:31" ht="12.75" hidden="1" customHeight="1" x14ac:dyDescent="0.3">
      <c r="A957" s="8">
        <v>43</v>
      </c>
      <c r="B957" s="20" t="s">
        <v>292</v>
      </c>
      <c r="C957" s="20" t="s">
        <v>52</v>
      </c>
      <c r="D957" s="20" t="s">
        <v>313</v>
      </c>
      <c r="E957" s="20" t="s">
        <v>232</v>
      </c>
      <c r="F957" s="20" t="s">
        <v>232</v>
      </c>
      <c r="G957" s="20" t="s">
        <v>234</v>
      </c>
      <c r="H957" s="23">
        <v>397.45</v>
      </c>
      <c r="I957" s="23">
        <v>-6.53</v>
      </c>
      <c r="J957" s="23">
        <v>0</v>
      </c>
      <c r="K957" s="23">
        <v>0</v>
      </c>
      <c r="L957" s="23">
        <v>-49.92</v>
      </c>
      <c r="M957" s="23">
        <v>-15</v>
      </c>
      <c r="N957" s="23">
        <v>0</v>
      </c>
      <c r="O957" s="24">
        <f t="shared" si="98"/>
        <v>326</v>
      </c>
      <c r="P957" s="23">
        <v>-893</v>
      </c>
      <c r="Q957" s="23">
        <v>0</v>
      </c>
      <c r="R957" s="23">
        <v>2005</v>
      </c>
      <c r="S957" s="23">
        <v>-1000</v>
      </c>
      <c r="T957" s="23">
        <v>0</v>
      </c>
      <c r="U957" s="23">
        <f>-680-250+300-108+300</f>
        <v>-438</v>
      </c>
      <c r="V957" s="23">
        <v>0</v>
      </c>
      <c r="W957" s="23">
        <f t="shared" si="99"/>
        <v>0</v>
      </c>
      <c r="X957" s="23">
        <f t="shared" si="100"/>
        <v>0</v>
      </c>
      <c r="Y957" s="23">
        <f t="shared" si="101"/>
        <v>0</v>
      </c>
      <c r="Z957" s="23">
        <v>0</v>
      </c>
      <c r="AA957" s="23">
        <f t="shared" si="102"/>
        <v>0</v>
      </c>
      <c r="AB957" s="23">
        <f t="shared" si="103"/>
        <v>326</v>
      </c>
      <c r="AC957" s="20" t="s">
        <v>472</v>
      </c>
      <c r="AD957" s="20" t="str">
        <f>VLOOKUP($C957,'[1]CTRL AUTOS'!$E:$AH,2,0)</f>
        <v>A35BHD</v>
      </c>
      <c r="AE957" s="11" t="str">
        <f t="shared" si="104"/>
        <v>A35BHD43</v>
      </c>
    </row>
    <row r="958" spans="1:31" ht="12.75" hidden="1" customHeight="1" x14ac:dyDescent="0.3">
      <c r="A958" s="8">
        <v>43</v>
      </c>
      <c r="B958" s="20" t="s">
        <v>57</v>
      </c>
      <c r="C958" s="20" t="s">
        <v>16</v>
      </c>
      <c r="D958" s="20" t="s">
        <v>314</v>
      </c>
      <c r="E958" s="20" t="s">
        <v>232</v>
      </c>
      <c r="F958" s="20" t="s">
        <v>232</v>
      </c>
      <c r="G958" s="20" t="s">
        <v>234</v>
      </c>
      <c r="H958" s="23">
        <v>8953.2900000000009</v>
      </c>
      <c r="I958" s="23">
        <v>-153.91</v>
      </c>
      <c r="J958" s="23">
        <v>0</v>
      </c>
      <c r="K958" s="23">
        <v>0</v>
      </c>
      <c r="L958" s="23">
        <v>-4983.51</v>
      </c>
      <c r="M958" s="23">
        <v>-44</v>
      </c>
      <c r="N958" s="23">
        <v>0</v>
      </c>
      <c r="O958" s="24">
        <f t="shared" si="98"/>
        <v>3771.8700000000008</v>
      </c>
      <c r="P958" s="23">
        <v>-2500</v>
      </c>
      <c r="Q958" s="23">
        <v>0</v>
      </c>
      <c r="R958" s="23">
        <v>0</v>
      </c>
      <c r="S958" s="23">
        <v>0</v>
      </c>
      <c r="T958" s="23">
        <v>0</v>
      </c>
      <c r="U958" s="23">
        <v>0</v>
      </c>
      <c r="V958" s="23">
        <v>0</v>
      </c>
      <c r="W958" s="23">
        <f t="shared" si="99"/>
        <v>1271.8700000000008</v>
      </c>
      <c r="X958" s="23">
        <f t="shared" si="100"/>
        <v>1271.8700000000008</v>
      </c>
      <c r="Y958" s="23">
        <f t="shared" si="101"/>
        <v>0</v>
      </c>
      <c r="Z958" s="23">
        <v>0</v>
      </c>
      <c r="AA958" s="23">
        <f t="shared" si="102"/>
        <v>0</v>
      </c>
      <c r="AB958" s="23">
        <f t="shared" si="103"/>
        <v>2500</v>
      </c>
      <c r="AC958" s="20" t="s">
        <v>466</v>
      </c>
      <c r="AD958" s="20" t="str">
        <f>VLOOKUP($C958,'[1]CTRL AUTOS'!$E:$AH,2,0)</f>
        <v>D28BET</v>
      </c>
      <c r="AE958" s="11" t="str">
        <f t="shared" si="104"/>
        <v>D28BET43</v>
      </c>
    </row>
    <row r="959" spans="1:31" ht="12.75" hidden="1" customHeight="1" x14ac:dyDescent="0.3">
      <c r="A959" s="8">
        <v>43</v>
      </c>
      <c r="B959" s="20" t="s">
        <v>35</v>
      </c>
      <c r="C959" s="20" t="s">
        <v>36</v>
      </c>
      <c r="D959" s="20" t="s">
        <v>273</v>
      </c>
      <c r="E959" s="20" t="s">
        <v>232</v>
      </c>
      <c r="F959" s="20" t="s">
        <v>291</v>
      </c>
      <c r="G959" s="20" t="s">
        <v>234</v>
      </c>
      <c r="H959" s="23">
        <v>8601.43</v>
      </c>
      <c r="I959" s="23">
        <v>-241.85</v>
      </c>
      <c r="J959" s="23">
        <v>0</v>
      </c>
      <c r="K959" s="23">
        <v>0</v>
      </c>
      <c r="L959" s="23">
        <v>-5638.74</v>
      </c>
      <c r="M959" s="23">
        <v>-46</v>
      </c>
      <c r="N959" s="23">
        <v>0</v>
      </c>
      <c r="O959" s="24">
        <f t="shared" si="98"/>
        <v>2674.84</v>
      </c>
      <c r="P959" s="23">
        <v>-2500</v>
      </c>
      <c r="Q959" s="23">
        <v>-339.36</v>
      </c>
      <c r="R959" s="23">
        <v>0</v>
      </c>
      <c r="S959" s="23">
        <v>0</v>
      </c>
      <c r="T959" s="23">
        <v>0</v>
      </c>
      <c r="U959" s="23">
        <v>0</v>
      </c>
      <c r="V959" s="23">
        <v>0</v>
      </c>
      <c r="W959" s="23">
        <f t="shared" si="99"/>
        <v>-164.51999999999998</v>
      </c>
      <c r="X959" s="23">
        <f t="shared" si="100"/>
        <v>0</v>
      </c>
      <c r="Y959" s="23">
        <f t="shared" si="101"/>
        <v>-164.51999999999998</v>
      </c>
      <c r="Z959" s="23">
        <v>0</v>
      </c>
      <c r="AA959" s="23">
        <f t="shared" si="102"/>
        <v>-164.51999999999998</v>
      </c>
      <c r="AB959" s="23">
        <f t="shared" si="103"/>
        <v>2510.3200000000002</v>
      </c>
      <c r="AC959" s="20"/>
      <c r="AD959" s="20" t="str">
        <f>VLOOKUP($C959,'[1]CTRL AUTOS'!$E:$AH,2,0)</f>
        <v>MLC126A</v>
      </c>
      <c r="AE959" s="11" t="str">
        <f t="shared" si="104"/>
        <v>MLC126A43</v>
      </c>
    </row>
    <row r="960" spans="1:31" ht="12.75" hidden="1" customHeight="1" x14ac:dyDescent="0.3">
      <c r="A960" s="8">
        <v>43</v>
      </c>
      <c r="B960" s="20" t="s">
        <v>61</v>
      </c>
      <c r="C960" s="20" t="s">
        <v>34</v>
      </c>
      <c r="D960" s="20" t="s">
        <v>285</v>
      </c>
      <c r="E960" s="20" t="s">
        <v>232</v>
      </c>
      <c r="F960" s="20" t="s">
        <v>232</v>
      </c>
      <c r="G960" s="20" t="s">
        <v>234</v>
      </c>
      <c r="H960" s="23">
        <v>4946.17</v>
      </c>
      <c r="I960" s="23">
        <v>-73.849999999999994</v>
      </c>
      <c r="J960" s="23">
        <v>0</v>
      </c>
      <c r="K960" s="23">
        <v>0</v>
      </c>
      <c r="L960" s="23">
        <v>-1207.1600000000001</v>
      </c>
      <c r="M960" s="23">
        <v>-48</v>
      </c>
      <c r="N960" s="23">
        <v>0</v>
      </c>
      <c r="O960" s="24">
        <f t="shared" si="98"/>
        <v>3617.16</v>
      </c>
      <c r="P960" s="23">
        <v>-2500</v>
      </c>
      <c r="Q960" s="23">
        <v>0</v>
      </c>
      <c r="R960" s="23">
        <v>-356</v>
      </c>
      <c r="S960" s="23">
        <v>0</v>
      </c>
      <c r="T960" s="23">
        <v>-700</v>
      </c>
      <c r="U960" s="23">
        <v>0</v>
      </c>
      <c r="V960" s="23">
        <v>0</v>
      </c>
      <c r="W960" s="23">
        <f t="shared" si="99"/>
        <v>61.159999999999854</v>
      </c>
      <c r="X960" s="23">
        <f t="shared" si="100"/>
        <v>61.159999999999854</v>
      </c>
      <c r="Y960" s="23">
        <f t="shared" si="101"/>
        <v>0</v>
      </c>
      <c r="Z960" s="23">
        <v>0</v>
      </c>
      <c r="AA960" s="23">
        <f t="shared" si="102"/>
        <v>0</v>
      </c>
      <c r="AB960" s="23">
        <f t="shared" si="103"/>
        <v>3556</v>
      </c>
      <c r="AC960" s="20" t="s">
        <v>466</v>
      </c>
      <c r="AD960" s="20" t="str">
        <f>VLOOKUP($C960,'[1]CTRL AUTOS'!$E:$AH,2,0)</f>
        <v>X59AWG</v>
      </c>
      <c r="AE960" s="11" t="str">
        <f t="shared" si="104"/>
        <v>X59AWG43</v>
      </c>
    </row>
    <row r="961" spans="1:31" ht="12.75" hidden="1" customHeight="1" x14ac:dyDescent="0.3">
      <c r="A961" s="8">
        <v>43</v>
      </c>
      <c r="B961" s="20" t="s">
        <v>417</v>
      </c>
      <c r="C961" s="20" t="s">
        <v>428</v>
      </c>
      <c r="D961" s="20" t="s">
        <v>237</v>
      </c>
      <c r="E961" s="22" t="s">
        <v>364</v>
      </c>
      <c r="F961" s="22" t="s">
        <v>364</v>
      </c>
      <c r="G961" s="20" t="s">
        <v>234</v>
      </c>
      <c r="H961" s="23">
        <v>3342.43</v>
      </c>
      <c r="I961" s="23">
        <v>-53.25</v>
      </c>
      <c r="J961" s="23">
        <v>0</v>
      </c>
      <c r="K961" s="23">
        <v>0</v>
      </c>
      <c r="L961" s="23">
        <v>-1586.11</v>
      </c>
      <c r="M961" s="23">
        <v>0</v>
      </c>
      <c r="N961" s="23">
        <v>0</v>
      </c>
      <c r="O961" s="24">
        <f t="shared" si="98"/>
        <v>1703.07</v>
      </c>
      <c r="P961" s="23">
        <v>-2500</v>
      </c>
      <c r="Q961" s="23">
        <v>0</v>
      </c>
      <c r="R961" s="23">
        <v>-500</v>
      </c>
      <c r="S961" s="23">
        <v>0</v>
      </c>
      <c r="T961" s="23">
        <v>0</v>
      </c>
      <c r="U961" s="23">
        <v>0</v>
      </c>
      <c r="V961" s="23">
        <v>0</v>
      </c>
      <c r="W961" s="23">
        <f t="shared" si="99"/>
        <v>-1296.93</v>
      </c>
      <c r="X961" s="23">
        <f t="shared" si="100"/>
        <v>0</v>
      </c>
      <c r="Y961" s="23">
        <f t="shared" si="101"/>
        <v>-1296.93</v>
      </c>
      <c r="Z961" s="23">
        <v>1297</v>
      </c>
      <c r="AA961" s="23">
        <f t="shared" si="102"/>
        <v>6.9999999999936335E-2</v>
      </c>
      <c r="AB961" s="23">
        <f t="shared" si="103"/>
        <v>3000.1399999999994</v>
      </c>
      <c r="AC961" s="20" t="s">
        <v>383</v>
      </c>
      <c r="AD961" s="20" t="e">
        <f>VLOOKUP($C961,'[1]CTRL AUTOS'!$E:$AH,2,0)</f>
        <v>#N/A</v>
      </c>
      <c r="AE961" s="11" t="e">
        <f t="shared" si="104"/>
        <v>#N/A</v>
      </c>
    </row>
    <row r="962" spans="1:31" ht="12.75" hidden="1" customHeight="1" x14ac:dyDescent="0.3">
      <c r="A962" s="8">
        <v>43</v>
      </c>
      <c r="B962" s="20" t="s">
        <v>45</v>
      </c>
      <c r="C962" s="20" t="s">
        <v>46</v>
      </c>
      <c r="D962" s="20" t="s">
        <v>257</v>
      </c>
      <c r="E962" s="20" t="s">
        <v>232</v>
      </c>
      <c r="F962" s="20" t="s">
        <v>232</v>
      </c>
      <c r="G962" s="20" t="s">
        <v>234</v>
      </c>
      <c r="H962" s="23">
        <v>4877.13</v>
      </c>
      <c r="I962" s="23">
        <v>-93.72</v>
      </c>
      <c r="J962" s="23">
        <v>0</v>
      </c>
      <c r="K962" s="23">
        <v>0</v>
      </c>
      <c r="L962" s="23">
        <v>-1469.15</v>
      </c>
      <c r="M962" s="23">
        <v>-46</v>
      </c>
      <c r="N962" s="23">
        <v>-145</v>
      </c>
      <c r="O962" s="24">
        <f t="shared" si="98"/>
        <v>3123.2599999999998</v>
      </c>
      <c r="P962" s="23">
        <v>-2500</v>
      </c>
      <c r="Q962" s="23">
        <v>0</v>
      </c>
      <c r="R962" s="23">
        <v>0</v>
      </c>
      <c r="S962" s="23">
        <v>0</v>
      </c>
      <c r="T962" s="23">
        <v>0</v>
      </c>
      <c r="U962" s="23">
        <v>-156</v>
      </c>
      <c r="V962" s="23">
        <v>0</v>
      </c>
      <c r="W962" s="23">
        <f t="shared" si="99"/>
        <v>467.25999999999976</v>
      </c>
      <c r="X962" s="23">
        <f t="shared" si="100"/>
        <v>467.25999999999976</v>
      </c>
      <c r="Y962" s="23">
        <f t="shared" si="101"/>
        <v>0</v>
      </c>
      <c r="Z962" s="23">
        <v>0</v>
      </c>
      <c r="AA962" s="23">
        <f t="shared" si="102"/>
        <v>0</v>
      </c>
      <c r="AB962" s="23">
        <f t="shared" si="103"/>
        <v>2656</v>
      </c>
      <c r="AC962" s="20" t="s">
        <v>466</v>
      </c>
      <c r="AD962" s="20" t="str">
        <f>VLOOKUP($C962,'[1]CTRL AUTOS'!$E:$AH,2,0)</f>
        <v>R66BER</v>
      </c>
      <c r="AE962" s="11" t="str">
        <f t="shared" si="104"/>
        <v>R66BER43</v>
      </c>
    </row>
    <row r="963" spans="1:31" ht="12.75" hidden="1" customHeight="1" x14ac:dyDescent="0.3">
      <c r="A963" s="8">
        <v>43</v>
      </c>
      <c r="B963" s="20" t="s">
        <v>5</v>
      </c>
      <c r="C963" s="20" t="s">
        <v>28</v>
      </c>
      <c r="D963" s="20" t="s">
        <v>274</v>
      </c>
      <c r="E963" s="20" t="s">
        <v>232</v>
      </c>
      <c r="F963" s="20" t="s">
        <v>232</v>
      </c>
      <c r="G963" s="20" t="s">
        <v>234</v>
      </c>
      <c r="H963" s="23">
        <v>2202.87</v>
      </c>
      <c r="I963" s="23">
        <v>-32</v>
      </c>
      <c r="J963" s="23">
        <v>19.579999999999998</v>
      </c>
      <c r="K963" s="23">
        <v>0</v>
      </c>
      <c r="L963" s="23">
        <v>-921.14</v>
      </c>
      <c r="M963" s="23">
        <v>-44</v>
      </c>
      <c r="N963" s="23">
        <v>0</v>
      </c>
      <c r="O963" s="24">
        <f t="shared" ref="O963:O1026" si="105">SUM(H963:N963)</f>
        <v>1225.31</v>
      </c>
      <c r="P963" s="23">
        <v>-2500</v>
      </c>
      <c r="Q963" s="23">
        <v>-502</v>
      </c>
      <c r="R963" s="23">
        <v>0</v>
      </c>
      <c r="S963" s="23">
        <v>0</v>
      </c>
      <c r="T963" s="23">
        <v>0</v>
      </c>
      <c r="U963" s="23">
        <v>0</v>
      </c>
      <c r="V963" s="23">
        <v>0</v>
      </c>
      <c r="W963" s="23">
        <f t="shared" ref="W963:W1026" si="106">+O963+SUM(P963:V963)</f>
        <v>-1776.69</v>
      </c>
      <c r="X963" s="23">
        <f t="shared" ref="X963:X1026" si="107">IF(W963&gt;=0,W963,0)</f>
        <v>0</v>
      </c>
      <c r="Y963" s="23">
        <f t="shared" ref="Y963:Y1026" si="108">IF(W963&lt;=0,W963,0)</f>
        <v>-1776.69</v>
      </c>
      <c r="Z963" s="23">
        <f>300+500+429+300+200</f>
        <v>1729</v>
      </c>
      <c r="AA963" s="23">
        <f t="shared" ref="AA963:AA1026" si="109">+Y963+Z963</f>
        <v>-47.690000000000055</v>
      </c>
      <c r="AB963" s="23">
        <f t="shared" ref="AB963:AB1026" si="110">+O963-X963+Z963+AA963</f>
        <v>2906.62</v>
      </c>
      <c r="AC963" s="20" t="s">
        <v>473</v>
      </c>
      <c r="AD963" s="20" t="str">
        <f>VLOOKUP($C963,'[1]CTRL AUTOS'!$E:$AH,2,0)</f>
        <v>NCT814A</v>
      </c>
      <c r="AE963" s="11" t="str">
        <f t="shared" si="104"/>
        <v>NCT814A43</v>
      </c>
    </row>
    <row r="964" spans="1:31" ht="12.75" hidden="1" customHeight="1" x14ac:dyDescent="0.3">
      <c r="A964" s="8">
        <v>43</v>
      </c>
      <c r="B964" s="20" t="s">
        <v>362</v>
      </c>
      <c r="C964" s="20" t="s">
        <v>50</v>
      </c>
      <c r="D964" s="20" t="s">
        <v>267</v>
      </c>
      <c r="E964" s="20" t="s">
        <v>232</v>
      </c>
      <c r="F964" s="20" t="s">
        <v>232</v>
      </c>
      <c r="G964" s="20" t="s">
        <v>234</v>
      </c>
      <c r="H964" s="23">
        <v>0</v>
      </c>
      <c r="I964" s="23">
        <v>0</v>
      </c>
      <c r="J964" s="23">
        <v>0</v>
      </c>
      <c r="K964" s="23">
        <v>0</v>
      </c>
      <c r="L964" s="23">
        <v>0</v>
      </c>
      <c r="M964" s="23">
        <v>0</v>
      </c>
      <c r="N964" s="23">
        <v>0</v>
      </c>
      <c r="O964" s="24">
        <f t="shared" si="105"/>
        <v>0</v>
      </c>
      <c r="P964" s="23">
        <v>-2500</v>
      </c>
      <c r="Q964" s="23">
        <v>474</v>
      </c>
      <c r="R964" s="23">
        <v>2406</v>
      </c>
      <c r="S964" s="23">
        <v>0</v>
      </c>
      <c r="T964" s="23">
        <v>0</v>
      </c>
      <c r="U964" s="23">
        <f>-130-250</f>
        <v>-380</v>
      </c>
      <c r="V964" s="23">
        <v>0</v>
      </c>
      <c r="W964" s="23">
        <f t="shared" si="106"/>
        <v>0</v>
      </c>
      <c r="X964" s="23">
        <f t="shared" si="107"/>
        <v>0</v>
      </c>
      <c r="Y964" s="23">
        <f t="shared" si="108"/>
        <v>0</v>
      </c>
      <c r="Z964" s="23">
        <v>0</v>
      </c>
      <c r="AA964" s="23">
        <f t="shared" si="109"/>
        <v>0</v>
      </c>
      <c r="AB964" s="23">
        <f t="shared" si="110"/>
        <v>0</v>
      </c>
      <c r="AC964" s="20" t="s">
        <v>472</v>
      </c>
      <c r="AD964" s="20" t="str">
        <f>VLOOKUP($C964,'[1]CTRL AUTOS'!$E:$AH,2,0)</f>
        <v>NBS225A</v>
      </c>
      <c r="AE964" s="11" t="str">
        <f t="shared" ref="AE964:AE1027" si="111">AD964&amp;A964</f>
        <v>NBS225A43</v>
      </c>
    </row>
    <row r="965" spans="1:31" ht="12.75" hidden="1" customHeight="1" x14ac:dyDescent="0.3">
      <c r="A965" s="8">
        <v>43</v>
      </c>
      <c r="B965" s="20" t="s">
        <v>414</v>
      </c>
      <c r="C965" s="20" t="s">
        <v>59</v>
      </c>
      <c r="D965" s="20" t="s">
        <v>237</v>
      </c>
      <c r="E965" s="22" t="s">
        <v>232</v>
      </c>
      <c r="F965" s="20" t="s">
        <v>291</v>
      </c>
      <c r="G965" s="20" t="s">
        <v>234</v>
      </c>
      <c r="H965" s="23">
        <v>8368.61</v>
      </c>
      <c r="I965" s="23">
        <v>-140.15</v>
      </c>
      <c r="J965" s="23">
        <v>0</v>
      </c>
      <c r="K965" s="23">
        <v>0</v>
      </c>
      <c r="L965" s="23">
        <v>0</v>
      </c>
      <c r="M965" s="23">
        <f>-45-5</f>
        <v>-50</v>
      </c>
      <c r="N965" s="23">
        <v>0</v>
      </c>
      <c r="O965" s="24">
        <f t="shared" si="105"/>
        <v>8178.4600000000009</v>
      </c>
      <c r="P965" s="23">
        <v>-2500</v>
      </c>
      <c r="Q965" s="23">
        <v>0</v>
      </c>
      <c r="R965" s="23">
        <v>0</v>
      </c>
      <c r="S965" s="23">
        <v>0</v>
      </c>
      <c r="T965" s="23">
        <v>0</v>
      </c>
      <c r="U965" s="23">
        <v>0</v>
      </c>
      <c r="V965" s="23">
        <v>0</v>
      </c>
      <c r="W965" s="23">
        <f t="shared" si="106"/>
        <v>5678.4600000000009</v>
      </c>
      <c r="X965" s="23">
        <f t="shared" si="107"/>
        <v>5678.4600000000009</v>
      </c>
      <c r="Y965" s="23">
        <f t="shared" si="108"/>
        <v>0</v>
      </c>
      <c r="Z965" s="23">
        <v>0</v>
      </c>
      <c r="AA965" s="23">
        <f t="shared" si="109"/>
        <v>0</v>
      </c>
      <c r="AB965" s="23">
        <f t="shared" si="110"/>
        <v>2500</v>
      </c>
      <c r="AC965" s="20" t="s">
        <v>405</v>
      </c>
      <c r="AD965" s="20" t="str">
        <f>VLOOKUP($C965,'[1]CTRL AUTOS'!$E:$AH,2,0)</f>
        <v>P62BHW</v>
      </c>
      <c r="AE965" s="11" t="str">
        <f t="shared" si="111"/>
        <v>P62BHW43</v>
      </c>
    </row>
    <row r="966" spans="1:31" ht="12.75" hidden="1" customHeight="1" x14ac:dyDescent="0.3">
      <c r="A966" s="8">
        <v>43</v>
      </c>
      <c r="B966" s="20" t="s">
        <v>74</v>
      </c>
      <c r="C966" s="20" t="s">
        <v>77</v>
      </c>
      <c r="D966" s="20" t="s">
        <v>474</v>
      </c>
      <c r="E966" s="22" t="s">
        <v>232</v>
      </c>
      <c r="F966" s="20" t="s">
        <v>291</v>
      </c>
      <c r="G966" s="20" t="s">
        <v>234</v>
      </c>
      <c r="H966" s="23">
        <v>6966.92</v>
      </c>
      <c r="I966" s="23">
        <v>-112.75</v>
      </c>
      <c r="J966" s="23">
        <v>10</v>
      </c>
      <c r="K966" s="23">
        <v>0</v>
      </c>
      <c r="L966" s="23">
        <v>-2478.37</v>
      </c>
      <c r="M966" s="23">
        <v>-45</v>
      </c>
      <c r="N966" s="23">
        <v>0</v>
      </c>
      <c r="O966" s="24">
        <f t="shared" si="105"/>
        <v>4340.8</v>
      </c>
      <c r="P966" s="23">
        <v>-2500</v>
      </c>
      <c r="Q966" s="23">
        <v>0</v>
      </c>
      <c r="R966" s="23">
        <v>0</v>
      </c>
      <c r="S966" s="23">
        <v>0</v>
      </c>
      <c r="T966" s="23">
        <v>0</v>
      </c>
      <c r="U966" s="23">
        <v>0</v>
      </c>
      <c r="V966" s="23">
        <v>0</v>
      </c>
      <c r="W966" s="23">
        <f t="shared" si="106"/>
        <v>1840.8000000000002</v>
      </c>
      <c r="X966" s="23">
        <f t="shared" si="107"/>
        <v>1840.8000000000002</v>
      </c>
      <c r="Y966" s="23">
        <f t="shared" si="108"/>
        <v>0</v>
      </c>
      <c r="Z966" s="23">
        <v>0</v>
      </c>
      <c r="AA966" s="23">
        <f t="shared" si="109"/>
        <v>0</v>
      </c>
      <c r="AB966" s="23">
        <f t="shared" si="110"/>
        <v>2500</v>
      </c>
      <c r="AC966" s="20" t="s">
        <v>405</v>
      </c>
      <c r="AD966" s="20" t="str">
        <f>VLOOKUP($C966,'[1]CTRL AUTOS'!$E:$AH,2,0)</f>
        <v>MEE228C</v>
      </c>
      <c r="AE966" s="11" t="str">
        <f t="shared" si="111"/>
        <v>MEE228C43</v>
      </c>
    </row>
    <row r="967" spans="1:31" ht="12.75" hidden="1" customHeight="1" x14ac:dyDescent="0.3">
      <c r="A967" s="8">
        <v>43</v>
      </c>
      <c r="B967" s="20" t="s">
        <v>51</v>
      </c>
      <c r="C967" s="20" t="s">
        <v>106</v>
      </c>
      <c r="D967" s="20" t="s">
        <v>322</v>
      </c>
      <c r="E967" s="20" t="s">
        <v>232</v>
      </c>
      <c r="F967" s="20" t="s">
        <v>232</v>
      </c>
      <c r="G967" s="20" t="s">
        <v>234</v>
      </c>
      <c r="H967" s="23">
        <v>3935.01</v>
      </c>
      <c r="I967" s="23">
        <v>-61.68</v>
      </c>
      <c r="J967" s="23">
        <v>0</v>
      </c>
      <c r="K967" s="23">
        <v>-34.590000000000003</v>
      </c>
      <c r="L967" s="23">
        <v>-310.77</v>
      </c>
      <c r="M967" s="23">
        <v>-42</v>
      </c>
      <c r="N967" s="23">
        <v>0</v>
      </c>
      <c r="O967" s="24">
        <f t="shared" si="105"/>
        <v>3485.9700000000003</v>
      </c>
      <c r="P967" s="23">
        <v>-2500</v>
      </c>
      <c r="Q967" s="23">
        <v>0</v>
      </c>
      <c r="R967" s="23">
        <v>-500</v>
      </c>
      <c r="S967" s="23">
        <v>0</v>
      </c>
      <c r="T967" s="23">
        <v>0</v>
      </c>
      <c r="U967" s="23">
        <v>-130</v>
      </c>
      <c r="V967" s="23">
        <v>0</v>
      </c>
      <c r="W967" s="23">
        <f t="shared" si="106"/>
        <v>355.97000000000025</v>
      </c>
      <c r="X967" s="23">
        <f t="shared" si="107"/>
        <v>355.97000000000025</v>
      </c>
      <c r="Y967" s="23">
        <f t="shared" si="108"/>
        <v>0</v>
      </c>
      <c r="Z967" s="23">
        <v>0</v>
      </c>
      <c r="AA967" s="23">
        <f t="shared" si="109"/>
        <v>0</v>
      </c>
      <c r="AB967" s="23">
        <f t="shared" si="110"/>
        <v>3130</v>
      </c>
      <c r="AC967" s="20" t="s">
        <v>466</v>
      </c>
      <c r="AD967" s="20" t="str">
        <f>VLOOKUP($C967,'[1]CTRL AUTOS'!$E:$AH,2,0)</f>
        <v>NZU5163</v>
      </c>
      <c r="AE967" s="11" t="str">
        <f t="shared" si="111"/>
        <v>NZU516343</v>
      </c>
    </row>
    <row r="968" spans="1:31" ht="12.75" hidden="1" customHeight="1" x14ac:dyDescent="0.3">
      <c r="A968" s="8">
        <v>43</v>
      </c>
      <c r="B968" s="20" t="s">
        <v>98</v>
      </c>
      <c r="C968" s="20" t="s">
        <v>168</v>
      </c>
      <c r="D968" s="20" t="s">
        <v>265</v>
      </c>
      <c r="E968" s="20" t="s">
        <v>232</v>
      </c>
      <c r="F968" s="20" t="s">
        <v>232</v>
      </c>
      <c r="G968" s="20" t="s">
        <v>234</v>
      </c>
      <c r="H968" s="23">
        <v>615.25</v>
      </c>
      <c r="I968" s="23">
        <v>0</v>
      </c>
      <c r="J968" s="23">
        <v>17</v>
      </c>
      <c r="K968" s="23">
        <v>0</v>
      </c>
      <c r="L968" s="23">
        <v>0</v>
      </c>
      <c r="M968" s="23">
        <v>0</v>
      </c>
      <c r="N968" s="23">
        <v>-33</v>
      </c>
      <c r="O968" s="24">
        <f t="shared" si="105"/>
        <v>599.25</v>
      </c>
      <c r="P968" s="23">
        <v>-2500</v>
      </c>
      <c r="Q968" s="23">
        <v>-1580</v>
      </c>
      <c r="R968" s="23">
        <v>0</v>
      </c>
      <c r="S968" s="23">
        <v>0</v>
      </c>
      <c r="T968" s="23">
        <v>0</v>
      </c>
      <c r="U968" s="23">
        <v>0</v>
      </c>
      <c r="V968" s="23">
        <v>0</v>
      </c>
      <c r="W968" s="23">
        <f t="shared" si="106"/>
        <v>-3480.75</v>
      </c>
      <c r="X968" s="23">
        <f t="shared" si="107"/>
        <v>0</v>
      </c>
      <c r="Y968" s="23">
        <f t="shared" si="108"/>
        <v>-3480.75</v>
      </c>
      <c r="Z968" s="23">
        <v>1500</v>
      </c>
      <c r="AA968" s="23">
        <f t="shared" si="109"/>
        <v>-1980.75</v>
      </c>
      <c r="AB968" s="23">
        <f t="shared" si="110"/>
        <v>118.5</v>
      </c>
      <c r="AC968" s="20" t="s">
        <v>409</v>
      </c>
      <c r="AD968" s="20" t="e">
        <f>VLOOKUP($C968,'[1]CTRL AUTOS'!$E:$AH,2,0)</f>
        <v>#N/A</v>
      </c>
      <c r="AE968" s="11" t="e">
        <f t="shared" si="111"/>
        <v>#N/A</v>
      </c>
    </row>
    <row r="969" spans="1:31" ht="12.75" hidden="1" customHeight="1" x14ac:dyDescent="0.3">
      <c r="A969" s="8">
        <v>43</v>
      </c>
      <c r="B969" s="20" t="s">
        <v>78</v>
      </c>
      <c r="C969" s="44" t="s">
        <v>79</v>
      </c>
      <c r="D969" s="20" t="s">
        <v>475</v>
      </c>
      <c r="E969" s="20" t="s">
        <v>291</v>
      </c>
      <c r="F969" s="20" t="s">
        <v>291</v>
      </c>
      <c r="G969" s="20" t="s">
        <v>234</v>
      </c>
      <c r="H969" s="23">
        <v>4596.4799999999996</v>
      </c>
      <c r="I969" s="23">
        <v>-100.03</v>
      </c>
      <c r="J969" s="23">
        <v>0</v>
      </c>
      <c r="K969" s="23">
        <v>-35.880000000000003</v>
      </c>
      <c r="L969" s="23">
        <v>-860.95</v>
      </c>
      <c r="M969" s="23">
        <v>-35</v>
      </c>
      <c r="N969" s="23">
        <v>0</v>
      </c>
      <c r="O969" s="24">
        <f t="shared" si="105"/>
        <v>3564.62</v>
      </c>
      <c r="P969" s="23">
        <v>-2500</v>
      </c>
      <c r="Q969" s="23">
        <v>0</v>
      </c>
      <c r="R969" s="23">
        <v>-500</v>
      </c>
      <c r="S969" s="23">
        <v>0</v>
      </c>
      <c r="T969" s="23">
        <v>0</v>
      </c>
      <c r="U969" s="23">
        <v>0</v>
      </c>
      <c r="V969" s="23">
        <v>0</v>
      </c>
      <c r="W969" s="23">
        <f t="shared" si="106"/>
        <v>564.61999999999989</v>
      </c>
      <c r="X969" s="23">
        <f t="shared" si="107"/>
        <v>564.61999999999989</v>
      </c>
      <c r="Y969" s="23">
        <f t="shared" si="108"/>
        <v>0</v>
      </c>
      <c r="Z969" s="23">
        <v>0</v>
      </c>
      <c r="AA969" s="23">
        <f t="shared" si="109"/>
        <v>0</v>
      </c>
      <c r="AB969" s="23">
        <f t="shared" si="110"/>
        <v>3000</v>
      </c>
      <c r="AC969" s="20" t="s">
        <v>405</v>
      </c>
      <c r="AD969" s="20" t="str">
        <f>VLOOKUP($C969,'[1]CTRL AUTOS'!$E:$AH,2,0)</f>
        <v>MAY737C</v>
      </c>
      <c r="AE969" s="11" t="str">
        <f t="shared" si="111"/>
        <v>MAY737C43</v>
      </c>
    </row>
    <row r="970" spans="1:31" ht="12.75" hidden="1" customHeight="1" x14ac:dyDescent="0.3">
      <c r="A970" s="8">
        <v>43</v>
      </c>
      <c r="B970" s="20" t="s">
        <v>462</v>
      </c>
      <c r="C970" s="20" t="s">
        <v>418</v>
      </c>
      <c r="D970" s="20" t="s">
        <v>476</v>
      </c>
      <c r="E970" s="20" t="s">
        <v>364</v>
      </c>
      <c r="F970" s="22" t="s">
        <v>364</v>
      </c>
      <c r="G970" s="20" t="s">
        <v>234</v>
      </c>
      <c r="H970" s="23">
        <v>941.39</v>
      </c>
      <c r="I970" s="23">
        <v>-13.41</v>
      </c>
      <c r="J970" s="23">
        <v>0</v>
      </c>
      <c r="K970" s="23">
        <v>0</v>
      </c>
      <c r="L970" s="23">
        <v>-785.83</v>
      </c>
      <c r="M970" s="23">
        <v>0</v>
      </c>
      <c r="N970" s="23">
        <v>0</v>
      </c>
      <c r="O970" s="24">
        <f t="shared" si="105"/>
        <v>142.14999999999998</v>
      </c>
      <c r="P970" s="23">
        <v>-1785</v>
      </c>
      <c r="Q970" s="23">
        <v>-585</v>
      </c>
      <c r="R970" s="23">
        <v>1322</v>
      </c>
      <c r="S970" s="23">
        <v>0</v>
      </c>
      <c r="T970" s="23">
        <v>-1500</v>
      </c>
      <c r="U970" s="23">
        <v>-3000</v>
      </c>
      <c r="V970" s="23">
        <v>0</v>
      </c>
      <c r="W970" s="23">
        <f t="shared" si="106"/>
        <v>-5405.85</v>
      </c>
      <c r="X970" s="23">
        <f t="shared" si="107"/>
        <v>0</v>
      </c>
      <c r="Y970" s="23">
        <f t="shared" si="108"/>
        <v>-5405.85</v>
      </c>
      <c r="Z970" s="23">
        <v>0</v>
      </c>
      <c r="AA970" s="23">
        <f t="shared" si="109"/>
        <v>-5405.85</v>
      </c>
      <c r="AB970" s="23">
        <f t="shared" si="110"/>
        <v>-5263.7000000000007</v>
      </c>
      <c r="AC970" s="20" t="s">
        <v>307</v>
      </c>
      <c r="AD970" s="20" t="e">
        <f>VLOOKUP($C970,'[1]CTRL AUTOS'!$E:$AH,2,0)</f>
        <v>#N/A</v>
      </c>
      <c r="AE970" s="11" t="e">
        <f t="shared" si="111"/>
        <v>#N/A</v>
      </c>
    </row>
    <row r="971" spans="1:31" ht="12.75" hidden="1" customHeight="1" x14ac:dyDescent="0.3">
      <c r="A971" s="8">
        <v>43</v>
      </c>
      <c r="B971" s="20" t="s">
        <v>37</v>
      </c>
      <c r="C971" s="20" t="s">
        <v>40</v>
      </c>
      <c r="D971" s="20" t="s">
        <v>315</v>
      </c>
      <c r="E971" s="20" t="s">
        <v>232</v>
      </c>
      <c r="F971" s="20" t="s">
        <v>232</v>
      </c>
      <c r="G971" s="20" t="s">
        <v>234</v>
      </c>
      <c r="H971" s="23">
        <v>5388.3</v>
      </c>
      <c r="I971" s="23">
        <v>-92.63</v>
      </c>
      <c r="J971" s="23">
        <v>0</v>
      </c>
      <c r="K971" s="23">
        <v>0</v>
      </c>
      <c r="L971" s="23">
        <v>-3202.17</v>
      </c>
      <c r="M971" s="23">
        <v>-48</v>
      </c>
      <c r="N971" s="23">
        <v>0</v>
      </c>
      <c r="O971" s="24">
        <f t="shared" si="105"/>
        <v>2045.5</v>
      </c>
      <c r="P971" s="23">
        <v>-2500</v>
      </c>
      <c r="Q971" s="23">
        <v>-1534</v>
      </c>
      <c r="R971" s="23">
        <v>0</v>
      </c>
      <c r="S971" s="23">
        <v>0</v>
      </c>
      <c r="T971" s="23">
        <v>0</v>
      </c>
      <c r="U971" s="23">
        <v>0</v>
      </c>
      <c r="V971" s="23">
        <v>0</v>
      </c>
      <c r="W971" s="23">
        <f t="shared" si="106"/>
        <v>-1988.5</v>
      </c>
      <c r="X971" s="23">
        <f t="shared" si="107"/>
        <v>0</v>
      </c>
      <c r="Y971" s="23">
        <f t="shared" si="108"/>
        <v>-1988.5</v>
      </c>
      <c r="Z971" s="23">
        <v>1900</v>
      </c>
      <c r="AA971" s="23">
        <f t="shared" si="109"/>
        <v>-88.5</v>
      </c>
      <c r="AB971" s="23">
        <f t="shared" si="110"/>
        <v>3857</v>
      </c>
      <c r="AC971" s="20" t="s">
        <v>409</v>
      </c>
      <c r="AD971" s="20" t="str">
        <f>VLOOKUP($C971,'[1]CTRL AUTOS'!$E:$AH,2,0)</f>
        <v>NEL860A</v>
      </c>
      <c r="AE971" s="11" t="str">
        <f t="shared" si="111"/>
        <v>NEL860A43</v>
      </c>
    </row>
    <row r="972" spans="1:31" ht="12.75" hidden="1" customHeight="1" x14ac:dyDescent="0.3">
      <c r="A972" s="8">
        <v>43</v>
      </c>
      <c r="B972" s="20" t="s">
        <v>60</v>
      </c>
      <c r="C972" s="41" t="s">
        <v>42</v>
      </c>
      <c r="D972" s="20" t="s">
        <v>237</v>
      </c>
      <c r="E972" s="20" t="s">
        <v>232</v>
      </c>
      <c r="F972" s="20" t="s">
        <v>232</v>
      </c>
      <c r="G972" s="20" t="s">
        <v>234</v>
      </c>
      <c r="H972" s="23">
        <v>8561.99</v>
      </c>
      <c r="I972" s="23">
        <v>-361.51</v>
      </c>
      <c r="J972" s="23">
        <v>0</v>
      </c>
      <c r="K972" s="23">
        <v>0</v>
      </c>
      <c r="L972" s="23">
        <v>-2631.87</v>
      </c>
      <c r="M972" s="23">
        <v>-42</v>
      </c>
      <c r="N972" s="23">
        <v>-29.3</v>
      </c>
      <c r="O972" s="24">
        <f t="shared" si="105"/>
        <v>5497.3099999999995</v>
      </c>
      <c r="P972" s="23">
        <v>-2143</v>
      </c>
      <c r="Q972" s="23">
        <v>0</v>
      </c>
      <c r="R972" s="23">
        <v>-429</v>
      </c>
      <c r="S972" s="23">
        <v>0</v>
      </c>
      <c r="T972" s="23">
        <v>0</v>
      </c>
      <c r="U972" s="23">
        <v>0</v>
      </c>
      <c r="V972" s="23">
        <v>0</v>
      </c>
      <c r="W972" s="23">
        <f t="shared" si="106"/>
        <v>2925.3099999999995</v>
      </c>
      <c r="X972" s="23">
        <f t="shared" si="107"/>
        <v>2925.3099999999995</v>
      </c>
      <c r="Y972" s="23">
        <f t="shared" si="108"/>
        <v>0</v>
      </c>
      <c r="Z972" s="23">
        <v>0</v>
      </c>
      <c r="AA972" s="23">
        <f t="shared" si="109"/>
        <v>0</v>
      </c>
      <c r="AB972" s="23">
        <f t="shared" si="110"/>
        <v>2572</v>
      </c>
      <c r="AC972" s="20" t="s">
        <v>466</v>
      </c>
      <c r="AD972" s="20" t="str">
        <f>VLOOKUP($C972,'[1]CTRL AUTOS'!$E:$AH,2,0)</f>
        <v>MMA672C</v>
      </c>
      <c r="AE972" s="11" t="str">
        <f t="shared" si="111"/>
        <v>MMA672C43</v>
      </c>
    </row>
    <row r="973" spans="1:31" ht="12.75" hidden="1" customHeight="1" x14ac:dyDescent="0.3">
      <c r="A973" s="8">
        <v>43</v>
      </c>
      <c r="B973" s="20" t="s">
        <v>13</v>
      </c>
      <c r="C973" s="20" t="s">
        <v>30</v>
      </c>
      <c r="D973" s="20" t="s">
        <v>237</v>
      </c>
      <c r="E973" s="20" t="s">
        <v>232</v>
      </c>
      <c r="F973" s="20" t="s">
        <v>291</v>
      </c>
      <c r="G973" s="20" t="s">
        <v>234</v>
      </c>
      <c r="H973" s="23">
        <v>4914.7700000000004</v>
      </c>
      <c r="I973" s="23">
        <v>-73.37</v>
      </c>
      <c r="J973" s="23">
        <v>73.3</v>
      </c>
      <c r="K973" s="23">
        <v>0</v>
      </c>
      <c r="L973" s="23">
        <v>0</v>
      </c>
      <c r="M973" s="23">
        <v>-45</v>
      </c>
      <c r="N973" s="23">
        <v>0</v>
      </c>
      <c r="O973" s="24">
        <f t="shared" si="105"/>
        <v>4869.7000000000007</v>
      </c>
      <c r="P973" s="23">
        <v>-2500</v>
      </c>
      <c r="Q973" s="23">
        <v>0</v>
      </c>
      <c r="R973" s="23">
        <v>-250</v>
      </c>
      <c r="S973" s="23">
        <v>0</v>
      </c>
      <c r="T973" s="23">
        <v>0</v>
      </c>
      <c r="U973" s="23">
        <v>0</v>
      </c>
      <c r="V973" s="23">
        <v>0</v>
      </c>
      <c r="W973" s="23">
        <f t="shared" si="106"/>
        <v>2119.7000000000007</v>
      </c>
      <c r="X973" s="23">
        <f t="shared" si="107"/>
        <v>2119.7000000000007</v>
      </c>
      <c r="Y973" s="23">
        <f t="shared" si="108"/>
        <v>0</v>
      </c>
      <c r="Z973" s="23">
        <v>0</v>
      </c>
      <c r="AA973" s="23">
        <f t="shared" si="109"/>
        <v>0</v>
      </c>
      <c r="AB973" s="23">
        <f t="shared" si="110"/>
        <v>2750</v>
      </c>
      <c r="AC973" s="20" t="s">
        <v>405</v>
      </c>
      <c r="AD973" s="20" t="str">
        <f>VLOOKUP($C973,'[1]CTRL AUTOS'!$E:$AH,2,0)</f>
        <v>D51BHV</v>
      </c>
      <c r="AE973" s="11" t="str">
        <f t="shared" si="111"/>
        <v>D51BHV43</v>
      </c>
    </row>
    <row r="974" spans="1:31" ht="12.75" hidden="1" customHeight="1" x14ac:dyDescent="0.3">
      <c r="A974" s="8">
        <v>43</v>
      </c>
      <c r="B974" s="20" t="s">
        <v>49</v>
      </c>
      <c r="C974" s="20" t="s">
        <v>75</v>
      </c>
      <c r="D974" s="20" t="s">
        <v>333</v>
      </c>
      <c r="E974" s="22" t="s">
        <v>241</v>
      </c>
      <c r="F974" s="20" t="s">
        <v>291</v>
      </c>
      <c r="G974" s="20" t="s">
        <v>234</v>
      </c>
      <c r="H974" s="23">
        <v>7805.81</v>
      </c>
      <c r="I974" s="23">
        <v>-179.37</v>
      </c>
      <c r="J974" s="23">
        <v>14.69</v>
      </c>
      <c r="K974" s="23">
        <v>0</v>
      </c>
      <c r="L974" s="23">
        <v>-499.87</v>
      </c>
      <c r="M974" s="23">
        <f>-45-5</f>
        <v>-50</v>
      </c>
      <c r="N974" s="23">
        <v>0</v>
      </c>
      <c r="O974" s="24">
        <f t="shared" si="105"/>
        <v>7091.26</v>
      </c>
      <c r="P974" s="23">
        <v>-2500</v>
      </c>
      <c r="Q974" s="23">
        <v>0</v>
      </c>
      <c r="R974" s="23">
        <v>-500</v>
      </c>
      <c r="S974" s="23">
        <v>0</v>
      </c>
      <c r="T974" s="23">
        <v>-1000</v>
      </c>
      <c r="U974" s="23">
        <v>0</v>
      </c>
      <c r="V974" s="23">
        <v>0</v>
      </c>
      <c r="W974" s="23">
        <f t="shared" si="106"/>
        <v>3091.26</v>
      </c>
      <c r="X974" s="23">
        <f t="shared" si="107"/>
        <v>3091.26</v>
      </c>
      <c r="Y974" s="23">
        <f t="shared" si="108"/>
        <v>0</v>
      </c>
      <c r="Z974" s="23">
        <v>0</v>
      </c>
      <c r="AA974" s="23">
        <f t="shared" si="109"/>
        <v>0</v>
      </c>
      <c r="AB974" s="23">
        <f t="shared" si="110"/>
        <v>4000</v>
      </c>
      <c r="AC974" s="20" t="s">
        <v>405</v>
      </c>
      <c r="AD974" s="20" t="str">
        <f>VLOOKUP($C974,'[1]CTRL AUTOS'!$E:$AH,2,0)</f>
        <v>NFN014B</v>
      </c>
      <c r="AE974" s="11" t="str">
        <f t="shared" si="111"/>
        <v>NFN014B43</v>
      </c>
    </row>
    <row r="975" spans="1:31" ht="12.75" hidden="1" customHeight="1" x14ac:dyDescent="0.3">
      <c r="A975" s="8">
        <v>43</v>
      </c>
      <c r="B975" s="20" t="s">
        <v>396</v>
      </c>
      <c r="C975" s="20" t="s">
        <v>75</v>
      </c>
      <c r="D975" s="20" t="s">
        <v>333</v>
      </c>
      <c r="E975" s="22" t="s">
        <v>241</v>
      </c>
      <c r="F975" s="20" t="s">
        <v>291</v>
      </c>
      <c r="G975" s="20" t="s">
        <v>234</v>
      </c>
      <c r="H975" s="23">
        <v>0</v>
      </c>
      <c r="I975" s="23">
        <v>0</v>
      </c>
      <c r="J975" s="23">
        <v>0</v>
      </c>
      <c r="K975" s="23">
        <v>0</v>
      </c>
      <c r="L975" s="23">
        <v>0</v>
      </c>
      <c r="M975" s="23">
        <v>0</v>
      </c>
      <c r="N975" s="23">
        <v>0</v>
      </c>
      <c r="O975" s="24">
        <f t="shared" si="105"/>
        <v>0</v>
      </c>
      <c r="P975" s="23">
        <v>0</v>
      </c>
      <c r="Q975" s="23">
        <v>0</v>
      </c>
      <c r="R975" s="23">
        <v>500</v>
      </c>
      <c r="S975" s="23">
        <v>0</v>
      </c>
      <c r="T975" s="23">
        <v>0</v>
      </c>
      <c r="U975" s="23">
        <v>0</v>
      </c>
      <c r="V975" s="23">
        <v>0</v>
      </c>
      <c r="W975" s="23">
        <f t="shared" si="106"/>
        <v>500</v>
      </c>
      <c r="X975" s="23">
        <f t="shared" si="107"/>
        <v>500</v>
      </c>
      <c r="Y975" s="23">
        <f t="shared" si="108"/>
        <v>0</v>
      </c>
      <c r="Z975" s="23">
        <v>0</v>
      </c>
      <c r="AA975" s="23">
        <f t="shared" si="109"/>
        <v>0</v>
      </c>
      <c r="AB975" s="23">
        <f t="shared" si="110"/>
        <v>-500</v>
      </c>
      <c r="AC975" s="20" t="s">
        <v>405</v>
      </c>
      <c r="AD975" s="20" t="str">
        <f>VLOOKUP($C975,'[1]CTRL AUTOS'!$E:$AH,2,0)</f>
        <v>NFN014B</v>
      </c>
      <c r="AE975" s="11" t="str">
        <f t="shared" si="111"/>
        <v>NFN014B43</v>
      </c>
    </row>
    <row r="976" spans="1:31" ht="12.75" hidden="1" customHeight="1" x14ac:dyDescent="0.3">
      <c r="A976" s="8">
        <v>43</v>
      </c>
      <c r="B976" s="20" t="s">
        <v>477</v>
      </c>
      <c r="C976" s="20" t="s">
        <v>56</v>
      </c>
      <c r="D976" s="20" t="s">
        <v>336</v>
      </c>
      <c r="E976" s="22" t="s">
        <v>241</v>
      </c>
      <c r="F976" s="20" t="s">
        <v>291</v>
      </c>
      <c r="G976" s="20" t="s">
        <v>234</v>
      </c>
      <c r="H976" s="23">
        <v>4128.93</v>
      </c>
      <c r="I976" s="23">
        <v>-85.45</v>
      </c>
      <c r="J976" s="23">
        <v>0</v>
      </c>
      <c r="K976" s="23">
        <v>0</v>
      </c>
      <c r="L976" s="23">
        <v>-2778.77</v>
      </c>
      <c r="M976" s="23">
        <v>-45</v>
      </c>
      <c r="N976" s="23">
        <v>0</v>
      </c>
      <c r="O976" s="24">
        <f t="shared" si="105"/>
        <v>1219.7100000000005</v>
      </c>
      <c r="P976" s="23">
        <v>-1785.71</v>
      </c>
      <c r="Q976" s="23">
        <v>0</v>
      </c>
      <c r="R976" s="23">
        <v>-357.14</v>
      </c>
      <c r="S976" s="23">
        <v>0</v>
      </c>
      <c r="T976" s="23">
        <v>0</v>
      </c>
      <c r="U976" s="23">
        <v>0</v>
      </c>
      <c r="V976" s="23">
        <v>0</v>
      </c>
      <c r="W976" s="23">
        <f t="shared" si="106"/>
        <v>-923.13999999999942</v>
      </c>
      <c r="X976" s="23">
        <f t="shared" si="107"/>
        <v>0</v>
      </c>
      <c r="Y976" s="23">
        <f t="shared" si="108"/>
        <v>-923.13999999999942</v>
      </c>
      <c r="Z976" s="23">
        <v>923</v>
      </c>
      <c r="AA976" s="23">
        <f t="shared" si="109"/>
        <v>-0.13999999999941792</v>
      </c>
      <c r="AB976" s="23">
        <f t="shared" si="110"/>
        <v>2142.5700000000011</v>
      </c>
      <c r="AC976" s="20" t="s">
        <v>478</v>
      </c>
      <c r="AD976" s="20" t="str">
        <f>VLOOKUP($C976,'[1]CTRL AUTOS'!$E:$AH,2,0)</f>
        <v>MYE912A</v>
      </c>
      <c r="AE976" s="11" t="str">
        <f t="shared" si="111"/>
        <v>MYE912A43</v>
      </c>
    </row>
    <row r="977" spans="1:31" ht="12.75" hidden="1" customHeight="1" x14ac:dyDescent="0.3">
      <c r="A977" s="8">
        <v>43</v>
      </c>
      <c r="B977" s="20" t="s">
        <v>477</v>
      </c>
      <c r="C977" s="20" t="s">
        <v>4</v>
      </c>
      <c r="D977" s="20" t="s">
        <v>245</v>
      </c>
      <c r="E977" s="20" t="s">
        <v>232</v>
      </c>
      <c r="F977" s="20" t="s">
        <v>232</v>
      </c>
      <c r="G977" s="20" t="s">
        <v>234</v>
      </c>
      <c r="H977" s="23">
        <v>1687.35</v>
      </c>
      <c r="I977" s="23">
        <v>-28.32</v>
      </c>
      <c r="J977" s="23">
        <v>0</v>
      </c>
      <c r="K977" s="23">
        <v>0</v>
      </c>
      <c r="L977" s="23">
        <v>-440.77</v>
      </c>
      <c r="M977" s="23">
        <v>0</v>
      </c>
      <c r="N977" s="23">
        <v>0</v>
      </c>
      <c r="O977" s="24">
        <f t="shared" si="105"/>
        <v>1218.26</v>
      </c>
      <c r="P977" s="23">
        <v>0</v>
      </c>
      <c r="Q977" s="23">
        <v>0</v>
      </c>
      <c r="R977" s="23">
        <v>0</v>
      </c>
      <c r="S977" s="23">
        <v>0</v>
      </c>
      <c r="T977" s="23">
        <v>0</v>
      </c>
      <c r="U977" s="23">
        <v>0</v>
      </c>
      <c r="V977" s="23">
        <v>0</v>
      </c>
      <c r="W977" s="23">
        <f t="shared" si="106"/>
        <v>1218.26</v>
      </c>
      <c r="X977" s="23">
        <f t="shared" si="107"/>
        <v>1218.26</v>
      </c>
      <c r="Y977" s="23">
        <f t="shared" si="108"/>
        <v>0</v>
      </c>
      <c r="Z977" s="23">
        <v>0</v>
      </c>
      <c r="AA977" s="23">
        <f t="shared" si="109"/>
        <v>0</v>
      </c>
      <c r="AB977" s="23">
        <f t="shared" si="110"/>
        <v>0</v>
      </c>
      <c r="AC977" s="20" t="s">
        <v>466</v>
      </c>
      <c r="AD977" s="20" t="str">
        <f>VLOOKUP($C977,'[1]CTRL AUTOS'!$E:$AH,2,0)</f>
        <v>N15BKD</v>
      </c>
      <c r="AE977" s="11" t="str">
        <f t="shared" si="111"/>
        <v>N15BKD43</v>
      </c>
    </row>
    <row r="978" spans="1:31" ht="12.75" hidden="1" customHeight="1" x14ac:dyDescent="0.3">
      <c r="A978" s="8">
        <v>43</v>
      </c>
      <c r="B978" s="20" t="s">
        <v>47</v>
      </c>
      <c r="C978" s="20" t="s">
        <v>106</v>
      </c>
      <c r="D978" s="20" t="s">
        <v>322</v>
      </c>
      <c r="E978" s="20" t="s">
        <v>232</v>
      </c>
      <c r="F978" s="20" t="s">
        <v>232</v>
      </c>
      <c r="G978" s="20" t="s">
        <v>234</v>
      </c>
      <c r="H978" s="23">
        <v>1165.74</v>
      </c>
      <c r="I978" s="23">
        <v>-27.81</v>
      </c>
      <c r="J978" s="23">
        <v>0</v>
      </c>
      <c r="K978" s="23">
        <v>0</v>
      </c>
      <c r="L978" s="23">
        <v>-558.11</v>
      </c>
      <c r="M978" s="23">
        <v>-25</v>
      </c>
      <c r="N978" s="23">
        <v>0</v>
      </c>
      <c r="O978" s="24">
        <f t="shared" si="105"/>
        <v>554.82000000000005</v>
      </c>
      <c r="P978" s="23">
        <v>-536</v>
      </c>
      <c r="Q978" s="23">
        <v>0</v>
      </c>
      <c r="R978" s="23">
        <v>-106.86</v>
      </c>
      <c r="S978" s="23">
        <v>0</v>
      </c>
      <c r="T978" s="23">
        <v>0</v>
      </c>
      <c r="U978" s="23">
        <v>0</v>
      </c>
      <c r="V978" s="23">
        <v>0</v>
      </c>
      <c r="W978" s="23">
        <f t="shared" si="106"/>
        <v>-88.039999999999964</v>
      </c>
      <c r="X978" s="23">
        <f t="shared" si="107"/>
        <v>0</v>
      </c>
      <c r="Y978" s="23">
        <f t="shared" si="108"/>
        <v>-88.039999999999964</v>
      </c>
      <c r="Z978" s="23">
        <v>88</v>
      </c>
      <c r="AA978" s="23">
        <f t="shared" si="109"/>
        <v>-3.999999999996362E-2</v>
      </c>
      <c r="AB978" s="23">
        <f t="shared" si="110"/>
        <v>642.78000000000009</v>
      </c>
      <c r="AC978" s="20" t="s">
        <v>409</v>
      </c>
      <c r="AD978" s="20" t="str">
        <f>VLOOKUP($C978,'[1]CTRL AUTOS'!$E:$AH,2,0)</f>
        <v>NZU5163</v>
      </c>
      <c r="AE978" s="11" t="str">
        <f t="shared" si="111"/>
        <v>NZU516343</v>
      </c>
    </row>
    <row r="979" spans="1:31" ht="12.75" hidden="1" customHeight="1" x14ac:dyDescent="0.3">
      <c r="A979" s="8">
        <v>43</v>
      </c>
      <c r="B979" s="20" t="s">
        <v>288</v>
      </c>
      <c r="C979" s="20" t="s">
        <v>22</v>
      </c>
      <c r="D979" s="20" t="s">
        <v>237</v>
      </c>
      <c r="E979" s="20" t="s">
        <v>232</v>
      </c>
      <c r="F979" s="20" t="s">
        <v>232</v>
      </c>
      <c r="G979" s="20" t="s">
        <v>234</v>
      </c>
      <c r="H979" s="23">
        <v>0</v>
      </c>
      <c r="I979" s="23">
        <v>0</v>
      </c>
      <c r="J979" s="23">
        <v>0</v>
      </c>
      <c r="K979" s="23">
        <v>0</v>
      </c>
      <c r="L979" s="23">
        <v>0</v>
      </c>
      <c r="M979" s="24">
        <v>0</v>
      </c>
      <c r="N979" s="23">
        <v>0</v>
      </c>
      <c r="O979" s="24">
        <f t="shared" si="105"/>
        <v>0</v>
      </c>
      <c r="P979" s="23">
        <v>0</v>
      </c>
      <c r="Q979" s="23">
        <v>0</v>
      </c>
      <c r="R979" s="23">
        <v>500</v>
      </c>
      <c r="S979" s="23">
        <v>0</v>
      </c>
      <c r="T979" s="23">
        <v>0</v>
      </c>
      <c r="U979" s="23">
        <v>0</v>
      </c>
      <c r="V979" s="23">
        <v>0</v>
      </c>
      <c r="W979" s="23">
        <f t="shared" si="106"/>
        <v>500</v>
      </c>
      <c r="X979" s="23">
        <f t="shared" si="107"/>
        <v>500</v>
      </c>
      <c r="Y979" s="23">
        <f t="shared" si="108"/>
        <v>0</v>
      </c>
      <c r="Z979" s="23">
        <v>0</v>
      </c>
      <c r="AA979" s="23">
        <f t="shared" si="109"/>
        <v>0</v>
      </c>
      <c r="AB979" s="23">
        <f t="shared" si="110"/>
        <v>-500</v>
      </c>
      <c r="AC979" s="20" t="s">
        <v>466</v>
      </c>
      <c r="AD979" s="20" t="str">
        <f>VLOOKUP($C979,'[1]CTRL AUTOS'!$E:$AH,2,0)</f>
        <v>NCK475B</v>
      </c>
      <c r="AE979" s="11" t="str">
        <f t="shared" si="111"/>
        <v>NCK475B43</v>
      </c>
    </row>
    <row r="980" spans="1:31" ht="12.75" hidden="1" customHeight="1" x14ac:dyDescent="0.3">
      <c r="A980" s="8">
        <v>44</v>
      </c>
      <c r="B980" s="20" t="s">
        <v>60</v>
      </c>
      <c r="C980" s="41" t="s">
        <v>42</v>
      </c>
      <c r="D980" s="20" t="s">
        <v>237</v>
      </c>
      <c r="E980" s="20" t="s">
        <v>232</v>
      </c>
      <c r="F980" s="20" t="s">
        <v>232</v>
      </c>
      <c r="G980" s="20" t="s">
        <v>234</v>
      </c>
      <c r="H980" s="23">
        <v>10038.24</v>
      </c>
      <c r="I980" s="23">
        <v>0</v>
      </c>
      <c r="J980" s="23">
        <v>9.7899999999999991</v>
      </c>
      <c r="K980" s="23">
        <v>0</v>
      </c>
      <c r="L980" s="23">
        <v>-3729.88</v>
      </c>
      <c r="M980" s="23">
        <v>-34</v>
      </c>
      <c r="N980" s="23">
        <v>0</v>
      </c>
      <c r="O980" s="24">
        <f t="shared" si="105"/>
        <v>6284.1500000000005</v>
      </c>
      <c r="P980" s="23">
        <v>-2500</v>
      </c>
      <c r="Q980" s="23">
        <v>0</v>
      </c>
      <c r="R980" s="23">
        <v>-500</v>
      </c>
      <c r="S980" s="23">
        <v>0</v>
      </c>
      <c r="T980" s="23">
        <v>0</v>
      </c>
      <c r="U980" s="23">
        <v>0</v>
      </c>
      <c r="V980" s="23">
        <v>0</v>
      </c>
      <c r="W980" s="23">
        <f t="shared" si="106"/>
        <v>3284.1500000000005</v>
      </c>
      <c r="X980" s="23">
        <f t="shared" si="107"/>
        <v>3284.1500000000005</v>
      </c>
      <c r="Y980" s="23">
        <f t="shared" si="108"/>
        <v>0</v>
      </c>
      <c r="Z980" s="23">
        <v>0</v>
      </c>
      <c r="AA980" s="23">
        <f t="shared" si="109"/>
        <v>0</v>
      </c>
      <c r="AB980" s="23">
        <f t="shared" si="110"/>
        <v>3000</v>
      </c>
      <c r="AC980" s="20" t="s">
        <v>479</v>
      </c>
      <c r="AD980" s="20" t="str">
        <f>VLOOKUP($C980,'[1]CTRL AUTOS'!$E:$AH,2,0)</f>
        <v>MMA672C</v>
      </c>
      <c r="AE980" s="11" t="str">
        <f t="shared" si="111"/>
        <v>MMA672C44</v>
      </c>
    </row>
    <row r="981" spans="1:31" ht="12.75" hidden="1" customHeight="1" x14ac:dyDescent="0.3">
      <c r="A981" s="8">
        <v>44</v>
      </c>
      <c r="B981" s="20" t="s">
        <v>23</v>
      </c>
      <c r="C981" s="20" t="s">
        <v>97</v>
      </c>
      <c r="D981" s="20" t="s">
        <v>273</v>
      </c>
      <c r="E981" s="20" t="s">
        <v>232</v>
      </c>
      <c r="F981" s="20" t="s">
        <v>232</v>
      </c>
      <c r="G981" s="20" t="s">
        <v>234</v>
      </c>
      <c r="H981" s="23">
        <v>8655.18</v>
      </c>
      <c r="I981" s="23">
        <v>-34</v>
      </c>
      <c r="J981" s="23">
        <v>0</v>
      </c>
      <c r="K981" s="23">
        <v>0</v>
      </c>
      <c r="L981" s="23">
        <v>-6392.23</v>
      </c>
      <c r="M981" s="23">
        <v>-38</v>
      </c>
      <c r="N981" s="23">
        <v>0</v>
      </c>
      <c r="O981" s="24">
        <f t="shared" si="105"/>
        <v>2190.9500000000007</v>
      </c>
      <c r="P981" s="23">
        <v>-2500</v>
      </c>
      <c r="Q981" s="23">
        <v>-15</v>
      </c>
      <c r="R981" s="23">
        <v>0</v>
      </c>
      <c r="S981" s="23">
        <v>0</v>
      </c>
      <c r="T981" s="23">
        <v>-500</v>
      </c>
      <c r="U981" s="23">
        <v>0</v>
      </c>
      <c r="V981" s="23">
        <v>0</v>
      </c>
      <c r="W981" s="23">
        <f t="shared" si="106"/>
        <v>-824.04999999999927</v>
      </c>
      <c r="X981" s="23">
        <f t="shared" si="107"/>
        <v>0</v>
      </c>
      <c r="Y981" s="23">
        <f t="shared" si="108"/>
        <v>-824.04999999999927</v>
      </c>
      <c r="Z981" s="23">
        <v>700</v>
      </c>
      <c r="AA981" s="23">
        <f t="shared" si="109"/>
        <v>-124.04999999999927</v>
      </c>
      <c r="AB981" s="23">
        <f t="shared" si="110"/>
        <v>2766.9000000000015</v>
      </c>
      <c r="AC981" s="20" t="s">
        <v>409</v>
      </c>
      <c r="AD981" s="20" t="str">
        <f>VLOOKUP($C981,'[1]CTRL AUTOS'!$E:$AH,2,0)</f>
        <v>MUF515A</v>
      </c>
      <c r="AE981" s="11" t="str">
        <f t="shared" si="111"/>
        <v>MUF515A44</v>
      </c>
    </row>
    <row r="982" spans="1:31" ht="12.75" hidden="1" customHeight="1" x14ac:dyDescent="0.3">
      <c r="A982" s="8">
        <v>44</v>
      </c>
      <c r="B982" s="20" t="s">
        <v>19</v>
      </c>
      <c r="C982" s="20" t="s">
        <v>20</v>
      </c>
      <c r="D982" s="20" t="s">
        <v>239</v>
      </c>
      <c r="E982" s="20" t="s">
        <v>232</v>
      </c>
      <c r="F982" s="20" t="s">
        <v>232</v>
      </c>
      <c r="G982" s="20" t="s">
        <v>234</v>
      </c>
      <c r="H982" s="23">
        <v>8503.6200000000008</v>
      </c>
      <c r="I982" s="23">
        <v>-24</v>
      </c>
      <c r="J982" s="23">
        <v>174.58</v>
      </c>
      <c r="K982" s="23">
        <v>-59.6</v>
      </c>
      <c r="L982" s="23">
        <v>0</v>
      </c>
      <c r="M982" s="23">
        <v>-45</v>
      </c>
      <c r="N982" s="23">
        <v>0</v>
      </c>
      <c r="O982" s="24">
        <f t="shared" si="105"/>
        <v>8549.6</v>
      </c>
      <c r="P982" s="23">
        <v>-2500</v>
      </c>
      <c r="Q982" s="23">
        <v>0</v>
      </c>
      <c r="R982" s="23">
        <v>0</v>
      </c>
      <c r="S982" s="23">
        <v>0</v>
      </c>
      <c r="T982" s="23">
        <v>0</v>
      </c>
      <c r="U982" s="23">
        <v>-1000</v>
      </c>
      <c r="V982" s="23">
        <v>0</v>
      </c>
      <c r="W982" s="23">
        <f t="shared" si="106"/>
        <v>5049.6000000000004</v>
      </c>
      <c r="X982" s="23">
        <f t="shared" si="107"/>
        <v>5049.6000000000004</v>
      </c>
      <c r="Y982" s="23">
        <f t="shared" si="108"/>
        <v>0</v>
      </c>
      <c r="Z982" s="23">
        <v>0</v>
      </c>
      <c r="AA982" s="23">
        <f t="shared" si="109"/>
        <v>0</v>
      </c>
      <c r="AB982" s="23">
        <f t="shared" si="110"/>
        <v>3500</v>
      </c>
      <c r="AC982" s="20" t="s">
        <v>479</v>
      </c>
      <c r="AD982" s="20" t="str">
        <f>VLOOKUP($C982,'[1]CTRL AUTOS'!$E:$AH,2,0)</f>
        <v>D40BKD</v>
      </c>
      <c r="AE982" s="11" t="str">
        <f t="shared" si="111"/>
        <v>D40BKD44</v>
      </c>
    </row>
    <row r="983" spans="1:31" ht="12.75" hidden="1" customHeight="1" x14ac:dyDescent="0.3">
      <c r="A983" s="8">
        <v>44</v>
      </c>
      <c r="B983" s="20" t="s">
        <v>47</v>
      </c>
      <c r="C983" s="20" t="s">
        <v>106</v>
      </c>
      <c r="D983" s="20" t="s">
        <v>322</v>
      </c>
      <c r="E983" s="20" t="s">
        <v>232</v>
      </c>
      <c r="F983" s="20" t="s">
        <v>232</v>
      </c>
      <c r="G983" s="20" t="s">
        <v>234</v>
      </c>
      <c r="H983" s="23">
        <v>7828.17</v>
      </c>
      <c r="I983" s="23">
        <v>0</v>
      </c>
      <c r="J983" s="23">
        <v>0</v>
      </c>
      <c r="K983" s="23">
        <v>0</v>
      </c>
      <c r="L983" s="23">
        <v>-2573.64</v>
      </c>
      <c r="M983" s="23">
        <v>-42</v>
      </c>
      <c r="N983" s="23">
        <v>0</v>
      </c>
      <c r="O983" s="24">
        <f t="shared" si="105"/>
        <v>5212.5300000000007</v>
      </c>
      <c r="P983" s="23">
        <v>-2500</v>
      </c>
      <c r="Q983" s="23">
        <v>0</v>
      </c>
      <c r="R983" s="23">
        <v>-500</v>
      </c>
      <c r="S983" s="23">
        <v>0</v>
      </c>
      <c r="T983" s="23">
        <v>0</v>
      </c>
      <c r="U983" s="23">
        <v>558</v>
      </c>
      <c r="V983" s="23">
        <v>0</v>
      </c>
      <c r="W983" s="23">
        <f t="shared" si="106"/>
        <v>2770.5300000000007</v>
      </c>
      <c r="X983" s="23">
        <f t="shared" si="107"/>
        <v>2770.5300000000007</v>
      </c>
      <c r="Y983" s="23">
        <f t="shared" si="108"/>
        <v>0</v>
      </c>
      <c r="Z983" s="23">
        <v>0</v>
      </c>
      <c r="AA983" s="23">
        <f t="shared" si="109"/>
        <v>0</v>
      </c>
      <c r="AB983" s="23">
        <f t="shared" si="110"/>
        <v>2442</v>
      </c>
      <c r="AC983" s="20" t="s">
        <v>479</v>
      </c>
      <c r="AD983" s="20" t="str">
        <f>VLOOKUP($C983,'[1]CTRL AUTOS'!$E:$AH,2,0)</f>
        <v>NZU5163</v>
      </c>
      <c r="AE983" s="11" t="str">
        <f t="shared" si="111"/>
        <v>NZU516344</v>
      </c>
    </row>
    <row r="984" spans="1:31" ht="12.75" hidden="1" customHeight="1" x14ac:dyDescent="0.3">
      <c r="A984" s="8">
        <v>44</v>
      </c>
      <c r="B984" s="20" t="s">
        <v>49</v>
      </c>
      <c r="C984" s="20" t="s">
        <v>4</v>
      </c>
      <c r="D984" s="20" t="s">
        <v>245</v>
      </c>
      <c r="E984" s="20" t="s">
        <v>232</v>
      </c>
      <c r="F984" s="20" t="s">
        <v>232</v>
      </c>
      <c r="G984" s="20" t="s">
        <v>234</v>
      </c>
      <c r="H984" s="23">
        <v>6613.02</v>
      </c>
      <c r="I984" s="23">
        <v>-48</v>
      </c>
      <c r="J984" s="23">
        <v>0</v>
      </c>
      <c r="K984" s="23">
        <v>0</v>
      </c>
      <c r="L984" s="23">
        <v>0</v>
      </c>
      <c r="M984" s="24">
        <v>0</v>
      </c>
      <c r="N984" s="23">
        <v>0</v>
      </c>
      <c r="O984" s="24">
        <f t="shared" si="105"/>
        <v>6565.02</v>
      </c>
      <c r="P984" s="23">
        <f>-2500+1899</f>
        <v>-601</v>
      </c>
      <c r="Q984" s="23">
        <v>0</v>
      </c>
      <c r="R984" s="23">
        <v>-500</v>
      </c>
      <c r="S984" s="23">
        <v>0</v>
      </c>
      <c r="T984" s="23">
        <v>-700</v>
      </c>
      <c r="U984" s="23">
        <v>0</v>
      </c>
      <c r="V984" s="23">
        <v>0</v>
      </c>
      <c r="W984" s="23">
        <f t="shared" si="106"/>
        <v>4764.0200000000004</v>
      </c>
      <c r="X984" s="23">
        <f t="shared" si="107"/>
        <v>4764.0200000000004</v>
      </c>
      <c r="Y984" s="23">
        <f t="shared" si="108"/>
        <v>0</v>
      </c>
      <c r="Z984" s="23">
        <v>0</v>
      </c>
      <c r="AA984" s="23">
        <f t="shared" si="109"/>
        <v>0</v>
      </c>
      <c r="AB984" s="23">
        <f t="shared" si="110"/>
        <v>1801</v>
      </c>
      <c r="AC984" s="20" t="s">
        <v>479</v>
      </c>
      <c r="AD984" s="20" t="str">
        <f>VLOOKUP($C984,'[1]CTRL AUTOS'!$E:$AH,2,0)</f>
        <v>N15BKD</v>
      </c>
      <c r="AE984" s="11" t="str">
        <f t="shared" si="111"/>
        <v>N15BKD44</v>
      </c>
    </row>
    <row r="985" spans="1:31" ht="12.75" hidden="1" customHeight="1" x14ac:dyDescent="0.3">
      <c r="A985" s="8">
        <v>44</v>
      </c>
      <c r="B985" s="20" t="s">
        <v>9</v>
      </c>
      <c r="C985" s="20" t="s">
        <v>10</v>
      </c>
      <c r="D985" s="20" t="s">
        <v>343</v>
      </c>
      <c r="E985" s="20" t="s">
        <v>232</v>
      </c>
      <c r="F985" s="20" t="s">
        <v>232</v>
      </c>
      <c r="G985" s="20" t="s">
        <v>234</v>
      </c>
      <c r="H985" s="23">
        <v>5961.05</v>
      </c>
      <c r="I985" s="23">
        <v>0</v>
      </c>
      <c r="J985" s="23">
        <v>0</v>
      </c>
      <c r="K985" s="23">
        <v>0</v>
      </c>
      <c r="L985" s="23">
        <v>-3730.45</v>
      </c>
      <c r="M985" s="23">
        <v>-48</v>
      </c>
      <c r="N985" s="23">
        <v>0</v>
      </c>
      <c r="O985" s="24">
        <f t="shared" si="105"/>
        <v>2182.6000000000004</v>
      </c>
      <c r="P985" s="23">
        <v>-2500</v>
      </c>
      <c r="Q985" s="23">
        <v>0</v>
      </c>
      <c r="R985" s="23">
        <v>-500</v>
      </c>
      <c r="S985" s="23">
        <v>0</v>
      </c>
      <c r="T985" s="23">
        <v>0</v>
      </c>
      <c r="U985" s="23">
        <v>0</v>
      </c>
      <c r="V985" s="23">
        <v>0</v>
      </c>
      <c r="W985" s="23">
        <f t="shared" si="106"/>
        <v>-817.39999999999964</v>
      </c>
      <c r="X985" s="23">
        <f t="shared" si="107"/>
        <v>0</v>
      </c>
      <c r="Y985" s="23">
        <f t="shared" si="108"/>
        <v>-817.39999999999964</v>
      </c>
      <c r="Z985" s="23">
        <v>817</v>
      </c>
      <c r="AA985" s="23">
        <f t="shared" si="109"/>
        <v>-0.3999999999996362</v>
      </c>
      <c r="AB985" s="23">
        <f t="shared" si="110"/>
        <v>2999.2000000000007</v>
      </c>
      <c r="AC985" s="20"/>
      <c r="AD985" s="20" t="str">
        <f>VLOOKUP($C985,'[1]CTRL AUTOS'!$E:$AH,2,0)</f>
        <v>LRL009C</v>
      </c>
      <c r="AE985" s="11" t="str">
        <f t="shared" si="111"/>
        <v>LRL009C44</v>
      </c>
    </row>
    <row r="986" spans="1:31" ht="12.75" hidden="1" customHeight="1" x14ac:dyDescent="0.3">
      <c r="A986" s="8">
        <v>44</v>
      </c>
      <c r="B986" s="20" t="s">
        <v>51</v>
      </c>
      <c r="C986" s="20" t="s">
        <v>106</v>
      </c>
      <c r="D986" s="20" t="s">
        <v>322</v>
      </c>
      <c r="E986" s="20" t="s">
        <v>232</v>
      </c>
      <c r="F986" s="20" t="s">
        <v>232</v>
      </c>
      <c r="G986" s="20" t="s">
        <v>234</v>
      </c>
      <c r="H986" s="23">
        <v>5172.54</v>
      </c>
      <c r="I986" s="23">
        <v>0</v>
      </c>
      <c r="J986" s="23">
        <v>0</v>
      </c>
      <c r="K986" s="23">
        <v>-30.74</v>
      </c>
      <c r="L986" s="23">
        <v>-1079.8699999999999</v>
      </c>
      <c r="M986" s="23">
        <v>-38</v>
      </c>
      <c r="N986" s="23">
        <v>0</v>
      </c>
      <c r="O986" s="24">
        <f t="shared" si="105"/>
        <v>4023.9300000000003</v>
      </c>
      <c r="P986" s="23">
        <v>-2500</v>
      </c>
      <c r="Q986" s="23">
        <v>0</v>
      </c>
      <c r="R986" s="23">
        <v>0</v>
      </c>
      <c r="S986" s="23">
        <v>0</v>
      </c>
      <c r="T986" s="23">
        <v>0</v>
      </c>
      <c r="U986" s="23">
        <v>0</v>
      </c>
      <c r="V986" s="23">
        <v>0</v>
      </c>
      <c r="W986" s="23">
        <f t="shared" si="106"/>
        <v>1523.9300000000003</v>
      </c>
      <c r="X986" s="23">
        <f t="shared" si="107"/>
        <v>1523.9300000000003</v>
      </c>
      <c r="Y986" s="23">
        <f t="shared" si="108"/>
        <v>0</v>
      </c>
      <c r="Z986" s="23">
        <v>0</v>
      </c>
      <c r="AA986" s="23">
        <f t="shared" si="109"/>
        <v>0</v>
      </c>
      <c r="AB986" s="23">
        <f t="shared" si="110"/>
        <v>2500</v>
      </c>
      <c r="AC986" s="20" t="s">
        <v>479</v>
      </c>
      <c r="AD986" s="20" t="str">
        <f>VLOOKUP($C986,'[1]CTRL AUTOS'!$E:$AH,2,0)</f>
        <v>NZU5163</v>
      </c>
      <c r="AE986" s="11" t="str">
        <f t="shared" si="111"/>
        <v>NZU516344</v>
      </c>
    </row>
    <row r="987" spans="1:31" ht="12.75" hidden="1" customHeight="1" x14ac:dyDescent="0.3">
      <c r="A987" s="8">
        <v>44</v>
      </c>
      <c r="B987" s="20" t="s">
        <v>57</v>
      </c>
      <c r="C987" s="20" t="s">
        <v>16</v>
      </c>
      <c r="D987" s="20" t="s">
        <v>314</v>
      </c>
      <c r="E987" s="20" t="s">
        <v>232</v>
      </c>
      <c r="F987" s="20" t="s">
        <v>232</v>
      </c>
      <c r="G987" s="20" t="s">
        <v>234</v>
      </c>
      <c r="H987" s="23">
        <v>4865.22</v>
      </c>
      <c r="I987" s="23">
        <v>-24</v>
      </c>
      <c r="J987" s="23">
        <v>286.24</v>
      </c>
      <c r="K987" s="23">
        <v>0</v>
      </c>
      <c r="L987" s="23">
        <v>-1687.33</v>
      </c>
      <c r="M987" s="23">
        <v>-34</v>
      </c>
      <c r="N987" s="23">
        <v>0</v>
      </c>
      <c r="O987" s="24">
        <f t="shared" si="105"/>
        <v>3406.13</v>
      </c>
      <c r="P987" s="23">
        <v>-2500</v>
      </c>
      <c r="Q987" s="23">
        <v>0</v>
      </c>
      <c r="R987" s="23">
        <v>0</v>
      </c>
      <c r="S987" s="23">
        <v>0</v>
      </c>
      <c r="T987" s="23">
        <v>0</v>
      </c>
      <c r="U987" s="23">
        <v>0</v>
      </c>
      <c r="V987" s="23">
        <v>0</v>
      </c>
      <c r="W987" s="23">
        <f t="shared" si="106"/>
        <v>906.13000000000011</v>
      </c>
      <c r="X987" s="23">
        <f t="shared" si="107"/>
        <v>906.13000000000011</v>
      </c>
      <c r="Y987" s="23">
        <f t="shared" si="108"/>
        <v>0</v>
      </c>
      <c r="Z987" s="23">
        <v>0</v>
      </c>
      <c r="AA987" s="23">
        <f t="shared" si="109"/>
        <v>0</v>
      </c>
      <c r="AB987" s="23">
        <f t="shared" si="110"/>
        <v>2500</v>
      </c>
      <c r="AC987" s="20" t="s">
        <v>479</v>
      </c>
      <c r="AD987" s="20" t="str">
        <f>VLOOKUP($C987,'[1]CTRL AUTOS'!$E:$AH,2,0)</f>
        <v>D28BET</v>
      </c>
      <c r="AE987" s="11" t="str">
        <f t="shared" si="111"/>
        <v>D28BET44</v>
      </c>
    </row>
    <row r="988" spans="1:31" ht="12.75" hidden="1" customHeight="1" x14ac:dyDescent="0.3">
      <c r="A988" s="8">
        <v>44</v>
      </c>
      <c r="B988" s="20" t="s">
        <v>61</v>
      </c>
      <c r="C988" s="20" t="s">
        <v>34</v>
      </c>
      <c r="D988" s="20" t="s">
        <v>285</v>
      </c>
      <c r="E988" s="20" t="s">
        <v>232</v>
      </c>
      <c r="F988" s="20" t="s">
        <v>232</v>
      </c>
      <c r="G988" s="20" t="s">
        <v>234</v>
      </c>
      <c r="H988" s="23">
        <v>4165.1899999999996</v>
      </c>
      <c r="I988" s="23">
        <v>0</v>
      </c>
      <c r="J988" s="23">
        <v>0</v>
      </c>
      <c r="K988" s="23">
        <v>0</v>
      </c>
      <c r="L988" s="23">
        <v>-1235.68</v>
      </c>
      <c r="M988" s="24">
        <v>-48</v>
      </c>
      <c r="N988" s="23">
        <v>0</v>
      </c>
      <c r="O988" s="24">
        <f t="shared" si="105"/>
        <v>2881.5099999999993</v>
      </c>
      <c r="P988" s="23">
        <v>-2500</v>
      </c>
      <c r="Q988" s="23">
        <v>0</v>
      </c>
      <c r="R988" s="23">
        <v>0</v>
      </c>
      <c r="S988" s="23">
        <v>0</v>
      </c>
      <c r="T988" s="23">
        <v>-700</v>
      </c>
      <c r="U988" s="23">
        <v>0</v>
      </c>
      <c r="V988" s="23">
        <v>0</v>
      </c>
      <c r="W988" s="23">
        <f t="shared" si="106"/>
        <v>-318.49000000000069</v>
      </c>
      <c r="X988" s="23">
        <f t="shared" si="107"/>
        <v>0</v>
      </c>
      <c r="Y988" s="23">
        <f t="shared" si="108"/>
        <v>-318.49000000000069</v>
      </c>
      <c r="Z988" s="23">
        <v>318</v>
      </c>
      <c r="AA988" s="23">
        <f t="shared" si="109"/>
        <v>-0.49000000000069122</v>
      </c>
      <c r="AB988" s="23">
        <f t="shared" si="110"/>
        <v>3199.0199999999986</v>
      </c>
      <c r="AC988" s="20"/>
      <c r="AD988" s="20" t="str">
        <f>VLOOKUP($C988,'[1]CTRL AUTOS'!$E:$AH,2,0)</f>
        <v>X59AWG</v>
      </c>
      <c r="AE988" s="11" t="str">
        <f t="shared" si="111"/>
        <v>X59AWG44</v>
      </c>
    </row>
    <row r="989" spans="1:31" ht="12.75" hidden="1" customHeight="1" x14ac:dyDescent="0.3">
      <c r="A989" s="8">
        <v>44</v>
      </c>
      <c r="B989" s="20" t="s">
        <v>45</v>
      </c>
      <c r="C989" s="20" t="s">
        <v>46</v>
      </c>
      <c r="D989" s="20" t="s">
        <v>257</v>
      </c>
      <c r="E989" s="20" t="s">
        <v>232</v>
      </c>
      <c r="F989" s="20" t="s">
        <v>232</v>
      </c>
      <c r="G989" s="20" t="s">
        <v>234</v>
      </c>
      <c r="H989" s="23">
        <v>3959.28</v>
      </c>
      <c r="I989" s="23">
        <v>-16</v>
      </c>
      <c r="J989" s="23">
        <v>0</v>
      </c>
      <c r="K989" s="23">
        <v>0</v>
      </c>
      <c r="L989" s="23">
        <v>-999.4</v>
      </c>
      <c r="M989" s="23">
        <v>-34</v>
      </c>
      <c r="N989" s="23">
        <v>0</v>
      </c>
      <c r="O989" s="24">
        <f t="shared" si="105"/>
        <v>2909.88</v>
      </c>
      <c r="P989" s="23">
        <v>-2500</v>
      </c>
      <c r="Q989" s="23">
        <v>0</v>
      </c>
      <c r="R989" s="23">
        <v>0</v>
      </c>
      <c r="S989" s="23">
        <v>0</v>
      </c>
      <c r="T989" s="23">
        <v>0</v>
      </c>
      <c r="U989" s="23">
        <v>0</v>
      </c>
      <c r="V989" s="23">
        <v>0</v>
      </c>
      <c r="W989" s="23">
        <f t="shared" si="106"/>
        <v>409.88000000000011</v>
      </c>
      <c r="X989" s="23">
        <f t="shared" si="107"/>
        <v>409.88000000000011</v>
      </c>
      <c r="Y989" s="23">
        <f t="shared" si="108"/>
        <v>0</v>
      </c>
      <c r="Z989" s="23">
        <v>0</v>
      </c>
      <c r="AA989" s="23">
        <f t="shared" si="109"/>
        <v>0</v>
      </c>
      <c r="AB989" s="23">
        <f t="shared" si="110"/>
        <v>2500</v>
      </c>
      <c r="AC989" s="20" t="s">
        <v>479</v>
      </c>
      <c r="AD989" s="20" t="str">
        <f>VLOOKUP($C989,'[1]CTRL AUTOS'!$E:$AH,2,0)</f>
        <v>R66BER</v>
      </c>
      <c r="AE989" s="11" t="str">
        <f t="shared" si="111"/>
        <v>R66BER44</v>
      </c>
    </row>
    <row r="990" spans="1:31" ht="12.75" hidden="1" customHeight="1" x14ac:dyDescent="0.3">
      <c r="A990" s="8">
        <v>44</v>
      </c>
      <c r="B990" s="20" t="s">
        <v>3</v>
      </c>
      <c r="C990" s="20" t="s">
        <v>4</v>
      </c>
      <c r="D990" s="20" t="s">
        <v>480</v>
      </c>
      <c r="E990" s="20" t="s">
        <v>232</v>
      </c>
      <c r="F990" s="20" t="s">
        <v>232</v>
      </c>
      <c r="G990" s="20" t="s">
        <v>425</v>
      </c>
      <c r="H990" s="23">
        <v>3426.98</v>
      </c>
      <c r="I990" s="23">
        <v>0</v>
      </c>
      <c r="J990" s="23">
        <v>0</v>
      </c>
      <c r="K990" s="23">
        <v>0</v>
      </c>
      <c r="L990" s="23">
        <v>-2723.08</v>
      </c>
      <c r="M990" s="24">
        <v>-38</v>
      </c>
      <c r="N990" s="23">
        <v>0</v>
      </c>
      <c r="O990" s="24">
        <f t="shared" si="105"/>
        <v>665.90000000000009</v>
      </c>
      <c r="P990" s="23">
        <v>-1857.14</v>
      </c>
      <c r="Q990" s="23">
        <v>0</v>
      </c>
      <c r="R990" s="23">
        <v>-357.14</v>
      </c>
      <c r="S990" s="23">
        <v>0</v>
      </c>
      <c r="T990" s="23">
        <v>0</v>
      </c>
      <c r="U990" s="23">
        <v>0</v>
      </c>
      <c r="V990" s="23">
        <v>0</v>
      </c>
      <c r="W990" s="23">
        <f t="shared" si="106"/>
        <v>-1548.38</v>
      </c>
      <c r="X990" s="23">
        <f t="shared" si="107"/>
        <v>0</v>
      </c>
      <c r="Y990" s="23">
        <f>IF(W990&lt;=0,W990,0)</f>
        <v>-1548.38</v>
      </c>
      <c r="Z990" s="23">
        <v>1548</v>
      </c>
      <c r="AA990" s="23">
        <f t="shared" si="109"/>
        <v>-0.38000000000010914</v>
      </c>
      <c r="AB990" s="23">
        <f t="shared" si="110"/>
        <v>2213.52</v>
      </c>
      <c r="AC990" s="20"/>
      <c r="AD990" s="20" t="str">
        <f>VLOOKUP($C990,'[1]CTRL AUTOS'!$E:$AH,2,0)</f>
        <v>N15BKD</v>
      </c>
      <c r="AE990" s="11" t="str">
        <f t="shared" si="111"/>
        <v>N15BKD44</v>
      </c>
    </row>
    <row r="991" spans="1:31" ht="12.75" hidden="1" customHeight="1" x14ac:dyDescent="0.3">
      <c r="A991" s="8">
        <v>44</v>
      </c>
      <c r="B991" s="20" t="s">
        <v>37</v>
      </c>
      <c r="C991" s="20" t="s">
        <v>40</v>
      </c>
      <c r="D991" s="20" t="s">
        <v>315</v>
      </c>
      <c r="E991" s="20" t="s">
        <v>232</v>
      </c>
      <c r="F991" s="20" t="s">
        <v>232</v>
      </c>
      <c r="G991" s="20" t="s">
        <v>234</v>
      </c>
      <c r="H991" s="23">
        <v>2557.9499999999998</v>
      </c>
      <c r="I991" s="23">
        <v>0</v>
      </c>
      <c r="J991" s="23">
        <v>0</v>
      </c>
      <c r="K991" s="23">
        <v>0</v>
      </c>
      <c r="L991" s="23">
        <v>-78.91</v>
      </c>
      <c r="M991" s="23">
        <v>-38</v>
      </c>
      <c r="N991" s="23">
        <v>0</v>
      </c>
      <c r="O991" s="24">
        <f t="shared" si="105"/>
        <v>2441.04</v>
      </c>
      <c r="P991" s="23">
        <v>-2500</v>
      </c>
      <c r="Q991" s="23">
        <v>-100</v>
      </c>
      <c r="R991" s="23">
        <v>0</v>
      </c>
      <c r="S991" s="23">
        <v>0</v>
      </c>
      <c r="T991" s="23">
        <v>0</v>
      </c>
      <c r="U991" s="23">
        <v>0</v>
      </c>
      <c r="V991" s="23">
        <v>0</v>
      </c>
      <c r="W991" s="23">
        <f t="shared" si="106"/>
        <v>-158.96000000000004</v>
      </c>
      <c r="X991" s="23">
        <f t="shared" si="107"/>
        <v>0</v>
      </c>
      <c r="Y991" s="23">
        <f t="shared" si="108"/>
        <v>-158.96000000000004</v>
      </c>
      <c r="Z991" s="23">
        <v>159</v>
      </c>
      <c r="AA991" s="23">
        <f t="shared" si="109"/>
        <v>3.999999999996362E-2</v>
      </c>
      <c r="AB991" s="23">
        <f t="shared" si="110"/>
        <v>2600.08</v>
      </c>
      <c r="AC991" s="20" t="s">
        <v>409</v>
      </c>
      <c r="AD991" s="20" t="str">
        <f>VLOOKUP($C991,'[1]CTRL AUTOS'!$E:$AH,2,0)</f>
        <v>NEL860A</v>
      </c>
      <c r="AE991" s="11" t="str">
        <f t="shared" si="111"/>
        <v>NEL860A44</v>
      </c>
    </row>
    <row r="992" spans="1:31" ht="12.75" hidden="1" customHeight="1" x14ac:dyDescent="0.3">
      <c r="A992" s="8">
        <v>44</v>
      </c>
      <c r="B992" s="20" t="s">
        <v>5</v>
      </c>
      <c r="C992" s="20" t="s">
        <v>28</v>
      </c>
      <c r="D992" s="20" t="s">
        <v>274</v>
      </c>
      <c r="E992" s="20" t="s">
        <v>232</v>
      </c>
      <c r="F992" s="20" t="s">
        <v>232</v>
      </c>
      <c r="G992" s="20" t="s">
        <v>234</v>
      </c>
      <c r="H992" s="23">
        <v>2357.63</v>
      </c>
      <c r="I992" s="23">
        <v>0</v>
      </c>
      <c r="J992" s="23">
        <v>0</v>
      </c>
      <c r="K992" s="23">
        <v>0</v>
      </c>
      <c r="L992" s="23">
        <v>-452.7</v>
      </c>
      <c r="M992" s="23">
        <v>-32</v>
      </c>
      <c r="N992" s="23">
        <v>0</v>
      </c>
      <c r="O992" s="24">
        <f t="shared" si="105"/>
        <v>1872.93</v>
      </c>
      <c r="P992" s="23">
        <v>-2500</v>
      </c>
      <c r="Q992" s="23">
        <v>-54</v>
      </c>
      <c r="R992" s="23">
        <v>0</v>
      </c>
      <c r="S992" s="23">
        <v>0</v>
      </c>
      <c r="T992" s="23">
        <v>-500</v>
      </c>
      <c r="U992" s="23">
        <v>0</v>
      </c>
      <c r="V992" s="23">
        <v>0</v>
      </c>
      <c r="W992" s="23">
        <f t="shared" si="106"/>
        <v>-1181.07</v>
      </c>
      <c r="X992" s="23">
        <f t="shared" si="107"/>
        <v>0</v>
      </c>
      <c r="Y992" s="23">
        <f t="shared" si="108"/>
        <v>-1181.07</v>
      </c>
      <c r="Z992" s="23">
        <v>1172</v>
      </c>
      <c r="AA992" s="23">
        <f t="shared" si="109"/>
        <v>-9.0699999999999363</v>
      </c>
      <c r="AB992" s="23">
        <f t="shared" si="110"/>
        <v>3035.8600000000006</v>
      </c>
      <c r="AC992" s="20"/>
      <c r="AD992" s="20" t="str">
        <f>VLOOKUP($C992,'[1]CTRL AUTOS'!$E:$AH,2,0)</f>
        <v>NCT814A</v>
      </c>
      <c r="AE992" s="11" t="str">
        <f t="shared" si="111"/>
        <v>NCT814A44</v>
      </c>
    </row>
    <row r="993" spans="1:31" ht="12.75" hidden="1" customHeight="1" x14ac:dyDescent="0.3">
      <c r="A993" s="8">
        <v>44</v>
      </c>
      <c r="B993" s="20" t="s">
        <v>98</v>
      </c>
      <c r="C993" s="20" t="s">
        <v>168</v>
      </c>
      <c r="D993" s="20" t="s">
        <v>265</v>
      </c>
      <c r="E993" s="20" t="s">
        <v>232</v>
      </c>
      <c r="F993" s="20" t="s">
        <v>232</v>
      </c>
      <c r="G993" s="20" t="s">
        <v>234</v>
      </c>
      <c r="H993" s="23">
        <v>621.38</v>
      </c>
      <c r="I993" s="23">
        <v>0</v>
      </c>
      <c r="J993" s="23">
        <v>0</v>
      </c>
      <c r="K993" s="23">
        <v>0</v>
      </c>
      <c r="L993" s="23">
        <v>0</v>
      </c>
      <c r="M993" s="23">
        <v>-42</v>
      </c>
      <c r="N993" s="23">
        <v>0</v>
      </c>
      <c r="O993" s="24">
        <f t="shared" si="105"/>
        <v>579.38</v>
      </c>
      <c r="P993" s="23">
        <v>-2500</v>
      </c>
      <c r="Q993" s="23">
        <v>-2219</v>
      </c>
      <c r="R993" s="23">
        <v>0</v>
      </c>
      <c r="S993" s="23">
        <v>0</v>
      </c>
      <c r="T993" s="23">
        <v>0</v>
      </c>
      <c r="U993" s="23">
        <v>0</v>
      </c>
      <c r="V993" s="23">
        <v>0</v>
      </c>
      <c r="W993" s="23">
        <f t="shared" si="106"/>
        <v>-4139.62</v>
      </c>
      <c r="X993" s="23">
        <f t="shared" si="107"/>
        <v>0</v>
      </c>
      <c r="Y993" s="23">
        <f t="shared" si="108"/>
        <v>-4139.62</v>
      </c>
      <c r="Z993" s="23">
        <v>4140</v>
      </c>
      <c r="AA993" s="23">
        <f t="shared" si="109"/>
        <v>0.38000000000010914</v>
      </c>
      <c r="AB993" s="23">
        <f t="shared" si="110"/>
        <v>4719.76</v>
      </c>
      <c r="AC993" s="20" t="s">
        <v>409</v>
      </c>
      <c r="AD993" s="20" t="e">
        <f>VLOOKUP($C993,'[1]CTRL AUTOS'!$E:$AH,2,0)</f>
        <v>#N/A</v>
      </c>
      <c r="AE993" s="11" t="e">
        <f t="shared" si="111"/>
        <v>#N/A</v>
      </c>
    </row>
    <row r="994" spans="1:31" ht="12.75" hidden="1" customHeight="1" x14ac:dyDescent="0.3">
      <c r="A994" s="8">
        <v>44</v>
      </c>
      <c r="B994" s="20" t="s">
        <v>13</v>
      </c>
      <c r="C994" s="20" t="s">
        <v>4</v>
      </c>
      <c r="D994" s="20" t="s">
        <v>480</v>
      </c>
      <c r="E994" s="20" t="s">
        <v>232</v>
      </c>
      <c r="F994" s="20" t="s">
        <v>232</v>
      </c>
      <c r="G994" s="20" t="s">
        <v>234</v>
      </c>
      <c r="H994" s="23">
        <v>562.70000000000005</v>
      </c>
      <c r="I994" s="23">
        <v>0</v>
      </c>
      <c r="J994" s="23">
        <v>0</v>
      </c>
      <c r="K994" s="23">
        <v>0</v>
      </c>
      <c r="L994" s="23">
        <v>0</v>
      </c>
      <c r="M994" s="23">
        <v>0</v>
      </c>
      <c r="N994" s="23">
        <v>0</v>
      </c>
      <c r="O994" s="24">
        <f t="shared" si="105"/>
        <v>562.70000000000005</v>
      </c>
      <c r="P994" s="23">
        <v>-563</v>
      </c>
      <c r="Q994" s="23">
        <v>0</v>
      </c>
      <c r="R994" s="23">
        <v>0</v>
      </c>
      <c r="S994" s="23">
        <v>0</v>
      </c>
      <c r="T994" s="23">
        <v>0</v>
      </c>
      <c r="U994" s="23">
        <v>0</v>
      </c>
      <c r="V994" s="23">
        <v>0</v>
      </c>
      <c r="W994" s="23">
        <f t="shared" si="106"/>
        <v>-0.29999999999995453</v>
      </c>
      <c r="X994" s="23">
        <f t="shared" si="107"/>
        <v>0</v>
      </c>
      <c r="Y994" s="23">
        <f t="shared" si="108"/>
        <v>-0.29999999999995453</v>
      </c>
      <c r="Z994" s="23">
        <v>0</v>
      </c>
      <c r="AA994" s="23">
        <f t="shared" si="109"/>
        <v>-0.29999999999995453</v>
      </c>
      <c r="AB994" s="23">
        <f t="shared" si="110"/>
        <v>562.40000000000009</v>
      </c>
      <c r="AC994" s="20"/>
      <c r="AD994" s="20" t="str">
        <f>VLOOKUP($C994,'[1]CTRL AUTOS'!$E:$AH,2,0)</f>
        <v>N15BKD</v>
      </c>
      <c r="AE994" s="11" t="str">
        <f t="shared" si="111"/>
        <v>N15BKD44</v>
      </c>
    </row>
    <row r="995" spans="1:31" ht="12.75" hidden="1" customHeight="1" x14ac:dyDescent="0.3">
      <c r="A995" s="8">
        <v>44</v>
      </c>
      <c r="B995" s="20" t="s">
        <v>80</v>
      </c>
      <c r="C995" s="20" t="s">
        <v>81</v>
      </c>
      <c r="D995" s="20" t="s">
        <v>317</v>
      </c>
      <c r="E995" s="20" t="s">
        <v>232</v>
      </c>
      <c r="F995" s="20" t="s">
        <v>232</v>
      </c>
      <c r="G995" s="20" t="s">
        <v>234</v>
      </c>
      <c r="H995" s="23">
        <v>0</v>
      </c>
      <c r="I995" s="23">
        <v>0</v>
      </c>
      <c r="J995" s="23">
        <v>0</v>
      </c>
      <c r="K995" s="23">
        <v>0</v>
      </c>
      <c r="L995" s="23">
        <v>0</v>
      </c>
      <c r="M995" s="23">
        <v>0</v>
      </c>
      <c r="N995" s="23">
        <v>0</v>
      </c>
      <c r="O995" s="24">
        <f t="shared" si="105"/>
        <v>0</v>
      </c>
      <c r="P995" s="23">
        <v>-2500</v>
      </c>
      <c r="Q995" s="23">
        <v>0</v>
      </c>
      <c r="R995" s="23">
        <v>0</v>
      </c>
      <c r="S995" s="23">
        <v>0</v>
      </c>
      <c r="T995" s="23">
        <v>0</v>
      </c>
      <c r="U995" s="23">
        <v>0</v>
      </c>
      <c r="V995" s="23">
        <v>0</v>
      </c>
      <c r="W995" s="23">
        <f t="shared" si="106"/>
        <v>-2500</v>
      </c>
      <c r="X995" s="23">
        <f t="shared" si="107"/>
        <v>0</v>
      </c>
      <c r="Y995" s="23">
        <f t="shared" si="108"/>
        <v>-2500</v>
      </c>
      <c r="Z995" s="23">
        <v>2500</v>
      </c>
      <c r="AA995" s="23">
        <f t="shared" si="109"/>
        <v>0</v>
      </c>
      <c r="AB995" s="23">
        <f t="shared" si="110"/>
        <v>2500</v>
      </c>
      <c r="AC995" s="20" t="s">
        <v>409</v>
      </c>
      <c r="AD995" s="20" t="str">
        <f>VLOOKUP($C995,'[1]CTRL AUTOS'!$E:$AH,2,0)</f>
        <v>NLP172B</v>
      </c>
      <c r="AE995" s="11" t="str">
        <f t="shared" si="111"/>
        <v>NLP172B44</v>
      </c>
    </row>
    <row r="996" spans="1:31" ht="12.75" hidden="1" customHeight="1" x14ac:dyDescent="0.3">
      <c r="A996" s="8">
        <v>44</v>
      </c>
      <c r="B996" s="20" t="s">
        <v>288</v>
      </c>
      <c r="C996" s="20" t="s">
        <v>22</v>
      </c>
      <c r="D996" s="20" t="s">
        <v>237</v>
      </c>
      <c r="E996" s="20" t="s">
        <v>232</v>
      </c>
      <c r="F996" s="20" t="s">
        <v>232</v>
      </c>
      <c r="G996" s="20" t="s">
        <v>234</v>
      </c>
      <c r="H996" s="23">
        <v>0</v>
      </c>
      <c r="I996" s="23">
        <v>0</v>
      </c>
      <c r="J996" s="23">
        <v>0</v>
      </c>
      <c r="K996" s="23">
        <v>0</v>
      </c>
      <c r="L996" s="23">
        <v>0</v>
      </c>
      <c r="M996" s="23">
        <v>0</v>
      </c>
      <c r="N996" s="23">
        <v>0</v>
      </c>
      <c r="O996" s="24">
        <f t="shared" si="105"/>
        <v>0</v>
      </c>
      <c r="P996" s="23">
        <v>0</v>
      </c>
      <c r="Q996" s="23">
        <v>0</v>
      </c>
      <c r="R996" s="23">
        <v>500</v>
      </c>
      <c r="S996" s="23">
        <v>0</v>
      </c>
      <c r="T996" s="23">
        <v>0</v>
      </c>
      <c r="U996" s="23">
        <v>0</v>
      </c>
      <c r="V996" s="23">
        <v>0</v>
      </c>
      <c r="W996" s="23">
        <f t="shared" si="106"/>
        <v>500</v>
      </c>
      <c r="X996" s="23">
        <f t="shared" si="107"/>
        <v>500</v>
      </c>
      <c r="Y996" s="23">
        <f t="shared" si="108"/>
        <v>0</v>
      </c>
      <c r="Z996" s="23">
        <v>0</v>
      </c>
      <c r="AA996" s="23">
        <f t="shared" si="109"/>
        <v>0</v>
      </c>
      <c r="AB996" s="23">
        <f t="shared" si="110"/>
        <v>-500</v>
      </c>
      <c r="AC996" s="20" t="s">
        <v>479</v>
      </c>
      <c r="AD996" s="20" t="str">
        <f>VLOOKUP($C996,'[1]CTRL AUTOS'!$E:$AH,2,0)</f>
        <v>NCK475B</v>
      </c>
      <c r="AE996" s="11" t="str">
        <f t="shared" si="111"/>
        <v>NCK475B44</v>
      </c>
    </row>
    <row r="997" spans="1:31" ht="12.75" hidden="1" customHeight="1" x14ac:dyDescent="0.3">
      <c r="A997" s="8">
        <v>44</v>
      </c>
      <c r="B997" s="20" t="s">
        <v>11</v>
      </c>
      <c r="C997" s="20" t="s">
        <v>86</v>
      </c>
      <c r="D997" s="20" t="s">
        <v>237</v>
      </c>
      <c r="E997" s="20" t="s">
        <v>232</v>
      </c>
      <c r="F997" s="20" t="s">
        <v>291</v>
      </c>
      <c r="G997" s="20" t="s">
        <v>234</v>
      </c>
      <c r="H997" s="23">
        <v>8417.69</v>
      </c>
      <c r="I997" s="23">
        <v>-16</v>
      </c>
      <c r="J997" s="23">
        <v>0</v>
      </c>
      <c r="K997" s="23">
        <v>0</v>
      </c>
      <c r="L997" s="23">
        <v>-3988.17</v>
      </c>
      <c r="M997" s="23">
        <v>-38</v>
      </c>
      <c r="N997" s="23">
        <v>0</v>
      </c>
      <c r="O997" s="24">
        <f t="shared" si="105"/>
        <v>4375.5200000000004</v>
      </c>
      <c r="P997" s="23">
        <f>-2500+357</f>
        <v>-2143</v>
      </c>
      <c r="Q997" s="23">
        <v>0</v>
      </c>
      <c r="R997" s="23">
        <v>0</v>
      </c>
      <c r="S997" s="23">
        <v>0</v>
      </c>
      <c r="T997" s="23">
        <v>0</v>
      </c>
      <c r="U997" s="23">
        <v>0</v>
      </c>
      <c r="V997" s="23">
        <v>0</v>
      </c>
      <c r="W997" s="23">
        <f t="shared" si="106"/>
        <v>2232.5200000000004</v>
      </c>
      <c r="X997" s="23">
        <f t="shared" si="107"/>
        <v>2232.5200000000004</v>
      </c>
      <c r="Y997" s="23">
        <f t="shared" si="108"/>
        <v>0</v>
      </c>
      <c r="Z997" s="23">
        <v>0</v>
      </c>
      <c r="AA997" s="23">
        <f t="shared" si="109"/>
        <v>0</v>
      </c>
      <c r="AB997" s="23">
        <f t="shared" si="110"/>
        <v>2143</v>
      </c>
      <c r="AC997" s="20" t="s">
        <v>405</v>
      </c>
      <c r="AD997" s="20" t="str">
        <f>VLOOKUP($C997,'[1]CTRL AUTOS'!$E:$AH,2,0)</f>
        <v>R22BMR</v>
      </c>
      <c r="AE997" s="11" t="str">
        <f t="shared" si="111"/>
        <v>R22BMR44</v>
      </c>
    </row>
    <row r="998" spans="1:31" ht="12.75" hidden="1" customHeight="1" x14ac:dyDescent="0.3">
      <c r="A998" s="8">
        <v>44</v>
      </c>
      <c r="B998" s="20" t="s">
        <v>13</v>
      </c>
      <c r="C998" s="20" t="s">
        <v>30</v>
      </c>
      <c r="D998" s="20" t="s">
        <v>237</v>
      </c>
      <c r="E998" s="20" t="s">
        <v>232</v>
      </c>
      <c r="F998" s="20" t="s">
        <v>291</v>
      </c>
      <c r="G998" s="20" t="s">
        <v>234</v>
      </c>
      <c r="H998" s="23">
        <v>10805.54</v>
      </c>
      <c r="I998" s="23">
        <v>-211.2</v>
      </c>
      <c r="J998" s="23">
        <v>0</v>
      </c>
      <c r="K998" s="23">
        <v>0</v>
      </c>
      <c r="L998" s="23">
        <v>0</v>
      </c>
      <c r="M998" s="23">
        <v>-50</v>
      </c>
      <c r="N998" s="23">
        <v>0</v>
      </c>
      <c r="O998" s="24">
        <f t="shared" si="105"/>
        <v>10544.34</v>
      </c>
      <c r="P998" s="23">
        <f>-2500+563</f>
        <v>-1937</v>
      </c>
      <c r="Q998" s="23">
        <v>0</v>
      </c>
      <c r="R998" s="23">
        <v>0</v>
      </c>
      <c r="S998" s="23">
        <v>0</v>
      </c>
      <c r="T998" s="23">
        <v>0</v>
      </c>
      <c r="U998" s="23">
        <v>0</v>
      </c>
      <c r="V998" s="23">
        <v>0</v>
      </c>
      <c r="W998" s="23">
        <f t="shared" si="106"/>
        <v>8607.34</v>
      </c>
      <c r="X998" s="23">
        <f t="shared" si="107"/>
        <v>8607.34</v>
      </c>
      <c r="Y998" s="23">
        <f t="shared" si="108"/>
        <v>0</v>
      </c>
      <c r="Z998" s="23">
        <v>0</v>
      </c>
      <c r="AA998" s="23">
        <f t="shared" si="109"/>
        <v>0</v>
      </c>
      <c r="AB998" s="23">
        <f t="shared" si="110"/>
        <v>1937</v>
      </c>
      <c r="AC998" s="20" t="s">
        <v>405</v>
      </c>
      <c r="AD998" s="20" t="str">
        <f>VLOOKUP($C998,'[1]CTRL AUTOS'!$E:$AH,2,0)</f>
        <v>D51BHV</v>
      </c>
      <c r="AE998" s="11" t="str">
        <f t="shared" si="111"/>
        <v>D51BHV44</v>
      </c>
    </row>
    <row r="999" spans="1:31" ht="12.75" hidden="1" customHeight="1" x14ac:dyDescent="0.3">
      <c r="A999" s="8">
        <v>44</v>
      </c>
      <c r="B999" s="20" t="s">
        <v>477</v>
      </c>
      <c r="C999" s="20" t="s">
        <v>56</v>
      </c>
      <c r="D999" s="20" t="s">
        <v>336</v>
      </c>
      <c r="E999" s="22" t="s">
        <v>241</v>
      </c>
      <c r="F999" s="20" t="s">
        <v>291</v>
      </c>
      <c r="G999" s="20" t="s">
        <v>234</v>
      </c>
      <c r="H999" s="23">
        <v>8662.61</v>
      </c>
      <c r="I999" s="23">
        <v>-16</v>
      </c>
      <c r="J999" s="23">
        <v>0</v>
      </c>
      <c r="K999" s="23">
        <v>0</v>
      </c>
      <c r="L999" s="23">
        <v>-4425.74</v>
      </c>
      <c r="M999" s="23">
        <v>-40</v>
      </c>
      <c r="N999" s="23">
        <v>0</v>
      </c>
      <c r="O999" s="24">
        <f t="shared" si="105"/>
        <v>4180.8700000000008</v>
      </c>
      <c r="P999" s="23">
        <v>-2500</v>
      </c>
      <c r="Q999" s="23">
        <v>0</v>
      </c>
      <c r="R999" s="23">
        <v>-500</v>
      </c>
      <c r="S999" s="23">
        <v>0</v>
      </c>
      <c r="T999" s="23">
        <v>0</v>
      </c>
      <c r="U999" s="23">
        <v>350</v>
      </c>
      <c r="V999" s="23">
        <v>0</v>
      </c>
      <c r="W999" s="23">
        <f t="shared" si="106"/>
        <v>1530.8700000000008</v>
      </c>
      <c r="X999" s="23">
        <f t="shared" si="107"/>
        <v>1530.8700000000008</v>
      </c>
      <c r="Y999" s="23">
        <f t="shared" si="108"/>
        <v>0</v>
      </c>
      <c r="Z999" s="23">
        <v>0</v>
      </c>
      <c r="AA999" s="23">
        <f t="shared" si="109"/>
        <v>0</v>
      </c>
      <c r="AB999" s="23">
        <f t="shared" si="110"/>
        <v>2650</v>
      </c>
      <c r="AC999" s="20" t="s">
        <v>405</v>
      </c>
      <c r="AD999" s="20" t="str">
        <f>VLOOKUP($C999,'[1]CTRL AUTOS'!$E:$AH,2,0)</f>
        <v>MYE912A</v>
      </c>
      <c r="AE999" s="11" t="str">
        <f t="shared" si="111"/>
        <v>MYE912A44</v>
      </c>
    </row>
    <row r="1000" spans="1:31" ht="12.75" hidden="1" customHeight="1" x14ac:dyDescent="0.3">
      <c r="A1000" s="8">
        <v>44</v>
      </c>
      <c r="B1000" s="20" t="s">
        <v>111</v>
      </c>
      <c r="C1000" s="20" t="s">
        <v>63</v>
      </c>
      <c r="D1000" s="20" t="s">
        <v>374</v>
      </c>
      <c r="E1000" s="20" t="s">
        <v>291</v>
      </c>
      <c r="F1000" s="20" t="s">
        <v>291</v>
      </c>
      <c r="G1000" s="20" t="s">
        <v>234</v>
      </c>
      <c r="H1000" s="23">
        <v>7077.48</v>
      </c>
      <c r="I1000" s="23">
        <v>0</v>
      </c>
      <c r="J1000" s="23">
        <v>0</v>
      </c>
      <c r="K1000" s="23">
        <v>0</v>
      </c>
      <c r="L1000" s="23">
        <v>-3291.67</v>
      </c>
      <c r="M1000" s="23">
        <v>-50</v>
      </c>
      <c r="N1000" s="23">
        <v>0</v>
      </c>
      <c r="O1000" s="24">
        <f t="shared" si="105"/>
        <v>3735.8099999999995</v>
      </c>
      <c r="P1000" s="23">
        <v>-2500</v>
      </c>
      <c r="Q1000" s="23">
        <v>0</v>
      </c>
      <c r="R1000" s="23">
        <v>0</v>
      </c>
      <c r="S1000" s="23">
        <v>0</v>
      </c>
      <c r="T1000" s="23">
        <v>0</v>
      </c>
      <c r="U1000" s="23">
        <v>0</v>
      </c>
      <c r="V1000" s="23">
        <v>0</v>
      </c>
      <c r="W1000" s="23">
        <f t="shared" si="106"/>
        <v>1235.8099999999995</v>
      </c>
      <c r="X1000" s="23">
        <f t="shared" si="107"/>
        <v>1235.8099999999995</v>
      </c>
      <c r="Y1000" s="23">
        <f t="shared" si="108"/>
        <v>0</v>
      </c>
      <c r="Z1000" s="23">
        <v>0</v>
      </c>
      <c r="AA1000" s="23">
        <f t="shared" si="109"/>
        <v>0</v>
      </c>
      <c r="AB1000" s="23">
        <f t="shared" si="110"/>
        <v>2500</v>
      </c>
      <c r="AC1000" s="20" t="s">
        <v>405</v>
      </c>
      <c r="AD1000" s="20" t="str">
        <f>VLOOKUP($C1000,'[1]CTRL AUTOS'!$E:$AH,2,0)</f>
        <v>X89ALV</v>
      </c>
      <c r="AE1000" s="11" t="str">
        <f t="shared" si="111"/>
        <v>X89ALV44</v>
      </c>
    </row>
    <row r="1001" spans="1:31" ht="12.75" hidden="1" customHeight="1" x14ac:dyDescent="0.3">
      <c r="A1001" s="8">
        <v>44</v>
      </c>
      <c r="B1001" s="20" t="s">
        <v>17</v>
      </c>
      <c r="C1001" s="20" t="s">
        <v>69</v>
      </c>
      <c r="D1001" s="20" t="s">
        <v>370</v>
      </c>
      <c r="E1001" s="22" t="s">
        <v>241</v>
      </c>
      <c r="F1001" s="20" t="s">
        <v>291</v>
      </c>
      <c r="G1001" s="20" t="s">
        <v>234</v>
      </c>
      <c r="H1001" s="23">
        <v>8468.34</v>
      </c>
      <c r="I1001" s="23">
        <v>0</v>
      </c>
      <c r="J1001" s="23">
        <v>0</v>
      </c>
      <c r="K1001" s="23">
        <v>0</v>
      </c>
      <c r="L1001" s="23">
        <v>-3950.42</v>
      </c>
      <c r="M1001" s="23">
        <v>-42</v>
      </c>
      <c r="N1001" s="23">
        <v>0</v>
      </c>
      <c r="O1001" s="24">
        <f t="shared" si="105"/>
        <v>4475.92</v>
      </c>
      <c r="P1001" s="23">
        <v>-2500</v>
      </c>
      <c r="Q1001" s="23">
        <v>0</v>
      </c>
      <c r="R1001" s="23">
        <v>0</v>
      </c>
      <c r="S1001" s="23">
        <v>0</v>
      </c>
      <c r="T1001" s="23">
        <v>0</v>
      </c>
      <c r="U1001" s="23">
        <v>0</v>
      </c>
      <c r="V1001" s="23">
        <v>0</v>
      </c>
      <c r="W1001" s="23">
        <f t="shared" si="106"/>
        <v>1975.92</v>
      </c>
      <c r="X1001" s="23">
        <f t="shared" si="107"/>
        <v>1975.92</v>
      </c>
      <c r="Y1001" s="23">
        <f t="shared" si="108"/>
        <v>0</v>
      </c>
      <c r="Z1001" s="23">
        <v>0</v>
      </c>
      <c r="AA1001" s="23">
        <f t="shared" si="109"/>
        <v>0</v>
      </c>
      <c r="AB1001" s="23">
        <f t="shared" si="110"/>
        <v>2500</v>
      </c>
      <c r="AC1001" s="20" t="s">
        <v>405</v>
      </c>
      <c r="AD1001" s="20" t="str">
        <f>VLOOKUP($C1001,'[1]CTRL AUTOS'!$E:$AH,2,0)</f>
        <v>R51BKD</v>
      </c>
      <c r="AE1001" s="11" t="str">
        <f t="shared" si="111"/>
        <v>R51BKD44</v>
      </c>
    </row>
    <row r="1002" spans="1:31" ht="12.75" hidden="1" customHeight="1" x14ac:dyDescent="0.3">
      <c r="A1002" s="8">
        <v>44</v>
      </c>
      <c r="B1002" s="20" t="s">
        <v>396</v>
      </c>
      <c r="C1002" s="20" t="s">
        <v>75</v>
      </c>
      <c r="D1002" s="20" t="s">
        <v>333</v>
      </c>
      <c r="E1002" s="22" t="s">
        <v>241</v>
      </c>
      <c r="F1002" s="20" t="s">
        <v>291</v>
      </c>
      <c r="G1002" s="20" t="s">
        <v>234</v>
      </c>
      <c r="H1002" s="23">
        <v>0</v>
      </c>
      <c r="I1002" s="23">
        <v>0</v>
      </c>
      <c r="J1002" s="23">
        <v>0</v>
      </c>
      <c r="K1002" s="23">
        <v>0</v>
      </c>
      <c r="L1002" s="23">
        <v>0</v>
      </c>
      <c r="M1002" s="23">
        <v>0</v>
      </c>
      <c r="N1002" s="23">
        <v>0</v>
      </c>
      <c r="O1002" s="24">
        <f t="shared" si="105"/>
        <v>0</v>
      </c>
      <c r="P1002" s="23">
        <v>0</v>
      </c>
      <c r="Q1002" s="23">
        <v>0</v>
      </c>
      <c r="R1002" s="23">
        <v>500</v>
      </c>
      <c r="S1002" s="23">
        <v>0</v>
      </c>
      <c r="T1002" s="23">
        <v>0</v>
      </c>
      <c r="U1002" s="23">
        <v>0</v>
      </c>
      <c r="V1002" s="23">
        <v>0</v>
      </c>
      <c r="W1002" s="23">
        <f t="shared" si="106"/>
        <v>500</v>
      </c>
      <c r="X1002" s="23">
        <f t="shared" si="107"/>
        <v>500</v>
      </c>
      <c r="Y1002" s="23">
        <f t="shared" si="108"/>
        <v>0</v>
      </c>
      <c r="Z1002" s="23">
        <v>0</v>
      </c>
      <c r="AA1002" s="23">
        <f t="shared" si="109"/>
        <v>0</v>
      </c>
      <c r="AB1002" s="23">
        <f t="shared" si="110"/>
        <v>-500</v>
      </c>
      <c r="AC1002" s="20" t="s">
        <v>405</v>
      </c>
      <c r="AD1002" s="20" t="str">
        <f>VLOOKUP($C1002,'[1]CTRL AUTOS'!$E:$AH,2,0)</f>
        <v>NFN014B</v>
      </c>
      <c r="AE1002" s="11" t="str">
        <f t="shared" si="111"/>
        <v>NFN014B44</v>
      </c>
    </row>
    <row r="1003" spans="1:31" ht="12.75" hidden="1" customHeight="1" x14ac:dyDescent="0.3">
      <c r="A1003" s="8">
        <v>44</v>
      </c>
      <c r="B1003" s="20" t="s">
        <v>444</v>
      </c>
      <c r="C1003" s="20" t="s">
        <v>44</v>
      </c>
      <c r="D1003" s="20" t="s">
        <v>467</v>
      </c>
      <c r="E1003" s="22" t="s">
        <v>232</v>
      </c>
      <c r="F1003" s="20" t="s">
        <v>291</v>
      </c>
      <c r="G1003" s="20" t="s">
        <v>234</v>
      </c>
      <c r="H1003" s="23">
        <v>370.75</v>
      </c>
      <c r="I1003" s="23">
        <v>0</v>
      </c>
      <c r="J1003" s="23">
        <v>0</v>
      </c>
      <c r="K1003" s="23">
        <v>0</v>
      </c>
      <c r="L1003" s="23">
        <v>-469.16</v>
      </c>
      <c r="M1003" s="23">
        <v>-52</v>
      </c>
      <c r="N1003" s="23">
        <v>0</v>
      </c>
      <c r="O1003" s="24">
        <f t="shared" si="105"/>
        <v>-150.41000000000003</v>
      </c>
      <c r="P1003" s="23">
        <v>-2500</v>
      </c>
      <c r="Q1003" s="23">
        <v>0</v>
      </c>
      <c r="R1003" s="23">
        <v>0</v>
      </c>
      <c r="S1003" s="23">
        <v>0</v>
      </c>
      <c r="T1003" s="23">
        <v>0</v>
      </c>
      <c r="U1003" s="23">
        <v>0</v>
      </c>
      <c r="V1003" s="23">
        <v>0</v>
      </c>
      <c r="W1003" s="23">
        <f t="shared" si="106"/>
        <v>-2650.41</v>
      </c>
      <c r="X1003" s="23">
        <f t="shared" si="107"/>
        <v>0</v>
      </c>
      <c r="Y1003" s="23">
        <f t="shared" si="108"/>
        <v>-2650.41</v>
      </c>
      <c r="Z1003" s="23">
        <v>2650</v>
      </c>
      <c r="AA1003" s="23">
        <f t="shared" si="109"/>
        <v>-0.40999999999985448</v>
      </c>
      <c r="AB1003" s="23">
        <f t="shared" si="110"/>
        <v>2499.1800000000003</v>
      </c>
      <c r="AC1003" s="20" t="s">
        <v>409</v>
      </c>
      <c r="AD1003" s="20" t="str">
        <f>VLOOKUP($C1003,'[1]CTRL AUTOS'!$E:$AH,2,0)</f>
        <v>MAY730C</v>
      </c>
      <c r="AE1003" s="11" t="str">
        <f t="shared" si="111"/>
        <v>MAY730C44</v>
      </c>
    </row>
    <row r="1004" spans="1:31" ht="12.75" hidden="1" customHeight="1" x14ac:dyDescent="0.3">
      <c r="A1004" s="8">
        <v>44</v>
      </c>
      <c r="B1004" s="20" t="s">
        <v>25</v>
      </c>
      <c r="C1004" s="20" t="s">
        <v>67</v>
      </c>
      <c r="D1004" s="20" t="s">
        <v>343</v>
      </c>
      <c r="E1004" s="20" t="s">
        <v>232</v>
      </c>
      <c r="F1004" s="20" t="s">
        <v>291</v>
      </c>
      <c r="G1004" s="20" t="s">
        <v>234</v>
      </c>
      <c r="H1004" s="23">
        <v>3151.2</v>
      </c>
      <c r="I1004" s="23">
        <v>0</v>
      </c>
      <c r="J1004" s="23">
        <v>0</v>
      </c>
      <c r="K1004" s="23">
        <v>0</v>
      </c>
      <c r="L1004" s="23">
        <v>-1287.53</v>
      </c>
      <c r="M1004" s="23">
        <v>-35</v>
      </c>
      <c r="N1004" s="23">
        <v>0</v>
      </c>
      <c r="O1004" s="24">
        <f t="shared" si="105"/>
        <v>1828.6699999999998</v>
      </c>
      <c r="P1004" s="23">
        <v>-2500</v>
      </c>
      <c r="Q1004" s="23">
        <v>-296</v>
      </c>
      <c r="R1004" s="23">
        <v>0</v>
      </c>
      <c r="S1004" s="23">
        <v>0</v>
      </c>
      <c r="T1004" s="23">
        <v>0</v>
      </c>
      <c r="U1004" s="23">
        <v>0</v>
      </c>
      <c r="V1004" s="23">
        <v>0</v>
      </c>
      <c r="W1004" s="23">
        <f t="shared" si="106"/>
        <v>-967.33000000000015</v>
      </c>
      <c r="X1004" s="23">
        <f t="shared" si="107"/>
        <v>0</v>
      </c>
      <c r="Y1004" s="23">
        <f t="shared" si="108"/>
        <v>-967.33000000000015</v>
      </c>
      <c r="Z1004" s="23">
        <v>547</v>
      </c>
      <c r="AA1004" s="23">
        <f t="shared" si="109"/>
        <v>-420.33000000000015</v>
      </c>
      <c r="AB1004" s="23">
        <f t="shared" si="110"/>
        <v>1955.34</v>
      </c>
      <c r="AC1004" s="20" t="s">
        <v>409</v>
      </c>
      <c r="AD1004" s="20" t="str">
        <f>VLOOKUP($C1004,'[1]CTRL AUTOS'!$E:$AH,2,0)</f>
        <v>MFP751C</v>
      </c>
      <c r="AE1004" s="11" t="str">
        <f t="shared" si="111"/>
        <v>MFP751C44</v>
      </c>
    </row>
    <row r="1005" spans="1:31" ht="12.75" hidden="1" customHeight="1" x14ac:dyDescent="0.3">
      <c r="A1005" s="8">
        <v>44</v>
      </c>
      <c r="B1005" s="20" t="s">
        <v>72</v>
      </c>
      <c r="C1005" s="20" t="s">
        <v>73</v>
      </c>
      <c r="D1005" s="20" t="s">
        <v>368</v>
      </c>
      <c r="E1005" s="22" t="s">
        <v>241</v>
      </c>
      <c r="F1005" s="20" t="s">
        <v>291</v>
      </c>
      <c r="G1005" s="20" t="s">
        <v>234</v>
      </c>
      <c r="H1005" s="23">
        <v>9854.4599999999991</v>
      </c>
      <c r="I1005" s="23">
        <v>-230</v>
      </c>
      <c r="J1005" s="23">
        <v>0</v>
      </c>
      <c r="K1005" s="23">
        <v>-76.349999999999994</v>
      </c>
      <c r="L1005" s="23">
        <v>-3141.04</v>
      </c>
      <c r="M1005" s="23">
        <v>-39</v>
      </c>
      <c r="N1005" s="23">
        <v>0</v>
      </c>
      <c r="O1005" s="24">
        <f t="shared" si="105"/>
        <v>6368.0699999999988</v>
      </c>
      <c r="P1005" s="23">
        <v>-2500</v>
      </c>
      <c r="Q1005" s="23">
        <v>0</v>
      </c>
      <c r="R1005" s="23">
        <v>0</v>
      </c>
      <c r="S1005" s="23">
        <v>0</v>
      </c>
      <c r="T1005" s="23">
        <v>-700</v>
      </c>
      <c r="U1005" s="23">
        <v>0</v>
      </c>
      <c r="V1005" s="23">
        <v>0</v>
      </c>
      <c r="W1005" s="23">
        <f t="shared" si="106"/>
        <v>3168.0699999999988</v>
      </c>
      <c r="X1005" s="23">
        <f t="shared" si="107"/>
        <v>3168.0699999999988</v>
      </c>
      <c r="Y1005" s="23">
        <f t="shared" si="108"/>
        <v>0</v>
      </c>
      <c r="Z1005" s="23">
        <v>0</v>
      </c>
      <c r="AA1005" s="23">
        <f t="shared" si="109"/>
        <v>0</v>
      </c>
      <c r="AB1005" s="23">
        <f t="shared" si="110"/>
        <v>3200</v>
      </c>
      <c r="AC1005" s="20" t="s">
        <v>405</v>
      </c>
      <c r="AD1005" s="20" t="str">
        <f>VLOOKUP($C1005,'[1]CTRL AUTOS'!$E:$AH,2,0)</f>
        <v>H99BLC</v>
      </c>
      <c r="AE1005" s="11" t="str">
        <f t="shared" si="111"/>
        <v>H99BLC44</v>
      </c>
    </row>
    <row r="1006" spans="1:31" ht="12.75" hidden="1" customHeight="1" x14ac:dyDescent="0.3">
      <c r="A1006" s="8">
        <v>44</v>
      </c>
      <c r="B1006" s="20" t="s">
        <v>35</v>
      </c>
      <c r="C1006" s="20" t="s">
        <v>36</v>
      </c>
      <c r="D1006" s="20" t="s">
        <v>273</v>
      </c>
      <c r="E1006" s="20" t="s">
        <v>232</v>
      </c>
      <c r="F1006" s="20" t="s">
        <v>291</v>
      </c>
      <c r="G1006" s="20" t="s">
        <v>234</v>
      </c>
      <c r="H1006" s="23">
        <v>8966.43</v>
      </c>
      <c r="I1006" s="23">
        <v>-121.6</v>
      </c>
      <c r="J1006" s="23">
        <v>0</v>
      </c>
      <c r="K1006" s="23">
        <v>0</v>
      </c>
      <c r="L1006" s="23">
        <v>-4378.21</v>
      </c>
      <c r="M1006" s="23">
        <v>-40</v>
      </c>
      <c r="N1006" s="23">
        <v>0</v>
      </c>
      <c r="O1006" s="24">
        <f t="shared" si="105"/>
        <v>4426.62</v>
      </c>
      <c r="P1006" s="23">
        <v>-2500</v>
      </c>
      <c r="Q1006" s="23">
        <v>-185</v>
      </c>
      <c r="R1006" s="23">
        <v>0</v>
      </c>
      <c r="S1006" s="23">
        <v>0</v>
      </c>
      <c r="T1006" s="23">
        <v>-700</v>
      </c>
      <c r="U1006" s="23">
        <v>0</v>
      </c>
      <c r="V1006" s="23">
        <v>0</v>
      </c>
      <c r="W1006" s="23">
        <f t="shared" si="106"/>
        <v>1041.6199999999999</v>
      </c>
      <c r="X1006" s="23">
        <f t="shared" si="107"/>
        <v>1041.6199999999999</v>
      </c>
      <c r="Y1006" s="23">
        <f t="shared" si="108"/>
        <v>0</v>
      </c>
      <c r="Z1006" s="23">
        <v>0</v>
      </c>
      <c r="AA1006" s="23">
        <f t="shared" si="109"/>
        <v>0</v>
      </c>
      <c r="AB1006" s="23">
        <f t="shared" si="110"/>
        <v>3385</v>
      </c>
      <c r="AC1006" s="20" t="s">
        <v>405</v>
      </c>
      <c r="AD1006" s="20" t="str">
        <f>VLOOKUP($C1006,'[1]CTRL AUTOS'!$E:$AH,2,0)</f>
        <v>MLC126A</v>
      </c>
      <c r="AE1006" s="11" t="str">
        <f t="shared" si="111"/>
        <v>MLC126A44</v>
      </c>
    </row>
    <row r="1007" spans="1:31" ht="12.75" hidden="1" customHeight="1" x14ac:dyDescent="0.3">
      <c r="A1007" s="8">
        <v>44</v>
      </c>
      <c r="B1007" s="20" t="s">
        <v>361</v>
      </c>
      <c r="C1007" s="20" t="s">
        <v>56</v>
      </c>
      <c r="D1007" s="20"/>
      <c r="E1007" s="22" t="s">
        <v>241</v>
      </c>
      <c r="F1007" s="20" t="s">
        <v>291</v>
      </c>
      <c r="G1007" s="20" t="s">
        <v>234</v>
      </c>
      <c r="H1007" s="23">
        <v>0</v>
      </c>
      <c r="I1007" s="23">
        <v>0</v>
      </c>
      <c r="J1007" s="23">
        <v>0</v>
      </c>
      <c r="K1007" s="23">
        <v>0</v>
      </c>
      <c r="L1007" s="23">
        <v>0</v>
      </c>
      <c r="M1007" s="24">
        <v>0</v>
      </c>
      <c r="N1007" s="23">
        <v>0</v>
      </c>
      <c r="O1007" s="24">
        <f t="shared" si="105"/>
        <v>0</v>
      </c>
      <c r="P1007" s="23">
        <v>0</v>
      </c>
      <c r="Q1007" s="23">
        <v>0</v>
      </c>
      <c r="R1007" s="23">
        <v>500</v>
      </c>
      <c r="S1007" s="23">
        <v>0</v>
      </c>
      <c r="T1007" s="23">
        <v>0</v>
      </c>
      <c r="U1007" s="23">
        <v>0</v>
      </c>
      <c r="V1007" s="23">
        <v>0</v>
      </c>
      <c r="W1007" s="23">
        <f t="shared" si="106"/>
        <v>500</v>
      </c>
      <c r="X1007" s="23">
        <f t="shared" si="107"/>
        <v>500</v>
      </c>
      <c r="Y1007" s="23">
        <f t="shared" si="108"/>
        <v>0</v>
      </c>
      <c r="Z1007" s="23">
        <v>0</v>
      </c>
      <c r="AA1007" s="23">
        <f t="shared" si="109"/>
        <v>0</v>
      </c>
      <c r="AB1007" s="23">
        <f t="shared" si="110"/>
        <v>-500</v>
      </c>
      <c r="AC1007" s="20" t="s">
        <v>405</v>
      </c>
      <c r="AD1007" s="20" t="str">
        <f>VLOOKUP($C1007,'[1]CTRL AUTOS'!$E:$AH,2,0)</f>
        <v>MYE912A</v>
      </c>
      <c r="AE1007" s="11" t="str">
        <f t="shared" si="111"/>
        <v>MYE912A44</v>
      </c>
    </row>
    <row r="1008" spans="1:31" ht="12.75" hidden="1" customHeight="1" x14ac:dyDescent="0.3">
      <c r="A1008" s="8">
        <v>44</v>
      </c>
      <c r="B1008" s="20" t="s">
        <v>49</v>
      </c>
      <c r="C1008" s="20" t="s">
        <v>75</v>
      </c>
      <c r="D1008" s="20" t="s">
        <v>333</v>
      </c>
      <c r="E1008" s="22" t="s">
        <v>241</v>
      </c>
      <c r="F1008" s="20" t="s">
        <v>291</v>
      </c>
      <c r="G1008" s="20" t="s">
        <v>234</v>
      </c>
      <c r="H1008" s="23">
        <v>1826.77</v>
      </c>
      <c r="I1008" s="23">
        <v>-33.79</v>
      </c>
      <c r="J1008" s="23">
        <v>546.48</v>
      </c>
      <c r="K1008" s="23">
        <v>0</v>
      </c>
      <c r="L1008" s="23">
        <v>-400</v>
      </c>
      <c r="M1008" s="23">
        <v>-40</v>
      </c>
      <c r="N1008" s="23">
        <v>0</v>
      </c>
      <c r="O1008" s="24">
        <f t="shared" si="105"/>
        <v>1899.46</v>
      </c>
      <c r="P1008" s="23">
        <v>-1899</v>
      </c>
      <c r="Q1008" s="23">
        <v>0</v>
      </c>
      <c r="R1008" s="23">
        <v>0</v>
      </c>
      <c r="S1008" s="23">
        <v>0</v>
      </c>
      <c r="T1008" s="23">
        <v>0</v>
      </c>
      <c r="U1008" s="23">
        <v>0</v>
      </c>
      <c r="V1008" s="23">
        <v>0</v>
      </c>
      <c r="W1008" s="23">
        <f t="shared" si="106"/>
        <v>0.46000000000003638</v>
      </c>
      <c r="X1008" s="23">
        <f t="shared" si="107"/>
        <v>0.46000000000003638</v>
      </c>
      <c r="Y1008" s="23">
        <f t="shared" si="108"/>
        <v>0</v>
      </c>
      <c r="Z1008" s="23">
        <v>0</v>
      </c>
      <c r="AA1008" s="23">
        <f t="shared" si="109"/>
        <v>0</v>
      </c>
      <c r="AB1008" s="23">
        <f t="shared" si="110"/>
        <v>1899</v>
      </c>
      <c r="AC1008" s="20" t="s">
        <v>481</v>
      </c>
      <c r="AD1008" s="20" t="str">
        <f>VLOOKUP($C1008,'[1]CTRL AUTOS'!$E:$AH,2,0)</f>
        <v>NFN014B</v>
      </c>
      <c r="AE1008" s="11" t="str">
        <f t="shared" si="111"/>
        <v>NFN014B44</v>
      </c>
    </row>
    <row r="1009" spans="1:31" ht="12.75" hidden="1" customHeight="1" x14ac:dyDescent="0.3">
      <c r="A1009" s="8">
        <v>44</v>
      </c>
      <c r="B1009" s="20" t="s">
        <v>414</v>
      </c>
      <c r="C1009" s="20" t="s">
        <v>59</v>
      </c>
      <c r="D1009" s="20" t="s">
        <v>237</v>
      </c>
      <c r="E1009" s="22" t="s">
        <v>232</v>
      </c>
      <c r="F1009" s="20" t="s">
        <v>291</v>
      </c>
      <c r="G1009" s="20" t="s">
        <v>234</v>
      </c>
      <c r="H1009" s="23">
        <v>5901.15</v>
      </c>
      <c r="I1009" s="23">
        <v>0</v>
      </c>
      <c r="J1009" s="23">
        <v>0</v>
      </c>
      <c r="K1009" s="23">
        <v>0</v>
      </c>
      <c r="L1009" s="23">
        <v>0</v>
      </c>
      <c r="M1009" s="23">
        <v>-40</v>
      </c>
      <c r="N1009" s="23">
        <v>0</v>
      </c>
      <c r="O1009" s="24">
        <f t="shared" si="105"/>
        <v>5861.15</v>
      </c>
      <c r="P1009" s="23">
        <f>-2500+179</f>
        <v>-2321</v>
      </c>
      <c r="Q1009" s="23">
        <v>0</v>
      </c>
      <c r="R1009" s="23">
        <v>-1000</v>
      </c>
      <c r="S1009" s="23">
        <v>0</v>
      </c>
      <c r="T1009" s="23">
        <v>0</v>
      </c>
      <c r="U1009" s="23">
        <v>-130</v>
      </c>
      <c r="V1009" s="23">
        <v>0</v>
      </c>
      <c r="W1009" s="23">
        <f t="shared" si="106"/>
        <v>2410.1499999999996</v>
      </c>
      <c r="X1009" s="23">
        <f t="shared" si="107"/>
        <v>2410.1499999999996</v>
      </c>
      <c r="Y1009" s="23">
        <f t="shared" si="108"/>
        <v>0</v>
      </c>
      <c r="Z1009" s="23">
        <v>0</v>
      </c>
      <c r="AA1009" s="23">
        <f t="shared" si="109"/>
        <v>0</v>
      </c>
      <c r="AB1009" s="23">
        <f t="shared" si="110"/>
        <v>3451</v>
      </c>
      <c r="AC1009" s="20" t="s">
        <v>405</v>
      </c>
      <c r="AD1009" s="20" t="str">
        <f>VLOOKUP($C1009,'[1]CTRL AUTOS'!$E:$AH,2,0)</f>
        <v>P62BHW</v>
      </c>
      <c r="AE1009" s="11" t="str">
        <f t="shared" si="111"/>
        <v>P62BHW44</v>
      </c>
    </row>
    <row r="1010" spans="1:31" ht="12.75" hidden="1" customHeight="1" x14ac:dyDescent="0.3">
      <c r="A1010" s="8">
        <v>44</v>
      </c>
      <c r="B1010" s="20" t="s">
        <v>74</v>
      </c>
      <c r="C1010" s="20" t="s">
        <v>77</v>
      </c>
      <c r="D1010" s="20" t="s">
        <v>474</v>
      </c>
      <c r="E1010" s="22" t="s">
        <v>232</v>
      </c>
      <c r="F1010" s="20" t="s">
        <v>291</v>
      </c>
      <c r="G1010" s="20" t="s">
        <v>234</v>
      </c>
      <c r="H1010" s="23">
        <v>5002.91</v>
      </c>
      <c r="I1010" s="23">
        <v>-23</v>
      </c>
      <c r="J1010" s="23">
        <v>69.92</v>
      </c>
      <c r="K1010" s="23">
        <v>0</v>
      </c>
      <c r="L1010" s="23">
        <v>-2739.94</v>
      </c>
      <c r="M1010" s="23">
        <v>-38</v>
      </c>
      <c r="N1010" s="23">
        <v>0</v>
      </c>
      <c r="O1010" s="24">
        <f t="shared" si="105"/>
        <v>2271.89</v>
      </c>
      <c r="P1010" s="23">
        <v>-2500</v>
      </c>
      <c r="Q1010" s="23">
        <v>0</v>
      </c>
      <c r="R1010" s="23">
        <v>0</v>
      </c>
      <c r="S1010" s="23">
        <v>0</v>
      </c>
      <c r="T1010" s="23">
        <v>0</v>
      </c>
      <c r="U1010" s="23">
        <v>0</v>
      </c>
      <c r="V1010" s="23">
        <v>0</v>
      </c>
      <c r="W1010" s="23">
        <f t="shared" si="106"/>
        <v>-228.11000000000013</v>
      </c>
      <c r="X1010" s="23">
        <f t="shared" si="107"/>
        <v>0</v>
      </c>
      <c r="Y1010" s="23">
        <f t="shared" si="108"/>
        <v>-228.11000000000013</v>
      </c>
      <c r="Z1010" s="23">
        <v>228</v>
      </c>
      <c r="AA1010" s="23">
        <f t="shared" si="109"/>
        <v>-0.11000000000012733</v>
      </c>
      <c r="AB1010" s="23">
        <f t="shared" si="110"/>
        <v>2499.7799999999997</v>
      </c>
      <c r="AC1010" s="20" t="s">
        <v>409</v>
      </c>
      <c r="AD1010" s="20" t="str">
        <f>VLOOKUP($C1010,'[1]CTRL AUTOS'!$E:$AH,2,0)</f>
        <v>MEE228C</v>
      </c>
      <c r="AE1010" s="11" t="str">
        <f t="shared" si="111"/>
        <v>MEE228C44</v>
      </c>
    </row>
    <row r="1011" spans="1:31" ht="12.75" hidden="1" customHeight="1" x14ac:dyDescent="0.3">
      <c r="A1011" s="8">
        <v>44</v>
      </c>
      <c r="B1011" s="20" t="s">
        <v>78</v>
      </c>
      <c r="C1011" s="44" t="s">
        <v>79</v>
      </c>
      <c r="D1011" s="20" t="s">
        <v>475</v>
      </c>
      <c r="E1011" s="20" t="s">
        <v>291</v>
      </c>
      <c r="F1011" s="20" t="s">
        <v>291</v>
      </c>
      <c r="G1011" s="20" t="s">
        <v>234</v>
      </c>
      <c r="H1011" s="23">
        <v>2838.62</v>
      </c>
      <c r="I1011" s="23">
        <v>0</v>
      </c>
      <c r="J1011" s="23">
        <v>0</v>
      </c>
      <c r="K1011" s="23">
        <v>-27.23</v>
      </c>
      <c r="L1011" s="23">
        <v>0</v>
      </c>
      <c r="M1011" s="23">
        <v>-40</v>
      </c>
      <c r="N1011" s="23">
        <v>0</v>
      </c>
      <c r="O1011" s="24">
        <f t="shared" si="105"/>
        <v>2771.39</v>
      </c>
      <c r="P1011" s="23">
        <v>-2500</v>
      </c>
      <c r="Q1011" s="23">
        <v>0</v>
      </c>
      <c r="R1011" s="23">
        <v>-500</v>
      </c>
      <c r="S1011" s="23">
        <v>0</v>
      </c>
      <c r="T1011" s="23">
        <v>0</v>
      </c>
      <c r="U1011" s="23">
        <v>0</v>
      </c>
      <c r="V1011" s="23">
        <v>0</v>
      </c>
      <c r="W1011" s="23">
        <f t="shared" si="106"/>
        <v>-228.61000000000013</v>
      </c>
      <c r="X1011" s="23">
        <f t="shared" si="107"/>
        <v>0</v>
      </c>
      <c r="Y1011" s="23">
        <f t="shared" si="108"/>
        <v>-228.61000000000013</v>
      </c>
      <c r="Z1011" s="23">
        <v>0</v>
      </c>
      <c r="AA1011" s="23">
        <f t="shared" si="109"/>
        <v>-228.61000000000013</v>
      </c>
      <c r="AB1011" s="23">
        <f t="shared" si="110"/>
        <v>2542.7799999999997</v>
      </c>
      <c r="AC1011" s="20"/>
      <c r="AD1011" s="20" t="str">
        <f>VLOOKUP($C1011,'[1]CTRL AUTOS'!$E:$AH,2,0)</f>
        <v>MAY737C</v>
      </c>
      <c r="AE1011" s="11" t="str">
        <f t="shared" si="111"/>
        <v>MAY737C44</v>
      </c>
    </row>
    <row r="1012" spans="1:31" ht="12.75" hidden="1" customHeight="1" x14ac:dyDescent="0.3">
      <c r="A1012" s="8">
        <v>45</v>
      </c>
      <c r="B1012" s="20" t="s">
        <v>49</v>
      </c>
      <c r="C1012" s="20" t="s">
        <v>4</v>
      </c>
      <c r="D1012" s="20" t="s">
        <v>480</v>
      </c>
      <c r="E1012" s="20" t="s">
        <v>232</v>
      </c>
      <c r="F1012" s="20" t="s">
        <v>232</v>
      </c>
      <c r="G1012" s="20" t="s">
        <v>234</v>
      </c>
      <c r="H1012" s="23">
        <v>7489.72</v>
      </c>
      <c r="I1012" s="23">
        <v>-25.6</v>
      </c>
      <c r="J1012" s="23">
        <v>0</v>
      </c>
      <c r="K1012" s="23">
        <v>0</v>
      </c>
      <c r="L1012" s="23">
        <v>-249.48</v>
      </c>
      <c r="M1012" s="23">
        <v>-45</v>
      </c>
      <c r="N1012" s="23">
        <v>0</v>
      </c>
      <c r="O1012" s="24">
        <f t="shared" si="105"/>
        <v>7169.64</v>
      </c>
      <c r="P1012" s="23">
        <v>-2500</v>
      </c>
      <c r="Q1012" s="23">
        <v>0</v>
      </c>
      <c r="R1012" s="23">
        <v>-500</v>
      </c>
      <c r="S1012" s="23">
        <v>0</v>
      </c>
      <c r="T1012" s="23">
        <v>-700</v>
      </c>
      <c r="U1012" s="23">
        <v>0</v>
      </c>
      <c r="V1012" s="23">
        <v>0</v>
      </c>
      <c r="W1012" s="23">
        <f t="shared" si="106"/>
        <v>3469.6400000000003</v>
      </c>
      <c r="X1012" s="45">
        <f t="shared" si="107"/>
        <v>3469.6400000000003</v>
      </c>
      <c r="Y1012" s="23">
        <f t="shared" si="108"/>
        <v>0</v>
      </c>
      <c r="Z1012" s="23">
        <v>0</v>
      </c>
      <c r="AA1012" s="23">
        <f t="shared" si="109"/>
        <v>0</v>
      </c>
      <c r="AB1012" s="23">
        <f t="shared" si="110"/>
        <v>3700</v>
      </c>
      <c r="AC1012" s="20" t="s">
        <v>482</v>
      </c>
      <c r="AD1012" s="20" t="str">
        <f>VLOOKUP($C1012,'[1]CTRL AUTOS'!$E:$AH,2,0)</f>
        <v>N15BKD</v>
      </c>
      <c r="AE1012" s="11" t="str">
        <f t="shared" si="111"/>
        <v>N15BKD45</v>
      </c>
    </row>
    <row r="1013" spans="1:31" ht="12.75" hidden="1" customHeight="1" x14ac:dyDescent="0.3">
      <c r="A1013" s="8">
        <v>45</v>
      </c>
      <c r="B1013" s="20" t="s">
        <v>47</v>
      </c>
      <c r="C1013" s="20" t="s">
        <v>106</v>
      </c>
      <c r="D1013" s="20" t="s">
        <v>322</v>
      </c>
      <c r="E1013" s="20" t="s">
        <v>232</v>
      </c>
      <c r="F1013" s="20" t="s">
        <v>232</v>
      </c>
      <c r="G1013" s="20" t="s">
        <v>234</v>
      </c>
      <c r="H1013" s="23">
        <v>8696.32</v>
      </c>
      <c r="I1013" s="23">
        <v>-208</v>
      </c>
      <c r="J1013" s="23">
        <v>0</v>
      </c>
      <c r="K1013" s="23">
        <v>0</v>
      </c>
      <c r="L1013" s="23">
        <v>-2494.86</v>
      </c>
      <c r="M1013" s="23">
        <v>-50</v>
      </c>
      <c r="N1013" s="23">
        <v>0</v>
      </c>
      <c r="O1013" s="24">
        <f t="shared" si="105"/>
        <v>5943.4599999999991</v>
      </c>
      <c r="P1013" s="23">
        <v>-2500</v>
      </c>
      <c r="Q1013" s="23">
        <v>0</v>
      </c>
      <c r="R1013" s="23">
        <v>-500</v>
      </c>
      <c r="S1013" s="23">
        <v>0</v>
      </c>
      <c r="T1013" s="23">
        <v>0</v>
      </c>
      <c r="U1013" s="23">
        <v>0</v>
      </c>
      <c r="V1013" s="23">
        <v>0</v>
      </c>
      <c r="W1013" s="23">
        <f t="shared" si="106"/>
        <v>2943.4599999999991</v>
      </c>
      <c r="X1013" s="45">
        <f t="shared" si="107"/>
        <v>2943.4599999999991</v>
      </c>
      <c r="Y1013" s="23">
        <f t="shared" si="108"/>
        <v>0</v>
      </c>
      <c r="Z1013" s="23">
        <v>0</v>
      </c>
      <c r="AA1013" s="23">
        <f t="shared" si="109"/>
        <v>0</v>
      </c>
      <c r="AB1013" s="23">
        <f t="shared" si="110"/>
        <v>3000</v>
      </c>
      <c r="AC1013" s="20" t="s">
        <v>482</v>
      </c>
      <c r="AD1013" s="20" t="str">
        <f>VLOOKUP($C1013,'[1]CTRL AUTOS'!$E:$AH,2,0)</f>
        <v>NZU5163</v>
      </c>
      <c r="AE1013" s="11" t="str">
        <f t="shared" si="111"/>
        <v>NZU516345</v>
      </c>
    </row>
    <row r="1014" spans="1:31" ht="12.75" hidden="1" customHeight="1" x14ac:dyDescent="0.3">
      <c r="A1014" s="8">
        <v>45</v>
      </c>
      <c r="B1014" s="20" t="s">
        <v>60</v>
      </c>
      <c r="C1014" s="41" t="s">
        <v>42</v>
      </c>
      <c r="D1014" s="20" t="s">
        <v>237</v>
      </c>
      <c r="E1014" s="20" t="s">
        <v>232</v>
      </c>
      <c r="F1014" s="20" t="s">
        <v>232</v>
      </c>
      <c r="G1014" s="20" t="s">
        <v>234</v>
      </c>
      <c r="H1014" s="23">
        <v>10205.33</v>
      </c>
      <c r="I1014" s="23">
        <v>-295.2</v>
      </c>
      <c r="J1014" s="23">
        <v>0</v>
      </c>
      <c r="K1014" s="23">
        <v>0</v>
      </c>
      <c r="L1014" s="23">
        <v>-3946.86</v>
      </c>
      <c r="M1014" s="23">
        <v>-65</v>
      </c>
      <c r="N1014" s="23">
        <v>0</v>
      </c>
      <c r="O1014" s="24">
        <f t="shared" si="105"/>
        <v>5898.2699999999986</v>
      </c>
      <c r="P1014" s="23">
        <v>-2500</v>
      </c>
      <c r="Q1014" s="23">
        <v>0</v>
      </c>
      <c r="R1014" s="23">
        <v>-500</v>
      </c>
      <c r="S1014" s="23">
        <v>0</v>
      </c>
      <c r="T1014" s="23">
        <v>0</v>
      </c>
      <c r="U1014" s="23">
        <v>0</v>
      </c>
      <c r="V1014" s="23">
        <v>0</v>
      </c>
      <c r="W1014" s="23">
        <f t="shared" si="106"/>
        <v>2898.2699999999986</v>
      </c>
      <c r="X1014" s="45">
        <f t="shared" si="107"/>
        <v>2898.2699999999986</v>
      </c>
      <c r="Y1014" s="23">
        <f t="shared" si="108"/>
        <v>0</v>
      </c>
      <c r="Z1014" s="23">
        <v>0</v>
      </c>
      <c r="AA1014" s="23">
        <f t="shared" si="109"/>
        <v>0</v>
      </c>
      <c r="AB1014" s="23">
        <f t="shared" si="110"/>
        <v>3000</v>
      </c>
      <c r="AC1014" s="20" t="s">
        <v>482</v>
      </c>
      <c r="AD1014" s="20" t="str">
        <f>VLOOKUP($C1014,'[1]CTRL AUTOS'!$E:$AH,2,0)</f>
        <v>MMA672C</v>
      </c>
      <c r="AE1014" s="11" t="str">
        <f t="shared" si="111"/>
        <v>MMA672C45</v>
      </c>
    </row>
    <row r="1015" spans="1:31" ht="12.75" hidden="1" customHeight="1" x14ac:dyDescent="0.3">
      <c r="A1015" s="8">
        <v>45</v>
      </c>
      <c r="B1015" s="20" t="s">
        <v>19</v>
      </c>
      <c r="C1015" s="20" t="s">
        <v>20</v>
      </c>
      <c r="D1015" s="20" t="s">
        <v>239</v>
      </c>
      <c r="E1015" s="20" t="s">
        <v>232</v>
      </c>
      <c r="F1015" s="20" t="s">
        <v>232</v>
      </c>
      <c r="G1015" s="20" t="s">
        <v>234</v>
      </c>
      <c r="H1015" s="23">
        <v>5742.91</v>
      </c>
      <c r="I1015" s="23">
        <v>-84.86</v>
      </c>
      <c r="J1015" s="23">
        <v>0</v>
      </c>
      <c r="K1015" s="23">
        <v>-40.31</v>
      </c>
      <c r="L1015" s="23">
        <v>0</v>
      </c>
      <c r="M1015" s="23">
        <v>-40</v>
      </c>
      <c r="N1015" s="23">
        <v>0</v>
      </c>
      <c r="O1015" s="24">
        <f t="shared" si="105"/>
        <v>5577.74</v>
      </c>
      <c r="P1015" s="23">
        <v>-2500</v>
      </c>
      <c r="Q1015" s="23">
        <v>0</v>
      </c>
      <c r="R1015" s="23">
        <v>0</v>
      </c>
      <c r="S1015" s="23">
        <v>0</v>
      </c>
      <c r="T1015" s="23">
        <v>0</v>
      </c>
      <c r="U1015" s="23">
        <v>-1000</v>
      </c>
      <c r="V1015" s="23">
        <v>0</v>
      </c>
      <c r="W1015" s="23">
        <f t="shared" si="106"/>
        <v>2077.7399999999998</v>
      </c>
      <c r="X1015" s="45">
        <f t="shared" si="107"/>
        <v>2077.7399999999998</v>
      </c>
      <c r="Y1015" s="23">
        <f t="shared" si="108"/>
        <v>0</v>
      </c>
      <c r="Z1015" s="23">
        <v>0</v>
      </c>
      <c r="AA1015" s="23">
        <f t="shared" si="109"/>
        <v>0</v>
      </c>
      <c r="AB1015" s="23">
        <f t="shared" si="110"/>
        <v>3500</v>
      </c>
      <c r="AC1015" s="20" t="s">
        <v>482</v>
      </c>
      <c r="AD1015" s="20" t="str">
        <f>VLOOKUP($C1015,'[1]CTRL AUTOS'!$E:$AH,2,0)</f>
        <v>D40BKD</v>
      </c>
      <c r="AE1015" s="11" t="str">
        <f t="shared" si="111"/>
        <v>D40BKD45</v>
      </c>
    </row>
    <row r="1016" spans="1:31" ht="12.75" hidden="1" customHeight="1" x14ac:dyDescent="0.3">
      <c r="A1016" s="8">
        <v>45</v>
      </c>
      <c r="B1016" s="20" t="s">
        <v>51</v>
      </c>
      <c r="C1016" s="20" t="s">
        <v>106</v>
      </c>
      <c r="D1016" s="20" t="s">
        <v>322</v>
      </c>
      <c r="E1016" s="20" t="s">
        <v>232</v>
      </c>
      <c r="F1016" s="20" t="s">
        <v>232</v>
      </c>
      <c r="G1016" s="20" t="s">
        <v>234</v>
      </c>
      <c r="H1016" s="23">
        <v>4113.68</v>
      </c>
      <c r="I1016" s="23">
        <v>-20.61</v>
      </c>
      <c r="J1016" s="23">
        <v>0</v>
      </c>
      <c r="K1016" s="23">
        <v>-28.91</v>
      </c>
      <c r="L1016" s="23">
        <v>-758.64</v>
      </c>
      <c r="M1016" s="23">
        <v>-35</v>
      </c>
      <c r="N1016" s="23">
        <v>0</v>
      </c>
      <c r="O1016" s="24">
        <f t="shared" si="105"/>
        <v>3270.5200000000004</v>
      </c>
      <c r="P1016" s="23">
        <v>-2500</v>
      </c>
      <c r="Q1016" s="23">
        <v>0</v>
      </c>
      <c r="R1016" s="23">
        <v>-500</v>
      </c>
      <c r="S1016" s="23">
        <v>0</v>
      </c>
      <c r="T1016" s="23">
        <v>0</v>
      </c>
      <c r="U1016" s="23">
        <v>0</v>
      </c>
      <c r="V1016" s="23">
        <v>0</v>
      </c>
      <c r="W1016" s="23">
        <f t="shared" si="106"/>
        <v>270.52000000000044</v>
      </c>
      <c r="X1016" s="45">
        <f t="shared" si="107"/>
        <v>270.52000000000044</v>
      </c>
      <c r="Y1016" s="23">
        <f t="shared" si="108"/>
        <v>0</v>
      </c>
      <c r="Z1016" s="23">
        <v>0</v>
      </c>
      <c r="AA1016" s="23">
        <f t="shared" si="109"/>
        <v>0</v>
      </c>
      <c r="AB1016" s="23">
        <f t="shared" si="110"/>
        <v>3000</v>
      </c>
      <c r="AC1016" s="20" t="s">
        <v>482</v>
      </c>
      <c r="AD1016" s="20" t="str">
        <f>VLOOKUP($C1016,'[1]CTRL AUTOS'!$E:$AH,2,0)</f>
        <v>NZU5163</v>
      </c>
      <c r="AE1016" s="11" t="str">
        <f t="shared" si="111"/>
        <v>NZU516345</v>
      </c>
    </row>
    <row r="1017" spans="1:31" ht="12.75" hidden="1" customHeight="1" x14ac:dyDescent="0.3">
      <c r="A1017" s="8">
        <v>45</v>
      </c>
      <c r="B1017" s="20" t="s">
        <v>45</v>
      </c>
      <c r="C1017" s="20" t="s">
        <v>46</v>
      </c>
      <c r="D1017" s="20" t="s">
        <v>257</v>
      </c>
      <c r="E1017" s="20" t="s">
        <v>232</v>
      </c>
      <c r="F1017" s="20" t="s">
        <v>232</v>
      </c>
      <c r="G1017" s="20" t="s">
        <v>234</v>
      </c>
      <c r="H1017" s="23">
        <v>3476.72</v>
      </c>
      <c r="I1017" s="23">
        <v>-16</v>
      </c>
      <c r="J1017" s="23">
        <v>0</v>
      </c>
      <c r="K1017" s="23">
        <v>0</v>
      </c>
      <c r="L1017" s="23">
        <v>-573.64</v>
      </c>
      <c r="M1017" s="23">
        <v>-45</v>
      </c>
      <c r="N1017" s="23">
        <v>0</v>
      </c>
      <c r="O1017" s="24">
        <f t="shared" si="105"/>
        <v>2842.08</v>
      </c>
      <c r="P1017" s="23">
        <v>-2500</v>
      </c>
      <c r="Q1017" s="23">
        <v>0</v>
      </c>
      <c r="R1017" s="23">
        <v>0</v>
      </c>
      <c r="S1017" s="23">
        <v>0</v>
      </c>
      <c r="T1017" s="23">
        <v>0</v>
      </c>
      <c r="U1017" s="23">
        <v>0</v>
      </c>
      <c r="V1017" s="23">
        <v>0</v>
      </c>
      <c r="W1017" s="23">
        <f t="shared" si="106"/>
        <v>342.07999999999993</v>
      </c>
      <c r="X1017" s="45">
        <f t="shared" si="107"/>
        <v>342.07999999999993</v>
      </c>
      <c r="Y1017" s="23">
        <f t="shared" si="108"/>
        <v>0</v>
      </c>
      <c r="Z1017" s="23">
        <v>0</v>
      </c>
      <c r="AA1017" s="23">
        <f t="shared" si="109"/>
        <v>0</v>
      </c>
      <c r="AB1017" s="23">
        <f t="shared" si="110"/>
        <v>2500</v>
      </c>
      <c r="AC1017" s="20" t="s">
        <v>482</v>
      </c>
      <c r="AD1017" s="20" t="str">
        <f>VLOOKUP($C1017,'[1]CTRL AUTOS'!$E:$AH,2,0)</f>
        <v>R66BER</v>
      </c>
      <c r="AE1017" s="11" t="str">
        <f t="shared" si="111"/>
        <v>R66BER45</v>
      </c>
    </row>
    <row r="1018" spans="1:31" ht="12.75" hidden="1" customHeight="1" x14ac:dyDescent="0.3">
      <c r="A1018" s="8">
        <v>45</v>
      </c>
      <c r="B1018" s="20" t="s">
        <v>37</v>
      </c>
      <c r="C1018" s="20" t="s">
        <v>40</v>
      </c>
      <c r="D1018" s="20" t="s">
        <v>315</v>
      </c>
      <c r="E1018" s="20" t="s">
        <v>232</v>
      </c>
      <c r="F1018" s="20" t="s">
        <v>232</v>
      </c>
      <c r="G1018" s="20" t="s">
        <v>234</v>
      </c>
      <c r="H1018" s="23">
        <v>3546.37</v>
      </c>
      <c r="I1018" s="23">
        <v>-16</v>
      </c>
      <c r="J1018" s="23">
        <v>0</v>
      </c>
      <c r="K1018" s="23">
        <v>0</v>
      </c>
      <c r="L1018" s="23">
        <v>-675.77</v>
      </c>
      <c r="M1018" s="23">
        <v>-60</v>
      </c>
      <c r="N1018" s="23">
        <v>0</v>
      </c>
      <c r="O1018" s="24">
        <f t="shared" si="105"/>
        <v>2794.6</v>
      </c>
      <c r="P1018" s="23">
        <v>-2500</v>
      </c>
      <c r="Q1018" s="23">
        <v>0</v>
      </c>
      <c r="R1018" s="23">
        <v>0</v>
      </c>
      <c r="S1018" s="23">
        <v>0</v>
      </c>
      <c r="T1018" s="23">
        <v>0</v>
      </c>
      <c r="U1018" s="23">
        <v>0</v>
      </c>
      <c r="V1018" s="23">
        <v>0</v>
      </c>
      <c r="W1018" s="23">
        <f t="shared" si="106"/>
        <v>294.59999999999991</v>
      </c>
      <c r="X1018" s="45">
        <f t="shared" si="107"/>
        <v>294.59999999999991</v>
      </c>
      <c r="Y1018" s="23">
        <f t="shared" si="108"/>
        <v>0</v>
      </c>
      <c r="Z1018" s="23">
        <v>0</v>
      </c>
      <c r="AA1018" s="23">
        <f t="shared" si="109"/>
        <v>0</v>
      </c>
      <c r="AB1018" s="23">
        <f t="shared" si="110"/>
        <v>2500</v>
      </c>
      <c r="AC1018" s="20" t="s">
        <v>482</v>
      </c>
      <c r="AD1018" s="20" t="str">
        <f>VLOOKUP($C1018,'[1]CTRL AUTOS'!$E:$AH,2,0)</f>
        <v>NEL860A</v>
      </c>
      <c r="AE1018" s="11" t="str">
        <f t="shared" si="111"/>
        <v>NEL860A45</v>
      </c>
    </row>
    <row r="1019" spans="1:31" ht="12.75" hidden="1" customHeight="1" x14ac:dyDescent="0.3">
      <c r="A1019" s="8">
        <v>45</v>
      </c>
      <c r="B1019" s="20" t="s">
        <v>61</v>
      </c>
      <c r="C1019" s="20" t="s">
        <v>34</v>
      </c>
      <c r="D1019" s="20" t="s">
        <v>285</v>
      </c>
      <c r="E1019" s="20" t="s">
        <v>232</v>
      </c>
      <c r="F1019" s="20" t="s">
        <v>232</v>
      </c>
      <c r="G1019" s="20" t="s">
        <v>234</v>
      </c>
      <c r="H1019" s="23">
        <v>3275.18</v>
      </c>
      <c r="I1019" s="23">
        <v>0</v>
      </c>
      <c r="J1019" s="23">
        <v>0</v>
      </c>
      <c r="K1019" s="23">
        <v>0</v>
      </c>
      <c r="L1019" s="23">
        <v>-1044.97</v>
      </c>
      <c r="M1019" s="23">
        <v>-60</v>
      </c>
      <c r="N1019" s="23">
        <v>0</v>
      </c>
      <c r="O1019" s="24">
        <f t="shared" si="105"/>
        <v>2170.21</v>
      </c>
      <c r="P1019" s="23">
        <v>-2500</v>
      </c>
      <c r="Q1019" s="23">
        <v>0</v>
      </c>
      <c r="R1019" s="23">
        <v>0</v>
      </c>
      <c r="S1019" s="23">
        <v>0</v>
      </c>
      <c r="T1019" s="23">
        <v>-700</v>
      </c>
      <c r="U1019" s="23">
        <v>0</v>
      </c>
      <c r="V1019" s="23">
        <v>0</v>
      </c>
      <c r="W1019" s="23">
        <f t="shared" si="106"/>
        <v>-1029.79</v>
      </c>
      <c r="X1019" s="23">
        <f t="shared" si="107"/>
        <v>0</v>
      </c>
      <c r="Y1019" s="23">
        <f t="shared" si="108"/>
        <v>-1029.79</v>
      </c>
      <c r="Z1019" s="23">
        <v>1030</v>
      </c>
      <c r="AA1019" s="23">
        <f t="shared" si="109"/>
        <v>0.21000000000003638</v>
      </c>
      <c r="AB1019" s="23">
        <f t="shared" si="110"/>
        <v>3200.42</v>
      </c>
      <c r="AC1019" s="20" t="s">
        <v>483</v>
      </c>
      <c r="AD1019" s="20" t="str">
        <f>VLOOKUP($C1019,'[1]CTRL AUTOS'!$E:$AH,2,0)</f>
        <v>X59AWG</v>
      </c>
      <c r="AE1019" s="11" t="str">
        <f t="shared" si="111"/>
        <v>X59AWG45</v>
      </c>
    </row>
    <row r="1020" spans="1:31" ht="12.75" hidden="1" customHeight="1" x14ac:dyDescent="0.3">
      <c r="A1020" s="8">
        <v>45</v>
      </c>
      <c r="B1020" s="20" t="s">
        <v>9</v>
      </c>
      <c r="C1020" s="20" t="s">
        <v>10</v>
      </c>
      <c r="D1020" s="20" t="s">
        <v>343</v>
      </c>
      <c r="E1020" s="20" t="s">
        <v>232</v>
      </c>
      <c r="F1020" s="20" t="s">
        <v>232</v>
      </c>
      <c r="G1020" s="20" t="s">
        <v>234</v>
      </c>
      <c r="H1020" s="23">
        <v>5084.13</v>
      </c>
      <c r="I1020" s="23">
        <v>0</v>
      </c>
      <c r="J1020" s="23">
        <v>0</v>
      </c>
      <c r="K1020" s="23">
        <v>0</v>
      </c>
      <c r="L1020" s="23">
        <v>-2889.04</v>
      </c>
      <c r="M1020" s="23">
        <v>-50</v>
      </c>
      <c r="N1020" s="23">
        <v>0</v>
      </c>
      <c r="O1020" s="24">
        <f t="shared" si="105"/>
        <v>2145.09</v>
      </c>
      <c r="P1020" s="23">
        <v>-2500</v>
      </c>
      <c r="Q1020" s="23">
        <v>0</v>
      </c>
      <c r="R1020" s="23">
        <v>-500</v>
      </c>
      <c r="S1020" s="23">
        <v>0</v>
      </c>
      <c r="T1020" s="23">
        <v>0</v>
      </c>
      <c r="U1020" s="23">
        <v>0</v>
      </c>
      <c r="V1020" s="23">
        <v>0</v>
      </c>
      <c r="W1020" s="23">
        <f t="shared" si="106"/>
        <v>-854.90999999999985</v>
      </c>
      <c r="X1020" s="23">
        <f t="shared" si="107"/>
        <v>0</v>
      </c>
      <c r="Y1020" s="23">
        <f t="shared" si="108"/>
        <v>-854.90999999999985</v>
      </c>
      <c r="Z1020" s="23">
        <f>600+255</f>
        <v>855</v>
      </c>
      <c r="AA1020" s="23">
        <f t="shared" si="109"/>
        <v>9.0000000000145519E-2</v>
      </c>
      <c r="AB1020" s="23">
        <f t="shared" si="110"/>
        <v>3000.1800000000003</v>
      </c>
      <c r="AC1020" s="20"/>
      <c r="AD1020" s="20" t="str">
        <f>VLOOKUP($C1020,'[1]CTRL AUTOS'!$E:$AH,2,0)</f>
        <v>LRL009C</v>
      </c>
      <c r="AE1020" s="11" t="str">
        <f t="shared" si="111"/>
        <v>LRL009C45</v>
      </c>
    </row>
    <row r="1021" spans="1:31" ht="12.75" hidden="1" customHeight="1" x14ac:dyDescent="0.3">
      <c r="A1021" s="8">
        <v>45</v>
      </c>
      <c r="B1021" s="20" t="s">
        <v>57</v>
      </c>
      <c r="C1021" s="20" t="s">
        <v>16</v>
      </c>
      <c r="D1021" s="20" t="s">
        <v>314</v>
      </c>
      <c r="E1021" s="20" t="s">
        <v>232</v>
      </c>
      <c r="F1021" s="20" t="s">
        <v>232</v>
      </c>
      <c r="G1021" s="20" t="s">
        <v>234</v>
      </c>
      <c r="H1021" s="23">
        <v>1644.38</v>
      </c>
      <c r="I1021" s="23">
        <v>0</v>
      </c>
      <c r="J1021" s="23">
        <v>0</v>
      </c>
      <c r="K1021" s="23">
        <v>0</v>
      </c>
      <c r="L1021" s="23">
        <v>-553</v>
      </c>
      <c r="M1021" s="23">
        <f>-50+24</f>
        <v>-26</v>
      </c>
      <c r="N1021" s="23">
        <v>-24</v>
      </c>
      <c r="O1021" s="24">
        <f t="shared" si="105"/>
        <v>1041.3800000000001</v>
      </c>
      <c r="P1021" s="23">
        <f>(-2500/7)*3</f>
        <v>-1071.4285714285716</v>
      </c>
      <c r="Q1021" s="23">
        <v>0</v>
      </c>
      <c r="R1021" s="23">
        <v>0</v>
      </c>
      <c r="S1021" s="23">
        <v>0</v>
      </c>
      <c r="T1021" s="23">
        <v>0</v>
      </c>
      <c r="U1021" s="23">
        <v>0</v>
      </c>
      <c r="V1021" s="23">
        <v>0</v>
      </c>
      <c r="W1021" s="23">
        <f t="shared" si="106"/>
        <v>-30.048571428571449</v>
      </c>
      <c r="X1021" s="23">
        <f t="shared" si="107"/>
        <v>0</v>
      </c>
      <c r="Y1021" s="23">
        <f t="shared" si="108"/>
        <v>-30.048571428571449</v>
      </c>
      <c r="Z1021" s="23">
        <v>30</v>
      </c>
      <c r="AA1021" s="23">
        <f t="shared" si="109"/>
        <v>-4.857142857144936E-2</v>
      </c>
      <c r="AB1021" s="23">
        <f t="shared" si="110"/>
        <v>1071.3314285714287</v>
      </c>
      <c r="AC1021" s="20" t="s">
        <v>484</v>
      </c>
      <c r="AD1021" s="20" t="str">
        <f>VLOOKUP($C1021,'[1]CTRL AUTOS'!$E:$AH,2,0)</f>
        <v>D28BET</v>
      </c>
      <c r="AE1021" s="11" t="str">
        <f t="shared" si="111"/>
        <v>D28BET45</v>
      </c>
    </row>
    <row r="1022" spans="1:31" ht="12.75" hidden="1" customHeight="1" x14ac:dyDescent="0.3">
      <c r="A1022" s="8">
        <v>45</v>
      </c>
      <c r="B1022" s="20" t="s">
        <v>3</v>
      </c>
      <c r="C1022" s="20" t="s">
        <v>4</v>
      </c>
      <c r="D1022" s="20" t="s">
        <v>480</v>
      </c>
      <c r="E1022" s="20" t="s">
        <v>232</v>
      </c>
      <c r="F1022" s="20" t="s">
        <v>232</v>
      </c>
      <c r="G1022" s="20" t="s">
        <v>425</v>
      </c>
      <c r="H1022" s="23">
        <v>9690.7900000000009</v>
      </c>
      <c r="I1022" s="23">
        <v>0</v>
      </c>
      <c r="J1022" s="23">
        <v>0</v>
      </c>
      <c r="K1022" s="23">
        <v>0</v>
      </c>
      <c r="L1022" s="23">
        <v>-8790.76</v>
      </c>
      <c r="M1022" s="23">
        <v>-95</v>
      </c>
      <c r="N1022" s="23">
        <v>0</v>
      </c>
      <c r="O1022" s="24">
        <f t="shared" si="105"/>
        <v>805.03000000000065</v>
      </c>
      <c r="P1022" s="23">
        <v>-2600</v>
      </c>
      <c r="Q1022" s="23">
        <v>0</v>
      </c>
      <c r="R1022" s="23">
        <v>-500</v>
      </c>
      <c r="S1022" s="23">
        <v>0</v>
      </c>
      <c r="T1022" s="23">
        <v>0</v>
      </c>
      <c r="U1022" s="23">
        <v>0</v>
      </c>
      <c r="V1022" s="23">
        <v>0</v>
      </c>
      <c r="W1022" s="23">
        <f t="shared" si="106"/>
        <v>-2294.9699999999993</v>
      </c>
      <c r="X1022" s="23">
        <f t="shared" si="107"/>
        <v>0</v>
      </c>
      <c r="Y1022" s="23">
        <f>IF(W1022&lt;=0,W1022,0)</f>
        <v>-2294.9699999999993</v>
      </c>
      <c r="Z1022" s="23">
        <f>700+700+700+700+700+700</f>
        <v>4200</v>
      </c>
      <c r="AA1022" s="23">
        <f t="shared" si="109"/>
        <v>1905.0300000000007</v>
      </c>
      <c r="AB1022" s="23">
        <f t="shared" si="110"/>
        <v>6910.0600000000013</v>
      </c>
      <c r="AC1022" s="20" t="s">
        <v>485</v>
      </c>
      <c r="AD1022" s="20" t="str">
        <f>VLOOKUP($C1022,'[1]CTRL AUTOS'!$E:$AH,2,0)</f>
        <v>N15BKD</v>
      </c>
      <c r="AE1022" s="11" t="str">
        <f t="shared" si="111"/>
        <v>N15BKD45</v>
      </c>
    </row>
    <row r="1023" spans="1:31" ht="12.75" hidden="1" customHeight="1" x14ac:dyDescent="0.3">
      <c r="A1023" s="8">
        <v>45</v>
      </c>
      <c r="B1023" s="20" t="s">
        <v>5</v>
      </c>
      <c r="C1023" s="41" t="s">
        <v>42</v>
      </c>
      <c r="D1023" s="20" t="s">
        <v>274</v>
      </c>
      <c r="E1023" s="20" t="s">
        <v>232</v>
      </c>
      <c r="F1023" s="20" t="s">
        <v>232</v>
      </c>
      <c r="G1023" s="20" t="s">
        <v>234</v>
      </c>
      <c r="H1023" s="23">
        <v>678.46</v>
      </c>
      <c r="I1023" s="23">
        <v>0</v>
      </c>
      <c r="J1023" s="23">
        <v>0</v>
      </c>
      <c r="K1023" s="23">
        <v>0</v>
      </c>
      <c r="L1023" s="23">
        <v>0</v>
      </c>
      <c r="M1023" s="23">
        <v>-45</v>
      </c>
      <c r="N1023" s="23">
        <v>0</v>
      </c>
      <c r="O1023" s="24">
        <f t="shared" si="105"/>
        <v>633.46</v>
      </c>
      <c r="P1023" s="23">
        <f>-1785.71-357</f>
        <v>-2142.71</v>
      </c>
      <c r="Q1023" s="23">
        <v>-10</v>
      </c>
      <c r="R1023" s="23">
        <v>0</v>
      </c>
      <c r="S1023" s="23">
        <v>0</v>
      </c>
      <c r="T1023" s="23">
        <v>-500</v>
      </c>
      <c r="U1023" s="23">
        <v>220</v>
      </c>
      <c r="V1023" s="23">
        <v>0</v>
      </c>
      <c r="W1023" s="23">
        <f t="shared" si="106"/>
        <v>-1799.25</v>
      </c>
      <c r="X1023" s="23">
        <f t="shared" si="107"/>
        <v>0</v>
      </c>
      <c r="Y1023" s="23">
        <f t="shared" si="108"/>
        <v>-1799.25</v>
      </c>
      <c r="Z1023" s="23">
        <v>1799</v>
      </c>
      <c r="AA1023" s="23">
        <f t="shared" si="109"/>
        <v>-0.25</v>
      </c>
      <c r="AB1023" s="23">
        <f t="shared" si="110"/>
        <v>2432.21</v>
      </c>
      <c r="AC1023" s="20"/>
      <c r="AD1023" s="20" t="str">
        <f>VLOOKUP($C1023,'[1]CTRL AUTOS'!$E:$AH,2,0)</f>
        <v>MMA672C</v>
      </c>
      <c r="AE1023" s="11" t="str">
        <f t="shared" si="111"/>
        <v>MMA672C45</v>
      </c>
    </row>
    <row r="1024" spans="1:31" ht="12.75" hidden="1" customHeight="1" x14ac:dyDescent="0.3">
      <c r="A1024" s="8">
        <v>45</v>
      </c>
      <c r="B1024" s="20" t="s">
        <v>98</v>
      </c>
      <c r="C1024" s="20" t="s">
        <v>168</v>
      </c>
      <c r="D1024" s="20" t="s">
        <v>265</v>
      </c>
      <c r="E1024" s="20" t="s">
        <v>232</v>
      </c>
      <c r="F1024" s="20" t="s">
        <v>232</v>
      </c>
      <c r="G1024" s="20" t="s">
        <v>234</v>
      </c>
      <c r="H1024" s="23">
        <v>0</v>
      </c>
      <c r="I1024" s="23">
        <v>0</v>
      </c>
      <c r="J1024" s="23">
        <v>0</v>
      </c>
      <c r="K1024" s="23">
        <v>0</v>
      </c>
      <c r="L1024" s="23">
        <v>0</v>
      </c>
      <c r="M1024" s="23">
        <v>0</v>
      </c>
      <c r="N1024" s="23">
        <v>0</v>
      </c>
      <c r="O1024" s="24">
        <f t="shared" si="105"/>
        <v>0</v>
      </c>
      <c r="P1024" s="23">
        <v>-2500</v>
      </c>
      <c r="Q1024" s="23">
        <v>0</v>
      </c>
      <c r="R1024" s="23">
        <v>0</v>
      </c>
      <c r="S1024" s="23">
        <v>0</v>
      </c>
      <c r="T1024" s="23">
        <v>0</v>
      </c>
      <c r="U1024" s="23">
        <v>0</v>
      </c>
      <c r="V1024" s="23">
        <v>0</v>
      </c>
      <c r="W1024" s="23">
        <f t="shared" si="106"/>
        <v>-2500</v>
      </c>
      <c r="X1024" s="23">
        <f t="shared" si="107"/>
        <v>0</v>
      </c>
      <c r="Y1024" s="23">
        <f t="shared" si="108"/>
        <v>-2500</v>
      </c>
      <c r="Z1024" s="23">
        <v>1400</v>
      </c>
      <c r="AA1024" s="23">
        <f t="shared" si="109"/>
        <v>-1100</v>
      </c>
      <c r="AB1024" s="23">
        <f t="shared" si="110"/>
        <v>300</v>
      </c>
      <c r="AC1024" s="20" t="s">
        <v>486</v>
      </c>
      <c r="AD1024" s="20" t="e">
        <f>VLOOKUP($C1024,'[1]CTRL AUTOS'!$E:$AH,2,0)</f>
        <v>#N/A</v>
      </c>
      <c r="AE1024" s="11" t="e">
        <f t="shared" si="111"/>
        <v>#N/A</v>
      </c>
    </row>
    <row r="1025" spans="1:31" ht="12.75" hidden="1" customHeight="1" x14ac:dyDescent="0.3">
      <c r="A1025" s="8">
        <v>45</v>
      </c>
      <c r="B1025" s="20" t="s">
        <v>80</v>
      </c>
      <c r="C1025" s="20" t="s">
        <v>81</v>
      </c>
      <c r="D1025" s="20" t="s">
        <v>317</v>
      </c>
      <c r="E1025" s="20" t="s">
        <v>232</v>
      </c>
      <c r="F1025" s="20" t="s">
        <v>232</v>
      </c>
      <c r="G1025" s="20" t="s">
        <v>234</v>
      </c>
      <c r="H1025" s="23">
        <v>0</v>
      </c>
      <c r="I1025" s="23">
        <v>0</v>
      </c>
      <c r="J1025" s="23">
        <v>0</v>
      </c>
      <c r="K1025" s="23">
        <v>0</v>
      </c>
      <c r="L1025" s="23">
        <v>0</v>
      </c>
      <c r="M1025" s="23">
        <v>0</v>
      </c>
      <c r="N1025" s="23">
        <v>0</v>
      </c>
      <c r="O1025" s="24">
        <f t="shared" si="105"/>
        <v>0</v>
      </c>
      <c r="P1025" s="23">
        <v>-2500</v>
      </c>
      <c r="Q1025" s="23">
        <v>0</v>
      </c>
      <c r="R1025" s="23">
        <v>0</v>
      </c>
      <c r="S1025" s="23">
        <v>0</v>
      </c>
      <c r="T1025" s="23">
        <v>0</v>
      </c>
      <c r="U1025" s="23">
        <v>0</v>
      </c>
      <c r="V1025" s="23">
        <v>0</v>
      </c>
      <c r="W1025" s="23">
        <f t="shared" si="106"/>
        <v>-2500</v>
      </c>
      <c r="X1025" s="23">
        <f t="shared" si="107"/>
        <v>0</v>
      </c>
      <c r="Y1025" s="23">
        <f t="shared" si="108"/>
        <v>-2500</v>
      </c>
      <c r="Z1025" s="23">
        <v>2500</v>
      </c>
      <c r="AA1025" s="23">
        <f t="shared" si="109"/>
        <v>0</v>
      </c>
      <c r="AB1025" s="23">
        <f t="shared" si="110"/>
        <v>2500</v>
      </c>
      <c r="AC1025" s="20" t="s">
        <v>397</v>
      </c>
      <c r="AD1025" s="20" t="str">
        <f>VLOOKUP($C1025,'[1]CTRL AUTOS'!$E:$AH,2,0)</f>
        <v>NLP172B</v>
      </c>
      <c r="AE1025" s="11" t="str">
        <f t="shared" si="111"/>
        <v>NLP172B45</v>
      </c>
    </row>
    <row r="1026" spans="1:31" ht="12.75" hidden="1" customHeight="1" x14ac:dyDescent="0.3">
      <c r="A1026" s="8">
        <v>45</v>
      </c>
      <c r="B1026" s="20" t="s">
        <v>288</v>
      </c>
      <c r="C1026" s="20" t="s">
        <v>22</v>
      </c>
      <c r="D1026" s="20" t="s">
        <v>237</v>
      </c>
      <c r="E1026" s="20" t="s">
        <v>232</v>
      </c>
      <c r="F1026" s="20" t="s">
        <v>232</v>
      </c>
      <c r="G1026" s="20" t="s">
        <v>234</v>
      </c>
      <c r="H1026" s="23">
        <v>0</v>
      </c>
      <c r="I1026" s="23">
        <v>0</v>
      </c>
      <c r="J1026" s="23">
        <v>0</v>
      </c>
      <c r="K1026" s="23">
        <v>0</v>
      </c>
      <c r="L1026" s="23">
        <v>0</v>
      </c>
      <c r="M1026" s="23">
        <v>0</v>
      </c>
      <c r="N1026" s="23">
        <v>0</v>
      </c>
      <c r="O1026" s="24">
        <f t="shared" si="105"/>
        <v>0</v>
      </c>
      <c r="P1026" s="23">
        <v>0</v>
      </c>
      <c r="Q1026" s="23">
        <v>0</v>
      </c>
      <c r="R1026" s="23">
        <v>500</v>
      </c>
      <c r="S1026" s="23">
        <v>0</v>
      </c>
      <c r="T1026" s="23">
        <v>0</v>
      </c>
      <c r="U1026" s="23">
        <v>0</v>
      </c>
      <c r="V1026" s="23">
        <v>0</v>
      </c>
      <c r="W1026" s="23">
        <f t="shared" si="106"/>
        <v>500</v>
      </c>
      <c r="X1026" s="45">
        <f t="shared" si="107"/>
        <v>500</v>
      </c>
      <c r="Y1026" s="23">
        <f t="shared" si="108"/>
        <v>0</v>
      </c>
      <c r="Z1026" s="23">
        <v>0</v>
      </c>
      <c r="AA1026" s="23">
        <f t="shared" si="109"/>
        <v>0</v>
      </c>
      <c r="AB1026" s="23">
        <f t="shared" si="110"/>
        <v>-500</v>
      </c>
      <c r="AC1026" s="20" t="s">
        <v>482</v>
      </c>
      <c r="AD1026" s="20" t="str">
        <f>VLOOKUP($C1026,'[1]CTRL AUTOS'!$E:$AH,2,0)</f>
        <v>NCK475B</v>
      </c>
      <c r="AE1026" s="11" t="str">
        <f t="shared" si="111"/>
        <v>NCK475B45</v>
      </c>
    </row>
    <row r="1027" spans="1:31" ht="12.75" hidden="1" customHeight="1" x14ac:dyDescent="0.3">
      <c r="A1027" s="8">
        <v>45</v>
      </c>
      <c r="B1027" s="20" t="s">
        <v>23</v>
      </c>
      <c r="C1027" s="20" t="s">
        <v>97</v>
      </c>
      <c r="D1027" s="20" t="s">
        <v>273</v>
      </c>
      <c r="E1027" s="20" t="s">
        <v>232</v>
      </c>
      <c r="F1027" s="20" t="s">
        <v>232</v>
      </c>
      <c r="G1027" s="20" t="s">
        <v>234</v>
      </c>
      <c r="H1027" s="23">
        <v>3708.14</v>
      </c>
      <c r="I1027" s="23">
        <v>0</v>
      </c>
      <c r="J1027" s="23">
        <v>36.08</v>
      </c>
      <c r="K1027" s="23">
        <v>0</v>
      </c>
      <c r="L1027" s="23">
        <v>-4434.21</v>
      </c>
      <c r="M1027" s="23">
        <v>-65</v>
      </c>
      <c r="N1027" s="23">
        <v>-11</v>
      </c>
      <c r="O1027" s="24">
        <f t="shared" ref="O1027:O1042" si="112">SUM(H1027:N1027)</f>
        <v>-765.99000000000024</v>
      </c>
      <c r="P1027" s="23">
        <v>-2500</v>
      </c>
      <c r="Q1027" s="23">
        <v>-139</v>
      </c>
      <c r="R1027" s="23">
        <v>0</v>
      </c>
      <c r="S1027" s="23">
        <v>0</v>
      </c>
      <c r="T1027" s="23">
        <v>-500</v>
      </c>
      <c r="U1027" s="23">
        <v>0</v>
      </c>
      <c r="V1027" s="23">
        <v>0</v>
      </c>
      <c r="W1027" s="23">
        <f t="shared" ref="W1027:W1042" si="113">+O1027+SUM(P1027:V1027)</f>
        <v>-3904.9900000000002</v>
      </c>
      <c r="X1027" s="23">
        <f t="shared" ref="X1027:X1042" si="114">IF(W1027&gt;=0,W1027,0)</f>
        <v>0</v>
      </c>
      <c r="Y1027" s="23">
        <f t="shared" ref="Y1027:Y1042" si="115">IF(W1027&lt;=0,W1027,0)</f>
        <v>-3904.9900000000002</v>
      </c>
      <c r="Z1027" s="23">
        <f>3100+805</f>
        <v>3905</v>
      </c>
      <c r="AA1027" s="23">
        <f t="shared" ref="AA1027:AA1090" si="116">+Y1027+Z1027</f>
        <v>9.9999999997635314E-3</v>
      </c>
      <c r="AB1027" s="23">
        <f t="shared" ref="AB1027:AB1090" si="117">+O1027-X1027+Z1027+AA1027</f>
        <v>3139.0199999999995</v>
      </c>
      <c r="AC1027" s="20" t="s">
        <v>397</v>
      </c>
      <c r="AD1027" s="20" t="str">
        <f>VLOOKUP($C1027,'[1]CTRL AUTOS'!$E:$AH,2,0)</f>
        <v>MUF515A</v>
      </c>
      <c r="AE1027" s="11" t="str">
        <f t="shared" si="111"/>
        <v>MUF515A45</v>
      </c>
    </row>
    <row r="1028" spans="1:31" ht="12.75" hidden="1" customHeight="1" x14ac:dyDescent="0.3">
      <c r="A1028" s="8">
        <v>45</v>
      </c>
      <c r="B1028" s="20" t="s">
        <v>292</v>
      </c>
      <c r="C1028" s="20" t="s">
        <v>52</v>
      </c>
      <c r="D1028" s="22" t="s">
        <v>313</v>
      </c>
      <c r="E1028" s="20" t="s">
        <v>232</v>
      </c>
      <c r="F1028" s="20" t="s">
        <v>232</v>
      </c>
      <c r="G1028" s="20" t="s">
        <v>234</v>
      </c>
      <c r="H1028" s="23">
        <v>0</v>
      </c>
      <c r="I1028" s="23">
        <v>0</v>
      </c>
      <c r="J1028" s="23">
        <v>0</v>
      </c>
      <c r="K1028" s="23">
        <v>0</v>
      </c>
      <c r="L1028" s="23">
        <v>0</v>
      </c>
      <c r="M1028" s="23">
        <v>0</v>
      </c>
      <c r="N1028" s="23">
        <v>0</v>
      </c>
      <c r="O1028" s="24">
        <f t="shared" si="112"/>
        <v>0</v>
      </c>
      <c r="P1028" s="23">
        <v>0</v>
      </c>
      <c r="Q1028" s="23">
        <v>0</v>
      </c>
      <c r="R1028" s="23">
        <v>500</v>
      </c>
      <c r="S1028" s="23">
        <v>0</v>
      </c>
      <c r="T1028" s="23">
        <v>0</v>
      </c>
      <c r="U1028" s="23">
        <v>0</v>
      </c>
      <c r="V1028" s="23">
        <v>0</v>
      </c>
      <c r="W1028" s="23">
        <f t="shared" si="113"/>
        <v>500</v>
      </c>
      <c r="X1028" s="45">
        <f t="shared" si="114"/>
        <v>500</v>
      </c>
      <c r="Y1028" s="23">
        <f t="shared" si="115"/>
        <v>0</v>
      </c>
      <c r="Z1028" s="23">
        <v>0</v>
      </c>
      <c r="AA1028" s="23">
        <f t="shared" si="116"/>
        <v>0</v>
      </c>
      <c r="AB1028" s="23">
        <f t="shared" si="117"/>
        <v>-500</v>
      </c>
      <c r="AC1028" s="20" t="s">
        <v>482</v>
      </c>
      <c r="AD1028" s="20" t="str">
        <f>VLOOKUP($C1028,'[1]CTRL AUTOS'!$E:$AH,2,0)</f>
        <v>A35BHD</v>
      </c>
      <c r="AE1028" s="11" t="str">
        <f t="shared" ref="AE1028:AE1091" si="118">AD1028&amp;A1028</f>
        <v>A35BHD45</v>
      </c>
    </row>
    <row r="1029" spans="1:31" ht="12.75" hidden="1" customHeight="1" x14ac:dyDescent="0.3">
      <c r="A1029" s="8">
        <v>45</v>
      </c>
      <c r="B1029" s="20" t="s">
        <v>13</v>
      </c>
      <c r="C1029" s="20" t="s">
        <v>30</v>
      </c>
      <c r="D1029" s="20" t="s">
        <v>237</v>
      </c>
      <c r="E1029" s="20" t="s">
        <v>232</v>
      </c>
      <c r="F1029" s="20" t="s">
        <v>291</v>
      </c>
      <c r="G1029" s="20" t="s">
        <v>234</v>
      </c>
      <c r="H1029" s="23">
        <v>6931.23</v>
      </c>
      <c r="I1029" s="23">
        <v>-109.14</v>
      </c>
      <c r="J1029" s="23">
        <v>0</v>
      </c>
      <c r="K1029" s="23">
        <v>0</v>
      </c>
      <c r="L1029" s="23">
        <v>0</v>
      </c>
      <c r="M1029" s="23">
        <v>-35</v>
      </c>
      <c r="N1029" s="23">
        <v>0</v>
      </c>
      <c r="O1029" s="24">
        <f t="shared" si="112"/>
        <v>6787.0899999999992</v>
      </c>
      <c r="P1029" s="23">
        <v>-2500</v>
      </c>
      <c r="Q1029" s="23">
        <v>0</v>
      </c>
      <c r="R1029" s="23">
        <v>0</v>
      </c>
      <c r="S1029" s="23">
        <v>0</v>
      </c>
      <c r="T1029" s="23">
        <v>0</v>
      </c>
      <c r="U1029" s="23">
        <v>0</v>
      </c>
      <c r="V1029" s="23">
        <v>0</v>
      </c>
      <c r="W1029" s="23">
        <f t="shared" si="113"/>
        <v>4287.0899999999992</v>
      </c>
      <c r="X1029" s="45">
        <f t="shared" si="114"/>
        <v>4287.0899999999992</v>
      </c>
      <c r="Y1029" s="23">
        <f t="shared" si="115"/>
        <v>0</v>
      </c>
      <c r="Z1029" s="23">
        <v>0</v>
      </c>
      <c r="AA1029" s="23">
        <f t="shared" si="116"/>
        <v>0</v>
      </c>
      <c r="AB1029" s="23">
        <f t="shared" si="117"/>
        <v>2500</v>
      </c>
      <c r="AC1029" s="20" t="s">
        <v>405</v>
      </c>
      <c r="AD1029" s="20" t="str">
        <f>VLOOKUP($C1029,'[1]CTRL AUTOS'!$E:$AH,2,0)</f>
        <v>D51BHV</v>
      </c>
      <c r="AE1029" s="11" t="str">
        <f t="shared" si="118"/>
        <v>D51BHV45</v>
      </c>
    </row>
    <row r="1030" spans="1:31" ht="12.75" hidden="1" customHeight="1" x14ac:dyDescent="0.3">
      <c r="A1030" s="8">
        <v>45</v>
      </c>
      <c r="B1030" s="20" t="s">
        <v>11</v>
      </c>
      <c r="C1030" s="20" t="s">
        <v>86</v>
      </c>
      <c r="D1030" s="20" t="s">
        <v>237</v>
      </c>
      <c r="E1030" s="20" t="s">
        <v>232</v>
      </c>
      <c r="F1030" s="20" t="s">
        <v>291</v>
      </c>
      <c r="G1030" s="20" t="s">
        <v>234</v>
      </c>
      <c r="H1030" s="23">
        <v>7812.87</v>
      </c>
      <c r="I1030" s="23">
        <v>0</v>
      </c>
      <c r="J1030" s="23">
        <v>0</v>
      </c>
      <c r="K1030" s="23">
        <v>0</v>
      </c>
      <c r="L1030" s="23">
        <v>-3253.57</v>
      </c>
      <c r="M1030" s="23">
        <f>-65-31</f>
        <v>-96</v>
      </c>
      <c r="N1030" s="23">
        <v>0</v>
      </c>
      <c r="O1030" s="24">
        <f t="shared" si="112"/>
        <v>4463.2999999999993</v>
      </c>
      <c r="P1030" s="23">
        <v>-2500</v>
      </c>
      <c r="Q1030" s="23">
        <v>0</v>
      </c>
      <c r="R1030" s="23">
        <v>0</v>
      </c>
      <c r="S1030" s="23">
        <v>0</v>
      </c>
      <c r="T1030" s="23">
        <v>0</v>
      </c>
      <c r="U1030" s="23">
        <v>0</v>
      </c>
      <c r="V1030" s="23">
        <v>0</v>
      </c>
      <c r="W1030" s="23">
        <f t="shared" si="113"/>
        <v>1963.2999999999993</v>
      </c>
      <c r="X1030" s="45">
        <f t="shared" si="114"/>
        <v>1963.2999999999993</v>
      </c>
      <c r="Y1030" s="23">
        <f t="shared" si="115"/>
        <v>0</v>
      </c>
      <c r="Z1030" s="23">
        <v>0</v>
      </c>
      <c r="AA1030" s="23">
        <f t="shared" si="116"/>
        <v>0</v>
      </c>
      <c r="AB1030" s="23">
        <f t="shared" si="117"/>
        <v>2500</v>
      </c>
      <c r="AC1030" s="20" t="s">
        <v>405</v>
      </c>
      <c r="AD1030" s="20" t="str">
        <f>VLOOKUP($C1030,'[1]CTRL AUTOS'!$E:$AH,2,0)</f>
        <v>R22BMR</v>
      </c>
      <c r="AE1030" s="11" t="str">
        <f t="shared" si="118"/>
        <v>R22BMR45</v>
      </c>
    </row>
    <row r="1031" spans="1:31" ht="12.75" hidden="1" customHeight="1" x14ac:dyDescent="0.3">
      <c r="A1031" s="8">
        <v>45</v>
      </c>
      <c r="B1031" s="20" t="s">
        <v>35</v>
      </c>
      <c r="C1031" s="20" t="s">
        <v>36</v>
      </c>
      <c r="D1031" s="20" t="s">
        <v>273</v>
      </c>
      <c r="E1031" s="20" t="s">
        <v>232</v>
      </c>
      <c r="F1031" s="20" t="s">
        <v>291</v>
      </c>
      <c r="G1031" s="20" t="s">
        <v>234</v>
      </c>
      <c r="H1031" s="23">
        <v>7959.75</v>
      </c>
      <c r="I1031" s="23">
        <v>-150.4</v>
      </c>
      <c r="J1031" s="23">
        <v>0</v>
      </c>
      <c r="K1031" s="23">
        <v>0</v>
      </c>
      <c r="L1031" s="23">
        <v>-3932.17</v>
      </c>
      <c r="M1031" s="23">
        <f>-65-37</f>
        <v>-102</v>
      </c>
      <c r="N1031" s="23">
        <v>0</v>
      </c>
      <c r="O1031" s="24">
        <f t="shared" si="112"/>
        <v>3775.1800000000003</v>
      </c>
      <c r="P1031" s="23">
        <v>-2500</v>
      </c>
      <c r="Q1031" s="23">
        <v>0</v>
      </c>
      <c r="R1031" s="23">
        <v>0</v>
      </c>
      <c r="S1031" s="23">
        <v>0</v>
      </c>
      <c r="T1031" s="23">
        <v>0</v>
      </c>
      <c r="U1031" s="23">
        <v>-500</v>
      </c>
      <c r="V1031" s="23">
        <v>0</v>
      </c>
      <c r="W1031" s="23">
        <f t="shared" si="113"/>
        <v>775.18000000000029</v>
      </c>
      <c r="X1031" s="23">
        <f t="shared" si="114"/>
        <v>775.18000000000029</v>
      </c>
      <c r="Y1031" s="23">
        <f t="shared" si="115"/>
        <v>0</v>
      </c>
      <c r="Z1031" s="23">
        <v>0</v>
      </c>
      <c r="AA1031" s="23">
        <f t="shared" si="116"/>
        <v>0</v>
      </c>
      <c r="AB1031" s="23">
        <f t="shared" si="117"/>
        <v>3000</v>
      </c>
      <c r="AC1031" s="20"/>
      <c r="AD1031" s="20" t="str">
        <f>VLOOKUP($C1031,'[1]CTRL AUTOS'!$E:$AH,2,0)</f>
        <v>MLC126A</v>
      </c>
      <c r="AE1031" s="11" t="str">
        <f t="shared" si="118"/>
        <v>MLC126A45</v>
      </c>
    </row>
    <row r="1032" spans="1:31" ht="12.75" hidden="1" customHeight="1" x14ac:dyDescent="0.3">
      <c r="A1032" s="8">
        <v>45</v>
      </c>
      <c r="B1032" s="20" t="s">
        <v>25</v>
      </c>
      <c r="C1032" s="20" t="s">
        <v>67</v>
      </c>
      <c r="D1032" s="20" t="s">
        <v>343</v>
      </c>
      <c r="E1032" s="20" t="s">
        <v>232</v>
      </c>
      <c r="F1032" s="20" t="s">
        <v>291</v>
      </c>
      <c r="G1032" s="20" t="s">
        <v>234</v>
      </c>
      <c r="H1032" s="23">
        <v>4365.1899999999996</v>
      </c>
      <c r="I1032" s="23">
        <v>0</v>
      </c>
      <c r="J1032" s="23">
        <v>0</v>
      </c>
      <c r="K1032" s="23">
        <v>0</v>
      </c>
      <c r="L1032" s="23">
        <v>-1246.53</v>
      </c>
      <c r="M1032" s="23">
        <f>-35-12</f>
        <v>-47</v>
      </c>
      <c r="N1032" s="23">
        <v>0</v>
      </c>
      <c r="O1032" s="24">
        <f t="shared" si="112"/>
        <v>3071.66</v>
      </c>
      <c r="P1032" s="23">
        <v>-2500</v>
      </c>
      <c r="Q1032" s="23">
        <v>-470.4</v>
      </c>
      <c r="R1032" s="23">
        <v>0</v>
      </c>
      <c r="S1032" s="23">
        <v>0</v>
      </c>
      <c r="T1032" s="23">
        <v>0</v>
      </c>
      <c r="U1032" s="23">
        <v>0</v>
      </c>
      <c r="V1032" s="23">
        <v>0</v>
      </c>
      <c r="W1032" s="23">
        <f t="shared" si="113"/>
        <v>101.25999999999976</v>
      </c>
      <c r="X1032" s="45">
        <f t="shared" si="114"/>
        <v>101.25999999999976</v>
      </c>
      <c r="Y1032" s="23">
        <f t="shared" si="115"/>
        <v>0</v>
      </c>
      <c r="Z1032" s="23">
        <v>0</v>
      </c>
      <c r="AA1032" s="23">
        <f t="shared" si="116"/>
        <v>0</v>
      </c>
      <c r="AB1032" s="23">
        <f t="shared" si="117"/>
        <v>2970.4</v>
      </c>
      <c r="AC1032" s="20" t="s">
        <v>405</v>
      </c>
      <c r="AD1032" s="20" t="str">
        <f>VLOOKUP($C1032,'[1]CTRL AUTOS'!$E:$AH,2,0)</f>
        <v>MFP751C</v>
      </c>
      <c r="AE1032" s="11" t="str">
        <f t="shared" si="118"/>
        <v>MFP751C45</v>
      </c>
    </row>
    <row r="1033" spans="1:31" ht="12.75" hidden="1" customHeight="1" x14ac:dyDescent="0.3">
      <c r="A1033" s="8">
        <v>45</v>
      </c>
      <c r="B1033" s="20" t="s">
        <v>487</v>
      </c>
      <c r="C1033" s="20" t="s">
        <v>44</v>
      </c>
      <c r="D1033" s="20" t="s">
        <v>467</v>
      </c>
      <c r="E1033" s="22" t="s">
        <v>232</v>
      </c>
      <c r="F1033" s="20" t="s">
        <v>291</v>
      </c>
      <c r="G1033" s="20" t="s">
        <v>234</v>
      </c>
      <c r="H1033" s="23">
        <v>3434.29</v>
      </c>
      <c r="I1033" s="23">
        <v>0</v>
      </c>
      <c r="J1033" s="23">
        <v>0</v>
      </c>
      <c r="K1033" s="23">
        <v>0</v>
      </c>
      <c r="L1033" s="23">
        <v>-1469.98</v>
      </c>
      <c r="M1033" s="23">
        <f>-50-14</f>
        <v>-64</v>
      </c>
      <c r="N1033" s="23">
        <v>0</v>
      </c>
      <c r="O1033" s="24">
        <f t="shared" si="112"/>
        <v>1900.31</v>
      </c>
      <c r="P1033" s="23">
        <f>(-2500/7)*3.5</f>
        <v>-1250</v>
      </c>
      <c r="Q1033" s="23">
        <v>0</v>
      </c>
      <c r="R1033" s="23">
        <v>-249.99</v>
      </c>
      <c r="S1033" s="23">
        <v>0</v>
      </c>
      <c r="T1033" s="23">
        <v>0</v>
      </c>
      <c r="U1033" s="23">
        <v>0</v>
      </c>
      <c r="V1033" s="23">
        <v>0</v>
      </c>
      <c r="W1033" s="23">
        <f t="shared" si="113"/>
        <v>400.31999999999994</v>
      </c>
      <c r="X1033" s="45">
        <f t="shared" si="114"/>
        <v>400.31999999999994</v>
      </c>
      <c r="Y1033" s="23">
        <f t="shared" si="115"/>
        <v>0</v>
      </c>
      <c r="Z1033" s="23">
        <v>0</v>
      </c>
      <c r="AA1033" s="23">
        <f t="shared" si="116"/>
        <v>0</v>
      </c>
      <c r="AB1033" s="23">
        <f t="shared" si="117"/>
        <v>1499.99</v>
      </c>
      <c r="AC1033" s="20" t="s">
        <v>405</v>
      </c>
      <c r="AD1033" s="20" t="str">
        <f>VLOOKUP($C1033,'[1]CTRL AUTOS'!$E:$AH,2,0)</f>
        <v>MAY730C</v>
      </c>
      <c r="AE1033" s="11" t="str">
        <f t="shared" si="118"/>
        <v>MAY730C45</v>
      </c>
    </row>
    <row r="1034" spans="1:31" ht="12.75" hidden="1" customHeight="1" x14ac:dyDescent="0.3">
      <c r="A1034" s="8">
        <v>45</v>
      </c>
      <c r="B1034" s="20" t="s">
        <v>74</v>
      </c>
      <c r="C1034" s="20" t="s">
        <v>77</v>
      </c>
      <c r="D1034" s="20" t="s">
        <v>474</v>
      </c>
      <c r="E1034" s="22" t="s">
        <v>232</v>
      </c>
      <c r="F1034" s="20" t="s">
        <v>291</v>
      </c>
      <c r="G1034" s="20" t="s">
        <v>234</v>
      </c>
      <c r="H1034" s="23">
        <v>3377.53</v>
      </c>
      <c r="I1034" s="23">
        <v>0</v>
      </c>
      <c r="J1034" s="23">
        <v>0</v>
      </c>
      <c r="K1034" s="23">
        <v>0</v>
      </c>
      <c r="L1034" s="23">
        <v>-1570.65</v>
      </c>
      <c r="M1034" s="23">
        <f>-50-15</f>
        <v>-65</v>
      </c>
      <c r="N1034" s="23">
        <v>0</v>
      </c>
      <c r="O1034" s="24">
        <f t="shared" si="112"/>
        <v>1741.88</v>
      </c>
      <c r="P1034" s="23">
        <v>-1785.71</v>
      </c>
      <c r="Q1034" s="23">
        <v>0</v>
      </c>
      <c r="R1034" s="23">
        <v>0</v>
      </c>
      <c r="S1034" s="23">
        <v>0</v>
      </c>
      <c r="T1034" s="23">
        <v>0</v>
      </c>
      <c r="U1034" s="23">
        <v>0</v>
      </c>
      <c r="V1034" s="23">
        <v>0</v>
      </c>
      <c r="W1034" s="23">
        <f t="shared" si="113"/>
        <v>-43.829999999999927</v>
      </c>
      <c r="X1034" s="23">
        <f t="shared" si="114"/>
        <v>0</v>
      </c>
      <c r="Y1034" s="23">
        <f t="shared" si="115"/>
        <v>-43.829999999999927</v>
      </c>
      <c r="Z1034" s="23">
        <v>44</v>
      </c>
      <c r="AA1034" s="23">
        <f t="shared" si="116"/>
        <v>0.17000000000007276</v>
      </c>
      <c r="AB1034" s="23">
        <f t="shared" si="117"/>
        <v>1786.0500000000002</v>
      </c>
      <c r="AC1034" s="20" t="s">
        <v>409</v>
      </c>
      <c r="AD1034" s="20" t="str">
        <f>VLOOKUP($C1034,'[1]CTRL AUTOS'!$E:$AH,2,0)</f>
        <v>MEE228C</v>
      </c>
      <c r="AE1034" s="11" t="str">
        <f t="shared" si="118"/>
        <v>MEE228C45</v>
      </c>
    </row>
    <row r="1035" spans="1:31" ht="12.75" hidden="1" customHeight="1" x14ac:dyDescent="0.3">
      <c r="A1035" s="8">
        <v>45</v>
      </c>
      <c r="B1035" s="20" t="s">
        <v>444</v>
      </c>
      <c r="C1035" s="20" t="s">
        <v>44</v>
      </c>
      <c r="D1035" s="20" t="s">
        <v>467</v>
      </c>
      <c r="E1035" s="22" t="s">
        <v>232</v>
      </c>
      <c r="F1035" s="20" t="s">
        <v>291</v>
      </c>
      <c r="G1035" s="20" t="s">
        <v>234</v>
      </c>
      <c r="H1035" s="23">
        <v>0</v>
      </c>
      <c r="I1035" s="23">
        <v>0</v>
      </c>
      <c r="J1035" s="23">
        <v>0</v>
      </c>
      <c r="K1035" s="23">
        <v>0</v>
      </c>
      <c r="L1035" s="23">
        <v>0</v>
      </c>
      <c r="M1035" s="23">
        <v>0</v>
      </c>
      <c r="N1035" s="23">
        <v>0</v>
      </c>
      <c r="O1035" s="24">
        <f t="shared" si="112"/>
        <v>0</v>
      </c>
      <c r="P1035" s="23">
        <v>-1071.42</v>
      </c>
      <c r="Q1035" s="23">
        <v>0</v>
      </c>
      <c r="R1035" s="23">
        <v>1071</v>
      </c>
      <c r="S1035" s="23">
        <v>0</v>
      </c>
      <c r="T1035" s="23">
        <v>0</v>
      </c>
      <c r="U1035" s="23">
        <v>0</v>
      </c>
      <c r="V1035" s="23">
        <v>0</v>
      </c>
      <c r="W1035" s="23">
        <f t="shared" si="113"/>
        <v>-0.42000000000007276</v>
      </c>
      <c r="X1035" s="23">
        <f t="shared" si="114"/>
        <v>0</v>
      </c>
      <c r="Y1035" s="23">
        <f t="shared" si="115"/>
        <v>-0.42000000000007276</v>
      </c>
      <c r="Z1035" s="23">
        <v>0</v>
      </c>
      <c r="AA1035" s="23">
        <f t="shared" si="116"/>
        <v>-0.42000000000007276</v>
      </c>
      <c r="AB1035" s="23">
        <f t="shared" si="117"/>
        <v>-0.42000000000007276</v>
      </c>
      <c r="AC1035" s="20" t="s">
        <v>488</v>
      </c>
      <c r="AD1035" s="20" t="str">
        <f>VLOOKUP($C1035,'[1]CTRL AUTOS'!$E:$AH,2,0)</f>
        <v>MAY730C</v>
      </c>
      <c r="AE1035" s="11" t="str">
        <f t="shared" si="118"/>
        <v>MAY730C45</v>
      </c>
    </row>
    <row r="1036" spans="1:31" ht="12.75" hidden="1" customHeight="1" x14ac:dyDescent="0.3">
      <c r="A1036" s="8">
        <v>45</v>
      </c>
      <c r="B1036" s="20" t="s">
        <v>111</v>
      </c>
      <c r="C1036" s="20" t="s">
        <v>63</v>
      </c>
      <c r="D1036" s="20" t="s">
        <v>374</v>
      </c>
      <c r="E1036" s="20" t="s">
        <v>291</v>
      </c>
      <c r="F1036" s="20" t="s">
        <v>291</v>
      </c>
      <c r="G1036" s="20" t="s">
        <v>234</v>
      </c>
      <c r="H1036" s="23">
        <v>4687.47</v>
      </c>
      <c r="I1036" s="23">
        <v>-2.94</v>
      </c>
      <c r="J1036" s="23">
        <v>0</v>
      </c>
      <c r="K1036" s="23">
        <v>0</v>
      </c>
      <c r="L1036" s="23">
        <v>-968.77</v>
      </c>
      <c r="M1036" s="23">
        <f>-35-9</f>
        <v>-44</v>
      </c>
      <c r="N1036" s="23">
        <v>0</v>
      </c>
      <c r="O1036" s="24">
        <f t="shared" si="112"/>
        <v>3671.7600000000007</v>
      </c>
      <c r="P1036" s="23">
        <v>-2500</v>
      </c>
      <c r="Q1036" s="23">
        <v>0</v>
      </c>
      <c r="R1036" s="23">
        <v>0</v>
      </c>
      <c r="S1036" s="23">
        <v>0</v>
      </c>
      <c r="T1036" s="23">
        <v>0</v>
      </c>
      <c r="U1036" s="23">
        <v>420</v>
      </c>
      <c r="V1036" s="23">
        <v>0</v>
      </c>
      <c r="W1036" s="23">
        <f t="shared" si="113"/>
        <v>1591.7600000000007</v>
      </c>
      <c r="X1036" s="45">
        <f t="shared" si="114"/>
        <v>1591.7600000000007</v>
      </c>
      <c r="Y1036" s="23">
        <f t="shared" si="115"/>
        <v>0</v>
      </c>
      <c r="Z1036" s="23">
        <v>0</v>
      </c>
      <c r="AA1036" s="23">
        <f t="shared" si="116"/>
        <v>0</v>
      </c>
      <c r="AB1036" s="23">
        <f t="shared" si="117"/>
        <v>2080</v>
      </c>
      <c r="AC1036" s="20" t="s">
        <v>405</v>
      </c>
      <c r="AD1036" s="20" t="str">
        <f>VLOOKUP($C1036,'[1]CTRL AUTOS'!$E:$AH,2,0)</f>
        <v>X89ALV</v>
      </c>
      <c r="AE1036" s="11" t="str">
        <f t="shared" si="118"/>
        <v>X89ALV45</v>
      </c>
    </row>
    <row r="1037" spans="1:31" ht="12.75" hidden="1" customHeight="1" x14ac:dyDescent="0.3">
      <c r="A1037" s="8">
        <v>45</v>
      </c>
      <c r="B1037" s="20" t="s">
        <v>78</v>
      </c>
      <c r="C1037" s="44" t="s">
        <v>79</v>
      </c>
      <c r="D1037" s="20" t="s">
        <v>475</v>
      </c>
      <c r="E1037" s="20" t="s">
        <v>291</v>
      </c>
      <c r="F1037" s="20" t="s">
        <v>291</v>
      </c>
      <c r="G1037" s="20" t="s">
        <v>234</v>
      </c>
      <c r="H1037" s="23">
        <v>3825.94</v>
      </c>
      <c r="I1037" s="23">
        <v>-72.8</v>
      </c>
      <c r="J1037" s="23">
        <v>0</v>
      </c>
      <c r="K1037" s="23">
        <v>-31.61</v>
      </c>
      <c r="L1037" s="23">
        <v>-37.49</v>
      </c>
      <c r="M1037" s="23">
        <v>-45</v>
      </c>
      <c r="N1037" s="23">
        <v>0</v>
      </c>
      <c r="O1037" s="24">
        <f t="shared" si="112"/>
        <v>3639.04</v>
      </c>
      <c r="P1037" s="23">
        <v>-2500</v>
      </c>
      <c r="Q1037" s="23">
        <v>-293.44</v>
      </c>
      <c r="R1037" s="23">
        <v>-500</v>
      </c>
      <c r="S1037" s="23">
        <v>0</v>
      </c>
      <c r="T1037" s="23">
        <v>0</v>
      </c>
      <c r="U1037" s="23">
        <v>0</v>
      </c>
      <c r="V1037" s="23">
        <v>0</v>
      </c>
      <c r="W1037" s="23">
        <f t="shared" si="113"/>
        <v>345.59999999999991</v>
      </c>
      <c r="X1037" s="45">
        <f t="shared" si="114"/>
        <v>345.59999999999991</v>
      </c>
      <c r="Y1037" s="23">
        <f t="shared" si="115"/>
        <v>0</v>
      </c>
      <c r="Z1037" s="23">
        <v>0</v>
      </c>
      <c r="AA1037" s="23">
        <f t="shared" si="116"/>
        <v>0</v>
      </c>
      <c r="AB1037" s="23">
        <f t="shared" si="117"/>
        <v>3293.44</v>
      </c>
      <c r="AC1037" s="20" t="s">
        <v>405</v>
      </c>
      <c r="AD1037" s="20" t="str">
        <f>VLOOKUP($C1037,'[1]CTRL AUTOS'!$E:$AH,2,0)</f>
        <v>MAY737C</v>
      </c>
      <c r="AE1037" s="11" t="str">
        <f t="shared" si="118"/>
        <v>MAY737C45</v>
      </c>
    </row>
    <row r="1038" spans="1:31" ht="12.75" hidden="1" customHeight="1" x14ac:dyDescent="0.3">
      <c r="A1038" s="8">
        <v>45</v>
      </c>
      <c r="B1038" s="20" t="s">
        <v>72</v>
      </c>
      <c r="C1038" s="20" t="s">
        <v>73</v>
      </c>
      <c r="D1038" s="20" t="s">
        <v>368</v>
      </c>
      <c r="E1038" s="22" t="s">
        <v>241</v>
      </c>
      <c r="F1038" s="20" t="s">
        <v>291</v>
      </c>
      <c r="G1038" s="20" t="s">
        <v>234</v>
      </c>
      <c r="H1038" s="23">
        <v>8721.35</v>
      </c>
      <c r="I1038" s="23">
        <v>-88.8</v>
      </c>
      <c r="J1038" s="23">
        <v>0</v>
      </c>
      <c r="K1038" s="23">
        <v>-83.75</v>
      </c>
      <c r="L1038" s="23">
        <v>-2873.9</v>
      </c>
      <c r="M1038" s="23">
        <f>-50-27</f>
        <v>-77</v>
      </c>
      <c r="N1038" s="23">
        <v>-35</v>
      </c>
      <c r="O1038" s="24">
        <f t="shared" si="112"/>
        <v>5562.9000000000015</v>
      </c>
      <c r="P1038" s="23">
        <v>-2500</v>
      </c>
      <c r="Q1038" s="23">
        <v>0</v>
      </c>
      <c r="R1038" s="23">
        <v>0</v>
      </c>
      <c r="S1038" s="23">
        <v>0</v>
      </c>
      <c r="T1038" s="23">
        <v>-700</v>
      </c>
      <c r="U1038" s="23">
        <v>0</v>
      </c>
      <c r="V1038" s="23">
        <v>0</v>
      </c>
      <c r="W1038" s="23">
        <f t="shared" si="113"/>
        <v>2362.9000000000015</v>
      </c>
      <c r="X1038" s="45">
        <f t="shared" si="114"/>
        <v>2362.9000000000015</v>
      </c>
      <c r="Y1038" s="23">
        <f t="shared" si="115"/>
        <v>0</v>
      </c>
      <c r="Z1038" s="23">
        <v>0</v>
      </c>
      <c r="AA1038" s="23">
        <f t="shared" si="116"/>
        <v>0</v>
      </c>
      <c r="AB1038" s="23">
        <f t="shared" si="117"/>
        <v>3200</v>
      </c>
      <c r="AC1038" s="20" t="s">
        <v>405</v>
      </c>
      <c r="AD1038" s="20" t="str">
        <f>VLOOKUP($C1038,'[1]CTRL AUTOS'!$E:$AH,2,0)</f>
        <v>H99BLC</v>
      </c>
      <c r="AE1038" s="11" t="str">
        <f t="shared" si="118"/>
        <v>H99BLC45</v>
      </c>
    </row>
    <row r="1039" spans="1:31" ht="12.75" hidden="1" customHeight="1" x14ac:dyDescent="0.3">
      <c r="A1039" s="8">
        <v>45</v>
      </c>
      <c r="B1039" s="20" t="s">
        <v>17</v>
      </c>
      <c r="C1039" s="20" t="s">
        <v>69</v>
      </c>
      <c r="D1039" s="20" t="s">
        <v>370</v>
      </c>
      <c r="E1039" s="22" t="s">
        <v>241</v>
      </c>
      <c r="F1039" s="20" t="s">
        <v>291</v>
      </c>
      <c r="G1039" s="20" t="s">
        <v>234</v>
      </c>
      <c r="H1039" s="23">
        <v>7243.42</v>
      </c>
      <c r="I1039" s="23">
        <v>0</v>
      </c>
      <c r="J1039" s="23">
        <v>0</v>
      </c>
      <c r="K1039" s="23">
        <v>0</v>
      </c>
      <c r="L1039" s="23">
        <v>-3468.67</v>
      </c>
      <c r="M1039" s="23">
        <f>-65-33</f>
        <v>-98</v>
      </c>
      <c r="N1039" s="23">
        <v>0</v>
      </c>
      <c r="O1039" s="24">
        <f t="shared" si="112"/>
        <v>3676.75</v>
      </c>
      <c r="P1039" s="23">
        <v>-2500</v>
      </c>
      <c r="Q1039" s="23">
        <v>0</v>
      </c>
      <c r="R1039" s="23">
        <v>0</v>
      </c>
      <c r="S1039" s="23">
        <v>0</v>
      </c>
      <c r="T1039" s="23">
        <v>0</v>
      </c>
      <c r="U1039" s="23">
        <v>0</v>
      </c>
      <c r="V1039" s="23">
        <v>0</v>
      </c>
      <c r="W1039" s="23">
        <f t="shared" si="113"/>
        <v>1176.75</v>
      </c>
      <c r="X1039" s="45">
        <f t="shared" si="114"/>
        <v>1176.75</v>
      </c>
      <c r="Y1039" s="23">
        <f t="shared" si="115"/>
        <v>0</v>
      </c>
      <c r="Z1039" s="23">
        <v>0</v>
      </c>
      <c r="AA1039" s="23">
        <f t="shared" si="116"/>
        <v>0</v>
      </c>
      <c r="AB1039" s="23">
        <f t="shared" si="117"/>
        <v>2500</v>
      </c>
      <c r="AC1039" s="20" t="s">
        <v>405</v>
      </c>
      <c r="AD1039" s="20" t="str">
        <f>VLOOKUP($C1039,'[1]CTRL AUTOS'!$E:$AH,2,0)</f>
        <v>R51BKD</v>
      </c>
      <c r="AE1039" s="11" t="str">
        <f t="shared" si="118"/>
        <v>R51BKD45</v>
      </c>
    </row>
    <row r="1040" spans="1:31" ht="12.75" hidden="1" customHeight="1" x14ac:dyDescent="0.3">
      <c r="A1040" s="8">
        <v>45</v>
      </c>
      <c r="B1040" s="20" t="s">
        <v>477</v>
      </c>
      <c r="C1040" s="20" t="s">
        <v>56</v>
      </c>
      <c r="D1040" s="20" t="s">
        <v>336</v>
      </c>
      <c r="E1040" s="22" t="s">
        <v>241</v>
      </c>
      <c r="F1040" s="20" t="s">
        <v>291</v>
      </c>
      <c r="G1040" s="20" t="s">
        <v>234</v>
      </c>
      <c r="H1040" s="23">
        <v>5599.69</v>
      </c>
      <c r="I1040" s="23">
        <v>-16</v>
      </c>
      <c r="J1040" s="23">
        <v>0</v>
      </c>
      <c r="K1040" s="23">
        <v>0</v>
      </c>
      <c r="L1040" s="23">
        <v>-1856.85</v>
      </c>
      <c r="M1040" s="23">
        <f>-50-18</f>
        <v>-68</v>
      </c>
      <c r="N1040" s="23">
        <v>0</v>
      </c>
      <c r="O1040" s="24">
        <f t="shared" si="112"/>
        <v>3658.8399999999997</v>
      </c>
      <c r="P1040" s="23">
        <v>-2500</v>
      </c>
      <c r="Q1040" s="23">
        <v>0</v>
      </c>
      <c r="R1040" s="23">
        <v>-500</v>
      </c>
      <c r="S1040" s="23">
        <v>0</v>
      </c>
      <c r="T1040" s="23">
        <v>0</v>
      </c>
      <c r="U1040" s="23">
        <v>0</v>
      </c>
      <c r="V1040" s="23">
        <v>0</v>
      </c>
      <c r="W1040" s="23">
        <f t="shared" si="113"/>
        <v>658.83999999999969</v>
      </c>
      <c r="X1040" s="45">
        <f t="shared" si="114"/>
        <v>658.83999999999969</v>
      </c>
      <c r="Y1040" s="23">
        <f t="shared" si="115"/>
        <v>0</v>
      </c>
      <c r="Z1040" s="23">
        <v>0</v>
      </c>
      <c r="AA1040" s="23">
        <f t="shared" si="116"/>
        <v>0</v>
      </c>
      <c r="AB1040" s="23">
        <f t="shared" si="117"/>
        <v>3000</v>
      </c>
      <c r="AC1040" s="20" t="s">
        <v>405</v>
      </c>
      <c r="AD1040" s="20" t="str">
        <f>VLOOKUP($C1040,'[1]CTRL AUTOS'!$E:$AH,2,0)</f>
        <v>MYE912A</v>
      </c>
      <c r="AE1040" s="11" t="str">
        <f t="shared" si="118"/>
        <v>MYE912A45</v>
      </c>
    </row>
    <row r="1041" spans="1:31" ht="12.75" hidden="1" customHeight="1" x14ac:dyDescent="0.3">
      <c r="A1041" s="8">
        <v>45</v>
      </c>
      <c r="B1041" s="20" t="s">
        <v>396</v>
      </c>
      <c r="C1041" s="20" t="s">
        <v>75</v>
      </c>
      <c r="D1041" s="20" t="s">
        <v>333</v>
      </c>
      <c r="E1041" s="22" t="s">
        <v>241</v>
      </c>
      <c r="F1041" s="20" t="s">
        <v>291</v>
      </c>
      <c r="G1041" s="20" t="s">
        <v>234</v>
      </c>
      <c r="H1041" s="23">
        <v>0</v>
      </c>
      <c r="I1041" s="23">
        <v>0</v>
      </c>
      <c r="J1041" s="23">
        <v>0</v>
      </c>
      <c r="K1041" s="23">
        <v>0</v>
      </c>
      <c r="L1041" s="23">
        <v>0</v>
      </c>
      <c r="M1041" s="23">
        <v>0</v>
      </c>
      <c r="N1041" s="23">
        <v>0</v>
      </c>
      <c r="O1041" s="24">
        <f t="shared" si="112"/>
        <v>0</v>
      </c>
      <c r="P1041" s="23">
        <v>0</v>
      </c>
      <c r="Q1041" s="23">
        <v>0</v>
      </c>
      <c r="R1041" s="23">
        <v>500</v>
      </c>
      <c r="S1041" s="23">
        <v>0</v>
      </c>
      <c r="T1041" s="23">
        <v>0</v>
      </c>
      <c r="U1041" s="23">
        <v>0</v>
      </c>
      <c r="V1041" s="23">
        <v>0</v>
      </c>
      <c r="W1041" s="23">
        <f t="shared" si="113"/>
        <v>500</v>
      </c>
      <c r="X1041" s="45">
        <f t="shared" si="114"/>
        <v>500</v>
      </c>
      <c r="Y1041" s="23">
        <f t="shared" si="115"/>
        <v>0</v>
      </c>
      <c r="Z1041" s="23">
        <v>0</v>
      </c>
      <c r="AA1041" s="23">
        <f t="shared" si="116"/>
        <v>0</v>
      </c>
      <c r="AB1041" s="23">
        <f t="shared" si="117"/>
        <v>-500</v>
      </c>
      <c r="AC1041" s="20" t="s">
        <v>405</v>
      </c>
      <c r="AD1041" s="20" t="str">
        <f>VLOOKUP($C1041,'[1]CTRL AUTOS'!$E:$AH,2,0)</f>
        <v>NFN014B</v>
      </c>
      <c r="AE1041" s="11" t="str">
        <f t="shared" si="118"/>
        <v>NFN014B45</v>
      </c>
    </row>
    <row r="1042" spans="1:31" ht="12.75" hidden="1" customHeight="1" x14ac:dyDescent="0.3">
      <c r="A1042" s="8">
        <v>45</v>
      </c>
      <c r="B1042" s="20" t="s">
        <v>361</v>
      </c>
      <c r="C1042" s="20" t="s">
        <v>56</v>
      </c>
      <c r="D1042" s="20" t="s">
        <v>237</v>
      </c>
      <c r="E1042" s="22" t="s">
        <v>241</v>
      </c>
      <c r="F1042" s="20" t="s">
        <v>291</v>
      </c>
      <c r="G1042" s="20" t="s">
        <v>234</v>
      </c>
      <c r="H1042" s="23">
        <v>0</v>
      </c>
      <c r="I1042" s="23">
        <v>0</v>
      </c>
      <c r="J1042" s="23">
        <v>0</v>
      </c>
      <c r="K1042" s="23">
        <v>0</v>
      </c>
      <c r="L1042" s="23">
        <v>0</v>
      </c>
      <c r="M1042" s="24">
        <v>0</v>
      </c>
      <c r="N1042" s="23">
        <v>0</v>
      </c>
      <c r="O1042" s="24">
        <f t="shared" si="112"/>
        <v>0</v>
      </c>
      <c r="P1042" s="23">
        <v>0</v>
      </c>
      <c r="Q1042" s="23">
        <v>0</v>
      </c>
      <c r="R1042" s="23">
        <v>500</v>
      </c>
      <c r="S1042" s="23">
        <v>0</v>
      </c>
      <c r="T1042" s="23">
        <v>0</v>
      </c>
      <c r="U1042" s="23">
        <v>0</v>
      </c>
      <c r="V1042" s="23">
        <v>0</v>
      </c>
      <c r="W1042" s="23">
        <f t="shared" si="113"/>
        <v>500</v>
      </c>
      <c r="X1042" s="45">
        <f t="shared" si="114"/>
        <v>500</v>
      </c>
      <c r="Y1042" s="23">
        <f t="shared" si="115"/>
        <v>0</v>
      </c>
      <c r="Z1042" s="23">
        <v>0</v>
      </c>
      <c r="AA1042" s="23">
        <f t="shared" si="116"/>
        <v>0</v>
      </c>
      <c r="AB1042" s="23">
        <f t="shared" si="117"/>
        <v>-500</v>
      </c>
      <c r="AC1042" s="20" t="s">
        <v>405</v>
      </c>
      <c r="AD1042" s="20" t="str">
        <f>VLOOKUP($C1042,'[1]CTRL AUTOS'!$E:$AH,2,0)</f>
        <v>MYE912A</v>
      </c>
      <c r="AE1042" s="11" t="str">
        <f t="shared" si="118"/>
        <v>MYE912A45</v>
      </c>
    </row>
    <row r="1043" spans="1:31" ht="12.75" hidden="1" customHeight="1" x14ac:dyDescent="0.3">
      <c r="A1043" s="8">
        <v>45</v>
      </c>
      <c r="B1043" s="20" t="s">
        <v>7</v>
      </c>
      <c r="C1043" s="20" t="s">
        <v>8</v>
      </c>
      <c r="D1043" s="20" t="s">
        <v>367</v>
      </c>
      <c r="E1043" s="20" t="s">
        <v>364</v>
      </c>
      <c r="F1043" s="22" t="s">
        <v>364</v>
      </c>
      <c r="G1043" s="20" t="s">
        <v>425</v>
      </c>
      <c r="H1043" s="23">
        <v>4537</v>
      </c>
      <c r="I1043" s="23">
        <v>0</v>
      </c>
      <c r="J1043" s="23">
        <v>0</v>
      </c>
      <c r="K1043" s="23">
        <v>0</v>
      </c>
      <c r="L1043" s="23">
        <v>-3913</v>
      </c>
      <c r="M1043" s="24">
        <v>-95</v>
      </c>
      <c r="N1043" s="23">
        <v>0</v>
      </c>
      <c r="O1043" s="24">
        <v>529</v>
      </c>
      <c r="P1043" s="23">
        <v>-2600</v>
      </c>
      <c r="Q1043" s="23">
        <v>0</v>
      </c>
      <c r="R1043" s="23">
        <v>-500</v>
      </c>
      <c r="S1043" s="23">
        <v>0</v>
      </c>
      <c r="T1043" s="23">
        <v>0</v>
      </c>
      <c r="U1043" s="23">
        <v>0</v>
      </c>
      <c r="V1043" s="23">
        <v>0</v>
      </c>
      <c r="W1043" s="23">
        <v>-2571</v>
      </c>
      <c r="X1043" s="45">
        <v>0</v>
      </c>
      <c r="Y1043" s="23">
        <v>-2571</v>
      </c>
      <c r="Z1043" s="23">
        <v>2571</v>
      </c>
      <c r="AA1043" s="23">
        <f t="shared" si="116"/>
        <v>0</v>
      </c>
      <c r="AB1043" s="23">
        <f t="shared" si="117"/>
        <v>3100</v>
      </c>
      <c r="AC1043" s="20"/>
      <c r="AD1043" s="20" t="e">
        <f>VLOOKUP($C1043,'[1]CTRL AUTOS'!$E:$AH,2,0)</f>
        <v>#N/A</v>
      </c>
      <c r="AE1043" s="11" t="e">
        <f t="shared" si="118"/>
        <v>#N/A</v>
      </c>
    </row>
    <row r="1044" spans="1:31" ht="12.75" hidden="1" customHeight="1" x14ac:dyDescent="0.3">
      <c r="A1044" s="8">
        <v>45</v>
      </c>
      <c r="B1044" s="20" t="s">
        <v>105</v>
      </c>
      <c r="C1044" s="20" t="s">
        <v>204</v>
      </c>
      <c r="D1044" s="20" t="s">
        <v>470</v>
      </c>
      <c r="E1044" s="20" t="s">
        <v>364</v>
      </c>
      <c r="F1044" s="22" t="s">
        <v>364</v>
      </c>
      <c r="G1044" s="20" t="s">
        <v>425</v>
      </c>
      <c r="H1044" s="23">
        <v>0</v>
      </c>
      <c r="I1044" s="23">
        <v>0</v>
      </c>
      <c r="J1044" s="23">
        <v>0</v>
      </c>
      <c r="K1044" s="23">
        <v>0</v>
      </c>
      <c r="L1044" s="23">
        <v>0</v>
      </c>
      <c r="M1044" s="24">
        <v>0</v>
      </c>
      <c r="N1044" s="23">
        <v>0</v>
      </c>
      <c r="O1044" s="24">
        <v>0</v>
      </c>
      <c r="P1044" s="23">
        <v>-2500</v>
      </c>
      <c r="Q1044" s="23">
        <v>0</v>
      </c>
      <c r="R1044" s="23">
        <v>-500</v>
      </c>
      <c r="S1044" s="23">
        <v>0</v>
      </c>
      <c r="T1044" s="23">
        <v>0</v>
      </c>
      <c r="U1044" s="23">
        <v>0</v>
      </c>
      <c r="V1044" s="23">
        <v>0</v>
      </c>
      <c r="W1044" s="23">
        <v>-3000</v>
      </c>
      <c r="X1044" s="45">
        <v>0</v>
      </c>
      <c r="Y1044" s="23">
        <v>-3000</v>
      </c>
      <c r="Z1044" s="23">
        <v>3000</v>
      </c>
      <c r="AA1044" s="23">
        <f t="shared" si="116"/>
        <v>0</v>
      </c>
      <c r="AB1044" s="23">
        <f t="shared" si="117"/>
        <v>3000</v>
      </c>
      <c r="AC1044" s="20"/>
      <c r="AD1044" s="20" t="e">
        <f>VLOOKUP($C1044,'[1]CTRL AUTOS'!$E:$AH,2,0)</f>
        <v>#N/A</v>
      </c>
      <c r="AE1044" s="11" t="e">
        <f t="shared" si="118"/>
        <v>#N/A</v>
      </c>
    </row>
    <row r="1045" spans="1:31" ht="12.75" hidden="1" customHeight="1" x14ac:dyDescent="0.3">
      <c r="A1045" s="8">
        <v>45</v>
      </c>
      <c r="B1045" s="20" t="s">
        <v>417</v>
      </c>
      <c r="C1045" s="20" t="s">
        <v>428</v>
      </c>
      <c r="D1045" s="20" t="s">
        <v>237</v>
      </c>
      <c r="E1045" s="20" t="s">
        <v>364</v>
      </c>
      <c r="F1045" s="22" t="s">
        <v>364</v>
      </c>
      <c r="G1045" s="20" t="s">
        <v>234</v>
      </c>
      <c r="H1045" s="23">
        <v>3405</v>
      </c>
      <c r="I1045" s="23">
        <v>0</v>
      </c>
      <c r="J1045" s="23">
        <v>0</v>
      </c>
      <c r="K1045" s="23">
        <v>0</v>
      </c>
      <c r="L1045" s="23">
        <v>-1158</v>
      </c>
      <c r="M1045" s="24">
        <v>-35</v>
      </c>
      <c r="N1045" s="23">
        <v>0</v>
      </c>
      <c r="O1045" s="24">
        <v>2212</v>
      </c>
      <c r="P1045" s="23">
        <v>-2500</v>
      </c>
      <c r="Q1045" s="23">
        <v>0</v>
      </c>
      <c r="R1045" s="23">
        <v>-284</v>
      </c>
      <c r="S1045" s="23">
        <v>0</v>
      </c>
      <c r="T1045" s="23">
        <v>0</v>
      </c>
      <c r="U1045" s="23">
        <v>0</v>
      </c>
      <c r="V1045" s="23">
        <v>0</v>
      </c>
      <c r="W1045" s="23">
        <v>-572</v>
      </c>
      <c r="X1045" s="45">
        <v>0</v>
      </c>
      <c r="Y1045" s="23">
        <v>-572</v>
      </c>
      <c r="Z1045" s="23">
        <v>0</v>
      </c>
      <c r="AA1045" s="23">
        <f t="shared" si="116"/>
        <v>-572</v>
      </c>
      <c r="AB1045" s="23">
        <f t="shared" si="117"/>
        <v>1640</v>
      </c>
      <c r="AC1045" s="20"/>
      <c r="AD1045" s="20" t="e">
        <f>VLOOKUP($C1045,'[1]CTRL AUTOS'!$E:$AH,2,0)</f>
        <v>#N/A</v>
      </c>
      <c r="AE1045" s="11" t="e">
        <f t="shared" si="118"/>
        <v>#N/A</v>
      </c>
    </row>
    <row r="1046" spans="1:31" ht="12.75" hidden="1" customHeight="1" x14ac:dyDescent="0.3">
      <c r="A1046" s="8">
        <v>45</v>
      </c>
      <c r="B1046" s="20" t="s">
        <v>76</v>
      </c>
      <c r="C1046" s="20" t="s">
        <v>104</v>
      </c>
      <c r="D1046" s="20" t="s">
        <v>237</v>
      </c>
      <c r="E1046" s="20" t="s">
        <v>364</v>
      </c>
      <c r="F1046" s="22" t="s">
        <v>364</v>
      </c>
      <c r="G1046" s="20" t="s">
        <v>234</v>
      </c>
      <c r="H1046" s="23">
        <v>3007</v>
      </c>
      <c r="I1046" s="23">
        <v>-16</v>
      </c>
      <c r="J1046" s="23">
        <v>0</v>
      </c>
      <c r="K1046" s="23">
        <v>-32</v>
      </c>
      <c r="L1046" s="23">
        <v>-1713</v>
      </c>
      <c r="M1046" s="24">
        <v>-35</v>
      </c>
      <c r="N1046" s="23">
        <v>0</v>
      </c>
      <c r="O1046" s="24">
        <v>1211</v>
      </c>
      <c r="P1046" s="23">
        <v>-714</v>
      </c>
      <c r="Q1046" s="23">
        <v>0</v>
      </c>
      <c r="R1046" s="23">
        <v>-143</v>
      </c>
      <c r="S1046" s="23">
        <v>0</v>
      </c>
      <c r="T1046" s="23">
        <v>0</v>
      </c>
      <c r="U1046" s="23">
        <v>0</v>
      </c>
      <c r="V1046" s="23">
        <v>0</v>
      </c>
      <c r="W1046" s="23">
        <v>354</v>
      </c>
      <c r="X1046" s="45">
        <v>354</v>
      </c>
      <c r="Y1046" s="23">
        <v>0</v>
      </c>
      <c r="Z1046" s="23">
        <v>0</v>
      </c>
      <c r="AA1046" s="23">
        <f t="shared" si="116"/>
        <v>0</v>
      </c>
      <c r="AB1046" s="23">
        <f t="shared" si="117"/>
        <v>857</v>
      </c>
      <c r="AC1046" s="20" t="s">
        <v>489</v>
      </c>
      <c r="AD1046" s="20" t="e">
        <f>VLOOKUP($C1046,'[1]CTRL AUTOS'!$E:$AH,2,0)</f>
        <v>#N/A</v>
      </c>
      <c r="AE1046" s="11" t="e">
        <f t="shared" si="118"/>
        <v>#N/A</v>
      </c>
    </row>
    <row r="1047" spans="1:31" ht="12.75" hidden="1" customHeight="1" x14ac:dyDescent="0.3">
      <c r="A1047" s="8">
        <v>46</v>
      </c>
      <c r="B1047" s="20" t="s">
        <v>13</v>
      </c>
      <c r="C1047" s="20" t="s">
        <v>30</v>
      </c>
      <c r="D1047" s="20" t="s">
        <v>237</v>
      </c>
      <c r="E1047" s="20" t="s">
        <v>232</v>
      </c>
      <c r="F1047" s="20" t="s">
        <v>291</v>
      </c>
      <c r="G1047" s="20" t="s">
        <v>234</v>
      </c>
      <c r="H1047" s="23">
        <v>7092.53</v>
      </c>
      <c r="I1047" s="23">
        <v>-0.27</v>
      </c>
      <c r="J1047" s="23">
        <v>0</v>
      </c>
      <c r="K1047" s="23">
        <v>0</v>
      </c>
      <c r="L1047" s="23">
        <v>0</v>
      </c>
      <c r="M1047" s="23">
        <v>-55</v>
      </c>
      <c r="N1047" s="23">
        <v>0</v>
      </c>
      <c r="O1047" s="24">
        <f t="shared" ref="O1047:O1110" si="119">SUM(H1047:N1047)</f>
        <v>7037.2599999999993</v>
      </c>
      <c r="P1047" s="23">
        <v>-2500</v>
      </c>
      <c r="Q1047" s="23">
        <v>0</v>
      </c>
      <c r="R1047" s="23">
        <v>0</v>
      </c>
      <c r="S1047" s="23">
        <v>0</v>
      </c>
      <c r="T1047" s="23">
        <v>0</v>
      </c>
      <c r="U1047" s="23">
        <v>-100</v>
      </c>
      <c r="V1047" s="23">
        <v>0</v>
      </c>
      <c r="W1047" s="23">
        <f t="shared" ref="W1047:W1110" si="120">+O1047+SUM(P1047:V1047)</f>
        <v>4437.2599999999993</v>
      </c>
      <c r="X1047" s="23">
        <f t="shared" ref="X1047:X1110" si="121">IF(W1047&gt;=0,W1047,0)</f>
        <v>4437.2599999999993</v>
      </c>
      <c r="Y1047" s="23">
        <f t="shared" ref="Y1047:Y1110" si="122">IF(W1047&lt;=0,W1047,0)</f>
        <v>0</v>
      </c>
      <c r="Z1047" s="23">
        <v>0</v>
      </c>
      <c r="AA1047" s="23">
        <f t="shared" si="116"/>
        <v>0</v>
      </c>
      <c r="AB1047" s="23">
        <f t="shared" si="117"/>
        <v>2600</v>
      </c>
      <c r="AC1047" s="20"/>
      <c r="AD1047" s="20" t="str">
        <f>VLOOKUP($C1047,'[1]CTRL AUTOS'!$E:$AH,2,0)</f>
        <v>D51BHV</v>
      </c>
      <c r="AE1047" s="11" t="str">
        <f t="shared" si="118"/>
        <v>D51BHV46</v>
      </c>
    </row>
    <row r="1048" spans="1:31" ht="12.75" hidden="1" customHeight="1" x14ac:dyDescent="0.3">
      <c r="A1048" s="8">
        <v>46</v>
      </c>
      <c r="B1048" s="20" t="s">
        <v>11</v>
      </c>
      <c r="C1048" s="20" t="s">
        <v>86</v>
      </c>
      <c r="D1048" s="20" t="s">
        <v>237</v>
      </c>
      <c r="E1048" s="20" t="s">
        <v>232</v>
      </c>
      <c r="F1048" s="20" t="s">
        <v>291</v>
      </c>
      <c r="G1048" s="20" t="s">
        <v>234</v>
      </c>
      <c r="H1048" s="23">
        <v>8862.49</v>
      </c>
      <c r="I1048" s="23">
        <v>-6.4</v>
      </c>
      <c r="J1048" s="23">
        <v>0</v>
      </c>
      <c r="K1048" s="23">
        <v>0</v>
      </c>
      <c r="L1048" s="23">
        <v>-3484.01</v>
      </c>
      <c r="M1048" s="23">
        <v>-80</v>
      </c>
      <c r="N1048" s="23">
        <v>0</v>
      </c>
      <c r="O1048" s="24">
        <f t="shared" si="119"/>
        <v>5292.08</v>
      </c>
      <c r="P1048" s="23">
        <v>-2500</v>
      </c>
      <c r="Q1048" s="23">
        <v>0</v>
      </c>
      <c r="R1048" s="23">
        <v>0</v>
      </c>
      <c r="S1048" s="23">
        <v>0</v>
      </c>
      <c r="T1048" s="23">
        <v>0</v>
      </c>
      <c r="U1048" s="23">
        <v>0</v>
      </c>
      <c r="V1048" s="23">
        <v>0</v>
      </c>
      <c r="W1048" s="23">
        <f t="shared" si="120"/>
        <v>2792.08</v>
      </c>
      <c r="X1048" s="23">
        <f t="shared" si="121"/>
        <v>2792.08</v>
      </c>
      <c r="Y1048" s="23">
        <f t="shared" si="122"/>
        <v>0</v>
      </c>
      <c r="Z1048" s="23">
        <v>0</v>
      </c>
      <c r="AA1048" s="23">
        <f t="shared" si="116"/>
        <v>0</v>
      </c>
      <c r="AB1048" s="23">
        <f t="shared" si="117"/>
        <v>2500</v>
      </c>
      <c r="AC1048" s="20"/>
      <c r="AD1048" s="20" t="str">
        <f>VLOOKUP($C1048,'[1]CTRL AUTOS'!$E:$AH,2,0)</f>
        <v>R22BMR</v>
      </c>
      <c r="AE1048" s="11" t="str">
        <f t="shared" si="118"/>
        <v>R22BMR46</v>
      </c>
    </row>
    <row r="1049" spans="1:31" ht="12.75" hidden="1" customHeight="1" x14ac:dyDescent="0.3">
      <c r="A1049" s="8">
        <v>46</v>
      </c>
      <c r="B1049" s="20" t="s">
        <v>35</v>
      </c>
      <c r="C1049" s="20" t="s">
        <v>36</v>
      </c>
      <c r="D1049" s="20" t="s">
        <v>273</v>
      </c>
      <c r="E1049" s="20" t="s">
        <v>232</v>
      </c>
      <c r="F1049" s="20" t="s">
        <v>291</v>
      </c>
      <c r="G1049" s="20" t="s">
        <v>234</v>
      </c>
      <c r="H1049" s="23">
        <v>7633.08</v>
      </c>
      <c r="I1049" s="23">
        <v>-61.6</v>
      </c>
      <c r="J1049" s="23">
        <v>0</v>
      </c>
      <c r="K1049" s="23">
        <v>0</v>
      </c>
      <c r="L1049" s="23">
        <v>-3724.97</v>
      </c>
      <c r="M1049" s="23">
        <v>-100</v>
      </c>
      <c r="N1049" s="23">
        <v>0</v>
      </c>
      <c r="O1049" s="24">
        <f t="shared" si="119"/>
        <v>3746.5099999999998</v>
      </c>
      <c r="P1049" s="23">
        <v>-2500</v>
      </c>
      <c r="Q1049" s="23">
        <v>0</v>
      </c>
      <c r="R1049" s="23">
        <v>0</v>
      </c>
      <c r="S1049" s="23">
        <v>0</v>
      </c>
      <c r="T1049" s="23">
        <v>-500</v>
      </c>
      <c r="U1049" s="23">
        <v>0</v>
      </c>
      <c r="V1049" s="23">
        <v>0</v>
      </c>
      <c r="W1049" s="23">
        <f t="shared" si="120"/>
        <v>746.50999999999976</v>
      </c>
      <c r="X1049" s="23">
        <f t="shared" si="121"/>
        <v>746.50999999999976</v>
      </c>
      <c r="Y1049" s="23">
        <f t="shared" si="122"/>
        <v>0</v>
      </c>
      <c r="Z1049" s="23">
        <v>0</v>
      </c>
      <c r="AA1049" s="23">
        <f t="shared" si="116"/>
        <v>0</v>
      </c>
      <c r="AB1049" s="23">
        <f t="shared" si="117"/>
        <v>3000</v>
      </c>
      <c r="AC1049" s="20"/>
      <c r="AD1049" s="20" t="str">
        <f>VLOOKUP($C1049,'[1]CTRL AUTOS'!$E:$AH,2,0)</f>
        <v>MLC126A</v>
      </c>
      <c r="AE1049" s="11" t="str">
        <f t="shared" si="118"/>
        <v>MLC126A46</v>
      </c>
    </row>
    <row r="1050" spans="1:31" ht="12.75" hidden="1" customHeight="1" x14ac:dyDescent="0.3">
      <c r="A1050" s="8">
        <v>46</v>
      </c>
      <c r="B1050" s="20" t="s">
        <v>25</v>
      </c>
      <c r="C1050" s="20" t="s">
        <v>67</v>
      </c>
      <c r="D1050" s="20" t="s">
        <v>343</v>
      </c>
      <c r="E1050" s="20" t="s">
        <v>232</v>
      </c>
      <c r="F1050" s="20" t="s">
        <v>291</v>
      </c>
      <c r="G1050" s="20" t="s">
        <v>234</v>
      </c>
      <c r="H1050" s="23">
        <v>3534.48</v>
      </c>
      <c r="I1050" s="23">
        <v>0</v>
      </c>
      <c r="J1050" s="23">
        <v>0</v>
      </c>
      <c r="K1050" s="23">
        <v>0</v>
      </c>
      <c r="L1050" s="23">
        <v>-1415.3</v>
      </c>
      <c r="M1050" s="23">
        <v>-40</v>
      </c>
      <c r="N1050" s="23">
        <f>-182-36</f>
        <v>-218</v>
      </c>
      <c r="O1050" s="24">
        <f t="shared" si="119"/>
        <v>1861.1800000000003</v>
      </c>
      <c r="P1050" s="23">
        <v>-2500</v>
      </c>
      <c r="Q1050" s="23">
        <v>0</v>
      </c>
      <c r="R1050" s="23">
        <v>0</v>
      </c>
      <c r="S1050" s="23">
        <v>0</v>
      </c>
      <c r="T1050" s="23">
        <v>0</v>
      </c>
      <c r="U1050" s="23">
        <v>0</v>
      </c>
      <c r="V1050" s="23">
        <v>0</v>
      </c>
      <c r="W1050" s="23">
        <f t="shared" si="120"/>
        <v>-638.81999999999971</v>
      </c>
      <c r="X1050" s="23">
        <f t="shared" si="121"/>
        <v>0</v>
      </c>
      <c r="Y1050" s="23">
        <f t="shared" si="122"/>
        <v>-638.81999999999971</v>
      </c>
      <c r="Z1050" s="45">
        <v>300</v>
      </c>
      <c r="AA1050" s="23">
        <f t="shared" si="116"/>
        <v>-338.81999999999971</v>
      </c>
      <c r="AB1050" s="23">
        <f t="shared" si="117"/>
        <v>1822.3600000000006</v>
      </c>
      <c r="AC1050" s="20" t="s">
        <v>409</v>
      </c>
      <c r="AD1050" s="20" t="str">
        <f>VLOOKUP($C1050,'[1]CTRL AUTOS'!$E:$AH,2,0)</f>
        <v>MFP751C</v>
      </c>
      <c r="AE1050" s="11" t="str">
        <f t="shared" si="118"/>
        <v>MFP751C46</v>
      </c>
    </row>
    <row r="1051" spans="1:31" ht="12.75" hidden="1" customHeight="1" x14ac:dyDescent="0.3">
      <c r="A1051" s="8">
        <v>46</v>
      </c>
      <c r="B1051" s="20" t="s">
        <v>487</v>
      </c>
      <c r="C1051" s="20" t="s">
        <v>44</v>
      </c>
      <c r="D1051" s="20" t="s">
        <v>467</v>
      </c>
      <c r="E1051" s="22" t="s">
        <v>232</v>
      </c>
      <c r="F1051" s="20" t="s">
        <v>291</v>
      </c>
      <c r="G1051" s="20" t="s">
        <v>234</v>
      </c>
      <c r="H1051" s="23">
        <v>8279.8799999999992</v>
      </c>
      <c r="I1051" s="23">
        <v>0</v>
      </c>
      <c r="J1051" s="23">
        <v>0</v>
      </c>
      <c r="K1051" s="23">
        <v>0</v>
      </c>
      <c r="L1051" s="23">
        <v>-4778.55</v>
      </c>
      <c r="M1051" s="23">
        <v>-109</v>
      </c>
      <c r="N1051" s="23">
        <v>0</v>
      </c>
      <c r="O1051" s="24">
        <f t="shared" si="119"/>
        <v>3392.329999999999</v>
      </c>
      <c r="P1051" s="23">
        <v>-2500</v>
      </c>
      <c r="Q1051" s="23">
        <v>0</v>
      </c>
      <c r="R1051" s="23">
        <v>250</v>
      </c>
      <c r="S1051" s="23">
        <v>-1000</v>
      </c>
      <c r="T1051" s="23">
        <v>-1500</v>
      </c>
      <c r="U1051" s="23">
        <v>430</v>
      </c>
      <c r="V1051" s="23">
        <v>0</v>
      </c>
      <c r="W1051" s="23">
        <f t="shared" si="120"/>
        <v>-927.67000000000098</v>
      </c>
      <c r="X1051" s="23">
        <f t="shared" si="121"/>
        <v>0</v>
      </c>
      <c r="Y1051" s="23">
        <f t="shared" si="122"/>
        <v>-927.67000000000098</v>
      </c>
      <c r="Z1051" s="23">
        <v>0</v>
      </c>
      <c r="AA1051" s="23">
        <f t="shared" si="116"/>
        <v>-927.67000000000098</v>
      </c>
      <c r="AB1051" s="23">
        <f t="shared" si="117"/>
        <v>2464.659999999998</v>
      </c>
      <c r="AC1051" s="20" t="s">
        <v>307</v>
      </c>
      <c r="AD1051" s="20" t="str">
        <f>VLOOKUP($C1051,'[1]CTRL AUTOS'!$E:$AH,2,0)</f>
        <v>MAY730C</v>
      </c>
      <c r="AE1051" s="11" t="str">
        <f t="shared" si="118"/>
        <v>MAY730C46</v>
      </c>
    </row>
    <row r="1052" spans="1:31" ht="12.75" hidden="1" customHeight="1" x14ac:dyDescent="0.3">
      <c r="A1052" s="8">
        <v>46</v>
      </c>
      <c r="B1052" s="20" t="s">
        <v>74</v>
      </c>
      <c r="C1052" s="20" t="s">
        <v>77</v>
      </c>
      <c r="D1052" s="20" t="s">
        <v>474</v>
      </c>
      <c r="E1052" s="22" t="s">
        <v>232</v>
      </c>
      <c r="F1052" s="20" t="s">
        <v>291</v>
      </c>
      <c r="G1052" s="20" t="s">
        <v>234</v>
      </c>
      <c r="H1052" s="23">
        <v>5171.63</v>
      </c>
      <c r="I1052" s="23">
        <v>0</v>
      </c>
      <c r="J1052" s="23">
        <v>0</v>
      </c>
      <c r="K1052" s="23">
        <v>0</v>
      </c>
      <c r="L1052" s="23">
        <v>-2477.2199999999998</v>
      </c>
      <c r="M1052" s="23">
        <v>-80</v>
      </c>
      <c r="N1052" s="23">
        <v>0</v>
      </c>
      <c r="O1052" s="24">
        <f t="shared" si="119"/>
        <v>2614.4100000000003</v>
      </c>
      <c r="P1052" s="23">
        <v>-2500</v>
      </c>
      <c r="Q1052" s="23">
        <v>0</v>
      </c>
      <c r="R1052" s="23">
        <v>0</v>
      </c>
      <c r="S1052" s="23">
        <v>0</v>
      </c>
      <c r="T1052" s="23">
        <v>0</v>
      </c>
      <c r="U1052" s="23">
        <v>-180</v>
      </c>
      <c r="V1052" s="23">
        <v>0</v>
      </c>
      <c r="W1052" s="23">
        <f t="shared" si="120"/>
        <v>-65.589999999999691</v>
      </c>
      <c r="X1052" s="23">
        <f t="shared" si="121"/>
        <v>0</v>
      </c>
      <c r="Y1052" s="23">
        <f t="shared" si="122"/>
        <v>-65.589999999999691</v>
      </c>
      <c r="Z1052" s="45">
        <v>66</v>
      </c>
      <c r="AA1052" s="23">
        <f t="shared" si="116"/>
        <v>0.41000000000030923</v>
      </c>
      <c r="AB1052" s="23">
        <f t="shared" si="117"/>
        <v>2680.8200000000006</v>
      </c>
      <c r="AC1052" s="20"/>
      <c r="AD1052" s="20" t="str">
        <f>VLOOKUP($C1052,'[1]CTRL AUTOS'!$E:$AH,2,0)</f>
        <v>MEE228C</v>
      </c>
      <c r="AE1052" s="11" t="str">
        <f t="shared" si="118"/>
        <v>MEE228C46</v>
      </c>
    </row>
    <row r="1053" spans="1:31" ht="12.75" hidden="1" customHeight="1" x14ac:dyDescent="0.3">
      <c r="A1053" s="8">
        <v>46</v>
      </c>
      <c r="B1053" s="20" t="s">
        <v>111</v>
      </c>
      <c r="C1053" s="20" t="s">
        <v>63</v>
      </c>
      <c r="D1053" s="20" t="s">
        <v>374</v>
      </c>
      <c r="E1053" s="20" t="s">
        <v>291</v>
      </c>
      <c r="F1053" s="20" t="s">
        <v>291</v>
      </c>
      <c r="G1053" s="20" t="s">
        <v>234</v>
      </c>
      <c r="H1053" s="23">
        <v>5310.01</v>
      </c>
      <c r="I1053" s="23">
        <v>0</v>
      </c>
      <c r="J1053" s="23">
        <v>0</v>
      </c>
      <c r="K1053" s="23">
        <v>0</v>
      </c>
      <c r="L1053" s="23">
        <v>-1141.6199999999999</v>
      </c>
      <c r="M1053" s="23">
        <v>-40</v>
      </c>
      <c r="N1053" s="23">
        <v>0</v>
      </c>
      <c r="O1053" s="24">
        <f t="shared" si="119"/>
        <v>4128.3900000000003</v>
      </c>
      <c r="P1053" s="23">
        <v>-2500</v>
      </c>
      <c r="Q1053" s="23">
        <v>0</v>
      </c>
      <c r="R1053" s="23">
        <v>0</v>
      </c>
      <c r="S1053" s="23">
        <v>0</v>
      </c>
      <c r="T1053" s="23">
        <v>0</v>
      </c>
      <c r="U1053" s="23">
        <v>0</v>
      </c>
      <c r="V1053" s="23">
        <v>0</v>
      </c>
      <c r="W1053" s="23">
        <f t="shared" si="120"/>
        <v>1628.3900000000003</v>
      </c>
      <c r="X1053" s="23">
        <f t="shared" si="121"/>
        <v>1628.3900000000003</v>
      </c>
      <c r="Y1053" s="23">
        <f t="shared" si="122"/>
        <v>0</v>
      </c>
      <c r="Z1053" s="23">
        <v>0</v>
      </c>
      <c r="AA1053" s="23">
        <f t="shared" si="116"/>
        <v>0</v>
      </c>
      <c r="AB1053" s="23">
        <f t="shared" si="117"/>
        <v>2500</v>
      </c>
      <c r="AC1053" s="20"/>
      <c r="AD1053" s="20" t="str">
        <f>VLOOKUP($C1053,'[1]CTRL AUTOS'!$E:$AH,2,0)</f>
        <v>X89ALV</v>
      </c>
      <c r="AE1053" s="11" t="str">
        <f t="shared" si="118"/>
        <v>X89ALV46</v>
      </c>
    </row>
    <row r="1054" spans="1:31" ht="12.75" hidden="1" customHeight="1" x14ac:dyDescent="0.3">
      <c r="A1054" s="8">
        <v>46</v>
      </c>
      <c r="B1054" s="20" t="s">
        <v>78</v>
      </c>
      <c r="C1054" s="44" t="s">
        <v>79</v>
      </c>
      <c r="D1054" s="20" t="s">
        <v>475</v>
      </c>
      <c r="E1054" s="20" t="s">
        <v>291</v>
      </c>
      <c r="F1054" s="20" t="s">
        <v>291</v>
      </c>
      <c r="G1054" s="20" t="s">
        <v>234</v>
      </c>
      <c r="H1054" s="23">
        <v>670.83</v>
      </c>
      <c r="I1054" s="23">
        <v>0</v>
      </c>
      <c r="J1054" s="23">
        <v>0</v>
      </c>
      <c r="K1054" s="23">
        <v>-4.6399999999999997</v>
      </c>
      <c r="L1054" s="23">
        <v>0</v>
      </c>
      <c r="M1054" s="23">
        <v>0</v>
      </c>
      <c r="N1054" s="23">
        <v>0</v>
      </c>
      <c r="O1054" s="24">
        <f t="shared" si="119"/>
        <v>666.19</v>
      </c>
      <c r="P1054" s="23">
        <v>-666</v>
      </c>
      <c r="Q1054" s="23">
        <v>0</v>
      </c>
      <c r="R1054" s="23">
        <v>0</v>
      </c>
      <c r="S1054" s="23">
        <v>0</v>
      </c>
      <c r="T1054" s="23">
        <v>0</v>
      </c>
      <c r="U1054" s="23">
        <v>0</v>
      </c>
      <c r="V1054" s="23">
        <v>0</v>
      </c>
      <c r="W1054" s="23">
        <f t="shared" si="120"/>
        <v>0.19000000000005457</v>
      </c>
      <c r="X1054" s="23">
        <f t="shared" si="121"/>
        <v>0.19000000000005457</v>
      </c>
      <c r="Y1054" s="23">
        <f t="shared" si="122"/>
        <v>0</v>
      </c>
      <c r="Z1054" s="23">
        <v>0</v>
      </c>
      <c r="AA1054" s="23">
        <f t="shared" si="116"/>
        <v>0</v>
      </c>
      <c r="AB1054" s="23">
        <f t="shared" si="117"/>
        <v>666</v>
      </c>
      <c r="AC1054" s="20"/>
      <c r="AD1054" s="20" t="str">
        <f>VLOOKUP($C1054,'[1]CTRL AUTOS'!$E:$AH,2,0)</f>
        <v>MAY737C</v>
      </c>
      <c r="AE1054" s="11" t="str">
        <f t="shared" si="118"/>
        <v>MAY737C46</v>
      </c>
    </row>
    <row r="1055" spans="1:31" ht="12.75" hidden="1" customHeight="1" x14ac:dyDescent="0.3">
      <c r="A1055" s="8">
        <v>46</v>
      </c>
      <c r="B1055" s="20" t="s">
        <v>72</v>
      </c>
      <c r="C1055" s="20" t="s">
        <v>73</v>
      </c>
      <c r="D1055" s="20" t="s">
        <v>368</v>
      </c>
      <c r="E1055" s="22" t="s">
        <v>241</v>
      </c>
      <c r="F1055" s="20" t="s">
        <v>291</v>
      </c>
      <c r="G1055" s="20" t="s">
        <v>234</v>
      </c>
      <c r="H1055" s="23">
        <v>8581.67</v>
      </c>
      <c r="I1055" s="23">
        <v>-46.4</v>
      </c>
      <c r="J1055" s="23">
        <v>0</v>
      </c>
      <c r="K1055" s="23">
        <v>-80.290000000000006</v>
      </c>
      <c r="L1055" s="23">
        <v>-3515.17</v>
      </c>
      <c r="M1055" s="23">
        <f>-100</f>
        <v>-100</v>
      </c>
      <c r="N1055" s="23">
        <f>-589-117</f>
        <v>-706</v>
      </c>
      <c r="O1055" s="24">
        <f t="shared" si="119"/>
        <v>4133.8099999999995</v>
      </c>
      <c r="P1055" s="23">
        <v>-2500</v>
      </c>
      <c r="Q1055" s="23">
        <v>0</v>
      </c>
      <c r="R1055" s="23">
        <v>0</v>
      </c>
      <c r="S1055" s="23">
        <v>0</v>
      </c>
      <c r="T1055" s="23">
        <v>-700</v>
      </c>
      <c r="U1055" s="23">
        <v>0</v>
      </c>
      <c r="V1055" s="23">
        <v>0</v>
      </c>
      <c r="W1055" s="23">
        <f t="shared" si="120"/>
        <v>933.80999999999949</v>
      </c>
      <c r="X1055" s="23">
        <f t="shared" si="121"/>
        <v>933.80999999999949</v>
      </c>
      <c r="Y1055" s="23">
        <f t="shared" si="122"/>
        <v>0</v>
      </c>
      <c r="Z1055" s="23">
        <v>0</v>
      </c>
      <c r="AA1055" s="23">
        <f t="shared" si="116"/>
        <v>0</v>
      </c>
      <c r="AB1055" s="23">
        <f t="shared" si="117"/>
        <v>3200</v>
      </c>
      <c r="AC1055" s="20"/>
      <c r="AD1055" s="20" t="str">
        <f>VLOOKUP($C1055,'[1]CTRL AUTOS'!$E:$AH,2,0)</f>
        <v>H99BLC</v>
      </c>
      <c r="AE1055" s="11" t="str">
        <f t="shared" si="118"/>
        <v>H99BLC46</v>
      </c>
    </row>
    <row r="1056" spans="1:31" ht="12.75" hidden="1" customHeight="1" x14ac:dyDescent="0.3">
      <c r="A1056" s="8">
        <v>46</v>
      </c>
      <c r="B1056" s="20" t="s">
        <v>17</v>
      </c>
      <c r="C1056" s="20" t="s">
        <v>69</v>
      </c>
      <c r="D1056" s="20" t="s">
        <v>370</v>
      </c>
      <c r="E1056" s="22" t="s">
        <v>241</v>
      </c>
      <c r="F1056" s="20" t="s">
        <v>291</v>
      </c>
      <c r="G1056" s="20" t="s">
        <v>234</v>
      </c>
      <c r="H1056" s="23">
        <v>5632.39</v>
      </c>
      <c r="I1056" s="23">
        <v>0</v>
      </c>
      <c r="J1056" s="23">
        <v>0</v>
      </c>
      <c r="K1056" s="23">
        <v>0</v>
      </c>
      <c r="L1056" s="23">
        <v>-2610.09</v>
      </c>
      <c r="M1056" s="23">
        <v>-80</v>
      </c>
      <c r="N1056" s="23">
        <v>0</v>
      </c>
      <c r="O1056" s="24">
        <f t="shared" si="119"/>
        <v>2942.3</v>
      </c>
      <c r="P1056" s="23">
        <v>-2500</v>
      </c>
      <c r="Q1056" s="23">
        <v>0</v>
      </c>
      <c r="R1056" s="23">
        <v>0</v>
      </c>
      <c r="S1056" s="23">
        <v>0</v>
      </c>
      <c r="T1056" s="23">
        <v>0</v>
      </c>
      <c r="U1056" s="23">
        <v>0</v>
      </c>
      <c r="V1056" s="23">
        <v>0</v>
      </c>
      <c r="W1056" s="23">
        <f t="shared" si="120"/>
        <v>442.30000000000018</v>
      </c>
      <c r="X1056" s="23">
        <f t="shared" si="121"/>
        <v>442.30000000000018</v>
      </c>
      <c r="Y1056" s="23">
        <f t="shared" si="122"/>
        <v>0</v>
      </c>
      <c r="Z1056" s="23">
        <v>0</v>
      </c>
      <c r="AA1056" s="23">
        <f t="shared" si="116"/>
        <v>0</v>
      </c>
      <c r="AB1056" s="23">
        <f t="shared" si="117"/>
        <v>2500</v>
      </c>
      <c r="AC1056" s="20"/>
      <c r="AD1056" s="20" t="str">
        <f>VLOOKUP($C1056,'[1]CTRL AUTOS'!$E:$AH,2,0)</f>
        <v>R51BKD</v>
      </c>
      <c r="AE1056" s="11" t="str">
        <f t="shared" si="118"/>
        <v>R51BKD46</v>
      </c>
    </row>
    <row r="1057" spans="1:31" ht="12.75" hidden="1" customHeight="1" x14ac:dyDescent="0.3">
      <c r="A1057" s="8">
        <v>46</v>
      </c>
      <c r="B1057" s="20" t="s">
        <v>477</v>
      </c>
      <c r="C1057" s="20" t="s">
        <v>56</v>
      </c>
      <c r="D1057" s="20" t="s">
        <v>336</v>
      </c>
      <c r="E1057" s="22" t="s">
        <v>241</v>
      </c>
      <c r="F1057" s="20" t="s">
        <v>291</v>
      </c>
      <c r="G1057" s="20" t="s">
        <v>234</v>
      </c>
      <c r="H1057" s="23">
        <v>0</v>
      </c>
      <c r="I1057" s="23">
        <v>0</v>
      </c>
      <c r="J1057" s="23">
        <v>0</v>
      </c>
      <c r="K1057" s="23">
        <v>0</v>
      </c>
      <c r="L1057" s="23">
        <v>0</v>
      </c>
      <c r="M1057" s="23">
        <v>0</v>
      </c>
      <c r="N1057" s="23">
        <v>0</v>
      </c>
      <c r="O1057" s="24">
        <f t="shared" si="119"/>
        <v>0</v>
      </c>
      <c r="P1057" s="23">
        <v>-2500</v>
      </c>
      <c r="Q1057" s="23">
        <v>0</v>
      </c>
      <c r="R1057" s="23">
        <v>3357</v>
      </c>
      <c r="S1057" s="23">
        <f>-1000</f>
        <v>-1000</v>
      </c>
      <c r="T1057" s="23">
        <v>0</v>
      </c>
      <c r="U1057" s="23">
        <v>-600</v>
      </c>
      <c r="V1057" s="23">
        <v>0</v>
      </c>
      <c r="W1057" s="23">
        <f t="shared" si="120"/>
        <v>-743</v>
      </c>
      <c r="X1057" s="23">
        <f t="shared" si="121"/>
        <v>0</v>
      </c>
      <c r="Y1057" s="23">
        <f t="shared" si="122"/>
        <v>-743</v>
      </c>
      <c r="Z1057" s="23">
        <v>0</v>
      </c>
      <c r="AA1057" s="23">
        <f t="shared" si="116"/>
        <v>-743</v>
      </c>
      <c r="AB1057" s="23">
        <f t="shared" si="117"/>
        <v>-743</v>
      </c>
      <c r="AC1057" s="20" t="s">
        <v>307</v>
      </c>
      <c r="AD1057" s="20" t="str">
        <f>VLOOKUP($C1057,'[1]CTRL AUTOS'!$E:$AH,2,0)</f>
        <v>MYE912A</v>
      </c>
      <c r="AE1057" s="11" t="str">
        <f t="shared" si="118"/>
        <v>MYE912A46</v>
      </c>
    </row>
    <row r="1058" spans="1:31" ht="12.75" hidden="1" customHeight="1" x14ac:dyDescent="0.3">
      <c r="A1058" s="8">
        <v>46</v>
      </c>
      <c r="B1058" s="20" t="s">
        <v>396</v>
      </c>
      <c r="C1058" s="20" t="s">
        <v>75</v>
      </c>
      <c r="D1058" s="20" t="s">
        <v>333</v>
      </c>
      <c r="E1058" s="22" t="s">
        <v>241</v>
      </c>
      <c r="F1058" s="20" t="s">
        <v>291</v>
      </c>
      <c r="G1058" s="20" t="s">
        <v>234</v>
      </c>
      <c r="H1058" s="23">
        <v>0</v>
      </c>
      <c r="I1058" s="23">
        <v>0</v>
      </c>
      <c r="J1058" s="23">
        <v>0</v>
      </c>
      <c r="K1058" s="23">
        <v>0</v>
      </c>
      <c r="L1058" s="23">
        <v>0</v>
      </c>
      <c r="M1058" s="23">
        <v>0</v>
      </c>
      <c r="N1058" s="23">
        <v>0</v>
      </c>
      <c r="O1058" s="24">
        <f t="shared" si="119"/>
        <v>0</v>
      </c>
      <c r="P1058" s="23">
        <v>0</v>
      </c>
      <c r="Q1058" s="23">
        <v>0</v>
      </c>
      <c r="R1058" s="23">
        <v>500</v>
      </c>
      <c r="S1058" s="23">
        <v>0</v>
      </c>
      <c r="T1058" s="23">
        <v>0</v>
      </c>
      <c r="U1058" s="23">
        <v>0</v>
      </c>
      <c r="V1058" s="23">
        <v>0</v>
      </c>
      <c r="W1058" s="23">
        <f t="shared" si="120"/>
        <v>500</v>
      </c>
      <c r="X1058" s="23">
        <f t="shared" si="121"/>
        <v>500</v>
      </c>
      <c r="Y1058" s="23">
        <f t="shared" si="122"/>
        <v>0</v>
      </c>
      <c r="Z1058" s="23">
        <v>0</v>
      </c>
      <c r="AA1058" s="23">
        <f t="shared" si="116"/>
        <v>0</v>
      </c>
      <c r="AB1058" s="23">
        <f t="shared" si="117"/>
        <v>-500</v>
      </c>
      <c r="AC1058" s="20"/>
      <c r="AD1058" s="20" t="str">
        <f>VLOOKUP($C1058,'[1]CTRL AUTOS'!$E:$AH,2,0)</f>
        <v>NFN014B</v>
      </c>
      <c r="AE1058" s="11" t="str">
        <f t="shared" si="118"/>
        <v>NFN014B46</v>
      </c>
    </row>
    <row r="1059" spans="1:31" ht="12.75" hidden="1" customHeight="1" x14ac:dyDescent="0.3">
      <c r="A1059" s="8">
        <v>46</v>
      </c>
      <c r="B1059" s="20" t="s">
        <v>361</v>
      </c>
      <c r="C1059" s="20" t="s">
        <v>56</v>
      </c>
      <c r="D1059" s="20" t="s">
        <v>237</v>
      </c>
      <c r="E1059" s="22" t="s">
        <v>241</v>
      </c>
      <c r="F1059" s="20" t="s">
        <v>291</v>
      </c>
      <c r="G1059" s="20" t="s">
        <v>234</v>
      </c>
      <c r="H1059" s="23">
        <v>0</v>
      </c>
      <c r="I1059" s="23">
        <v>0</v>
      </c>
      <c r="J1059" s="23">
        <v>0</v>
      </c>
      <c r="K1059" s="23">
        <v>0</v>
      </c>
      <c r="L1059" s="23">
        <v>0</v>
      </c>
      <c r="M1059" s="24">
        <v>0</v>
      </c>
      <c r="N1059" s="23">
        <v>0</v>
      </c>
      <c r="O1059" s="24">
        <f t="shared" si="119"/>
        <v>0</v>
      </c>
      <c r="P1059" s="23">
        <v>0</v>
      </c>
      <c r="Q1059" s="23">
        <v>0</v>
      </c>
      <c r="R1059" s="23">
        <v>500</v>
      </c>
      <c r="S1059" s="23">
        <v>0</v>
      </c>
      <c r="T1059" s="23">
        <v>0</v>
      </c>
      <c r="U1059" s="23">
        <v>0</v>
      </c>
      <c r="V1059" s="23">
        <v>0</v>
      </c>
      <c r="W1059" s="23">
        <f t="shared" si="120"/>
        <v>500</v>
      </c>
      <c r="X1059" s="23">
        <f t="shared" si="121"/>
        <v>500</v>
      </c>
      <c r="Y1059" s="23">
        <f t="shared" si="122"/>
        <v>0</v>
      </c>
      <c r="Z1059" s="23">
        <v>0</v>
      </c>
      <c r="AA1059" s="23">
        <f t="shared" si="116"/>
        <v>0</v>
      </c>
      <c r="AB1059" s="23">
        <f t="shared" si="117"/>
        <v>-500</v>
      </c>
      <c r="AC1059" s="20"/>
      <c r="AD1059" s="20" t="str">
        <f>VLOOKUP($C1059,'[1]CTRL AUTOS'!$E:$AH,2,0)</f>
        <v>MYE912A</v>
      </c>
      <c r="AE1059" s="11" t="str">
        <f t="shared" si="118"/>
        <v>MYE912A46</v>
      </c>
    </row>
    <row r="1060" spans="1:31" ht="12.75" hidden="1" customHeight="1" x14ac:dyDescent="0.3">
      <c r="A1060" s="8">
        <v>46</v>
      </c>
      <c r="B1060" s="20" t="s">
        <v>49</v>
      </c>
      <c r="C1060" s="20" t="s">
        <v>4</v>
      </c>
      <c r="D1060" s="20" t="s">
        <v>480</v>
      </c>
      <c r="E1060" s="20" t="s">
        <v>232</v>
      </c>
      <c r="F1060" s="20" t="s">
        <v>232</v>
      </c>
      <c r="G1060" s="20" t="s">
        <v>234</v>
      </c>
      <c r="H1060" s="23">
        <v>7464.28</v>
      </c>
      <c r="I1060" s="23">
        <v>-48</v>
      </c>
      <c r="J1060" s="23">
        <v>169.16</v>
      </c>
      <c r="K1060" s="23">
        <v>0</v>
      </c>
      <c r="L1060" s="23">
        <v>0</v>
      </c>
      <c r="M1060" s="23">
        <v>-68</v>
      </c>
      <c r="N1060" s="23">
        <v>0</v>
      </c>
      <c r="O1060" s="24">
        <f t="shared" si="119"/>
        <v>7517.44</v>
      </c>
      <c r="P1060" s="23">
        <v>-2500</v>
      </c>
      <c r="Q1060" s="23">
        <v>0</v>
      </c>
      <c r="R1060" s="23">
        <v>-500</v>
      </c>
      <c r="S1060" s="23">
        <v>0</v>
      </c>
      <c r="T1060" s="23">
        <v>-700</v>
      </c>
      <c r="U1060" s="23">
        <v>0</v>
      </c>
      <c r="V1060" s="23">
        <v>0</v>
      </c>
      <c r="W1060" s="23">
        <f t="shared" si="120"/>
        <v>3817.4399999999996</v>
      </c>
      <c r="X1060" s="23">
        <f t="shared" si="121"/>
        <v>3817.4399999999996</v>
      </c>
      <c r="Y1060" s="23">
        <f t="shared" si="122"/>
        <v>0</v>
      </c>
      <c r="Z1060" s="23">
        <v>0</v>
      </c>
      <c r="AA1060" s="23">
        <f t="shared" si="116"/>
        <v>0</v>
      </c>
      <c r="AB1060" s="23">
        <f t="shared" si="117"/>
        <v>3700</v>
      </c>
      <c r="AC1060" s="20"/>
      <c r="AD1060" s="20" t="str">
        <f>VLOOKUP($C1060,'[1]CTRL AUTOS'!$E:$AH,2,0)</f>
        <v>N15BKD</v>
      </c>
      <c r="AE1060" s="11" t="str">
        <f t="shared" si="118"/>
        <v>N15BKD46</v>
      </c>
    </row>
    <row r="1061" spans="1:31" ht="12.75" hidden="1" customHeight="1" x14ac:dyDescent="0.3">
      <c r="A1061" s="8">
        <v>46</v>
      </c>
      <c r="B1061" s="20" t="s">
        <v>47</v>
      </c>
      <c r="C1061" s="20" t="s">
        <v>106</v>
      </c>
      <c r="D1061" s="20" t="s">
        <v>322</v>
      </c>
      <c r="E1061" s="20" t="s">
        <v>232</v>
      </c>
      <c r="F1061" s="20" t="s">
        <v>232</v>
      </c>
      <c r="G1061" s="20" t="s">
        <v>234</v>
      </c>
      <c r="H1061" s="23">
        <v>7829.47</v>
      </c>
      <c r="I1061" s="23">
        <v>-291.2</v>
      </c>
      <c r="J1061" s="23">
        <v>84.13</v>
      </c>
      <c r="K1061" s="23">
        <v>-63.51</v>
      </c>
      <c r="L1061" s="23">
        <v>-2261.2199999999998</v>
      </c>
      <c r="M1061" s="23">
        <v>-80</v>
      </c>
      <c r="N1061" s="23">
        <v>0</v>
      </c>
      <c r="O1061" s="24">
        <f t="shared" si="119"/>
        <v>5217.67</v>
      </c>
      <c r="P1061" s="23">
        <v>-2500</v>
      </c>
      <c r="Q1061" s="23">
        <v>0</v>
      </c>
      <c r="R1061" s="23">
        <v>-500</v>
      </c>
      <c r="S1061" s="23">
        <v>0</v>
      </c>
      <c r="T1061" s="23">
        <v>0</v>
      </c>
      <c r="U1061" s="23">
        <v>0</v>
      </c>
      <c r="V1061" s="23">
        <v>0</v>
      </c>
      <c r="W1061" s="23">
        <f t="shared" si="120"/>
        <v>2217.67</v>
      </c>
      <c r="X1061" s="23">
        <f t="shared" si="121"/>
        <v>2217.67</v>
      </c>
      <c r="Y1061" s="23">
        <f t="shared" si="122"/>
        <v>0</v>
      </c>
      <c r="Z1061" s="23">
        <v>0</v>
      </c>
      <c r="AA1061" s="23">
        <f t="shared" si="116"/>
        <v>0</v>
      </c>
      <c r="AB1061" s="23">
        <f t="shared" si="117"/>
        <v>3000</v>
      </c>
      <c r="AC1061" s="20"/>
      <c r="AD1061" s="20" t="str">
        <f>VLOOKUP($C1061,'[1]CTRL AUTOS'!$E:$AH,2,0)</f>
        <v>NZU5163</v>
      </c>
      <c r="AE1061" s="11" t="str">
        <f t="shared" si="118"/>
        <v>NZU516346</v>
      </c>
    </row>
    <row r="1062" spans="1:31" ht="12.75" hidden="1" customHeight="1" x14ac:dyDescent="0.3">
      <c r="A1062" s="8">
        <v>46</v>
      </c>
      <c r="B1062" s="20" t="s">
        <v>60</v>
      </c>
      <c r="C1062" s="41" t="s">
        <v>42</v>
      </c>
      <c r="D1062" s="20" t="s">
        <v>490</v>
      </c>
      <c r="E1062" s="20" t="s">
        <v>232</v>
      </c>
      <c r="F1062" s="20" t="s">
        <v>232</v>
      </c>
      <c r="G1062" s="20" t="s">
        <v>234</v>
      </c>
      <c r="H1062" s="23">
        <v>9104.31</v>
      </c>
      <c r="I1062" s="23">
        <v>-259.68</v>
      </c>
      <c r="J1062" s="23">
        <v>0</v>
      </c>
      <c r="K1062" s="23">
        <v>0</v>
      </c>
      <c r="L1062" s="23">
        <v>-3198.12</v>
      </c>
      <c r="M1062" s="23">
        <v>-80</v>
      </c>
      <c r="N1062" s="23">
        <f>-54-10</f>
        <v>-64</v>
      </c>
      <c r="O1062" s="24">
        <f t="shared" si="119"/>
        <v>5502.5099999999993</v>
      </c>
      <c r="P1062" s="23">
        <v>-2500</v>
      </c>
      <c r="Q1062" s="23">
        <v>0</v>
      </c>
      <c r="R1062" s="23">
        <v>-500</v>
      </c>
      <c r="S1062" s="23">
        <v>0</v>
      </c>
      <c r="T1062" s="23">
        <v>0</v>
      </c>
      <c r="U1062" s="23">
        <v>0</v>
      </c>
      <c r="V1062" s="23">
        <v>0</v>
      </c>
      <c r="W1062" s="23">
        <f t="shared" si="120"/>
        <v>2502.5099999999993</v>
      </c>
      <c r="X1062" s="23">
        <f t="shared" si="121"/>
        <v>2502.5099999999993</v>
      </c>
      <c r="Y1062" s="23">
        <f t="shared" si="122"/>
        <v>0</v>
      </c>
      <c r="Z1062" s="23">
        <v>0</v>
      </c>
      <c r="AA1062" s="23">
        <f t="shared" si="116"/>
        <v>0</v>
      </c>
      <c r="AB1062" s="23">
        <f t="shared" si="117"/>
        <v>3000</v>
      </c>
      <c r="AC1062" s="20"/>
      <c r="AD1062" s="20" t="str">
        <f>VLOOKUP($C1062,'[1]CTRL AUTOS'!$E:$AH,2,0)</f>
        <v>MMA672C</v>
      </c>
      <c r="AE1062" s="11" t="str">
        <f t="shared" si="118"/>
        <v>MMA672C46</v>
      </c>
    </row>
    <row r="1063" spans="1:31" ht="12.75" hidden="1" customHeight="1" x14ac:dyDescent="0.3">
      <c r="A1063" s="8">
        <v>46</v>
      </c>
      <c r="B1063" s="20" t="s">
        <v>19</v>
      </c>
      <c r="C1063" s="20" t="s">
        <v>20</v>
      </c>
      <c r="D1063" s="20" t="s">
        <v>239</v>
      </c>
      <c r="E1063" s="20" t="s">
        <v>232</v>
      </c>
      <c r="F1063" s="20" t="s">
        <v>232</v>
      </c>
      <c r="G1063" s="20" t="s">
        <v>234</v>
      </c>
      <c r="H1063" s="23">
        <v>6848.96</v>
      </c>
      <c r="I1063" s="23">
        <v>-60.81</v>
      </c>
      <c r="J1063" s="23">
        <v>0</v>
      </c>
      <c r="K1063" s="23">
        <v>-47.67</v>
      </c>
      <c r="L1063" s="23">
        <v>0</v>
      </c>
      <c r="M1063" s="23">
        <v>-40</v>
      </c>
      <c r="N1063" s="23">
        <v>0</v>
      </c>
      <c r="O1063" s="24">
        <f t="shared" si="119"/>
        <v>6700.48</v>
      </c>
      <c r="P1063" s="23">
        <v>-2500</v>
      </c>
      <c r="Q1063" s="23">
        <v>0</v>
      </c>
      <c r="R1063" s="23">
        <v>0</v>
      </c>
      <c r="S1063" s="23">
        <v>0</v>
      </c>
      <c r="T1063" s="23">
        <v>0</v>
      </c>
      <c r="U1063" s="23">
        <v>-1000</v>
      </c>
      <c r="V1063" s="23">
        <v>0</v>
      </c>
      <c r="W1063" s="23">
        <f t="shared" si="120"/>
        <v>3200.4799999999996</v>
      </c>
      <c r="X1063" s="23">
        <f t="shared" si="121"/>
        <v>3200.4799999999996</v>
      </c>
      <c r="Y1063" s="23">
        <f t="shared" si="122"/>
        <v>0</v>
      </c>
      <c r="Z1063" s="23">
        <v>0</v>
      </c>
      <c r="AA1063" s="23">
        <f t="shared" si="116"/>
        <v>0</v>
      </c>
      <c r="AB1063" s="23">
        <f t="shared" si="117"/>
        <v>3500</v>
      </c>
      <c r="AC1063" s="20"/>
      <c r="AD1063" s="20" t="str">
        <f>VLOOKUP($C1063,'[1]CTRL AUTOS'!$E:$AH,2,0)</f>
        <v>D40BKD</v>
      </c>
      <c r="AE1063" s="11" t="str">
        <f t="shared" si="118"/>
        <v>D40BKD46</v>
      </c>
    </row>
    <row r="1064" spans="1:31" ht="12.75" hidden="1" customHeight="1" x14ac:dyDescent="0.3">
      <c r="A1064" s="8">
        <v>46</v>
      </c>
      <c r="B1064" s="20" t="s">
        <v>51</v>
      </c>
      <c r="C1064" s="20" t="s">
        <v>106</v>
      </c>
      <c r="D1064" s="20" t="s">
        <v>322</v>
      </c>
      <c r="E1064" s="20" t="s">
        <v>232</v>
      </c>
      <c r="F1064" s="20" t="s">
        <v>232</v>
      </c>
      <c r="G1064" s="20" t="s">
        <v>234</v>
      </c>
      <c r="H1064" s="23">
        <v>3346.46</v>
      </c>
      <c r="I1064" s="23">
        <v>-15.31</v>
      </c>
      <c r="J1064" s="23">
        <v>7.17</v>
      </c>
      <c r="K1064" s="23">
        <v>-23.67</v>
      </c>
      <c r="L1064" s="23">
        <v>-609.96</v>
      </c>
      <c r="M1064" s="23">
        <v>-40</v>
      </c>
      <c r="N1064" s="23">
        <v>0</v>
      </c>
      <c r="O1064" s="24">
        <f t="shared" si="119"/>
        <v>2664.69</v>
      </c>
      <c r="P1064" s="23">
        <v>-2500</v>
      </c>
      <c r="Q1064" s="23">
        <v>0</v>
      </c>
      <c r="R1064" s="23">
        <v>0</v>
      </c>
      <c r="S1064" s="23">
        <v>0</v>
      </c>
      <c r="T1064" s="23">
        <v>0</v>
      </c>
      <c r="U1064" s="23">
        <v>0</v>
      </c>
      <c r="V1064" s="23">
        <v>0</v>
      </c>
      <c r="W1064" s="23">
        <f t="shared" si="120"/>
        <v>164.69000000000005</v>
      </c>
      <c r="X1064" s="23">
        <f t="shared" si="121"/>
        <v>164.69000000000005</v>
      </c>
      <c r="Y1064" s="23">
        <f t="shared" si="122"/>
        <v>0</v>
      </c>
      <c r="Z1064" s="23">
        <v>0</v>
      </c>
      <c r="AA1064" s="23">
        <f t="shared" si="116"/>
        <v>0</v>
      </c>
      <c r="AB1064" s="23">
        <f t="shared" si="117"/>
        <v>2500</v>
      </c>
      <c r="AC1064" s="20"/>
      <c r="AD1064" s="20" t="str">
        <f>VLOOKUP($C1064,'[1]CTRL AUTOS'!$E:$AH,2,0)</f>
        <v>NZU5163</v>
      </c>
      <c r="AE1064" s="11" t="str">
        <f t="shared" si="118"/>
        <v>NZU516346</v>
      </c>
    </row>
    <row r="1065" spans="1:31" ht="12.75" hidden="1" customHeight="1" x14ac:dyDescent="0.3">
      <c r="A1065" s="8">
        <v>46</v>
      </c>
      <c r="B1065" s="20" t="s">
        <v>45</v>
      </c>
      <c r="C1065" s="20" t="s">
        <v>46</v>
      </c>
      <c r="D1065" s="20" t="s">
        <v>257</v>
      </c>
      <c r="E1065" s="20" t="s">
        <v>232</v>
      </c>
      <c r="F1065" s="20" t="s">
        <v>232</v>
      </c>
      <c r="G1065" s="20" t="s">
        <v>234</v>
      </c>
      <c r="H1065" s="23">
        <v>3773.32</v>
      </c>
      <c r="I1065" s="23">
        <v>0</v>
      </c>
      <c r="J1065" s="23">
        <v>-8.4700000000000006</v>
      </c>
      <c r="K1065" s="23">
        <v>0</v>
      </c>
      <c r="L1065" s="23">
        <v>-1238.6099999999999</v>
      </c>
      <c r="M1065" s="23">
        <v>-40</v>
      </c>
      <c r="N1065" s="23">
        <v>0</v>
      </c>
      <c r="O1065" s="24">
        <f t="shared" si="119"/>
        <v>2486.2400000000007</v>
      </c>
      <c r="P1065" s="23">
        <v>-2500</v>
      </c>
      <c r="Q1065" s="23">
        <v>0</v>
      </c>
      <c r="R1065" s="23">
        <v>0</v>
      </c>
      <c r="S1065" s="23">
        <v>0</v>
      </c>
      <c r="T1065" s="23">
        <v>0</v>
      </c>
      <c r="U1065" s="23">
        <v>0</v>
      </c>
      <c r="V1065" s="23">
        <v>0</v>
      </c>
      <c r="W1065" s="23">
        <f t="shared" si="120"/>
        <v>-13.759999999999309</v>
      </c>
      <c r="X1065" s="23">
        <f t="shared" si="121"/>
        <v>0</v>
      </c>
      <c r="Y1065" s="23">
        <f t="shared" si="122"/>
        <v>-13.759999999999309</v>
      </c>
      <c r="Z1065" s="45">
        <v>14</v>
      </c>
      <c r="AA1065" s="23">
        <f t="shared" si="116"/>
        <v>0.24000000000069122</v>
      </c>
      <c r="AB1065" s="23">
        <f t="shared" si="117"/>
        <v>2500.4800000000014</v>
      </c>
      <c r="AC1065" s="20" t="s">
        <v>409</v>
      </c>
      <c r="AD1065" s="20" t="str">
        <f>VLOOKUP($C1065,'[1]CTRL AUTOS'!$E:$AH,2,0)</f>
        <v>R66BER</v>
      </c>
      <c r="AE1065" s="11" t="str">
        <f t="shared" si="118"/>
        <v>R66BER46</v>
      </c>
    </row>
    <row r="1066" spans="1:31" ht="12.75" hidden="1" customHeight="1" x14ac:dyDescent="0.3">
      <c r="A1066" s="8">
        <v>46</v>
      </c>
      <c r="B1066" s="20" t="s">
        <v>37</v>
      </c>
      <c r="C1066" s="20" t="s">
        <v>40</v>
      </c>
      <c r="D1066" s="20" t="s">
        <v>315</v>
      </c>
      <c r="E1066" s="20" t="s">
        <v>232</v>
      </c>
      <c r="F1066" s="20" t="s">
        <v>232</v>
      </c>
      <c r="G1066" s="20" t="s">
        <v>234</v>
      </c>
      <c r="H1066" s="23">
        <v>4009.61</v>
      </c>
      <c r="I1066" s="23">
        <v>-16</v>
      </c>
      <c r="J1066" s="23">
        <v>0</v>
      </c>
      <c r="K1066" s="23">
        <v>0</v>
      </c>
      <c r="L1066" s="23">
        <v>-1431.47</v>
      </c>
      <c r="M1066" s="23">
        <v>-40</v>
      </c>
      <c r="N1066" s="23">
        <v>0</v>
      </c>
      <c r="O1066" s="24">
        <f t="shared" si="119"/>
        <v>2522.1400000000003</v>
      </c>
      <c r="P1066" s="23">
        <v>-2500</v>
      </c>
      <c r="Q1066" s="23">
        <v>0</v>
      </c>
      <c r="R1066" s="23">
        <v>0</v>
      </c>
      <c r="S1066" s="23">
        <v>0</v>
      </c>
      <c r="T1066" s="23">
        <v>0</v>
      </c>
      <c r="U1066" s="23">
        <v>0</v>
      </c>
      <c r="V1066" s="23">
        <v>0</v>
      </c>
      <c r="W1066" s="23">
        <f t="shared" si="120"/>
        <v>22.140000000000327</v>
      </c>
      <c r="X1066" s="23">
        <f t="shared" si="121"/>
        <v>22.140000000000327</v>
      </c>
      <c r="Y1066" s="23">
        <f t="shared" si="122"/>
        <v>0</v>
      </c>
      <c r="Z1066" s="23">
        <v>0</v>
      </c>
      <c r="AA1066" s="23">
        <f t="shared" si="116"/>
        <v>0</v>
      </c>
      <c r="AB1066" s="23">
        <f t="shared" si="117"/>
        <v>2500</v>
      </c>
      <c r="AC1066" s="20"/>
      <c r="AD1066" s="20" t="str">
        <f>VLOOKUP($C1066,'[1]CTRL AUTOS'!$E:$AH,2,0)</f>
        <v>NEL860A</v>
      </c>
      <c r="AE1066" s="11" t="str">
        <f t="shared" si="118"/>
        <v>NEL860A46</v>
      </c>
    </row>
    <row r="1067" spans="1:31" ht="12.75" hidden="1" customHeight="1" x14ac:dyDescent="0.3">
      <c r="A1067" s="8">
        <v>46</v>
      </c>
      <c r="B1067" s="20" t="s">
        <v>61</v>
      </c>
      <c r="C1067" s="20" t="s">
        <v>34</v>
      </c>
      <c r="D1067" s="20" t="s">
        <v>285</v>
      </c>
      <c r="E1067" s="20" t="s">
        <v>232</v>
      </c>
      <c r="F1067" s="20" t="s">
        <v>232</v>
      </c>
      <c r="G1067" s="20" t="s">
        <v>234</v>
      </c>
      <c r="H1067" s="23">
        <v>4182.49</v>
      </c>
      <c r="I1067" s="23">
        <v>-52.47</v>
      </c>
      <c r="J1067" s="23">
        <v>0</v>
      </c>
      <c r="K1067" s="23">
        <v>0</v>
      </c>
      <c r="L1067" s="23">
        <v>-618.86</v>
      </c>
      <c r="M1067" s="23">
        <v>-40</v>
      </c>
      <c r="N1067" s="23">
        <v>-24</v>
      </c>
      <c r="O1067" s="24">
        <f t="shared" si="119"/>
        <v>3447.1599999999994</v>
      </c>
      <c r="P1067" s="23">
        <v>-2500</v>
      </c>
      <c r="Q1067" s="23">
        <v>0</v>
      </c>
      <c r="R1067" s="23">
        <v>0</v>
      </c>
      <c r="S1067" s="23">
        <v>0</v>
      </c>
      <c r="T1067" s="23">
        <v>-700</v>
      </c>
      <c r="U1067" s="23">
        <v>0</v>
      </c>
      <c r="V1067" s="23">
        <v>0</v>
      </c>
      <c r="W1067" s="23">
        <f t="shared" si="120"/>
        <v>247.1599999999994</v>
      </c>
      <c r="X1067" s="23">
        <f t="shared" si="121"/>
        <v>247.1599999999994</v>
      </c>
      <c r="Y1067" s="23">
        <f t="shared" si="122"/>
        <v>0</v>
      </c>
      <c r="Z1067" s="23">
        <v>0</v>
      </c>
      <c r="AA1067" s="23">
        <f t="shared" si="116"/>
        <v>0</v>
      </c>
      <c r="AB1067" s="23">
        <f t="shared" si="117"/>
        <v>3200</v>
      </c>
      <c r="AC1067" s="20"/>
      <c r="AD1067" s="20" t="str">
        <f>VLOOKUP($C1067,'[1]CTRL AUTOS'!$E:$AH,2,0)</f>
        <v>X59AWG</v>
      </c>
      <c r="AE1067" s="11" t="str">
        <f t="shared" si="118"/>
        <v>X59AWG46</v>
      </c>
    </row>
    <row r="1068" spans="1:31" ht="12.75" hidden="1" customHeight="1" x14ac:dyDescent="0.3">
      <c r="A1068" s="8">
        <v>46</v>
      </c>
      <c r="B1068" s="20" t="s">
        <v>9</v>
      </c>
      <c r="C1068" s="20" t="s">
        <v>10</v>
      </c>
      <c r="D1068" s="20" t="s">
        <v>343</v>
      </c>
      <c r="E1068" s="20" t="s">
        <v>232</v>
      </c>
      <c r="F1068" s="20" t="s">
        <v>232</v>
      </c>
      <c r="G1068" s="20" t="s">
        <v>425</v>
      </c>
      <c r="H1068" s="23">
        <v>2273.42</v>
      </c>
      <c r="I1068" s="23">
        <v>0</v>
      </c>
      <c r="J1068" s="23">
        <v>0</v>
      </c>
      <c r="K1068" s="23">
        <v>0</v>
      </c>
      <c r="L1068" s="23">
        <v>-2088</v>
      </c>
      <c r="M1068" s="23">
        <v>-80</v>
      </c>
      <c r="N1068" s="23">
        <v>0</v>
      </c>
      <c r="O1068" s="24">
        <f t="shared" si="119"/>
        <v>105.42000000000007</v>
      </c>
      <c r="P1068" s="23">
        <v>-105</v>
      </c>
      <c r="Q1068" s="23">
        <v>0</v>
      </c>
      <c r="R1068" s="23">
        <v>0</v>
      </c>
      <c r="S1068" s="23">
        <v>0</v>
      </c>
      <c r="T1068" s="23">
        <v>0</v>
      </c>
      <c r="U1068" s="23">
        <v>0</v>
      </c>
      <c r="V1068" s="23">
        <v>0</v>
      </c>
      <c r="W1068" s="23">
        <f t="shared" si="120"/>
        <v>0.42000000000007276</v>
      </c>
      <c r="X1068" s="23">
        <f t="shared" si="121"/>
        <v>0.42000000000007276</v>
      </c>
      <c r="Y1068" s="23">
        <f t="shared" si="122"/>
        <v>0</v>
      </c>
      <c r="Z1068" s="23">
        <v>0</v>
      </c>
      <c r="AA1068" s="23">
        <f t="shared" si="116"/>
        <v>0</v>
      </c>
      <c r="AB1068" s="23">
        <f t="shared" si="117"/>
        <v>105</v>
      </c>
      <c r="AC1068" s="20"/>
      <c r="AD1068" s="20" t="str">
        <f>VLOOKUP($C1068,'[1]CTRL AUTOS'!$E:$AH,2,0)</f>
        <v>LRL009C</v>
      </c>
      <c r="AE1068" s="11" t="str">
        <f t="shared" si="118"/>
        <v>LRL009C46</v>
      </c>
    </row>
    <row r="1069" spans="1:31" ht="12.75" hidden="1" customHeight="1" x14ac:dyDescent="0.3">
      <c r="A1069" s="8">
        <v>46</v>
      </c>
      <c r="B1069" s="20" t="s">
        <v>9</v>
      </c>
      <c r="C1069" s="20" t="s">
        <v>10</v>
      </c>
      <c r="D1069" s="20" t="s">
        <v>343</v>
      </c>
      <c r="E1069" s="20" t="s">
        <v>232</v>
      </c>
      <c r="F1069" s="20" t="s">
        <v>232</v>
      </c>
      <c r="G1069" s="20" t="s">
        <v>234</v>
      </c>
      <c r="H1069" s="23">
        <v>3325.66</v>
      </c>
      <c r="I1069" s="23">
        <v>0</v>
      </c>
      <c r="J1069" s="23">
        <v>0</v>
      </c>
      <c r="K1069" s="23">
        <v>0</v>
      </c>
      <c r="L1069" s="23">
        <v>-1639.02</v>
      </c>
      <c r="M1069" s="23">
        <v>-45</v>
      </c>
      <c r="N1069" s="23">
        <v>0</v>
      </c>
      <c r="O1069" s="24">
        <f t="shared" si="119"/>
        <v>1641.6399999999999</v>
      </c>
      <c r="P1069" s="23">
        <f>-2500+105</f>
        <v>-2395</v>
      </c>
      <c r="Q1069" s="23">
        <v>0</v>
      </c>
      <c r="R1069" s="23">
        <v>-143</v>
      </c>
      <c r="S1069" s="23">
        <v>0</v>
      </c>
      <c r="T1069" s="23">
        <v>0</v>
      </c>
      <c r="U1069" s="23">
        <v>0</v>
      </c>
      <c r="V1069" s="23">
        <v>0</v>
      </c>
      <c r="W1069" s="23">
        <f t="shared" si="120"/>
        <v>-896.36000000000013</v>
      </c>
      <c r="X1069" s="23">
        <f t="shared" si="121"/>
        <v>0</v>
      </c>
      <c r="Y1069" s="23">
        <f t="shared" si="122"/>
        <v>-896.36000000000013</v>
      </c>
      <c r="Z1069" s="45">
        <v>896</v>
      </c>
      <c r="AA1069" s="23">
        <f t="shared" si="116"/>
        <v>-0.36000000000012733</v>
      </c>
      <c r="AB1069" s="23">
        <f t="shared" si="117"/>
        <v>2537.2799999999997</v>
      </c>
      <c r="AC1069" s="20" t="s">
        <v>409</v>
      </c>
      <c r="AD1069" s="20" t="str">
        <f>VLOOKUP($C1069,'[1]CTRL AUTOS'!$E:$AH,2,0)</f>
        <v>LRL009C</v>
      </c>
      <c r="AE1069" s="11" t="str">
        <f t="shared" si="118"/>
        <v>LRL009C46</v>
      </c>
    </row>
    <row r="1070" spans="1:31" ht="12.75" hidden="1" customHeight="1" x14ac:dyDescent="0.3">
      <c r="A1070" s="8">
        <v>46</v>
      </c>
      <c r="B1070" s="20" t="s">
        <v>57</v>
      </c>
      <c r="C1070" s="20" t="s">
        <v>16</v>
      </c>
      <c r="D1070" s="20" t="s">
        <v>314</v>
      </c>
      <c r="E1070" s="20" t="s">
        <v>232</v>
      </c>
      <c r="F1070" s="20" t="s">
        <v>232</v>
      </c>
      <c r="G1070" s="20" t="s">
        <v>234</v>
      </c>
      <c r="H1070" s="23">
        <v>0</v>
      </c>
      <c r="I1070" s="23">
        <v>0</v>
      </c>
      <c r="J1070" s="23">
        <v>-9.24</v>
      </c>
      <c r="K1070" s="23">
        <v>0</v>
      </c>
      <c r="L1070" s="23">
        <v>0</v>
      </c>
      <c r="M1070" s="23">
        <v>0</v>
      </c>
      <c r="N1070" s="23">
        <f>-48-10-3</f>
        <v>-61</v>
      </c>
      <c r="O1070" s="24">
        <f t="shared" si="119"/>
        <v>-70.239999999999995</v>
      </c>
      <c r="P1070" s="23">
        <v>0</v>
      </c>
      <c r="Q1070" s="23">
        <v>-30</v>
      </c>
      <c r="R1070" s="23">
        <v>100</v>
      </c>
      <c r="S1070" s="23">
        <v>0</v>
      </c>
      <c r="T1070" s="23">
        <v>0</v>
      </c>
      <c r="U1070" s="23">
        <v>0</v>
      </c>
      <c r="V1070" s="23">
        <v>0</v>
      </c>
      <c r="W1070" s="23">
        <f t="shared" si="120"/>
        <v>-0.23999999999999488</v>
      </c>
      <c r="X1070" s="23">
        <f t="shared" si="121"/>
        <v>0</v>
      </c>
      <c r="Y1070" s="23">
        <f t="shared" si="122"/>
        <v>-0.23999999999999488</v>
      </c>
      <c r="Z1070" s="23">
        <v>0</v>
      </c>
      <c r="AA1070" s="23">
        <f t="shared" si="116"/>
        <v>-0.23999999999999488</v>
      </c>
      <c r="AB1070" s="23">
        <f t="shared" si="117"/>
        <v>-70.47999999999999</v>
      </c>
      <c r="AC1070" s="20"/>
      <c r="AD1070" s="20" t="str">
        <f>VLOOKUP($C1070,'[1]CTRL AUTOS'!$E:$AH,2,0)</f>
        <v>D28BET</v>
      </c>
      <c r="AE1070" s="11" t="str">
        <f t="shared" si="118"/>
        <v>D28BET46</v>
      </c>
    </row>
    <row r="1071" spans="1:31" ht="12.75" hidden="1" customHeight="1" x14ac:dyDescent="0.3">
      <c r="A1071" s="8">
        <v>46</v>
      </c>
      <c r="B1071" s="20" t="s">
        <v>3</v>
      </c>
      <c r="C1071" s="20" t="s">
        <v>4</v>
      </c>
      <c r="D1071" s="20" t="s">
        <v>480</v>
      </c>
      <c r="E1071" s="20" t="s">
        <v>232</v>
      </c>
      <c r="F1071" s="20" t="s">
        <v>232</v>
      </c>
      <c r="G1071" s="20" t="s">
        <v>425</v>
      </c>
      <c r="H1071" s="23">
        <v>6660.96</v>
      </c>
      <c r="I1071" s="23">
        <v>0</v>
      </c>
      <c r="J1071" s="23">
        <v>0</v>
      </c>
      <c r="K1071" s="23">
        <v>0</v>
      </c>
      <c r="L1071" s="23">
        <v>-5988.08</v>
      </c>
      <c r="M1071" s="23">
        <v>-120</v>
      </c>
      <c r="N1071" s="23">
        <v>0</v>
      </c>
      <c r="O1071" s="24">
        <f t="shared" si="119"/>
        <v>552.88000000000011</v>
      </c>
      <c r="P1071" s="23">
        <v>-2600</v>
      </c>
      <c r="Q1071" s="23">
        <v>2605</v>
      </c>
      <c r="R1071" s="23">
        <v>-500</v>
      </c>
      <c r="S1071" s="23">
        <v>0</v>
      </c>
      <c r="T1071" s="23">
        <v>0</v>
      </c>
      <c r="U1071" s="23">
        <v>0</v>
      </c>
      <c r="V1071" s="23">
        <v>0</v>
      </c>
      <c r="W1071" s="23">
        <f t="shared" si="120"/>
        <v>57.880000000000109</v>
      </c>
      <c r="X1071" s="23">
        <f t="shared" si="121"/>
        <v>57.880000000000109</v>
      </c>
      <c r="Y1071" s="23">
        <f t="shared" si="122"/>
        <v>0</v>
      </c>
      <c r="Z1071" s="45">
        <f>650+700+600</f>
        <v>1950</v>
      </c>
      <c r="AA1071" s="23">
        <f t="shared" si="116"/>
        <v>1950</v>
      </c>
      <c r="AB1071" s="23">
        <f t="shared" si="117"/>
        <v>4395</v>
      </c>
      <c r="AC1071" s="20" t="s">
        <v>409</v>
      </c>
      <c r="AD1071" s="20" t="str">
        <f>VLOOKUP($C1071,'[1]CTRL AUTOS'!$E:$AH,2,0)</f>
        <v>N15BKD</v>
      </c>
      <c r="AE1071" s="11" t="str">
        <f t="shared" si="118"/>
        <v>N15BKD46</v>
      </c>
    </row>
    <row r="1072" spans="1:31" ht="12.75" hidden="1" customHeight="1" x14ac:dyDescent="0.3">
      <c r="A1072" s="8">
        <v>46</v>
      </c>
      <c r="B1072" s="20" t="s">
        <v>5</v>
      </c>
      <c r="C1072" s="41" t="s">
        <v>42</v>
      </c>
      <c r="D1072" s="20" t="s">
        <v>274</v>
      </c>
      <c r="E1072" s="20" t="s">
        <v>232</v>
      </c>
      <c r="F1072" s="20" t="s">
        <v>232</v>
      </c>
      <c r="G1072" s="20" t="s">
        <v>234</v>
      </c>
      <c r="H1072" s="23">
        <v>390.82</v>
      </c>
      <c r="I1072" s="23">
        <v>-2.61</v>
      </c>
      <c r="J1072" s="23">
        <v>0</v>
      </c>
      <c r="K1072" s="23">
        <v>0</v>
      </c>
      <c r="L1072" s="23">
        <v>-303</v>
      </c>
      <c r="M1072" s="23">
        <v>-60</v>
      </c>
      <c r="N1072" s="23">
        <v>0</v>
      </c>
      <c r="O1072" s="24">
        <f t="shared" si="119"/>
        <v>25.20999999999998</v>
      </c>
      <c r="P1072" s="23">
        <v>-2500</v>
      </c>
      <c r="Q1072" s="23">
        <v>0</v>
      </c>
      <c r="R1072" s="23">
        <v>0</v>
      </c>
      <c r="S1072" s="23">
        <v>0</v>
      </c>
      <c r="T1072" s="23">
        <v>-500</v>
      </c>
      <c r="U1072" s="23">
        <v>0</v>
      </c>
      <c r="V1072" s="23">
        <v>0</v>
      </c>
      <c r="W1072" s="23">
        <f t="shared" si="120"/>
        <v>-2974.79</v>
      </c>
      <c r="X1072" s="23">
        <f t="shared" si="121"/>
        <v>0</v>
      </c>
      <c r="Y1072" s="23">
        <f t="shared" si="122"/>
        <v>-2974.79</v>
      </c>
      <c r="Z1072" s="45">
        <f>2600+400</f>
        <v>3000</v>
      </c>
      <c r="AA1072" s="23">
        <f t="shared" si="116"/>
        <v>25.210000000000036</v>
      </c>
      <c r="AB1072" s="23">
        <f t="shared" si="117"/>
        <v>3050.42</v>
      </c>
      <c r="AC1072" s="20" t="s">
        <v>409</v>
      </c>
      <c r="AD1072" s="20" t="str">
        <f>VLOOKUP($C1072,'[1]CTRL AUTOS'!$E:$AH,2,0)</f>
        <v>MMA672C</v>
      </c>
      <c r="AE1072" s="11" t="str">
        <f t="shared" si="118"/>
        <v>MMA672C46</v>
      </c>
    </row>
    <row r="1073" spans="1:31" ht="12.75" hidden="1" customHeight="1" x14ac:dyDescent="0.3">
      <c r="A1073" s="8">
        <v>46</v>
      </c>
      <c r="B1073" s="20" t="s">
        <v>98</v>
      </c>
      <c r="C1073" s="20" t="s">
        <v>168</v>
      </c>
      <c r="D1073" s="20" t="s">
        <v>265</v>
      </c>
      <c r="E1073" s="20" t="s">
        <v>232</v>
      </c>
      <c r="F1073" s="20" t="s">
        <v>232</v>
      </c>
      <c r="G1073" s="20" t="s">
        <v>234</v>
      </c>
      <c r="H1073" s="23">
        <v>0</v>
      </c>
      <c r="I1073" s="23">
        <v>0</v>
      </c>
      <c r="J1073" s="23">
        <v>0</v>
      </c>
      <c r="K1073" s="23">
        <v>0</v>
      </c>
      <c r="L1073" s="23">
        <v>0</v>
      </c>
      <c r="M1073" s="23">
        <v>0</v>
      </c>
      <c r="N1073" s="23">
        <v>-35</v>
      </c>
      <c r="O1073" s="24">
        <f t="shared" si="119"/>
        <v>-35</v>
      </c>
      <c r="P1073" s="23">
        <v>-2500</v>
      </c>
      <c r="Q1073" s="23">
        <f>-1100-132</f>
        <v>-1232</v>
      </c>
      <c r="R1073" s="23">
        <v>0</v>
      </c>
      <c r="S1073" s="23">
        <v>0</v>
      </c>
      <c r="T1073" s="23">
        <v>0</v>
      </c>
      <c r="U1073" s="23">
        <v>0</v>
      </c>
      <c r="V1073" s="23">
        <v>0</v>
      </c>
      <c r="W1073" s="23">
        <f t="shared" si="120"/>
        <v>-3767</v>
      </c>
      <c r="X1073" s="23">
        <f t="shared" si="121"/>
        <v>0</v>
      </c>
      <c r="Y1073" s="23">
        <f t="shared" si="122"/>
        <v>-3767</v>
      </c>
      <c r="Z1073" s="45">
        <f>2500+1000</f>
        <v>3500</v>
      </c>
      <c r="AA1073" s="23">
        <f t="shared" si="116"/>
        <v>-267</v>
      </c>
      <c r="AB1073" s="23">
        <f t="shared" si="117"/>
        <v>3198</v>
      </c>
      <c r="AC1073" s="20" t="s">
        <v>409</v>
      </c>
      <c r="AD1073" s="20" t="e">
        <f>VLOOKUP($C1073,'[1]CTRL AUTOS'!$E:$AH,2,0)</f>
        <v>#N/A</v>
      </c>
      <c r="AE1073" s="11" t="e">
        <f t="shared" si="118"/>
        <v>#N/A</v>
      </c>
    </row>
    <row r="1074" spans="1:31" ht="12.75" hidden="1" customHeight="1" x14ac:dyDescent="0.3">
      <c r="A1074" s="8">
        <v>46</v>
      </c>
      <c r="B1074" s="20" t="s">
        <v>80</v>
      </c>
      <c r="C1074" s="20" t="s">
        <v>81</v>
      </c>
      <c r="D1074" s="20" t="s">
        <v>317</v>
      </c>
      <c r="E1074" s="20" t="s">
        <v>232</v>
      </c>
      <c r="F1074" s="20" t="s">
        <v>232</v>
      </c>
      <c r="G1074" s="20" t="s">
        <v>234</v>
      </c>
      <c r="H1074" s="23">
        <v>0</v>
      </c>
      <c r="I1074" s="23">
        <v>0</v>
      </c>
      <c r="J1074" s="23">
        <v>0</v>
      </c>
      <c r="K1074" s="23">
        <v>0</v>
      </c>
      <c r="L1074" s="23">
        <v>0</v>
      </c>
      <c r="M1074" s="23">
        <v>0</v>
      </c>
      <c r="N1074" s="23">
        <v>0</v>
      </c>
      <c r="O1074" s="24">
        <f t="shared" si="119"/>
        <v>0</v>
      </c>
      <c r="P1074" s="23">
        <v>-2500</v>
      </c>
      <c r="Q1074" s="23">
        <v>0</v>
      </c>
      <c r="R1074" s="23">
        <v>0</v>
      </c>
      <c r="S1074" s="23">
        <v>0</v>
      </c>
      <c r="T1074" s="23">
        <v>0</v>
      </c>
      <c r="U1074" s="23">
        <v>0</v>
      </c>
      <c r="V1074" s="23">
        <v>0</v>
      </c>
      <c r="W1074" s="23">
        <f t="shared" si="120"/>
        <v>-2500</v>
      </c>
      <c r="X1074" s="23">
        <f t="shared" si="121"/>
        <v>0</v>
      </c>
      <c r="Y1074" s="23">
        <f t="shared" si="122"/>
        <v>-2500</v>
      </c>
      <c r="Z1074" s="45">
        <v>2500</v>
      </c>
      <c r="AA1074" s="23">
        <f t="shared" si="116"/>
        <v>0</v>
      </c>
      <c r="AB1074" s="23">
        <f t="shared" si="117"/>
        <v>2500</v>
      </c>
      <c r="AC1074" s="20" t="s">
        <v>409</v>
      </c>
      <c r="AD1074" s="20" t="str">
        <f>VLOOKUP($C1074,'[1]CTRL AUTOS'!$E:$AH,2,0)</f>
        <v>NLP172B</v>
      </c>
      <c r="AE1074" s="11" t="str">
        <f t="shared" si="118"/>
        <v>NLP172B46</v>
      </c>
    </row>
    <row r="1075" spans="1:31" ht="12.75" hidden="1" customHeight="1" x14ac:dyDescent="0.3">
      <c r="A1075" s="8">
        <v>46</v>
      </c>
      <c r="B1075" s="20" t="s">
        <v>288</v>
      </c>
      <c r="C1075" s="20" t="s">
        <v>22</v>
      </c>
      <c r="D1075" s="20" t="s">
        <v>237</v>
      </c>
      <c r="E1075" s="20" t="s">
        <v>232</v>
      </c>
      <c r="F1075" s="20" t="s">
        <v>232</v>
      </c>
      <c r="G1075" s="20" t="s">
        <v>234</v>
      </c>
      <c r="H1075" s="23">
        <v>0</v>
      </c>
      <c r="I1075" s="23">
        <v>0</v>
      </c>
      <c r="J1075" s="23">
        <v>0</v>
      </c>
      <c r="K1075" s="23">
        <v>0</v>
      </c>
      <c r="L1075" s="23">
        <v>0</v>
      </c>
      <c r="M1075" s="23">
        <v>0</v>
      </c>
      <c r="N1075" s="23">
        <v>0</v>
      </c>
      <c r="O1075" s="24">
        <f t="shared" si="119"/>
        <v>0</v>
      </c>
      <c r="P1075" s="23">
        <v>0</v>
      </c>
      <c r="Q1075" s="23">
        <v>0</v>
      </c>
      <c r="R1075" s="23">
        <v>500</v>
      </c>
      <c r="S1075" s="23">
        <v>0</v>
      </c>
      <c r="T1075" s="23">
        <v>0</v>
      </c>
      <c r="U1075" s="23">
        <v>0</v>
      </c>
      <c r="V1075" s="23">
        <v>0</v>
      </c>
      <c r="W1075" s="23">
        <f t="shared" si="120"/>
        <v>500</v>
      </c>
      <c r="X1075" s="23">
        <f t="shared" si="121"/>
        <v>500</v>
      </c>
      <c r="Y1075" s="23">
        <f t="shared" si="122"/>
        <v>0</v>
      </c>
      <c r="Z1075" s="23">
        <v>0</v>
      </c>
      <c r="AA1075" s="23">
        <f t="shared" si="116"/>
        <v>0</v>
      </c>
      <c r="AB1075" s="23">
        <f t="shared" si="117"/>
        <v>-500</v>
      </c>
      <c r="AC1075" s="20"/>
      <c r="AD1075" s="20" t="str">
        <f>VLOOKUP($C1075,'[1]CTRL AUTOS'!$E:$AH,2,0)</f>
        <v>NCK475B</v>
      </c>
      <c r="AE1075" s="11" t="str">
        <f t="shared" si="118"/>
        <v>NCK475B46</v>
      </c>
    </row>
    <row r="1076" spans="1:31" ht="12.75" hidden="1" customHeight="1" x14ac:dyDescent="0.3">
      <c r="A1076" s="8">
        <v>46</v>
      </c>
      <c r="B1076" s="20" t="s">
        <v>23</v>
      </c>
      <c r="C1076" s="20" t="s">
        <v>97</v>
      </c>
      <c r="D1076" s="20" t="s">
        <v>273</v>
      </c>
      <c r="E1076" s="20" t="s">
        <v>232</v>
      </c>
      <c r="F1076" s="20" t="s">
        <v>232</v>
      </c>
      <c r="G1076" s="20" t="s">
        <v>234</v>
      </c>
      <c r="H1076" s="23">
        <v>7003.35</v>
      </c>
      <c r="I1076" s="23">
        <v>-24</v>
      </c>
      <c r="J1076" s="23">
        <v>0</v>
      </c>
      <c r="K1076" s="23">
        <v>0</v>
      </c>
      <c r="L1076" s="23">
        <v>-5781.03</v>
      </c>
      <c r="M1076" s="23">
        <v>-102</v>
      </c>
      <c r="N1076" s="23">
        <f>-457-91</f>
        <v>-548</v>
      </c>
      <c r="O1076" s="24">
        <f t="shared" si="119"/>
        <v>548.32000000000062</v>
      </c>
      <c r="P1076" s="23">
        <v>-2500</v>
      </c>
      <c r="Q1076" s="23">
        <v>0</v>
      </c>
      <c r="R1076" s="23">
        <v>0</v>
      </c>
      <c r="S1076" s="23">
        <v>0</v>
      </c>
      <c r="T1076" s="23">
        <v>-700</v>
      </c>
      <c r="U1076" s="23">
        <v>0</v>
      </c>
      <c r="V1076" s="23">
        <v>0</v>
      </c>
      <c r="W1076" s="23">
        <f t="shared" si="120"/>
        <v>-2651.6799999999994</v>
      </c>
      <c r="X1076" s="23">
        <f t="shared" si="121"/>
        <v>0</v>
      </c>
      <c r="Y1076" s="23">
        <f t="shared" si="122"/>
        <v>-2651.6799999999994</v>
      </c>
      <c r="Z1076" s="45">
        <f>2050+600</f>
        <v>2650</v>
      </c>
      <c r="AA1076" s="23">
        <f t="shared" si="116"/>
        <v>-1.6799999999993815</v>
      </c>
      <c r="AB1076" s="23">
        <f t="shared" si="117"/>
        <v>3196.6400000000012</v>
      </c>
      <c r="AC1076" s="20" t="s">
        <v>409</v>
      </c>
      <c r="AD1076" s="20" t="str">
        <f>VLOOKUP($C1076,'[1]CTRL AUTOS'!$E:$AH,2,0)</f>
        <v>MUF515A</v>
      </c>
      <c r="AE1076" s="11" t="str">
        <f t="shared" si="118"/>
        <v>MUF515A46</v>
      </c>
    </row>
    <row r="1077" spans="1:31" ht="12" hidden="1" customHeight="1" x14ac:dyDescent="0.3">
      <c r="A1077" s="8">
        <v>46</v>
      </c>
      <c r="B1077" s="20" t="s">
        <v>292</v>
      </c>
      <c r="C1077" s="20" t="s">
        <v>52</v>
      </c>
      <c r="D1077" s="22" t="s">
        <v>313</v>
      </c>
      <c r="E1077" s="20" t="s">
        <v>232</v>
      </c>
      <c r="F1077" s="20" t="s">
        <v>232</v>
      </c>
      <c r="G1077" s="20" t="s">
        <v>234</v>
      </c>
      <c r="H1077" s="23">
        <v>0</v>
      </c>
      <c r="I1077" s="23">
        <v>0</v>
      </c>
      <c r="J1077" s="23">
        <v>0</v>
      </c>
      <c r="K1077" s="23">
        <v>0</v>
      </c>
      <c r="L1077" s="23">
        <v>0</v>
      </c>
      <c r="M1077" s="23">
        <v>0</v>
      </c>
      <c r="N1077" s="23">
        <v>0</v>
      </c>
      <c r="O1077" s="24">
        <f t="shared" si="119"/>
        <v>0</v>
      </c>
      <c r="P1077" s="23">
        <v>0</v>
      </c>
      <c r="Q1077" s="23">
        <v>0</v>
      </c>
      <c r="R1077" s="23">
        <v>500</v>
      </c>
      <c r="S1077" s="23">
        <v>0</v>
      </c>
      <c r="T1077" s="23">
        <v>0</v>
      </c>
      <c r="U1077" s="23">
        <v>0</v>
      </c>
      <c r="V1077" s="23">
        <v>0</v>
      </c>
      <c r="W1077" s="23">
        <f t="shared" si="120"/>
        <v>500</v>
      </c>
      <c r="X1077" s="23">
        <f t="shared" si="121"/>
        <v>500</v>
      </c>
      <c r="Y1077" s="23">
        <f t="shared" si="122"/>
        <v>0</v>
      </c>
      <c r="Z1077" s="23">
        <v>0</v>
      </c>
      <c r="AA1077" s="23">
        <f t="shared" si="116"/>
        <v>0</v>
      </c>
      <c r="AB1077" s="23">
        <f t="shared" si="117"/>
        <v>-500</v>
      </c>
      <c r="AC1077" s="20"/>
      <c r="AD1077" s="20" t="str">
        <f>VLOOKUP($C1077,'[1]CTRL AUTOS'!$E:$AH,2,0)</f>
        <v>A35BHD</v>
      </c>
      <c r="AE1077" s="11" t="str">
        <f t="shared" si="118"/>
        <v>A35BHD46</v>
      </c>
    </row>
    <row r="1078" spans="1:31" ht="12.75" hidden="1" customHeight="1" x14ac:dyDescent="0.3">
      <c r="A1078" s="8">
        <v>46</v>
      </c>
      <c r="B1078" s="20" t="s">
        <v>7</v>
      </c>
      <c r="C1078" s="20" t="s">
        <v>8</v>
      </c>
      <c r="D1078" s="20" t="s">
        <v>367</v>
      </c>
      <c r="E1078" s="20" t="s">
        <v>364</v>
      </c>
      <c r="F1078" s="22" t="s">
        <v>364</v>
      </c>
      <c r="G1078" s="20" t="s">
        <v>425</v>
      </c>
      <c r="H1078" s="23">
        <v>6160.58</v>
      </c>
      <c r="I1078" s="23">
        <v>0</v>
      </c>
      <c r="J1078" s="23">
        <v>0</v>
      </c>
      <c r="K1078" s="23">
        <v>0</v>
      </c>
      <c r="L1078" s="23">
        <v>-4349.5</v>
      </c>
      <c r="M1078" s="23">
        <v>-120</v>
      </c>
      <c r="N1078" s="23">
        <v>0</v>
      </c>
      <c r="O1078" s="24">
        <f t="shared" si="119"/>
        <v>1691.08</v>
      </c>
      <c r="P1078" s="23">
        <v>-2600</v>
      </c>
      <c r="Q1078" s="23">
        <v>0</v>
      </c>
      <c r="R1078" s="23">
        <v>-500</v>
      </c>
      <c r="S1078" s="23">
        <v>0</v>
      </c>
      <c r="T1078" s="23">
        <v>0</v>
      </c>
      <c r="U1078" s="23">
        <v>0</v>
      </c>
      <c r="V1078" s="23">
        <v>0</v>
      </c>
      <c r="W1078" s="23">
        <f t="shared" si="120"/>
        <v>-1408.92</v>
      </c>
      <c r="X1078" s="23">
        <f t="shared" si="121"/>
        <v>0</v>
      </c>
      <c r="Y1078" s="23">
        <f t="shared" si="122"/>
        <v>-1408.92</v>
      </c>
      <c r="Z1078" s="45">
        <v>1410</v>
      </c>
      <c r="AA1078" s="23">
        <f t="shared" si="116"/>
        <v>1.0799999999999272</v>
      </c>
      <c r="AB1078" s="23">
        <f t="shared" si="117"/>
        <v>3102.16</v>
      </c>
      <c r="AC1078" s="20" t="s">
        <v>491</v>
      </c>
      <c r="AD1078" s="20" t="e">
        <f>VLOOKUP($C1078,'[1]CTRL AUTOS'!$E:$AH,2,0)</f>
        <v>#N/A</v>
      </c>
      <c r="AE1078" s="11" t="e">
        <f t="shared" si="118"/>
        <v>#N/A</v>
      </c>
    </row>
    <row r="1079" spans="1:31" ht="12.75" hidden="1" customHeight="1" x14ac:dyDescent="0.3">
      <c r="A1079" s="8">
        <v>46</v>
      </c>
      <c r="B1079" s="20" t="s">
        <v>105</v>
      </c>
      <c r="C1079" s="20" t="s">
        <v>204</v>
      </c>
      <c r="D1079" s="20" t="s">
        <v>470</v>
      </c>
      <c r="E1079" s="20" t="s">
        <v>364</v>
      </c>
      <c r="F1079" s="22" t="s">
        <v>364</v>
      </c>
      <c r="G1079" s="20" t="s">
        <v>425</v>
      </c>
      <c r="H1079" s="23">
        <v>0</v>
      </c>
      <c r="I1079" s="23">
        <v>0</v>
      </c>
      <c r="J1079" s="23">
        <v>0</v>
      </c>
      <c r="K1079" s="23">
        <v>0</v>
      </c>
      <c r="L1079" s="23">
        <v>0</v>
      </c>
      <c r="M1079" s="23">
        <v>0</v>
      </c>
      <c r="N1079" s="23">
        <v>0</v>
      </c>
      <c r="O1079" s="24">
        <f t="shared" si="119"/>
        <v>0</v>
      </c>
      <c r="P1079" s="23">
        <v>-2500</v>
      </c>
      <c r="Q1079" s="23">
        <v>0</v>
      </c>
      <c r="R1079" s="23">
        <v>-500</v>
      </c>
      <c r="S1079" s="23">
        <v>0</v>
      </c>
      <c r="T1079" s="23">
        <v>0</v>
      </c>
      <c r="U1079" s="23">
        <v>0</v>
      </c>
      <c r="V1079" s="23">
        <v>0</v>
      </c>
      <c r="W1079" s="23">
        <f t="shared" si="120"/>
        <v>-3000</v>
      </c>
      <c r="X1079" s="23">
        <f t="shared" si="121"/>
        <v>0</v>
      </c>
      <c r="Y1079" s="23">
        <f t="shared" si="122"/>
        <v>-3000</v>
      </c>
      <c r="Z1079" s="45">
        <v>3000</v>
      </c>
      <c r="AA1079" s="23">
        <f t="shared" si="116"/>
        <v>0</v>
      </c>
      <c r="AB1079" s="23">
        <f t="shared" si="117"/>
        <v>3000</v>
      </c>
      <c r="AC1079" s="20" t="s">
        <v>492</v>
      </c>
      <c r="AD1079" s="20" t="e">
        <f>VLOOKUP($C1079,'[1]CTRL AUTOS'!$E:$AH,2,0)</f>
        <v>#N/A</v>
      </c>
      <c r="AE1079" s="11" t="e">
        <f t="shared" si="118"/>
        <v>#N/A</v>
      </c>
    </row>
    <row r="1080" spans="1:31" ht="12.75" hidden="1" customHeight="1" x14ac:dyDescent="0.3">
      <c r="A1080" s="8">
        <v>46</v>
      </c>
      <c r="B1080" s="20" t="s">
        <v>417</v>
      </c>
      <c r="C1080" s="20" t="s">
        <v>428</v>
      </c>
      <c r="D1080" s="20" t="s">
        <v>237</v>
      </c>
      <c r="E1080" s="20" t="s">
        <v>364</v>
      </c>
      <c r="F1080" s="22" t="s">
        <v>364</v>
      </c>
      <c r="G1080" s="20" t="s">
        <v>234</v>
      </c>
      <c r="H1080" s="23">
        <v>5132.17</v>
      </c>
      <c r="I1080" s="23">
        <v>-24</v>
      </c>
      <c r="J1080" s="23">
        <v>0</v>
      </c>
      <c r="K1080" s="23">
        <v>0</v>
      </c>
      <c r="L1080" s="23">
        <v>-1349.92</v>
      </c>
      <c r="M1080" s="23">
        <v>-40</v>
      </c>
      <c r="N1080" s="23">
        <v>0</v>
      </c>
      <c r="O1080" s="24">
        <f t="shared" si="119"/>
        <v>3718.25</v>
      </c>
      <c r="P1080" s="23">
        <v>-2500</v>
      </c>
      <c r="Q1080" s="23">
        <v>-572</v>
      </c>
      <c r="R1080" s="23">
        <v>0</v>
      </c>
      <c r="S1080" s="23">
        <v>0</v>
      </c>
      <c r="T1080" s="23">
        <v>0</v>
      </c>
      <c r="U1080" s="23">
        <v>0</v>
      </c>
      <c r="V1080" s="23">
        <v>0</v>
      </c>
      <c r="W1080" s="23">
        <f t="shared" si="120"/>
        <v>646.25</v>
      </c>
      <c r="X1080" s="23">
        <f t="shared" si="121"/>
        <v>646.25</v>
      </c>
      <c r="Y1080" s="23">
        <f t="shared" si="122"/>
        <v>0</v>
      </c>
      <c r="Z1080" s="23">
        <v>0</v>
      </c>
      <c r="AA1080" s="23">
        <f t="shared" si="116"/>
        <v>0</v>
      </c>
      <c r="AB1080" s="23">
        <f t="shared" si="117"/>
        <v>3072</v>
      </c>
      <c r="AC1080" s="20"/>
      <c r="AD1080" s="20" t="e">
        <f>VLOOKUP($C1080,'[1]CTRL AUTOS'!$E:$AH,2,0)</f>
        <v>#N/A</v>
      </c>
      <c r="AE1080" s="11" t="e">
        <f t="shared" si="118"/>
        <v>#N/A</v>
      </c>
    </row>
    <row r="1081" spans="1:31" ht="12.75" hidden="1" customHeight="1" x14ac:dyDescent="0.3">
      <c r="A1081" s="8">
        <v>46</v>
      </c>
      <c r="B1081" s="20" t="s">
        <v>76</v>
      </c>
      <c r="C1081" s="20" t="s">
        <v>104</v>
      </c>
      <c r="D1081" s="20" t="s">
        <v>237</v>
      </c>
      <c r="E1081" s="20" t="s">
        <v>364</v>
      </c>
      <c r="F1081" s="22" t="s">
        <v>364</v>
      </c>
      <c r="G1081" s="20" t="s">
        <v>234</v>
      </c>
      <c r="H1081" s="23">
        <v>3363.04</v>
      </c>
      <c r="I1081" s="23">
        <v>0</v>
      </c>
      <c r="J1081" s="23">
        <v>0</v>
      </c>
      <c r="K1081" s="23">
        <v>-33.61</v>
      </c>
      <c r="L1081" s="23">
        <v>-1268.1600000000001</v>
      </c>
      <c r="M1081" s="23">
        <v>-40</v>
      </c>
      <c r="N1081" s="23">
        <v>0</v>
      </c>
      <c r="O1081" s="24">
        <f t="shared" si="119"/>
        <v>2021.2699999999995</v>
      </c>
      <c r="P1081" s="23">
        <v>-2143</v>
      </c>
      <c r="Q1081" s="23">
        <v>0</v>
      </c>
      <c r="R1081" s="23">
        <v>0</v>
      </c>
      <c r="S1081" s="23">
        <v>0</v>
      </c>
      <c r="T1081" s="23">
        <v>0</v>
      </c>
      <c r="U1081" s="23">
        <v>-557</v>
      </c>
      <c r="V1081" s="23">
        <v>0</v>
      </c>
      <c r="W1081" s="23">
        <f t="shared" si="120"/>
        <v>-678.73000000000047</v>
      </c>
      <c r="X1081" s="23">
        <f t="shared" si="121"/>
        <v>0</v>
      </c>
      <c r="Y1081" s="23">
        <f t="shared" si="122"/>
        <v>-678.73000000000047</v>
      </c>
      <c r="Z1081" s="45">
        <f>400+279</f>
        <v>679</v>
      </c>
      <c r="AA1081" s="23">
        <f t="shared" si="116"/>
        <v>0.26999999999952706</v>
      </c>
      <c r="AB1081" s="23">
        <f t="shared" si="117"/>
        <v>2700.5399999999991</v>
      </c>
      <c r="AC1081" s="20" t="s">
        <v>493</v>
      </c>
      <c r="AD1081" s="20" t="e">
        <f>VLOOKUP($C1081,'[1]CTRL AUTOS'!$E:$AH,2,0)</f>
        <v>#N/A</v>
      </c>
      <c r="AE1081" s="11" t="e">
        <f t="shared" si="118"/>
        <v>#N/A</v>
      </c>
    </row>
    <row r="1082" spans="1:31" ht="12.75" hidden="1" customHeight="1" x14ac:dyDescent="0.3">
      <c r="A1082" s="8">
        <v>46</v>
      </c>
      <c r="B1082" s="20" t="s">
        <v>362</v>
      </c>
      <c r="C1082" s="20" t="s">
        <v>50</v>
      </c>
      <c r="D1082" s="20" t="s">
        <v>237</v>
      </c>
      <c r="E1082" s="20" t="s">
        <v>232</v>
      </c>
      <c r="F1082" s="20" t="s">
        <v>232</v>
      </c>
      <c r="G1082" s="20" t="s">
        <v>234</v>
      </c>
      <c r="H1082" s="23">
        <v>0</v>
      </c>
      <c r="I1082" s="23">
        <v>0</v>
      </c>
      <c r="J1082" s="23">
        <v>0</v>
      </c>
      <c r="K1082" s="23">
        <v>0</v>
      </c>
      <c r="L1082" s="23">
        <v>0</v>
      </c>
      <c r="M1082" s="23">
        <v>0</v>
      </c>
      <c r="N1082" s="23">
        <v>0</v>
      </c>
      <c r="O1082" s="24">
        <f t="shared" si="119"/>
        <v>0</v>
      </c>
      <c r="P1082" s="23">
        <v>0</v>
      </c>
      <c r="Q1082" s="23">
        <v>0</v>
      </c>
      <c r="R1082" s="23">
        <v>0</v>
      </c>
      <c r="S1082" s="23">
        <v>0</v>
      </c>
      <c r="T1082" s="23">
        <v>0</v>
      </c>
      <c r="U1082" s="23">
        <v>0</v>
      </c>
      <c r="V1082" s="23">
        <v>0</v>
      </c>
      <c r="W1082" s="23">
        <f t="shared" si="120"/>
        <v>0</v>
      </c>
      <c r="X1082" s="23">
        <f t="shared" si="121"/>
        <v>0</v>
      </c>
      <c r="Y1082" s="23">
        <f t="shared" si="122"/>
        <v>0</v>
      </c>
      <c r="Z1082" s="23">
        <v>0</v>
      </c>
      <c r="AA1082" s="23">
        <f t="shared" si="116"/>
        <v>0</v>
      </c>
      <c r="AB1082" s="23">
        <f t="shared" si="117"/>
        <v>0</v>
      </c>
      <c r="AC1082" s="20"/>
      <c r="AD1082" s="20" t="str">
        <f>VLOOKUP($C1082,'[1]CTRL AUTOS'!$E:$AH,2,0)</f>
        <v>NBS225A</v>
      </c>
      <c r="AE1082" s="11" t="str">
        <f t="shared" si="118"/>
        <v>NBS225A46</v>
      </c>
    </row>
    <row r="1083" spans="1:31" ht="12.75" hidden="1" customHeight="1" x14ac:dyDescent="0.3">
      <c r="A1083" s="8">
        <v>47</v>
      </c>
      <c r="B1083" s="20" t="s">
        <v>13</v>
      </c>
      <c r="C1083" s="20" t="s">
        <v>30</v>
      </c>
      <c r="D1083" s="20" t="s">
        <v>237</v>
      </c>
      <c r="E1083" s="20" t="s">
        <v>232</v>
      </c>
      <c r="F1083" s="20" t="s">
        <v>291</v>
      </c>
      <c r="G1083" s="20" t="s">
        <v>234</v>
      </c>
      <c r="H1083" s="23">
        <v>2446.77</v>
      </c>
      <c r="I1083" s="23">
        <v>0</v>
      </c>
      <c r="J1083" s="23">
        <v>0</v>
      </c>
      <c r="K1083" s="23">
        <v>0</v>
      </c>
      <c r="L1083" s="23">
        <v>0</v>
      </c>
      <c r="M1083" s="23">
        <v>-20</v>
      </c>
      <c r="N1083" s="23">
        <v>0</v>
      </c>
      <c r="O1083" s="24">
        <f t="shared" si="119"/>
        <v>2426.77</v>
      </c>
      <c r="P1083" s="23">
        <v>-1428.57</v>
      </c>
      <c r="Q1083" s="23">
        <v>0</v>
      </c>
      <c r="R1083" s="23">
        <v>0</v>
      </c>
      <c r="S1083" s="23">
        <v>0</v>
      </c>
      <c r="T1083" s="23">
        <v>0</v>
      </c>
      <c r="U1083" s="23">
        <v>0</v>
      </c>
      <c r="V1083" s="23">
        <v>0</v>
      </c>
      <c r="W1083" s="23">
        <f t="shared" si="120"/>
        <v>998.2</v>
      </c>
      <c r="X1083" s="23">
        <f t="shared" si="121"/>
        <v>998.2</v>
      </c>
      <c r="Y1083" s="23">
        <f t="shared" si="122"/>
        <v>0</v>
      </c>
      <c r="Z1083" s="23">
        <v>0</v>
      </c>
      <c r="AA1083" s="23">
        <f t="shared" si="116"/>
        <v>0</v>
      </c>
      <c r="AB1083" s="23">
        <f t="shared" si="117"/>
        <v>1428.57</v>
      </c>
      <c r="AC1083" s="20"/>
      <c r="AD1083" s="20" t="str">
        <f>VLOOKUP($C1083,'[1]CTRL AUTOS'!$E:$AH,2,0)</f>
        <v>D51BHV</v>
      </c>
      <c r="AE1083" s="11" t="str">
        <f t="shared" si="118"/>
        <v>D51BHV47</v>
      </c>
    </row>
    <row r="1084" spans="1:31" ht="12.75" hidden="1" customHeight="1" x14ac:dyDescent="0.3">
      <c r="A1084" s="8">
        <v>47</v>
      </c>
      <c r="B1084" s="20" t="s">
        <v>11</v>
      </c>
      <c r="C1084" s="20" t="s">
        <v>86</v>
      </c>
      <c r="D1084" s="20" t="s">
        <v>237</v>
      </c>
      <c r="E1084" s="20" t="s">
        <v>232</v>
      </c>
      <c r="F1084" s="20" t="s">
        <v>291</v>
      </c>
      <c r="G1084" s="20" t="s">
        <v>234</v>
      </c>
      <c r="H1084" s="23">
        <v>4386.34</v>
      </c>
      <c r="I1084" s="23">
        <v>0</v>
      </c>
      <c r="J1084" s="23">
        <v>-6.96</v>
      </c>
      <c r="K1084" s="23">
        <v>0</v>
      </c>
      <c r="L1084" s="23">
        <v>-2574.4699999999998</v>
      </c>
      <c r="M1084" s="23">
        <v>-25</v>
      </c>
      <c r="N1084" s="23">
        <v>-149.75</v>
      </c>
      <c r="O1084" s="24">
        <f t="shared" si="119"/>
        <v>1630.1600000000003</v>
      </c>
      <c r="P1084" s="23">
        <v>-1428.57</v>
      </c>
      <c r="Q1084" s="23">
        <v>0</v>
      </c>
      <c r="R1084" s="23">
        <v>0</v>
      </c>
      <c r="S1084" s="23">
        <v>0</v>
      </c>
      <c r="T1084" s="23">
        <v>0</v>
      </c>
      <c r="U1084" s="23">
        <v>0</v>
      </c>
      <c r="V1084" s="23">
        <v>0</v>
      </c>
      <c r="W1084" s="23">
        <f t="shared" si="120"/>
        <v>201.59000000000037</v>
      </c>
      <c r="X1084" s="23">
        <f t="shared" si="121"/>
        <v>201.59000000000037</v>
      </c>
      <c r="Y1084" s="23">
        <f t="shared" si="122"/>
        <v>0</v>
      </c>
      <c r="Z1084" s="23">
        <v>0</v>
      </c>
      <c r="AA1084" s="23">
        <f t="shared" si="116"/>
        <v>0</v>
      </c>
      <c r="AB1084" s="23">
        <f t="shared" si="117"/>
        <v>1428.57</v>
      </c>
      <c r="AC1084" s="20"/>
      <c r="AD1084" s="20" t="str">
        <f>VLOOKUP($C1084,'[1]CTRL AUTOS'!$E:$AH,2,0)</f>
        <v>R22BMR</v>
      </c>
      <c r="AE1084" s="11" t="str">
        <f t="shared" si="118"/>
        <v>R22BMR47</v>
      </c>
    </row>
    <row r="1085" spans="1:31" ht="12.75" hidden="1" customHeight="1" x14ac:dyDescent="0.3">
      <c r="A1085" s="8">
        <v>47</v>
      </c>
      <c r="B1085" s="20" t="s">
        <v>35</v>
      </c>
      <c r="C1085" s="20" t="s">
        <v>36</v>
      </c>
      <c r="D1085" s="20" t="s">
        <v>273</v>
      </c>
      <c r="E1085" s="20" t="s">
        <v>232</v>
      </c>
      <c r="F1085" s="20" t="s">
        <v>291</v>
      </c>
      <c r="G1085" s="20" t="s">
        <v>234</v>
      </c>
      <c r="H1085" s="23">
        <v>3872.21</v>
      </c>
      <c r="I1085" s="23">
        <v>0</v>
      </c>
      <c r="J1085" s="23">
        <v>0</v>
      </c>
      <c r="K1085" s="23">
        <v>0</v>
      </c>
      <c r="L1085" s="23">
        <v>-2313.84</v>
      </c>
      <c r="M1085" s="23">
        <v>-45</v>
      </c>
      <c r="N1085" s="23">
        <v>0</v>
      </c>
      <c r="O1085" s="24">
        <f t="shared" si="119"/>
        <v>1513.37</v>
      </c>
      <c r="P1085" s="23">
        <v>-1428.57</v>
      </c>
      <c r="Q1085" s="23">
        <v>0</v>
      </c>
      <c r="R1085" s="23">
        <v>0</v>
      </c>
      <c r="S1085" s="23">
        <v>0</v>
      </c>
      <c r="T1085" s="23">
        <v>-700</v>
      </c>
      <c r="U1085" s="23">
        <v>0</v>
      </c>
      <c r="V1085" s="23">
        <v>0</v>
      </c>
      <c r="W1085" s="23">
        <f t="shared" si="120"/>
        <v>-615.19999999999982</v>
      </c>
      <c r="X1085" s="23">
        <f t="shared" si="121"/>
        <v>0</v>
      </c>
      <c r="Y1085" s="23">
        <f t="shared" si="122"/>
        <v>-615.19999999999982</v>
      </c>
      <c r="Z1085" s="23">
        <v>615</v>
      </c>
      <c r="AA1085" s="23">
        <f t="shared" si="116"/>
        <v>-0.1999999999998181</v>
      </c>
      <c r="AB1085" s="23">
        <f t="shared" si="117"/>
        <v>2128.17</v>
      </c>
      <c r="AC1085" s="20" t="s">
        <v>494</v>
      </c>
      <c r="AD1085" s="20" t="str">
        <f>VLOOKUP($C1085,'[1]CTRL AUTOS'!$E:$AH,2,0)</f>
        <v>MLC126A</v>
      </c>
      <c r="AE1085" s="11" t="str">
        <f t="shared" si="118"/>
        <v>MLC126A47</v>
      </c>
    </row>
    <row r="1086" spans="1:31" ht="12.75" hidden="1" customHeight="1" x14ac:dyDescent="0.3">
      <c r="A1086" s="8">
        <v>47</v>
      </c>
      <c r="B1086" s="20" t="s">
        <v>25</v>
      </c>
      <c r="C1086" s="20" t="s">
        <v>67</v>
      </c>
      <c r="D1086" s="20" t="s">
        <v>343</v>
      </c>
      <c r="E1086" s="20" t="s">
        <v>232</v>
      </c>
      <c r="F1086" s="20" t="s">
        <v>291</v>
      </c>
      <c r="G1086" s="20" t="s">
        <v>234</v>
      </c>
      <c r="H1086" s="23">
        <v>194.37</v>
      </c>
      <c r="I1086" s="23">
        <v>0</v>
      </c>
      <c r="J1086" s="23">
        <v>0</v>
      </c>
      <c r="K1086" s="23">
        <v>0</v>
      </c>
      <c r="L1086" s="23">
        <v>0</v>
      </c>
      <c r="M1086" s="23">
        <v>-20</v>
      </c>
      <c r="N1086" s="23">
        <v>-95</v>
      </c>
      <c r="O1086" s="24">
        <f t="shared" si="119"/>
        <v>79.37</v>
      </c>
      <c r="P1086" s="23">
        <v>-1428.57</v>
      </c>
      <c r="Q1086" s="23">
        <v>-380</v>
      </c>
      <c r="R1086" s="23">
        <v>0</v>
      </c>
      <c r="S1086" s="23">
        <v>0</v>
      </c>
      <c r="T1086" s="23">
        <v>0</v>
      </c>
      <c r="U1086" s="23">
        <v>0</v>
      </c>
      <c r="V1086" s="23">
        <v>0</v>
      </c>
      <c r="W1086" s="23">
        <f t="shared" si="120"/>
        <v>-1729.1999999999998</v>
      </c>
      <c r="X1086" s="23">
        <f t="shared" si="121"/>
        <v>0</v>
      </c>
      <c r="Y1086" s="23">
        <f t="shared" si="122"/>
        <v>-1729.1999999999998</v>
      </c>
      <c r="Z1086" s="23">
        <f>714+350</f>
        <v>1064</v>
      </c>
      <c r="AA1086" s="23">
        <f t="shared" si="116"/>
        <v>-665.19999999999982</v>
      </c>
      <c r="AB1086" s="23">
        <f t="shared" si="117"/>
        <v>478.17000000000007</v>
      </c>
      <c r="AC1086" s="20" t="s">
        <v>495</v>
      </c>
      <c r="AD1086" s="20" t="str">
        <f>VLOOKUP($C1086,'[1]CTRL AUTOS'!$E:$AH,2,0)</f>
        <v>MFP751C</v>
      </c>
      <c r="AE1086" s="11" t="str">
        <f t="shared" si="118"/>
        <v>MFP751C47</v>
      </c>
    </row>
    <row r="1087" spans="1:31" ht="12.75" hidden="1" customHeight="1" x14ac:dyDescent="0.3">
      <c r="A1087" s="8">
        <v>47</v>
      </c>
      <c r="B1087" s="20" t="s">
        <v>487</v>
      </c>
      <c r="C1087" s="20" t="s">
        <v>44</v>
      </c>
      <c r="D1087" s="20" t="s">
        <v>467</v>
      </c>
      <c r="E1087" s="22" t="s">
        <v>232</v>
      </c>
      <c r="F1087" s="20" t="s">
        <v>291</v>
      </c>
      <c r="G1087" s="20" t="s">
        <v>234</v>
      </c>
      <c r="H1087" s="23">
        <v>471.06</v>
      </c>
      <c r="I1087" s="23">
        <v>0</v>
      </c>
      <c r="J1087" s="23">
        <v>0</v>
      </c>
      <c r="K1087" s="23">
        <v>0</v>
      </c>
      <c r="L1087" s="23">
        <v>-200.4</v>
      </c>
      <c r="M1087" s="23">
        <v>0</v>
      </c>
      <c r="N1087" s="23">
        <v>0</v>
      </c>
      <c r="O1087" s="24">
        <f t="shared" si="119"/>
        <v>270.65999999999997</v>
      </c>
      <c r="P1087" s="23">
        <v>0</v>
      </c>
      <c r="Q1087" s="23">
        <v>-928</v>
      </c>
      <c r="R1087" s="23">
        <v>0</v>
      </c>
      <c r="S1087" s="23">
        <v>0</v>
      </c>
      <c r="T1087" s="23">
        <v>0</v>
      </c>
      <c r="U1087" s="23">
        <v>0</v>
      </c>
      <c r="V1087" s="23">
        <v>0</v>
      </c>
      <c r="W1087" s="23">
        <f t="shared" si="120"/>
        <v>-657.34</v>
      </c>
      <c r="X1087" s="23">
        <f t="shared" si="121"/>
        <v>0</v>
      </c>
      <c r="Y1087" s="23">
        <f t="shared" si="122"/>
        <v>-657.34</v>
      </c>
      <c r="Z1087" s="23">
        <v>0</v>
      </c>
      <c r="AA1087" s="23">
        <f t="shared" si="116"/>
        <v>-657.34</v>
      </c>
      <c r="AB1087" s="23">
        <f t="shared" si="117"/>
        <v>-386.68000000000006</v>
      </c>
      <c r="AC1087" s="20" t="s">
        <v>307</v>
      </c>
      <c r="AD1087" s="20" t="str">
        <f>VLOOKUP($C1087,'[1]CTRL AUTOS'!$E:$AH,2,0)</f>
        <v>MAY730C</v>
      </c>
      <c r="AE1087" s="11" t="str">
        <f t="shared" si="118"/>
        <v>MAY730C47</v>
      </c>
    </row>
    <row r="1088" spans="1:31" ht="12.75" hidden="1" customHeight="1" x14ac:dyDescent="0.3">
      <c r="A1088" s="8">
        <v>47</v>
      </c>
      <c r="B1088" s="20" t="s">
        <v>74</v>
      </c>
      <c r="C1088" s="20" t="s">
        <v>75</v>
      </c>
      <c r="D1088" s="20" t="s">
        <v>333</v>
      </c>
      <c r="E1088" s="22" t="s">
        <v>241</v>
      </c>
      <c r="F1088" s="20" t="s">
        <v>291</v>
      </c>
      <c r="G1088" s="20" t="s">
        <v>234</v>
      </c>
      <c r="H1088" s="23">
        <v>3015.85</v>
      </c>
      <c r="I1088" s="23">
        <v>0</v>
      </c>
      <c r="J1088" s="23">
        <v>5.62</v>
      </c>
      <c r="K1088" s="23">
        <v>0</v>
      </c>
      <c r="L1088" s="23">
        <v>-1517.28</v>
      </c>
      <c r="M1088" s="23">
        <v>-60</v>
      </c>
      <c r="N1088" s="23">
        <v>0</v>
      </c>
      <c r="O1088" s="24">
        <f t="shared" si="119"/>
        <v>1444.1899999999998</v>
      </c>
      <c r="P1088" s="23">
        <f>-2500+357</f>
        <v>-2143</v>
      </c>
      <c r="Q1088" s="23">
        <v>0</v>
      </c>
      <c r="R1088" s="23">
        <v>0</v>
      </c>
      <c r="S1088" s="23">
        <v>0</v>
      </c>
      <c r="T1088" s="23">
        <v>-500</v>
      </c>
      <c r="U1088" s="23">
        <v>0</v>
      </c>
      <c r="V1088" s="23">
        <v>0</v>
      </c>
      <c r="W1088" s="23">
        <f t="shared" si="120"/>
        <v>-1198.8100000000002</v>
      </c>
      <c r="X1088" s="23">
        <f t="shared" si="121"/>
        <v>0</v>
      </c>
      <c r="Y1088" s="23">
        <f t="shared" si="122"/>
        <v>-1198.8100000000002</v>
      </c>
      <c r="Z1088" s="23">
        <v>800</v>
      </c>
      <c r="AA1088" s="23">
        <f t="shared" si="116"/>
        <v>-398.81000000000017</v>
      </c>
      <c r="AB1088" s="23">
        <f t="shared" si="117"/>
        <v>1845.3799999999994</v>
      </c>
      <c r="AC1088" s="20"/>
      <c r="AD1088" s="20" t="str">
        <f>VLOOKUP($C1088,'[1]CTRL AUTOS'!$E:$AH,2,0)</f>
        <v>NFN014B</v>
      </c>
      <c r="AE1088" s="11" t="str">
        <f t="shared" si="118"/>
        <v>NFN014B47</v>
      </c>
    </row>
    <row r="1089" spans="1:31" ht="12.75" hidden="1" customHeight="1" x14ac:dyDescent="0.3">
      <c r="A1089" s="8">
        <v>47</v>
      </c>
      <c r="B1089" s="20" t="s">
        <v>111</v>
      </c>
      <c r="C1089" s="20" t="s">
        <v>63</v>
      </c>
      <c r="D1089" s="20" t="s">
        <v>374</v>
      </c>
      <c r="E1089" s="20" t="s">
        <v>291</v>
      </c>
      <c r="F1089" s="20" t="s">
        <v>291</v>
      </c>
      <c r="G1089" s="20" t="s">
        <v>234</v>
      </c>
      <c r="H1089" s="23">
        <v>4868</v>
      </c>
      <c r="I1089" s="23">
        <v>0</v>
      </c>
      <c r="J1089" s="23">
        <v>0</v>
      </c>
      <c r="K1089" s="23">
        <v>0</v>
      </c>
      <c r="L1089" s="23">
        <v>-1550.91</v>
      </c>
      <c r="M1089" s="23">
        <v>-60</v>
      </c>
      <c r="N1089" s="23">
        <v>0</v>
      </c>
      <c r="O1089" s="24">
        <f t="shared" si="119"/>
        <v>3257.09</v>
      </c>
      <c r="P1089" s="23">
        <v>-2500</v>
      </c>
      <c r="Q1089" s="23">
        <v>0</v>
      </c>
      <c r="R1089" s="23">
        <v>0</v>
      </c>
      <c r="S1089" s="23">
        <v>0</v>
      </c>
      <c r="T1089" s="23">
        <v>0</v>
      </c>
      <c r="U1089" s="23">
        <v>0</v>
      </c>
      <c r="V1089" s="23">
        <v>0</v>
      </c>
      <c r="W1089" s="23">
        <f t="shared" si="120"/>
        <v>757.09000000000015</v>
      </c>
      <c r="X1089" s="23">
        <f t="shared" si="121"/>
        <v>757.09000000000015</v>
      </c>
      <c r="Y1089" s="23">
        <f t="shared" si="122"/>
        <v>0</v>
      </c>
      <c r="Z1089" s="23">
        <v>0</v>
      </c>
      <c r="AA1089" s="23">
        <f t="shared" si="116"/>
        <v>0</v>
      </c>
      <c r="AB1089" s="23">
        <f t="shared" si="117"/>
        <v>2500</v>
      </c>
      <c r="AC1089" s="20"/>
      <c r="AD1089" s="20" t="str">
        <f>VLOOKUP($C1089,'[1]CTRL AUTOS'!$E:$AH,2,0)</f>
        <v>X89ALV</v>
      </c>
      <c r="AE1089" s="11" t="str">
        <f t="shared" si="118"/>
        <v>X89ALV47</v>
      </c>
    </row>
    <row r="1090" spans="1:31" ht="12.75" hidden="1" customHeight="1" x14ac:dyDescent="0.3">
      <c r="A1090" s="8">
        <v>47</v>
      </c>
      <c r="B1090" s="20" t="s">
        <v>78</v>
      </c>
      <c r="C1090" s="44" t="s">
        <v>79</v>
      </c>
      <c r="D1090" s="20" t="s">
        <v>475</v>
      </c>
      <c r="E1090" s="20" t="s">
        <v>291</v>
      </c>
      <c r="F1090" s="20" t="s">
        <v>291</v>
      </c>
      <c r="G1090" s="20" t="s">
        <v>234</v>
      </c>
      <c r="H1090" s="23">
        <v>3259.68</v>
      </c>
      <c r="I1090" s="23">
        <v>0</v>
      </c>
      <c r="J1090" s="23">
        <v>0</v>
      </c>
      <c r="K1090" s="23">
        <v>-26.35</v>
      </c>
      <c r="L1090" s="23">
        <v>-416.2</v>
      </c>
      <c r="M1090" s="23">
        <v>-45</v>
      </c>
      <c r="N1090" s="23">
        <v>0</v>
      </c>
      <c r="O1090" s="24">
        <f t="shared" si="119"/>
        <v>2772.13</v>
      </c>
      <c r="P1090" s="23">
        <v>-2500</v>
      </c>
      <c r="Q1090" s="23">
        <v>0</v>
      </c>
      <c r="R1090" s="23">
        <v>-500</v>
      </c>
      <c r="S1090" s="23">
        <v>0</v>
      </c>
      <c r="T1090" s="23">
        <v>0</v>
      </c>
      <c r="U1090" s="23">
        <v>0</v>
      </c>
      <c r="V1090" s="23">
        <v>0</v>
      </c>
      <c r="W1090" s="23">
        <f t="shared" si="120"/>
        <v>-227.86999999999989</v>
      </c>
      <c r="X1090" s="23">
        <f t="shared" si="121"/>
        <v>0</v>
      </c>
      <c r="Y1090" s="23">
        <f t="shared" si="122"/>
        <v>-227.86999999999989</v>
      </c>
      <c r="Z1090" s="23">
        <v>228</v>
      </c>
      <c r="AA1090" s="23">
        <f t="shared" si="116"/>
        <v>0.13000000000010914</v>
      </c>
      <c r="AB1090" s="23">
        <f t="shared" si="117"/>
        <v>3000.26</v>
      </c>
      <c r="AC1090" s="20" t="s">
        <v>496</v>
      </c>
      <c r="AD1090" s="20" t="str">
        <f>VLOOKUP($C1090,'[1]CTRL AUTOS'!$E:$AH,2,0)</f>
        <v>MAY737C</v>
      </c>
      <c r="AE1090" s="11" t="str">
        <f t="shared" si="118"/>
        <v>MAY737C47</v>
      </c>
    </row>
    <row r="1091" spans="1:31" ht="12.75" hidden="1" customHeight="1" x14ac:dyDescent="0.3">
      <c r="A1091" s="8">
        <v>47</v>
      </c>
      <c r="B1091" s="20" t="s">
        <v>72</v>
      </c>
      <c r="C1091" s="20" t="s">
        <v>73</v>
      </c>
      <c r="D1091" s="20" t="s">
        <v>368</v>
      </c>
      <c r="E1091" s="22" t="s">
        <v>241</v>
      </c>
      <c r="F1091" s="20" t="s">
        <v>291</v>
      </c>
      <c r="G1091" s="20" t="s">
        <v>234</v>
      </c>
      <c r="H1091" s="23">
        <v>7915.62</v>
      </c>
      <c r="I1091" s="23">
        <v>-72</v>
      </c>
      <c r="J1091" s="23">
        <v>0</v>
      </c>
      <c r="K1091" s="23">
        <v>-75.83</v>
      </c>
      <c r="L1091" s="23">
        <v>-3627.99</v>
      </c>
      <c r="M1091" s="23">
        <v>-85</v>
      </c>
      <c r="N1091" s="23">
        <v>-827</v>
      </c>
      <c r="O1091" s="24">
        <f t="shared" si="119"/>
        <v>3227.8</v>
      </c>
      <c r="P1091" s="23">
        <v>-2500</v>
      </c>
      <c r="Q1091" s="23">
        <v>0</v>
      </c>
      <c r="R1091" s="23">
        <v>0</v>
      </c>
      <c r="S1091" s="23">
        <v>0</v>
      </c>
      <c r="T1091" s="23">
        <v>-700</v>
      </c>
      <c r="U1091" s="23">
        <v>0</v>
      </c>
      <c r="V1091" s="23">
        <v>0</v>
      </c>
      <c r="W1091" s="23">
        <f t="shared" si="120"/>
        <v>27.800000000000182</v>
      </c>
      <c r="X1091" s="23">
        <f t="shared" si="121"/>
        <v>27.800000000000182</v>
      </c>
      <c r="Y1091" s="23">
        <f t="shared" si="122"/>
        <v>0</v>
      </c>
      <c r="Z1091" s="23">
        <v>0</v>
      </c>
      <c r="AA1091" s="23">
        <f t="shared" ref="AA1091:AA1154" si="123">+Y1091+Z1091</f>
        <v>0</v>
      </c>
      <c r="AB1091" s="23">
        <f t="shared" ref="AB1091:AB1154" si="124">+O1091-X1091+Z1091+AA1091</f>
        <v>3200</v>
      </c>
      <c r="AC1091" s="20"/>
      <c r="AD1091" s="20" t="str">
        <f>VLOOKUP($C1091,'[1]CTRL AUTOS'!$E:$AH,2,0)</f>
        <v>H99BLC</v>
      </c>
      <c r="AE1091" s="11" t="str">
        <f t="shared" si="118"/>
        <v>H99BLC47</v>
      </c>
    </row>
    <row r="1092" spans="1:31" ht="12.75" hidden="1" customHeight="1" x14ac:dyDescent="0.3">
      <c r="A1092" s="8">
        <v>47</v>
      </c>
      <c r="B1092" s="20" t="s">
        <v>17</v>
      </c>
      <c r="C1092" s="20" t="s">
        <v>69</v>
      </c>
      <c r="D1092" s="20" t="s">
        <v>370</v>
      </c>
      <c r="E1092" s="22" t="s">
        <v>241</v>
      </c>
      <c r="F1092" s="20" t="s">
        <v>291</v>
      </c>
      <c r="G1092" s="20" t="s">
        <v>234</v>
      </c>
      <c r="H1092" s="23">
        <v>1622.28</v>
      </c>
      <c r="I1092" s="23">
        <v>0</v>
      </c>
      <c r="J1092" s="23">
        <v>0</v>
      </c>
      <c r="K1092" s="23">
        <v>0</v>
      </c>
      <c r="L1092" s="23">
        <v>-584.30999999999995</v>
      </c>
      <c r="M1092" s="23">
        <v>-60</v>
      </c>
      <c r="N1092" s="23">
        <v>0</v>
      </c>
      <c r="O1092" s="24">
        <f t="shared" si="119"/>
        <v>977.97</v>
      </c>
      <c r="P1092" s="23">
        <v>-2500</v>
      </c>
      <c r="Q1092" s="23">
        <v>0</v>
      </c>
      <c r="R1092" s="23">
        <v>0</v>
      </c>
      <c r="S1092" s="23">
        <v>0</v>
      </c>
      <c r="T1092" s="23">
        <v>0</v>
      </c>
      <c r="U1092" s="23">
        <v>0</v>
      </c>
      <c r="V1092" s="23">
        <v>0</v>
      </c>
      <c r="W1092" s="23">
        <f t="shared" si="120"/>
        <v>-1522.03</v>
      </c>
      <c r="X1092" s="23">
        <f t="shared" si="121"/>
        <v>0</v>
      </c>
      <c r="Y1092" s="23">
        <f t="shared" si="122"/>
        <v>-1522.03</v>
      </c>
      <c r="Z1092" s="23">
        <v>1445</v>
      </c>
      <c r="AA1092" s="23">
        <f t="shared" si="123"/>
        <v>-77.029999999999973</v>
      </c>
      <c r="AB1092" s="23">
        <f t="shared" si="124"/>
        <v>2345.9400000000005</v>
      </c>
      <c r="AC1092" s="20"/>
      <c r="AD1092" s="20" t="str">
        <f>VLOOKUP($C1092,'[1]CTRL AUTOS'!$E:$AH,2,0)</f>
        <v>R51BKD</v>
      </c>
      <c r="AE1092" s="11" t="str">
        <f t="shared" ref="AE1092:AE1155" si="125">AD1092&amp;A1092</f>
        <v>R51BKD47</v>
      </c>
    </row>
    <row r="1093" spans="1:31" ht="12.75" hidden="1" customHeight="1" x14ac:dyDescent="0.3">
      <c r="A1093" s="8">
        <v>47</v>
      </c>
      <c r="B1093" s="20" t="s">
        <v>396</v>
      </c>
      <c r="C1093" s="20" t="s">
        <v>75</v>
      </c>
      <c r="D1093" s="20" t="s">
        <v>333</v>
      </c>
      <c r="E1093" s="22" t="s">
        <v>241</v>
      </c>
      <c r="F1093" s="20" t="s">
        <v>291</v>
      </c>
      <c r="G1093" s="20" t="s">
        <v>234</v>
      </c>
      <c r="H1093" s="23">
        <v>0</v>
      </c>
      <c r="I1093" s="23">
        <v>0</v>
      </c>
      <c r="J1093" s="23">
        <v>0</v>
      </c>
      <c r="K1093" s="23">
        <v>0</v>
      </c>
      <c r="L1093" s="23">
        <v>0</v>
      </c>
      <c r="M1093" s="23">
        <v>0</v>
      </c>
      <c r="N1093" s="23">
        <v>0</v>
      </c>
      <c r="O1093" s="24">
        <f t="shared" si="119"/>
        <v>0</v>
      </c>
      <c r="P1093" s="23">
        <v>0</v>
      </c>
      <c r="Q1093" s="23">
        <v>0</v>
      </c>
      <c r="R1093" s="23">
        <v>500</v>
      </c>
      <c r="S1093" s="23">
        <v>0</v>
      </c>
      <c r="T1093" s="23">
        <v>0</v>
      </c>
      <c r="U1093" s="23">
        <v>0</v>
      </c>
      <c r="V1093" s="23">
        <v>0</v>
      </c>
      <c r="W1093" s="23">
        <f t="shared" si="120"/>
        <v>500</v>
      </c>
      <c r="X1093" s="23">
        <f t="shared" si="121"/>
        <v>500</v>
      </c>
      <c r="Y1093" s="23">
        <f t="shared" si="122"/>
        <v>0</v>
      </c>
      <c r="Z1093" s="23">
        <v>0</v>
      </c>
      <c r="AA1093" s="23">
        <f t="shared" si="123"/>
        <v>0</v>
      </c>
      <c r="AB1093" s="23">
        <f t="shared" si="124"/>
        <v>-500</v>
      </c>
      <c r="AC1093" s="20"/>
      <c r="AD1093" s="20" t="str">
        <f>VLOOKUP($C1093,'[1]CTRL AUTOS'!$E:$AH,2,0)</f>
        <v>NFN014B</v>
      </c>
      <c r="AE1093" s="11" t="str">
        <f t="shared" si="125"/>
        <v>NFN014B47</v>
      </c>
    </row>
    <row r="1094" spans="1:31" ht="12.75" hidden="1" customHeight="1" x14ac:dyDescent="0.3">
      <c r="A1094" s="8">
        <v>47</v>
      </c>
      <c r="B1094" s="20" t="s">
        <v>361</v>
      </c>
      <c r="C1094" s="20" t="s">
        <v>56</v>
      </c>
      <c r="D1094" s="20" t="s">
        <v>237</v>
      </c>
      <c r="E1094" s="22" t="s">
        <v>241</v>
      </c>
      <c r="F1094" s="20" t="s">
        <v>291</v>
      </c>
      <c r="G1094" s="20" t="s">
        <v>234</v>
      </c>
      <c r="H1094" s="23">
        <v>0</v>
      </c>
      <c r="I1094" s="23">
        <v>0</v>
      </c>
      <c r="J1094" s="23">
        <v>0</v>
      </c>
      <c r="K1094" s="23">
        <v>0</v>
      </c>
      <c r="L1094" s="23">
        <v>0</v>
      </c>
      <c r="M1094" s="23">
        <v>0</v>
      </c>
      <c r="N1094" s="23">
        <v>0</v>
      </c>
      <c r="O1094" s="24">
        <f t="shared" si="119"/>
        <v>0</v>
      </c>
      <c r="P1094" s="23">
        <v>0</v>
      </c>
      <c r="Q1094" s="23">
        <v>0</v>
      </c>
      <c r="R1094" s="23">
        <v>500</v>
      </c>
      <c r="S1094" s="23">
        <v>0</v>
      </c>
      <c r="T1094" s="23">
        <v>0</v>
      </c>
      <c r="U1094" s="23">
        <v>0</v>
      </c>
      <c r="V1094" s="23">
        <v>0</v>
      </c>
      <c r="W1094" s="23">
        <f t="shared" si="120"/>
        <v>500</v>
      </c>
      <c r="X1094" s="23">
        <f t="shared" si="121"/>
        <v>500</v>
      </c>
      <c r="Y1094" s="23">
        <f t="shared" si="122"/>
        <v>0</v>
      </c>
      <c r="Z1094" s="23">
        <v>0</v>
      </c>
      <c r="AA1094" s="23">
        <f t="shared" si="123"/>
        <v>0</v>
      </c>
      <c r="AB1094" s="23">
        <f t="shared" si="124"/>
        <v>-500</v>
      </c>
      <c r="AC1094" s="20"/>
      <c r="AD1094" s="20" t="str">
        <f>VLOOKUP($C1094,'[1]CTRL AUTOS'!$E:$AH,2,0)</f>
        <v>MYE912A</v>
      </c>
      <c r="AE1094" s="11" t="str">
        <f t="shared" si="125"/>
        <v>MYE912A47</v>
      </c>
    </row>
    <row r="1095" spans="1:31" ht="12.75" hidden="1" customHeight="1" x14ac:dyDescent="0.3">
      <c r="A1095" s="8">
        <v>47</v>
      </c>
      <c r="B1095" s="20" t="s">
        <v>76</v>
      </c>
      <c r="C1095" s="20" t="s">
        <v>56</v>
      </c>
      <c r="D1095" s="20" t="s">
        <v>237</v>
      </c>
      <c r="E1095" s="22" t="s">
        <v>241</v>
      </c>
      <c r="F1095" s="20" t="s">
        <v>291</v>
      </c>
      <c r="G1095" s="20" t="s">
        <v>234</v>
      </c>
      <c r="H1095" s="23">
        <v>2782.19</v>
      </c>
      <c r="I1095" s="23">
        <v>0</v>
      </c>
      <c r="J1095" s="23">
        <v>0</v>
      </c>
      <c r="K1095" s="23">
        <v>-24.4</v>
      </c>
      <c r="L1095" s="23">
        <v>-2222.35</v>
      </c>
      <c r="M1095" s="23">
        <v>-45</v>
      </c>
      <c r="N1095" s="23">
        <v>0</v>
      </c>
      <c r="O1095" s="24">
        <f t="shared" si="119"/>
        <v>490.44000000000005</v>
      </c>
      <c r="P1095" s="23">
        <v>-1785.71</v>
      </c>
      <c r="Q1095" s="23">
        <v>0</v>
      </c>
      <c r="R1095" s="23">
        <v>-500</v>
      </c>
      <c r="S1095" s="23">
        <v>0</v>
      </c>
      <c r="T1095" s="23">
        <v>0</v>
      </c>
      <c r="U1095" s="23">
        <v>0</v>
      </c>
      <c r="V1095" s="23">
        <v>0</v>
      </c>
      <c r="W1095" s="23">
        <f t="shared" si="120"/>
        <v>-1795.27</v>
      </c>
      <c r="X1095" s="23">
        <f t="shared" si="121"/>
        <v>0</v>
      </c>
      <c r="Y1095" s="23">
        <f t="shared" si="122"/>
        <v>-1795.27</v>
      </c>
      <c r="Z1095" s="23">
        <v>1795</v>
      </c>
      <c r="AA1095" s="23">
        <f t="shared" si="123"/>
        <v>-0.26999999999998181</v>
      </c>
      <c r="AB1095" s="23">
        <f t="shared" si="124"/>
        <v>2285.17</v>
      </c>
      <c r="AD1095" s="20" t="str">
        <f>VLOOKUP($C1095,'[1]CTRL AUTOS'!$E:$AH,2,0)</f>
        <v>MYE912A</v>
      </c>
      <c r="AE1095" s="11" t="str">
        <f t="shared" si="125"/>
        <v>MYE912A47</v>
      </c>
    </row>
    <row r="1096" spans="1:31" ht="12.75" hidden="1" customHeight="1" x14ac:dyDescent="0.3">
      <c r="A1096" s="8">
        <v>47</v>
      </c>
      <c r="B1096" s="20" t="s">
        <v>49</v>
      </c>
      <c r="C1096" s="20" t="s">
        <v>50</v>
      </c>
      <c r="D1096" s="20" t="s">
        <v>480</v>
      </c>
      <c r="E1096" s="20" t="s">
        <v>232</v>
      </c>
      <c r="F1096" s="20" t="s">
        <v>232</v>
      </c>
      <c r="G1096" s="20" t="s">
        <v>234</v>
      </c>
      <c r="H1096" s="23">
        <v>7531.75</v>
      </c>
      <c r="I1096" s="23">
        <v>-40</v>
      </c>
      <c r="J1096" s="23">
        <v>0</v>
      </c>
      <c r="K1096" s="23">
        <v>0</v>
      </c>
      <c r="L1096" s="23">
        <v>-153.97</v>
      </c>
      <c r="M1096" s="23">
        <v>-40</v>
      </c>
      <c r="N1096" s="23">
        <v>0</v>
      </c>
      <c r="O1096" s="24">
        <f t="shared" si="119"/>
        <v>7297.78</v>
      </c>
      <c r="P1096" s="23">
        <v>-2500</v>
      </c>
      <c r="Q1096" s="23">
        <v>0</v>
      </c>
      <c r="R1096" s="23">
        <v>-500</v>
      </c>
      <c r="S1096" s="23">
        <v>0</v>
      </c>
      <c r="T1096" s="23">
        <v>-700</v>
      </c>
      <c r="U1096" s="23">
        <v>0</v>
      </c>
      <c r="V1096" s="23">
        <v>0</v>
      </c>
      <c r="W1096" s="23">
        <f t="shared" si="120"/>
        <v>3597.7799999999997</v>
      </c>
      <c r="X1096" s="23">
        <f t="shared" si="121"/>
        <v>3597.7799999999997</v>
      </c>
      <c r="Y1096" s="23">
        <f t="shared" si="122"/>
        <v>0</v>
      </c>
      <c r="Z1096" s="23">
        <v>0</v>
      </c>
      <c r="AA1096" s="23">
        <f t="shared" si="123"/>
        <v>0</v>
      </c>
      <c r="AB1096" s="23">
        <f t="shared" si="124"/>
        <v>3700</v>
      </c>
      <c r="AC1096" s="20"/>
      <c r="AD1096" s="20" t="str">
        <f>VLOOKUP($C1096,'[1]CTRL AUTOS'!$E:$AH,2,0)</f>
        <v>NBS225A</v>
      </c>
      <c r="AE1096" s="11" t="str">
        <f t="shared" si="125"/>
        <v>NBS225A47</v>
      </c>
    </row>
    <row r="1097" spans="1:31" ht="12.75" hidden="1" customHeight="1" x14ac:dyDescent="0.3">
      <c r="A1097" s="8">
        <v>47</v>
      </c>
      <c r="B1097" s="20" t="s">
        <v>47</v>
      </c>
      <c r="C1097" s="20" t="s">
        <v>106</v>
      </c>
      <c r="D1097" s="20" t="s">
        <v>322</v>
      </c>
      <c r="E1097" s="20" t="s">
        <v>232</v>
      </c>
      <c r="F1097" s="20" t="s">
        <v>232</v>
      </c>
      <c r="G1097" s="20" t="s">
        <v>234</v>
      </c>
      <c r="H1097" s="23">
        <v>3462.63</v>
      </c>
      <c r="I1097" s="23">
        <v>-54.61</v>
      </c>
      <c r="J1097" s="23">
        <v>128</v>
      </c>
      <c r="K1097" s="23">
        <v>-43.05</v>
      </c>
      <c r="L1097" s="23">
        <v>-1563.86</v>
      </c>
      <c r="M1097" s="23">
        <v>-50</v>
      </c>
      <c r="N1097" s="23">
        <v>0</v>
      </c>
      <c r="O1097" s="24">
        <f t="shared" si="119"/>
        <v>1879.11</v>
      </c>
      <c r="P1097" s="23">
        <v>-2500</v>
      </c>
      <c r="Q1097" s="23">
        <v>0</v>
      </c>
      <c r="R1097" s="23">
        <v>-500</v>
      </c>
      <c r="S1097" s="23">
        <v>0</v>
      </c>
      <c r="T1097" s="23">
        <v>0</v>
      </c>
      <c r="U1097" s="23">
        <v>0</v>
      </c>
      <c r="V1097" s="23">
        <v>0</v>
      </c>
      <c r="W1097" s="23">
        <f t="shared" si="120"/>
        <v>-1120.8900000000001</v>
      </c>
      <c r="X1097" s="23">
        <f t="shared" si="121"/>
        <v>0</v>
      </c>
      <c r="Y1097" s="23">
        <f t="shared" si="122"/>
        <v>-1120.8900000000001</v>
      </c>
      <c r="Z1097" s="23">
        <v>1121</v>
      </c>
      <c r="AA1097" s="23">
        <f t="shared" si="123"/>
        <v>0.10999999999989996</v>
      </c>
      <c r="AB1097" s="23">
        <f t="shared" si="124"/>
        <v>3000.2199999999993</v>
      </c>
      <c r="AC1097" s="20"/>
      <c r="AD1097" s="20" t="str">
        <f>VLOOKUP($C1097,'[1]CTRL AUTOS'!$E:$AH,2,0)</f>
        <v>NZU5163</v>
      </c>
      <c r="AE1097" s="11" t="str">
        <f t="shared" si="125"/>
        <v>NZU516347</v>
      </c>
    </row>
    <row r="1098" spans="1:31" ht="12.75" hidden="1" customHeight="1" x14ac:dyDescent="0.3">
      <c r="A1098" s="8">
        <v>47</v>
      </c>
      <c r="B1098" s="20" t="s">
        <v>60</v>
      </c>
      <c r="C1098" s="41" t="s">
        <v>42</v>
      </c>
      <c r="D1098" s="20" t="s">
        <v>490</v>
      </c>
      <c r="E1098" s="20" t="s">
        <v>232</v>
      </c>
      <c r="F1098" s="20" t="s">
        <v>232</v>
      </c>
      <c r="G1098" s="20" t="s">
        <v>234</v>
      </c>
      <c r="H1098" s="23">
        <v>6238.35</v>
      </c>
      <c r="I1098" s="23">
        <v>-98.4</v>
      </c>
      <c r="J1098" s="23">
        <v>0</v>
      </c>
      <c r="K1098" s="23">
        <v>0</v>
      </c>
      <c r="L1098" s="23">
        <v>-2879.35</v>
      </c>
      <c r="M1098" s="23">
        <v>-60</v>
      </c>
      <c r="N1098" s="23">
        <v>0</v>
      </c>
      <c r="O1098" s="24">
        <f t="shared" si="119"/>
        <v>3200.6000000000008</v>
      </c>
      <c r="P1098" s="23">
        <v>-2500</v>
      </c>
      <c r="Q1098" s="23">
        <v>0</v>
      </c>
      <c r="R1098" s="23">
        <v>-500</v>
      </c>
      <c r="S1098" s="23">
        <v>0</v>
      </c>
      <c r="T1098" s="23">
        <v>0</v>
      </c>
      <c r="U1098" s="23">
        <v>0</v>
      </c>
      <c r="V1098" s="23">
        <v>0</v>
      </c>
      <c r="W1098" s="23">
        <f t="shared" si="120"/>
        <v>200.60000000000082</v>
      </c>
      <c r="X1098" s="23">
        <f t="shared" si="121"/>
        <v>200.60000000000082</v>
      </c>
      <c r="Y1098" s="23">
        <f t="shared" si="122"/>
        <v>0</v>
      </c>
      <c r="Z1098" s="23">
        <v>0</v>
      </c>
      <c r="AA1098" s="23">
        <f t="shared" si="123"/>
        <v>0</v>
      </c>
      <c r="AB1098" s="23">
        <f t="shared" si="124"/>
        <v>3000</v>
      </c>
      <c r="AC1098" s="20"/>
      <c r="AD1098" s="20" t="str">
        <f>VLOOKUP($C1098,'[1]CTRL AUTOS'!$E:$AH,2,0)</f>
        <v>MMA672C</v>
      </c>
      <c r="AE1098" s="11" t="str">
        <f t="shared" si="125"/>
        <v>MMA672C47</v>
      </c>
    </row>
    <row r="1099" spans="1:31" ht="12.75" hidden="1" customHeight="1" x14ac:dyDescent="0.3">
      <c r="A1099" s="8">
        <v>47</v>
      </c>
      <c r="B1099" s="20" t="s">
        <v>19</v>
      </c>
      <c r="C1099" s="20" t="s">
        <v>20</v>
      </c>
      <c r="D1099" s="20" t="s">
        <v>239</v>
      </c>
      <c r="E1099" s="20" t="s">
        <v>232</v>
      </c>
      <c r="F1099" s="20" t="s">
        <v>232</v>
      </c>
      <c r="G1099" s="20" t="s">
        <v>234</v>
      </c>
      <c r="H1099" s="23">
        <v>4908.1499999999996</v>
      </c>
      <c r="I1099" s="23">
        <v>0</v>
      </c>
      <c r="J1099" s="23">
        <v>0</v>
      </c>
      <c r="K1099" s="23">
        <v>-36.14</v>
      </c>
      <c r="L1099" s="23">
        <v>0</v>
      </c>
      <c r="M1099" s="23">
        <v>-65</v>
      </c>
      <c r="N1099" s="23">
        <v>0</v>
      </c>
      <c r="O1099" s="24">
        <f t="shared" si="119"/>
        <v>4807.0099999999993</v>
      </c>
      <c r="P1099" s="23">
        <v>-2500</v>
      </c>
      <c r="Q1099" s="23">
        <v>0</v>
      </c>
      <c r="R1099" s="23">
        <v>0</v>
      </c>
      <c r="S1099" s="23">
        <v>0</v>
      </c>
      <c r="T1099" s="23">
        <v>0</v>
      </c>
      <c r="U1099" s="23">
        <v>-1000</v>
      </c>
      <c r="V1099" s="23">
        <v>0</v>
      </c>
      <c r="W1099" s="23">
        <f t="shared" si="120"/>
        <v>1307.0099999999993</v>
      </c>
      <c r="X1099" s="23">
        <f t="shared" si="121"/>
        <v>1307.0099999999993</v>
      </c>
      <c r="Y1099" s="23">
        <f t="shared" si="122"/>
        <v>0</v>
      </c>
      <c r="Z1099" s="23">
        <v>0</v>
      </c>
      <c r="AA1099" s="23">
        <f t="shared" si="123"/>
        <v>0</v>
      </c>
      <c r="AB1099" s="23">
        <f t="shared" si="124"/>
        <v>3500</v>
      </c>
      <c r="AC1099" s="20"/>
      <c r="AD1099" s="20" t="str">
        <f>VLOOKUP($C1099,'[1]CTRL AUTOS'!$E:$AH,2,0)</f>
        <v>D40BKD</v>
      </c>
      <c r="AE1099" s="11" t="str">
        <f t="shared" si="125"/>
        <v>D40BKD47</v>
      </c>
    </row>
    <row r="1100" spans="1:31" ht="12.75" hidden="1" customHeight="1" x14ac:dyDescent="0.3">
      <c r="A1100" s="8">
        <v>47</v>
      </c>
      <c r="B1100" s="20" t="s">
        <v>51</v>
      </c>
      <c r="C1100" s="20" t="s">
        <v>52</v>
      </c>
      <c r="D1100" s="22" t="s">
        <v>313</v>
      </c>
      <c r="E1100" s="20" t="s">
        <v>232</v>
      </c>
      <c r="F1100" s="20" t="s">
        <v>232</v>
      </c>
      <c r="G1100" s="20" t="s">
        <v>234</v>
      </c>
      <c r="H1100" s="23">
        <v>2983.27</v>
      </c>
      <c r="I1100" s="23">
        <v>0</v>
      </c>
      <c r="J1100" s="23">
        <v>0</v>
      </c>
      <c r="K1100" s="23">
        <v>-24.4</v>
      </c>
      <c r="L1100" s="23">
        <v>0</v>
      </c>
      <c r="M1100" s="23">
        <v>-40</v>
      </c>
      <c r="N1100" s="23">
        <v>-156</v>
      </c>
      <c r="O1100" s="24">
        <f t="shared" si="119"/>
        <v>2762.87</v>
      </c>
      <c r="P1100" s="23">
        <v>-2500</v>
      </c>
      <c r="Q1100" s="23">
        <v>0</v>
      </c>
      <c r="R1100" s="23">
        <v>0</v>
      </c>
      <c r="S1100" s="23">
        <v>0</v>
      </c>
      <c r="T1100" s="23">
        <v>0</v>
      </c>
      <c r="U1100" s="23">
        <v>0</v>
      </c>
      <c r="V1100" s="23">
        <v>0</v>
      </c>
      <c r="W1100" s="23">
        <f t="shared" si="120"/>
        <v>262.86999999999989</v>
      </c>
      <c r="X1100" s="23">
        <f t="shared" si="121"/>
        <v>262.86999999999989</v>
      </c>
      <c r="Y1100" s="23">
        <f t="shared" si="122"/>
        <v>0</v>
      </c>
      <c r="Z1100" s="23">
        <v>0</v>
      </c>
      <c r="AA1100" s="23">
        <f t="shared" si="123"/>
        <v>0</v>
      </c>
      <c r="AB1100" s="23">
        <f t="shared" si="124"/>
        <v>2500</v>
      </c>
      <c r="AC1100" s="20"/>
      <c r="AD1100" s="20" t="str">
        <f>VLOOKUP($C1100,'[1]CTRL AUTOS'!$E:$AH,2,0)</f>
        <v>A35BHD</v>
      </c>
      <c r="AE1100" s="11" t="str">
        <f t="shared" si="125"/>
        <v>A35BHD47</v>
      </c>
    </row>
    <row r="1101" spans="1:31" ht="12.75" hidden="1" customHeight="1" x14ac:dyDescent="0.3">
      <c r="A1101" s="8">
        <v>47</v>
      </c>
      <c r="B1101" s="20" t="s">
        <v>45</v>
      </c>
      <c r="C1101" s="20" t="s">
        <v>46</v>
      </c>
      <c r="D1101" s="20" t="s">
        <v>257</v>
      </c>
      <c r="E1101" s="20" t="s">
        <v>232</v>
      </c>
      <c r="F1101" s="20" t="s">
        <v>232</v>
      </c>
      <c r="G1101" s="20" t="s">
        <v>234</v>
      </c>
      <c r="H1101" s="23">
        <v>2477.3200000000002</v>
      </c>
      <c r="I1101" s="23">
        <v>0</v>
      </c>
      <c r="J1101" s="23">
        <v>43.72</v>
      </c>
      <c r="K1101" s="23">
        <v>0</v>
      </c>
      <c r="L1101" s="23">
        <v>-489.27</v>
      </c>
      <c r="M1101" s="23">
        <v>-40</v>
      </c>
      <c r="N1101" s="23">
        <v>-441</v>
      </c>
      <c r="O1101" s="24">
        <f t="shared" si="119"/>
        <v>1550.77</v>
      </c>
      <c r="P1101" s="23">
        <f>-2500+357</f>
        <v>-2143</v>
      </c>
      <c r="Q1101" s="23">
        <v>0</v>
      </c>
      <c r="R1101" s="23">
        <v>0</v>
      </c>
      <c r="S1101" s="23">
        <v>0</v>
      </c>
      <c r="T1101" s="23">
        <v>0</v>
      </c>
      <c r="U1101" s="23">
        <v>0</v>
      </c>
      <c r="V1101" s="23">
        <v>0</v>
      </c>
      <c r="W1101" s="23">
        <f t="shared" si="120"/>
        <v>-592.23</v>
      </c>
      <c r="X1101" s="23">
        <f t="shared" si="121"/>
        <v>0</v>
      </c>
      <c r="Y1101" s="23">
        <f t="shared" si="122"/>
        <v>-592.23</v>
      </c>
      <c r="Z1101" s="23">
        <v>0</v>
      </c>
      <c r="AA1101" s="23">
        <f t="shared" si="123"/>
        <v>-592.23</v>
      </c>
      <c r="AB1101" s="23">
        <f t="shared" si="124"/>
        <v>958.54</v>
      </c>
      <c r="AC1101" s="20"/>
      <c r="AD1101" s="20" t="str">
        <f>VLOOKUP($C1101,'[1]CTRL AUTOS'!$E:$AH,2,0)</f>
        <v>R66BER</v>
      </c>
      <c r="AE1101" s="11" t="str">
        <f t="shared" si="125"/>
        <v>R66BER47</v>
      </c>
    </row>
    <row r="1102" spans="1:31" ht="12.75" hidden="1" customHeight="1" x14ac:dyDescent="0.3">
      <c r="A1102" s="8">
        <v>47</v>
      </c>
      <c r="B1102" s="20" t="s">
        <v>37</v>
      </c>
      <c r="C1102" s="20" t="s">
        <v>40</v>
      </c>
      <c r="D1102" s="20" t="s">
        <v>315</v>
      </c>
      <c r="E1102" s="20" t="s">
        <v>232</v>
      </c>
      <c r="F1102" s="20" t="s">
        <v>232</v>
      </c>
      <c r="G1102" s="20" t="s">
        <v>234</v>
      </c>
      <c r="H1102" s="23">
        <v>3833</v>
      </c>
      <c r="I1102" s="23">
        <v>0</v>
      </c>
      <c r="J1102" s="23">
        <v>0</v>
      </c>
      <c r="K1102" s="23">
        <v>0</v>
      </c>
      <c r="L1102" s="23">
        <v>-2413.9499999999998</v>
      </c>
      <c r="M1102" s="23">
        <v>-60</v>
      </c>
      <c r="N1102" s="23">
        <v>0</v>
      </c>
      <c r="O1102" s="24">
        <f t="shared" si="119"/>
        <v>1359.0500000000002</v>
      </c>
      <c r="P1102" s="23">
        <v>-2500</v>
      </c>
      <c r="Q1102" s="23">
        <v>22</v>
      </c>
      <c r="R1102" s="23">
        <v>0</v>
      </c>
      <c r="S1102" s="23">
        <v>0</v>
      </c>
      <c r="T1102" s="23">
        <v>0</v>
      </c>
      <c r="U1102" s="23">
        <v>0</v>
      </c>
      <c r="V1102" s="23">
        <v>0</v>
      </c>
      <c r="W1102" s="23">
        <f t="shared" si="120"/>
        <v>-1118.9499999999998</v>
      </c>
      <c r="X1102" s="23">
        <f t="shared" si="121"/>
        <v>0</v>
      </c>
      <c r="Y1102" s="23">
        <f t="shared" si="122"/>
        <v>-1118.9499999999998</v>
      </c>
      <c r="Z1102" s="23">
        <v>1120</v>
      </c>
      <c r="AA1102" s="23">
        <f t="shared" si="123"/>
        <v>1.0500000000001819</v>
      </c>
      <c r="AB1102" s="23">
        <f t="shared" si="124"/>
        <v>2480.1000000000004</v>
      </c>
      <c r="AC1102" s="20"/>
      <c r="AD1102" s="20" t="str">
        <f>VLOOKUP($C1102,'[1]CTRL AUTOS'!$E:$AH,2,0)</f>
        <v>NEL860A</v>
      </c>
      <c r="AE1102" s="11" t="str">
        <f t="shared" si="125"/>
        <v>NEL860A47</v>
      </c>
    </row>
    <row r="1103" spans="1:31" ht="12.75" hidden="1" customHeight="1" x14ac:dyDescent="0.3">
      <c r="A1103" s="8">
        <v>47</v>
      </c>
      <c r="B1103" s="20" t="s">
        <v>61</v>
      </c>
      <c r="C1103" s="20" t="s">
        <v>34</v>
      </c>
      <c r="D1103" s="20" t="s">
        <v>285</v>
      </c>
      <c r="E1103" s="20" t="s">
        <v>232</v>
      </c>
      <c r="F1103" s="20" t="s">
        <v>232</v>
      </c>
      <c r="G1103" s="20" t="s">
        <v>234</v>
      </c>
      <c r="H1103" s="23">
        <v>3341.28</v>
      </c>
      <c r="I1103" s="23">
        <v>0</v>
      </c>
      <c r="J1103" s="23">
        <v>0</v>
      </c>
      <c r="K1103" s="23">
        <v>0</v>
      </c>
      <c r="L1103" s="23">
        <v>-1010.71</v>
      </c>
      <c r="M1103" s="23">
        <v>-50</v>
      </c>
      <c r="N1103" s="23">
        <v>0</v>
      </c>
      <c r="O1103" s="24">
        <f t="shared" si="119"/>
        <v>2280.5700000000002</v>
      </c>
      <c r="P1103" s="23">
        <v>-2500</v>
      </c>
      <c r="Q1103" s="23">
        <v>0</v>
      </c>
      <c r="R1103" s="23">
        <v>0</v>
      </c>
      <c r="S1103" s="23">
        <v>0</v>
      </c>
      <c r="T1103" s="23">
        <v>-700</v>
      </c>
      <c r="U1103" s="23">
        <v>0</v>
      </c>
      <c r="V1103" s="23">
        <v>0</v>
      </c>
      <c r="W1103" s="23">
        <f t="shared" si="120"/>
        <v>-919.42999999999984</v>
      </c>
      <c r="X1103" s="23">
        <f t="shared" si="121"/>
        <v>0</v>
      </c>
      <c r="Y1103" s="23">
        <f t="shared" si="122"/>
        <v>-919.42999999999984</v>
      </c>
      <c r="Z1103" s="23">
        <v>450</v>
      </c>
      <c r="AA1103" s="23">
        <f t="shared" si="123"/>
        <v>-469.42999999999984</v>
      </c>
      <c r="AB1103" s="23">
        <f t="shared" si="124"/>
        <v>2261.1400000000003</v>
      </c>
      <c r="AC1103" s="20" t="s">
        <v>497</v>
      </c>
      <c r="AD1103" s="20" t="str">
        <f>VLOOKUP($C1103,'[1]CTRL AUTOS'!$E:$AH,2,0)</f>
        <v>X59AWG</v>
      </c>
      <c r="AE1103" s="11" t="str">
        <f t="shared" si="125"/>
        <v>X59AWG47</v>
      </c>
    </row>
    <row r="1104" spans="1:31" ht="12.75" hidden="1" customHeight="1" x14ac:dyDescent="0.3">
      <c r="A1104" s="8">
        <v>47</v>
      </c>
      <c r="B1104" s="20" t="s">
        <v>9</v>
      </c>
      <c r="C1104" s="20" t="s">
        <v>10</v>
      </c>
      <c r="D1104" s="20" t="s">
        <v>343</v>
      </c>
      <c r="E1104" s="20" t="s">
        <v>232</v>
      </c>
      <c r="F1104" s="20" t="s">
        <v>232</v>
      </c>
      <c r="G1104" s="20" t="s">
        <v>425</v>
      </c>
      <c r="H1104" s="23">
        <v>3069.36</v>
      </c>
      <c r="I1104" s="23">
        <v>0</v>
      </c>
      <c r="J1104" s="23">
        <v>0</v>
      </c>
      <c r="K1104" s="23">
        <v>0</v>
      </c>
      <c r="L1104" s="23">
        <v>-3291.6</v>
      </c>
      <c r="M1104" s="23">
        <v>-85</v>
      </c>
      <c r="N1104" s="23">
        <v>0</v>
      </c>
      <c r="O1104" s="24">
        <f t="shared" si="119"/>
        <v>-307.23999999999978</v>
      </c>
      <c r="P1104" s="23">
        <v>-1250</v>
      </c>
      <c r="Q1104" s="23">
        <v>0</v>
      </c>
      <c r="R1104" s="23">
        <v>0</v>
      </c>
      <c r="S1104" s="23">
        <v>0</v>
      </c>
      <c r="T1104" s="23">
        <v>0</v>
      </c>
      <c r="U1104" s="23">
        <v>0</v>
      </c>
      <c r="V1104" s="23">
        <v>0</v>
      </c>
      <c r="W1104" s="23">
        <f t="shared" si="120"/>
        <v>-1557.2399999999998</v>
      </c>
      <c r="X1104" s="23">
        <f t="shared" si="121"/>
        <v>0</v>
      </c>
      <c r="Y1104" s="23">
        <f t="shared" si="122"/>
        <v>-1557.2399999999998</v>
      </c>
      <c r="Z1104" s="23">
        <v>1557</v>
      </c>
      <c r="AA1104" s="23">
        <f t="shared" si="123"/>
        <v>-0.23999999999978172</v>
      </c>
      <c r="AB1104" s="23">
        <f t="shared" si="124"/>
        <v>1249.5200000000004</v>
      </c>
      <c r="AC1104" s="20" t="s">
        <v>498</v>
      </c>
      <c r="AD1104" s="20" t="str">
        <f>VLOOKUP($C1104,'[1]CTRL AUTOS'!$E:$AH,2,0)</f>
        <v>LRL009C</v>
      </c>
      <c r="AE1104" s="11" t="str">
        <f t="shared" si="125"/>
        <v>LRL009C47</v>
      </c>
    </row>
    <row r="1105" spans="1:31" ht="12.75" hidden="1" customHeight="1" x14ac:dyDescent="0.3">
      <c r="A1105" s="8">
        <v>47</v>
      </c>
      <c r="B1105" s="20" t="s">
        <v>9</v>
      </c>
      <c r="C1105" s="20" t="s">
        <v>10</v>
      </c>
      <c r="D1105" s="20" t="s">
        <v>343</v>
      </c>
      <c r="E1105" s="20" t="s">
        <v>232</v>
      </c>
      <c r="F1105" s="20" t="s">
        <v>232</v>
      </c>
      <c r="G1105" s="20" t="s">
        <v>234</v>
      </c>
      <c r="H1105" s="23">
        <v>2229.79</v>
      </c>
      <c r="I1105" s="23">
        <v>0</v>
      </c>
      <c r="J1105" s="23">
        <v>0</v>
      </c>
      <c r="K1105" s="23">
        <v>0</v>
      </c>
      <c r="L1105" s="23">
        <v>-488.46</v>
      </c>
      <c r="M1105" s="23">
        <v>-40</v>
      </c>
      <c r="N1105" s="23">
        <v>0</v>
      </c>
      <c r="O1105" s="24">
        <f t="shared" si="119"/>
        <v>1701.33</v>
      </c>
      <c r="P1105" s="23">
        <v>-1250</v>
      </c>
      <c r="Q1105" s="23">
        <v>0</v>
      </c>
      <c r="R1105" s="23">
        <v>0</v>
      </c>
      <c r="S1105" s="23">
        <v>0</v>
      </c>
      <c r="T1105" s="23">
        <v>0</v>
      </c>
      <c r="U1105" s="23">
        <v>0</v>
      </c>
      <c r="V1105" s="23">
        <v>0</v>
      </c>
      <c r="W1105" s="23">
        <f t="shared" si="120"/>
        <v>451.32999999999993</v>
      </c>
      <c r="X1105" s="23">
        <f t="shared" si="121"/>
        <v>451.32999999999993</v>
      </c>
      <c r="Y1105" s="23">
        <f t="shared" si="122"/>
        <v>0</v>
      </c>
      <c r="Z1105" s="23">
        <v>0</v>
      </c>
      <c r="AA1105" s="23">
        <f t="shared" si="123"/>
        <v>0</v>
      </c>
      <c r="AB1105" s="23">
        <f t="shared" si="124"/>
        <v>1250</v>
      </c>
      <c r="AC1105" s="20"/>
      <c r="AD1105" s="20" t="str">
        <f>VLOOKUP($C1105,'[1]CTRL AUTOS'!$E:$AH,2,0)</f>
        <v>LRL009C</v>
      </c>
      <c r="AE1105" s="11" t="str">
        <f t="shared" si="125"/>
        <v>LRL009C47</v>
      </c>
    </row>
    <row r="1106" spans="1:31" ht="12.75" hidden="1" customHeight="1" x14ac:dyDescent="0.3">
      <c r="A1106" s="8">
        <v>47</v>
      </c>
      <c r="B1106" s="20" t="s">
        <v>3</v>
      </c>
      <c r="C1106" s="20" t="s">
        <v>4</v>
      </c>
      <c r="D1106" s="20" t="s">
        <v>480</v>
      </c>
      <c r="E1106" s="20" t="s">
        <v>232</v>
      </c>
      <c r="F1106" s="20" t="s">
        <v>232</v>
      </c>
      <c r="G1106" s="20" t="s">
        <v>425</v>
      </c>
      <c r="H1106" s="23">
        <v>6604.89</v>
      </c>
      <c r="I1106" s="23">
        <v>0</v>
      </c>
      <c r="J1106" s="23">
        <v>0</v>
      </c>
      <c r="K1106" s="23">
        <v>0</v>
      </c>
      <c r="L1106" s="23">
        <v>-5998.38</v>
      </c>
      <c r="M1106" s="23">
        <v>-120</v>
      </c>
      <c r="N1106" s="23">
        <v>0</v>
      </c>
      <c r="O1106" s="24">
        <f t="shared" si="119"/>
        <v>486.51000000000022</v>
      </c>
      <c r="P1106" s="23">
        <v>-2600</v>
      </c>
      <c r="Q1106" s="23">
        <f>1950+54</f>
        <v>2004</v>
      </c>
      <c r="R1106" s="23">
        <v>-500</v>
      </c>
      <c r="S1106" s="23">
        <v>0</v>
      </c>
      <c r="T1106" s="23">
        <v>0</v>
      </c>
      <c r="U1106" s="23">
        <v>0</v>
      </c>
      <c r="V1106" s="23">
        <v>0</v>
      </c>
      <c r="W1106" s="23">
        <f t="shared" si="120"/>
        <v>-609.48999999999978</v>
      </c>
      <c r="X1106" s="23">
        <f t="shared" si="121"/>
        <v>0</v>
      </c>
      <c r="Y1106" s="23">
        <f t="shared" si="122"/>
        <v>-609.48999999999978</v>
      </c>
      <c r="Z1106" s="23">
        <f>650+650</f>
        <v>1300</v>
      </c>
      <c r="AA1106" s="23">
        <f t="shared" si="123"/>
        <v>690.51000000000022</v>
      </c>
      <c r="AB1106" s="23">
        <f t="shared" si="124"/>
        <v>2477.0200000000004</v>
      </c>
      <c r="AC1106" s="20"/>
      <c r="AD1106" s="20" t="str">
        <f>VLOOKUP($C1106,'[1]CTRL AUTOS'!$E:$AH,2,0)</f>
        <v>N15BKD</v>
      </c>
      <c r="AE1106" s="11" t="str">
        <f t="shared" si="125"/>
        <v>N15BKD47</v>
      </c>
    </row>
    <row r="1107" spans="1:31" ht="12.75" hidden="1" customHeight="1" x14ac:dyDescent="0.3">
      <c r="A1107" s="8">
        <v>47</v>
      </c>
      <c r="B1107" s="20" t="s">
        <v>5</v>
      </c>
      <c r="C1107" s="41" t="s">
        <v>42</v>
      </c>
      <c r="D1107" s="20" t="s">
        <v>274</v>
      </c>
      <c r="E1107" s="20" t="s">
        <v>232</v>
      </c>
      <c r="F1107" s="20" t="s">
        <v>232</v>
      </c>
      <c r="G1107" s="20" t="s">
        <v>234</v>
      </c>
      <c r="H1107" s="23">
        <v>0</v>
      </c>
      <c r="I1107" s="23">
        <v>0</v>
      </c>
      <c r="J1107" s="23">
        <v>0</v>
      </c>
      <c r="K1107" s="23">
        <v>0</v>
      </c>
      <c r="L1107" s="23">
        <v>0</v>
      </c>
      <c r="M1107" s="23">
        <v>0</v>
      </c>
      <c r="N1107" s="23">
        <v>0</v>
      </c>
      <c r="O1107" s="24">
        <f t="shared" si="119"/>
        <v>0</v>
      </c>
      <c r="P1107" s="23">
        <v>-2500</v>
      </c>
      <c r="Q1107" s="23">
        <v>25</v>
      </c>
      <c r="R1107" s="23">
        <v>0</v>
      </c>
      <c r="S1107" s="23">
        <v>0</v>
      </c>
      <c r="T1107" s="23">
        <v>-500</v>
      </c>
      <c r="U1107" s="23">
        <v>0</v>
      </c>
      <c r="V1107" s="23">
        <v>0</v>
      </c>
      <c r="W1107" s="23">
        <f t="shared" si="120"/>
        <v>-2975</v>
      </c>
      <c r="X1107" s="23">
        <f t="shared" si="121"/>
        <v>0</v>
      </c>
      <c r="Y1107" s="23">
        <f t="shared" si="122"/>
        <v>-2975</v>
      </c>
      <c r="Z1107" s="23">
        <f>2750+250</f>
        <v>3000</v>
      </c>
      <c r="AA1107" s="23">
        <f t="shared" si="123"/>
        <v>25</v>
      </c>
      <c r="AB1107" s="23">
        <f t="shared" si="124"/>
        <v>3025</v>
      </c>
      <c r="AC1107" s="20" t="s">
        <v>496</v>
      </c>
      <c r="AD1107" s="20" t="str">
        <f>VLOOKUP($C1107,'[1]CTRL AUTOS'!$E:$AH,2,0)</f>
        <v>MMA672C</v>
      </c>
      <c r="AE1107" s="11" t="str">
        <f t="shared" si="125"/>
        <v>MMA672C47</v>
      </c>
    </row>
    <row r="1108" spans="1:31" ht="12.75" hidden="1" customHeight="1" x14ac:dyDescent="0.3">
      <c r="A1108" s="8">
        <v>47</v>
      </c>
      <c r="B1108" s="20" t="s">
        <v>98</v>
      </c>
      <c r="C1108" s="20" t="s">
        <v>168</v>
      </c>
      <c r="D1108" s="20" t="s">
        <v>265</v>
      </c>
      <c r="E1108" s="20" t="s">
        <v>232</v>
      </c>
      <c r="F1108" s="20" t="s">
        <v>232</v>
      </c>
      <c r="G1108" s="20" t="s">
        <v>234</v>
      </c>
      <c r="H1108" s="23">
        <v>0</v>
      </c>
      <c r="I1108" s="23">
        <v>0</v>
      </c>
      <c r="J1108" s="23">
        <v>0</v>
      </c>
      <c r="K1108" s="23">
        <v>0</v>
      </c>
      <c r="L1108" s="23">
        <v>0</v>
      </c>
      <c r="M1108" s="23">
        <v>0</v>
      </c>
      <c r="N1108" s="23">
        <v>0</v>
      </c>
      <c r="O1108" s="24">
        <f t="shared" si="119"/>
        <v>0</v>
      </c>
      <c r="P1108" s="23">
        <v>-2500</v>
      </c>
      <c r="Q1108" s="23">
        <v>-299</v>
      </c>
      <c r="R1108" s="23">
        <v>0</v>
      </c>
      <c r="S1108" s="23">
        <v>0</v>
      </c>
      <c r="T1108" s="23">
        <v>0</v>
      </c>
      <c r="U1108" s="23">
        <v>0</v>
      </c>
      <c r="V1108" s="23">
        <v>0</v>
      </c>
      <c r="W1108" s="23">
        <f t="shared" si="120"/>
        <v>-2799</v>
      </c>
      <c r="X1108" s="23">
        <f t="shared" si="121"/>
        <v>0</v>
      </c>
      <c r="Y1108" s="23">
        <f t="shared" si="122"/>
        <v>-2799</v>
      </c>
      <c r="Z1108" s="23">
        <f>1400+1399</f>
        <v>2799</v>
      </c>
      <c r="AA1108" s="23">
        <f t="shared" si="123"/>
        <v>0</v>
      </c>
      <c r="AB1108" s="23">
        <f t="shared" si="124"/>
        <v>2799</v>
      </c>
      <c r="AC1108" s="20"/>
      <c r="AD1108" s="20" t="e">
        <f>VLOOKUP($C1108,'[1]CTRL AUTOS'!$E:$AH,2,0)</f>
        <v>#N/A</v>
      </c>
      <c r="AE1108" s="11" t="e">
        <f t="shared" si="125"/>
        <v>#N/A</v>
      </c>
    </row>
    <row r="1109" spans="1:31" ht="12.75" hidden="1" customHeight="1" x14ac:dyDescent="0.3">
      <c r="A1109" s="8">
        <v>47</v>
      </c>
      <c r="B1109" s="20" t="s">
        <v>80</v>
      </c>
      <c r="C1109" s="20" t="s">
        <v>81</v>
      </c>
      <c r="D1109" s="20" t="s">
        <v>317</v>
      </c>
      <c r="E1109" s="20" t="s">
        <v>232</v>
      </c>
      <c r="F1109" s="20" t="s">
        <v>232</v>
      </c>
      <c r="G1109" s="20" t="s">
        <v>234</v>
      </c>
      <c r="H1109" s="23">
        <v>0</v>
      </c>
      <c r="I1109" s="23">
        <v>0</v>
      </c>
      <c r="J1109" s="23">
        <v>0</v>
      </c>
      <c r="K1109" s="23">
        <v>0</v>
      </c>
      <c r="L1109" s="23">
        <v>0</v>
      </c>
      <c r="M1109" s="23">
        <v>0</v>
      </c>
      <c r="N1109" s="23">
        <v>0</v>
      </c>
      <c r="O1109" s="24">
        <f t="shared" si="119"/>
        <v>0</v>
      </c>
      <c r="P1109" s="23">
        <v>-2500</v>
      </c>
      <c r="Q1109" s="23">
        <v>0</v>
      </c>
      <c r="R1109" s="23">
        <v>0</v>
      </c>
      <c r="S1109" s="23">
        <v>0</v>
      </c>
      <c r="T1109" s="23">
        <v>0</v>
      </c>
      <c r="U1109" s="23">
        <v>0</v>
      </c>
      <c r="V1109" s="23">
        <v>0</v>
      </c>
      <c r="W1109" s="23">
        <f t="shared" si="120"/>
        <v>-2500</v>
      </c>
      <c r="X1109" s="23">
        <f t="shared" si="121"/>
        <v>0</v>
      </c>
      <c r="Y1109" s="23">
        <f t="shared" si="122"/>
        <v>-2500</v>
      </c>
      <c r="Z1109" s="23">
        <v>2500</v>
      </c>
      <c r="AA1109" s="23">
        <f t="shared" si="123"/>
        <v>0</v>
      </c>
      <c r="AB1109" s="23">
        <f t="shared" si="124"/>
        <v>2500</v>
      </c>
      <c r="AC1109" s="20"/>
      <c r="AD1109" s="20" t="str">
        <f>VLOOKUP($C1109,'[1]CTRL AUTOS'!$E:$AH,2,0)</f>
        <v>NLP172B</v>
      </c>
      <c r="AE1109" s="11" t="str">
        <f t="shared" si="125"/>
        <v>NLP172B47</v>
      </c>
    </row>
    <row r="1110" spans="1:31" ht="12.75" hidden="1" customHeight="1" x14ac:dyDescent="0.3">
      <c r="A1110" s="8">
        <v>47</v>
      </c>
      <c r="B1110" s="20" t="s">
        <v>23</v>
      </c>
      <c r="C1110" s="20" t="s">
        <v>97</v>
      </c>
      <c r="D1110" s="20" t="s">
        <v>273</v>
      </c>
      <c r="E1110" s="20" t="s">
        <v>232</v>
      </c>
      <c r="F1110" s="20" t="s">
        <v>232</v>
      </c>
      <c r="G1110" s="20" t="s">
        <v>234</v>
      </c>
      <c r="H1110" s="23">
        <v>4305.6400000000003</v>
      </c>
      <c r="I1110" s="23">
        <v>0</v>
      </c>
      <c r="J1110" s="23">
        <v>0</v>
      </c>
      <c r="K1110" s="23">
        <v>0</v>
      </c>
      <c r="L1110" s="23">
        <v>-3523.79</v>
      </c>
      <c r="M1110" s="23">
        <v>-85</v>
      </c>
      <c r="N1110" s="23">
        <v>-222</v>
      </c>
      <c r="O1110" s="24">
        <f t="shared" si="119"/>
        <v>474.85000000000036</v>
      </c>
      <c r="P1110" s="23">
        <v>-2500</v>
      </c>
      <c r="Q1110" s="23">
        <v>-2</v>
      </c>
      <c r="R1110" s="23">
        <v>0</v>
      </c>
      <c r="S1110" s="23">
        <v>0</v>
      </c>
      <c r="T1110" s="23">
        <v>-500</v>
      </c>
      <c r="U1110" s="23">
        <v>0</v>
      </c>
      <c r="V1110" s="23">
        <v>0</v>
      </c>
      <c r="W1110" s="23">
        <f t="shared" si="120"/>
        <v>-2527.1499999999996</v>
      </c>
      <c r="X1110" s="23">
        <f t="shared" si="121"/>
        <v>0</v>
      </c>
      <c r="Y1110" s="23">
        <f t="shared" si="122"/>
        <v>-2527.1499999999996</v>
      </c>
      <c r="Z1110" s="23">
        <v>2000</v>
      </c>
      <c r="AA1110" s="23">
        <f t="shared" si="123"/>
        <v>-527.14999999999964</v>
      </c>
      <c r="AB1110" s="23">
        <f t="shared" si="124"/>
        <v>1947.7000000000007</v>
      </c>
      <c r="AC1110" s="20"/>
      <c r="AD1110" s="20" t="str">
        <f>VLOOKUP($C1110,'[1]CTRL AUTOS'!$E:$AH,2,0)</f>
        <v>MUF515A</v>
      </c>
      <c r="AE1110" s="11" t="str">
        <f t="shared" si="125"/>
        <v>MUF515A47</v>
      </c>
    </row>
    <row r="1111" spans="1:31" ht="12" hidden="1" customHeight="1" x14ac:dyDescent="0.3">
      <c r="A1111" s="8">
        <v>47</v>
      </c>
      <c r="B1111" s="20" t="s">
        <v>292</v>
      </c>
      <c r="C1111" s="20" t="s">
        <v>52</v>
      </c>
      <c r="D1111" s="22" t="s">
        <v>313</v>
      </c>
      <c r="E1111" s="20" t="s">
        <v>232</v>
      </c>
      <c r="F1111" s="20" t="s">
        <v>232</v>
      </c>
      <c r="G1111" s="20" t="s">
        <v>234</v>
      </c>
      <c r="H1111" s="23">
        <v>0</v>
      </c>
      <c r="I1111" s="23">
        <v>0</v>
      </c>
      <c r="J1111" s="23">
        <v>0</v>
      </c>
      <c r="K1111" s="23">
        <v>0</v>
      </c>
      <c r="L1111" s="23">
        <v>0</v>
      </c>
      <c r="M1111" s="23">
        <v>0</v>
      </c>
      <c r="N1111" s="23">
        <v>0</v>
      </c>
      <c r="O1111" s="24">
        <f t="shared" ref="O1111:O1174" si="126">SUM(H1111:N1111)</f>
        <v>0</v>
      </c>
      <c r="P1111" s="23">
        <v>0</v>
      </c>
      <c r="Q1111" s="23">
        <v>0</v>
      </c>
      <c r="R1111" s="23">
        <v>500</v>
      </c>
      <c r="S1111" s="23">
        <v>0</v>
      </c>
      <c r="T1111" s="23">
        <v>0</v>
      </c>
      <c r="U1111" s="23">
        <v>0</v>
      </c>
      <c r="V1111" s="23">
        <v>0</v>
      </c>
      <c r="W1111" s="23">
        <f t="shared" ref="W1111:W1174" si="127">+O1111+SUM(P1111:V1111)</f>
        <v>500</v>
      </c>
      <c r="X1111" s="23">
        <f t="shared" ref="X1111:X1174" si="128">IF(W1111&gt;=0,W1111,0)</f>
        <v>500</v>
      </c>
      <c r="Y1111" s="23">
        <f t="shared" ref="Y1111:Y1174" si="129">IF(W1111&lt;=0,W1111,0)</f>
        <v>0</v>
      </c>
      <c r="Z1111" s="23">
        <v>0</v>
      </c>
      <c r="AA1111" s="23">
        <f t="shared" si="123"/>
        <v>0</v>
      </c>
      <c r="AB1111" s="23">
        <f t="shared" si="124"/>
        <v>-500</v>
      </c>
      <c r="AC1111" s="20"/>
      <c r="AD1111" s="20" t="str">
        <f>VLOOKUP($C1111,'[1]CTRL AUTOS'!$E:$AH,2,0)</f>
        <v>A35BHD</v>
      </c>
      <c r="AE1111" s="11" t="str">
        <f t="shared" si="125"/>
        <v>A35BHD47</v>
      </c>
    </row>
    <row r="1112" spans="1:31" ht="12.75" hidden="1" customHeight="1" x14ac:dyDescent="0.3">
      <c r="A1112" s="8">
        <v>47</v>
      </c>
      <c r="B1112" s="20" t="s">
        <v>362</v>
      </c>
      <c r="C1112" s="20" t="s">
        <v>50</v>
      </c>
      <c r="D1112" s="20" t="s">
        <v>237</v>
      </c>
      <c r="E1112" s="20" t="s">
        <v>232</v>
      </c>
      <c r="F1112" s="20" t="s">
        <v>232</v>
      </c>
      <c r="G1112" s="20" t="s">
        <v>234</v>
      </c>
      <c r="H1112" s="23">
        <v>0</v>
      </c>
      <c r="I1112" s="23">
        <v>0</v>
      </c>
      <c r="J1112" s="23">
        <v>0</v>
      </c>
      <c r="K1112" s="23">
        <v>0</v>
      </c>
      <c r="L1112" s="23">
        <v>0</v>
      </c>
      <c r="M1112" s="23">
        <v>0</v>
      </c>
      <c r="N1112" s="23">
        <v>0</v>
      </c>
      <c r="O1112" s="24">
        <f t="shared" si="126"/>
        <v>0</v>
      </c>
      <c r="P1112" s="23">
        <v>0</v>
      </c>
      <c r="Q1112" s="23">
        <v>0</v>
      </c>
      <c r="R1112" s="23">
        <v>500</v>
      </c>
      <c r="S1112" s="23">
        <v>0</v>
      </c>
      <c r="T1112" s="23">
        <v>0</v>
      </c>
      <c r="U1112" s="23">
        <v>0</v>
      </c>
      <c r="V1112" s="23">
        <v>0</v>
      </c>
      <c r="W1112" s="23">
        <f t="shared" si="127"/>
        <v>500</v>
      </c>
      <c r="X1112" s="23">
        <f t="shared" si="128"/>
        <v>500</v>
      </c>
      <c r="Y1112" s="23">
        <f t="shared" si="129"/>
        <v>0</v>
      </c>
      <c r="Z1112" s="23">
        <v>0</v>
      </c>
      <c r="AA1112" s="23">
        <f t="shared" si="123"/>
        <v>0</v>
      </c>
      <c r="AB1112" s="23">
        <f t="shared" si="124"/>
        <v>-500</v>
      </c>
      <c r="AC1112" s="20"/>
      <c r="AD1112" s="20" t="str">
        <f>VLOOKUP($C1112,'[1]CTRL AUTOS'!$E:$AH,2,0)</f>
        <v>NBS225A</v>
      </c>
      <c r="AE1112" s="11" t="str">
        <f t="shared" si="125"/>
        <v>NBS225A47</v>
      </c>
    </row>
    <row r="1113" spans="1:31" ht="12.75" hidden="1" customHeight="1" x14ac:dyDescent="0.3">
      <c r="A1113" s="8">
        <v>47</v>
      </c>
      <c r="B1113" s="20" t="s">
        <v>7</v>
      </c>
      <c r="C1113" s="20" t="s">
        <v>8</v>
      </c>
      <c r="D1113" s="20" t="s">
        <v>367</v>
      </c>
      <c r="E1113" s="20" t="s">
        <v>364</v>
      </c>
      <c r="F1113" s="22" t="s">
        <v>364</v>
      </c>
      <c r="G1113" s="20" t="s">
        <v>425</v>
      </c>
      <c r="H1113" s="23">
        <v>6842.63</v>
      </c>
      <c r="I1113" s="23">
        <v>0</v>
      </c>
      <c r="J1113" s="23">
        <v>0</v>
      </c>
      <c r="K1113" s="23">
        <v>0</v>
      </c>
      <c r="L1113" s="23">
        <v>-3303.71</v>
      </c>
      <c r="M1113" s="23">
        <v>0</v>
      </c>
      <c r="N1113" s="23">
        <v>0</v>
      </c>
      <c r="O1113" s="24">
        <f t="shared" si="126"/>
        <v>3538.92</v>
      </c>
      <c r="P1113" s="23">
        <v>-2600</v>
      </c>
      <c r="Q1113" s="23">
        <v>0</v>
      </c>
      <c r="R1113" s="23">
        <v>-500</v>
      </c>
      <c r="S1113" s="23">
        <v>0</v>
      </c>
      <c r="T1113" s="23">
        <v>0</v>
      </c>
      <c r="U1113" s="23">
        <v>0</v>
      </c>
      <c r="V1113" s="23">
        <v>0</v>
      </c>
      <c r="W1113" s="23">
        <f t="shared" si="127"/>
        <v>438.92000000000007</v>
      </c>
      <c r="X1113" s="23">
        <f t="shared" si="128"/>
        <v>438.92000000000007</v>
      </c>
      <c r="Y1113" s="23">
        <f t="shared" si="129"/>
        <v>0</v>
      </c>
      <c r="Z1113" s="23">
        <v>0</v>
      </c>
      <c r="AA1113" s="23">
        <f t="shared" si="123"/>
        <v>0</v>
      </c>
      <c r="AB1113" s="23">
        <f t="shared" si="124"/>
        <v>3100</v>
      </c>
      <c r="AC1113" s="20"/>
      <c r="AD1113" s="20" t="e">
        <f>VLOOKUP($C1113,'[1]CTRL AUTOS'!$E:$AH,2,0)</f>
        <v>#N/A</v>
      </c>
      <c r="AE1113" s="11" t="e">
        <f t="shared" si="125"/>
        <v>#N/A</v>
      </c>
    </row>
    <row r="1114" spans="1:31" ht="12.75" hidden="1" customHeight="1" x14ac:dyDescent="0.3">
      <c r="A1114" s="8">
        <v>47</v>
      </c>
      <c r="B1114" s="20" t="s">
        <v>105</v>
      </c>
      <c r="C1114" s="20" t="s">
        <v>204</v>
      </c>
      <c r="D1114" s="20" t="s">
        <v>470</v>
      </c>
      <c r="E1114" s="20" t="s">
        <v>364</v>
      </c>
      <c r="F1114" s="22" t="s">
        <v>364</v>
      </c>
      <c r="G1114" s="20" t="s">
        <v>425</v>
      </c>
      <c r="H1114" s="23">
        <v>0</v>
      </c>
      <c r="I1114" s="23">
        <v>0</v>
      </c>
      <c r="J1114" s="23">
        <v>0</v>
      </c>
      <c r="K1114" s="23">
        <v>0</v>
      </c>
      <c r="L1114" s="23">
        <v>0</v>
      </c>
      <c r="M1114" s="23">
        <v>0</v>
      </c>
      <c r="N1114" s="23">
        <v>0</v>
      </c>
      <c r="O1114" s="24">
        <f t="shared" si="126"/>
        <v>0</v>
      </c>
      <c r="P1114" s="23">
        <v>-2500</v>
      </c>
      <c r="Q1114" s="23">
        <v>0</v>
      </c>
      <c r="R1114" s="23">
        <v>0</v>
      </c>
      <c r="S1114" s="23">
        <v>0</v>
      </c>
      <c r="T1114" s="23">
        <v>0</v>
      </c>
      <c r="U1114" s="23">
        <v>0</v>
      </c>
      <c r="V1114" s="23">
        <v>0</v>
      </c>
      <c r="W1114" s="23">
        <f t="shared" si="127"/>
        <v>-2500</v>
      </c>
      <c r="X1114" s="23">
        <f t="shared" si="128"/>
        <v>0</v>
      </c>
      <c r="Y1114" s="23">
        <f t="shared" si="129"/>
        <v>-2500</v>
      </c>
      <c r="Z1114" s="23">
        <v>2500</v>
      </c>
      <c r="AA1114" s="23">
        <f t="shared" si="123"/>
        <v>0</v>
      </c>
      <c r="AB1114" s="23">
        <f t="shared" si="124"/>
        <v>2500</v>
      </c>
      <c r="AC1114" s="20"/>
      <c r="AD1114" s="20" t="e">
        <f>VLOOKUP($C1114,'[1]CTRL AUTOS'!$E:$AH,2,0)</f>
        <v>#N/A</v>
      </c>
      <c r="AE1114" s="11" t="e">
        <f t="shared" si="125"/>
        <v>#N/A</v>
      </c>
    </row>
    <row r="1115" spans="1:31" ht="12.75" hidden="1" customHeight="1" x14ac:dyDescent="0.3">
      <c r="A1115" s="8">
        <v>47</v>
      </c>
      <c r="B1115" s="20" t="s">
        <v>417</v>
      </c>
      <c r="C1115" s="20" t="s">
        <v>428</v>
      </c>
      <c r="D1115" s="20" t="s">
        <v>237</v>
      </c>
      <c r="E1115" s="20" t="s">
        <v>364</v>
      </c>
      <c r="F1115" s="22" t="s">
        <v>364</v>
      </c>
      <c r="G1115" s="20" t="s">
        <v>234</v>
      </c>
      <c r="H1115" s="23">
        <v>2664.85</v>
      </c>
      <c r="I1115" s="23">
        <v>0</v>
      </c>
      <c r="J1115" s="23">
        <v>0</v>
      </c>
      <c r="K1115" s="23">
        <v>0</v>
      </c>
      <c r="L1115" s="23">
        <v>-1027.57</v>
      </c>
      <c r="M1115" s="23">
        <v>-40</v>
      </c>
      <c r="N1115" s="23">
        <v>0</v>
      </c>
      <c r="O1115" s="24">
        <f t="shared" si="126"/>
        <v>1597.28</v>
      </c>
      <c r="P1115" s="23">
        <v>-2500</v>
      </c>
      <c r="Q1115" s="23">
        <v>0</v>
      </c>
      <c r="R1115" s="23">
        <v>0</v>
      </c>
      <c r="S1115" s="23">
        <v>0</v>
      </c>
      <c r="T1115" s="23">
        <v>0</v>
      </c>
      <c r="U1115" s="23">
        <v>0</v>
      </c>
      <c r="V1115" s="23">
        <v>0</v>
      </c>
      <c r="W1115" s="23">
        <f t="shared" si="127"/>
        <v>-902.72</v>
      </c>
      <c r="X1115" s="23">
        <f t="shared" si="128"/>
        <v>0</v>
      </c>
      <c r="Y1115" s="23">
        <f t="shared" si="129"/>
        <v>-902.72</v>
      </c>
      <c r="Z1115" s="23">
        <v>903</v>
      </c>
      <c r="AA1115" s="23">
        <f t="shared" si="123"/>
        <v>0.27999999999997272</v>
      </c>
      <c r="AB1115" s="23">
        <f t="shared" si="124"/>
        <v>2500.5599999999995</v>
      </c>
      <c r="AC1115" s="20"/>
      <c r="AD1115" s="20" t="e">
        <f>VLOOKUP($C1115,'[1]CTRL AUTOS'!$E:$AH,2,0)</f>
        <v>#N/A</v>
      </c>
      <c r="AE1115" s="11" t="e">
        <f t="shared" si="125"/>
        <v>#N/A</v>
      </c>
    </row>
    <row r="1116" spans="1:31" ht="12.75" hidden="1" customHeight="1" x14ac:dyDescent="0.3">
      <c r="A1116" s="8">
        <v>47</v>
      </c>
      <c r="B1116" s="20" t="s">
        <v>21</v>
      </c>
      <c r="C1116" s="20" t="s">
        <v>22</v>
      </c>
      <c r="D1116" s="20" t="s">
        <v>319</v>
      </c>
      <c r="E1116" s="20" t="s">
        <v>232</v>
      </c>
      <c r="F1116" s="20" t="s">
        <v>232</v>
      </c>
      <c r="G1116" s="20" t="s">
        <v>234</v>
      </c>
      <c r="H1116" s="23">
        <v>28.91</v>
      </c>
      <c r="I1116" s="23">
        <v>-4.63</v>
      </c>
      <c r="J1116" s="23">
        <v>0</v>
      </c>
      <c r="K1116" s="23">
        <v>0</v>
      </c>
      <c r="L1116" s="23">
        <v>0</v>
      </c>
      <c r="M1116" s="23">
        <v>-36</v>
      </c>
      <c r="N1116" s="23">
        <v>0</v>
      </c>
      <c r="O1116" s="24">
        <f t="shared" si="126"/>
        <v>-11.719999999999999</v>
      </c>
      <c r="P1116" s="23">
        <v>-1071.42</v>
      </c>
      <c r="Q1116" s="23">
        <v>0</v>
      </c>
      <c r="R1116" s="23">
        <v>-214</v>
      </c>
      <c r="S1116" s="23">
        <v>0</v>
      </c>
      <c r="T1116" s="23">
        <v>0</v>
      </c>
      <c r="U1116" s="23">
        <v>0</v>
      </c>
      <c r="V1116" s="23">
        <v>0</v>
      </c>
      <c r="W1116" s="23">
        <f t="shared" si="127"/>
        <v>-1297.1400000000001</v>
      </c>
      <c r="X1116" s="23">
        <f t="shared" si="128"/>
        <v>0</v>
      </c>
      <c r="Y1116" s="23">
        <f t="shared" si="129"/>
        <v>-1297.1400000000001</v>
      </c>
      <c r="Z1116" s="23">
        <v>1300</v>
      </c>
      <c r="AA1116" s="23">
        <f t="shared" si="123"/>
        <v>2.8599999999999</v>
      </c>
      <c r="AB1116" s="23">
        <f t="shared" si="124"/>
        <v>1291.1399999999999</v>
      </c>
      <c r="AC1116" s="20"/>
      <c r="AD1116" s="20" t="str">
        <f>VLOOKUP($C1116,'[1]CTRL AUTOS'!$E:$AH,2,0)</f>
        <v>NCK475B</v>
      </c>
      <c r="AE1116" s="11" t="str">
        <f t="shared" si="125"/>
        <v>NCK475B47</v>
      </c>
    </row>
    <row r="1117" spans="1:31" ht="12.75" hidden="1" customHeight="1" x14ac:dyDescent="0.3">
      <c r="A1117" s="8">
        <v>47</v>
      </c>
      <c r="B1117" s="20" t="s">
        <v>15</v>
      </c>
      <c r="C1117" s="20" t="s">
        <v>16</v>
      </c>
      <c r="D1117" s="20" t="s">
        <v>314</v>
      </c>
      <c r="E1117" s="20" t="s">
        <v>232</v>
      </c>
      <c r="F1117" s="20" t="s">
        <v>232</v>
      </c>
      <c r="G1117" s="20" t="s">
        <v>234</v>
      </c>
      <c r="H1117" s="23">
        <v>1870.8</v>
      </c>
      <c r="I1117" s="23">
        <v>0</v>
      </c>
      <c r="J1117" s="23">
        <v>0</v>
      </c>
      <c r="K1117" s="23">
        <v>0</v>
      </c>
      <c r="L1117" s="23">
        <v>-577.09</v>
      </c>
      <c r="M1117" s="23">
        <v>-40</v>
      </c>
      <c r="N1117" s="23">
        <v>0</v>
      </c>
      <c r="O1117" s="24">
        <f t="shared" si="126"/>
        <v>1253.71</v>
      </c>
      <c r="P1117" s="23">
        <v>-1428.57</v>
      </c>
      <c r="Q1117" s="23">
        <v>0</v>
      </c>
      <c r="R1117" s="23">
        <v>-286</v>
      </c>
      <c r="S1117" s="23">
        <v>0</v>
      </c>
      <c r="T1117" s="23">
        <v>0</v>
      </c>
      <c r="U1117" s="23">
        <v>0</v>
      </c>
      <c r="V1117" s="23">
        <v>0</v>
      </c>
      <c r="W1117" s="23">
        <f t="shared" si="127"/>
        <v>-460.8599999999999</v>
      </c>
      <c r="X1117" s="23">
        <f t="shared" si="128"/>
        <v>0</v>
      </c>
      <c r="Y1117" s="23">
        <f t="shared" si="129"/>
        <v>-460.8599999999999</v>
      </c>
      <c r="Z1117" s="23">
        <v>460</v>
      </c>
      <c r="AA1117" s="23">
        <f t="shared" si="123"/>
        <v>-0.85999999999989996</v>
      </c>
      <c r="AB1117" s="23">
        <f t="shared" si="124"/>
        <v>1712.8500000000001</v>
      </c>
      <c r="AC1117" s="20"/>
      <c r="AD1117" s="20" t="str">
        <f>VLOOKUP($C1117,'[1]CTRL AUTOS'!$E:$AH,2,0)</f>
        <v>D28BET</v>
      </c>
      <c r="AE1117" s="11" t="str">
        <f t="shared" si="125"/>
        <v>D28BET47</v>
      </c>
    </row>
    <row r="1118" spans="1:31" ht="12.75" hidden="1" customHeight="1" x14ac:dyDescent="0.3">
      <c r="A1118" s="8">
        <v>47</v>
      </c>
      <c r="B1118" s="20" t="s">
        <v>53</v>
      </c>
      <c r="C1118" s="20" t="s">
        <v>86</v>
      </c>
      <c r="D1118" s="20" t="s">
        <v>499</v>
      </c>
      <c r="E1118" s="20" t="s">
        <v>232</v>
      </c>
      <c r="F1118" s="20" t="s">
        <v>232</v>
      </c>
      <c r="G1118" s="20" t="s">
        <v>234</v>
      </c>
      <c r="H1118" s="23">
        <v>1260.33</v>
      </c>
      <c r="I1118" s="23">
        <v>0</v>
      </c>
      <c r="J1118" s="23">
        <v>0</v>
      </c>
      <c r="K1118" s="23">
        <v>0</v>
      </c>
      <c r="L1118" s="23">
        <v>-552.25</v>
      </c>
      <c r="M1118" s="23">
        <v>-40</v>
      </c>
      <c r="N1118" s="23">
        <v>0</v>
      </c>
      <c r="O1118" s="24">
        <f t="shared" si="126"/>
        <v>668.07999999999993</v>
      </c>
      <c r="P1118" s="23">
        <v>-1250</v>
      </c>
      <c r="Q1118" s="23">
        <v>0</v>
      </c>
      <c r="R1118" s="23">
        <v>-250</v>
      </c>
      <c r="S1118" s="23">
        <v>0</v>
      </c>
      <c r="T1118" s="23">
        <v>0</v>
      </c>
      <c r="U1118" s="23">
        <v>0</v>
      </c>
      <c r="V1118" s="23">
        <v>0</v>
      </c>
      <c r="W1118" s="23">
        <f t="shared" si="127"/>
        <v>-831.92000000000007</v>
      </c>
      <c r="X1118" s="23">
        <f t="shared" si="128"/>
        <v>0</v>
      </c>
      <c r="Y1118" s="23">
        <f t="shared" si="129"/>
        <v>-831.92000000000007</v>
      </c>
      <c r="Z1118" s="23">
        <v>832</v>
      </c>
      <c r="AA1118" s="23">
        <f t="shared" si="123"/>
        <v>7.999999999992724E-2</v>
      </c>
      <c r="AB1118" s="23">
        <f t="shared" si="124"/>
        <v>1500.1599999999999</v>
      </c>
      <c r="AC1118" s="20"/>
      <c r="AD1118" s="20" t="str">
        <f>VLOOKUP($C1118,'[1]CTRL AUTOS'!$E:$AH,2,0)</f>
        <v>R22BMR</v>
      </c>
      <c r="AE1118" s="11" t="str">
        <f t="shared" si="125"/>
        <v>R22BMR47</v>
      </c>
    </row>
    <row r="1119" spans="1:31" ht="12.75" hidden="1" customHeight="1" x14ac:dyDescent="0.3">
      <c r="A1119" s="8">
        <v>47</v>
      </c>
      <c r="B1119" s="20" t="s">
        <v>13</v>
      </c>
      <c r="C1119" s="20" t="s">
        <v>30</v>
      </c>
      <c r="D1119" s="20" t="s">
        <v>500</v>
      </c>
      <c r="E1119" s="20" t="s">
        <v>232</v>
      </c>
      <c r="F1119" s="20" t="s">
        <v>232</v>
      </c>
      <c r="G1119" s="20" t="s">
        <v>234</v>
      </c>
      <c r="H1119" s="23">
        <v>3347.04</v>
      </c>
      <c r="I1119" s="23">
        <v>0</v>
      </c>
      <c r="J1119" s="23">
        <v>0</v>
      </c>
      <c r="K1119" s="23">
        <v>0</v>
      </c>
      <c r="L1119" s="23">
        <v>0</v>
      </c>
      <c r="M1119" s="23">
        <v>-45</v>
      </c>
      <c r="N1119" s="23">
        <v>0</v>
      </c>
      <c r="O1119" s="24">
        <f t="shared" si="126"/>
        <v>3302.04</v>
      </c>
      <c r="P1119" s="23">
        <v>-1071</v>
      </c>
      <c r="Q1119" s="23">
        <v>0</v>
      </c>
      <c r="R1119" s="23">
        <v>0</v>
      </c>
      <c r="S1119" s="23">
        <v>0</v>
      </c>
      <c r="T1119" s="23">
        <v>0</v>
      </c>
      <c r="U1119" s="23">
        <v>0</v>
      </c>
      <c r="V1119" s="23">
        <v>0</v>
      </c>
      <c r="W1119" s="23">
        <f t="shared" si="127"/>
        <v>2231.04</v>
      </c>
      <c r="X1119" s="23">
        <f t="shared" si="128"/>
        <v>2231.04</v>
      </c>
      <c r="Y1119" s="23">
        <f t="shared" si="129"/>
        <v>0</v>
      </c>
      <c r="Z1119" s="23">
        <v>0</v>
      </c>
      <c r="AA1119" s="23">
        <f t="shared" si="123"/>
        <v>0</v>
      </c>
      <c r="AB1119" s="23">
        <f t="shared" si="124"/>
        <v>1071</v>
      </c>
      <c r="AC1119" s="20"/>
      <c r="AD1119" s="20" t="str">
        <f>VLOOKUP($C1119,'[1]CTRL AUTOS'!$E:$AH,2,0)</f>
        <v>D51BHV</v>
      </c>
      <c r="AE1119" s="11" t="str">
        <f t="shared" si="125"/>
        <v>D51BHV47</v>
      </c>
    </row>
    <row r="1120" spans="1:31" ht="12.75" hidden="1" customHeight="1" x14ac:dyDescent="0.3">
      <c r="A1120" s="8">
        <v>47</v>
      </c>
      <c r="B1120" s="20" t="s">
        <v>35</v>
      </c>
      <c r="C1120" s="20" t="s">
        <v>36</v>
      </c>
      <c r="D1120" s="20" t="s">
        <v>501</v>
      </c>
      <c r="E1120" s="20" t="s">
        <v>232</v>
      </c>
      <c r="F1120" s="20" t="s">
        <v>232</v>
      </c>
      <c r="G1120" s="20" t="s">
        <v>234</v>
      </c>
      <c r="H1120" s="23">
        <v>4930.3100000000004</v>
      </c>
      <c r="I1120" s="23">
        <v>-178.4</v>
      </c>
      <c r="J1120" s="23">
        <v>0</v>
      </c>
      <c r="K1120" s="23">
        <v>0</v>
      </c>
      <c r="L1120" s="23">
        <v>-2686.18</v>
      </c>
      <c r="M1120" s="23">
        <v>-60</v>
      </c>
      <c r="N1120" s="23">
        <v>0</v>
      </c>
      <c r="O1120" s="24">
        <f t="shared" si="126"/>
        <v>2005.7300000000009</v>
      </c>
      <c r="P1120" s="23">
        <v>-1071</v>
      </c>
      <c r="Q1120" s="23">
        <v>0</v>
      </c>
      <c r="R1120" s="23">
        <v>0</v>
      </c>
      <c r="S1120" s="23">
        <v>0</v>
      </c>
      <c r="T1120" s="23">
        <v>0</v>
      </c>
      <c r="U1120" s="23">
        <v>0</v>
      </c>
      <c r="V1120" s="23">
        <v>0</v>
      </c>
      <c r="W1120" s="23">
        <f t="shared" si="127"/>
        <v>934.73000000000093</v>
      </c>
      <c r="X1120" s="23">
        <f t="shared" si="128"/>
        <v>934.73000000000093</v>
      </c>
      <c r="Y1120" s="23">
        <f t="shared" si="129"/>
        <v>0</v>
      </c>
      <c r="Z1120" s="23">
        <v>0</v>
      </c>
      <c r="AA1120" s="23">
        <f t="shared" si="123"/>
        <v>0</v>
      </c>
      <c r="AB1120" s="23">
        <f t="shared" si="124"/>
        <v>1071</v>
      </c>
      <c r="AC1120" s="20"/>
      <c r="AD1120" s="20" t="str">
        <f>VLOOKUP($C1120,'[1]CTRL AUTOS'!$E:$AH,2,0)</f>
        <v>MLC126A</v>
      </c>
      <c r="AE1120" s="11" t="str">
        <f t="shared" si="125"/>
        <v>MLC126A47</v>
      </c>
    </row>
    <row r="1121" spans="1:31" ht="12.75" hidden="1" customHeight="1" x14ac:dyDescent="0.3">
      <c r="A1121" s="8">
        <v>47</v>
      </c>
      <c r="B1121" s="20" t="s">
        <v>11</v>
      </c>
      <c r="C1121" s="20" t="s">
        <v>59</v>
      </c>
      <c r="D1121" s="20" t="s">
        <v>502</v>
      </c>
      <c r="E1121" s="20" t="s">
        <v>232</v>
      </c>
      <c r="F1121" s="20" t="s">
        <v>232</v>
      </c>
      <c r="G1121" s="20" t="s">
        <v>234</v>
      </c>
      <c r="H1121" s="23">
        <v>1662.73</v>
      </c>
      <c r="I1121" s="23">
        <v>0</v>
      </c>
      <c r="J1121" s="23">
        <v>0</v>
      </c>
      <c r="K1121" s="23">
        <v>0</v>
      </c>
      <c r="L1121" s="23">
        <v>-616.66999999999996</v>
      </c>
      <c r="M1121" s="23">
        <v>-40</v>
      </c>
      <c r="N1121" s="23">
        <v>0</v>
      </c>
      <c r="O1121" s="24">
        <f t="shared" si="126"/>
        <v>1006.06</v>
      </c>
      <c r="P1121" s="23">
        <v>-1071</v>
      </c>
      <c r="Q1121" s="23">
        <v>0</v>
      </c>
      <c r="R1121" s="23">
        <v>0</v>
      </c>
      <c r="S1121" s="23">
        <v>0</v>
      </c>
      <c r="T1121" s="23">
        <v>0</v>
      </c>
      <c r="U1121" s="23">
        <v>0</v>
      </c>
      <c r="V1121" s="23">
        <v>0</v>
      </c>
      <c r="W1121" s="23">
        <f t="shared" si="127"/>
        <v>-64.940000000000055</v>
      </c>
      <c r="X1121" s="23">
        <f t="shared" si="128"/>
        <v>0</v>
      </c>
      <c r="Y1121" s="23">
        <f t="shared" si="129"/>
        <v>-64.940000000000055</v>
      </c>
      <c r="Z1121" s="23">
        <v>65</v>
      </c>
      <c r="AA1121" s="23">
        <f t="shared" si="123"/>
        <v>5.999999999994543E-2</v>
      </c>
      <c r="AB1121" s="23">
        <f t="shared" si="124"/>
        <v>1071.1199999999999</v>
      </c>
      <c r="AC1121" s="20" t="s">
        <v>503</v>
      </c>
      <c r="AD1121" s="20" t="str">
        <f>VLOOKUP($C1121,'[1]CTRL AUTOS'!$E:$AH,2,0)</f>
        <v>P62BHW</v>
      </c>
      <c r="AE1121" s="11" t="str">
        <f t="shared" si="125"/>
        <v>P62BHW47</v>
      </c>
    </row>
    <row r="1122" spans="1:31" ht="12.75" hidden="1" customHeight="1" x14ac:dyDescent="0.3">
      <c r="A1122" s="8">
        <v>47</v>
      </c>
      <c r="B1122" s="20" t="s">
        <v>25</v>
      </c>
      <c r="C1122" s="20" t="s">
        <v>67</v>
      </c>
      <c r="D1122" s="20" t="s">
        <v>504</v>
      </c>
      <c r="E1122" s="20" t="s">
        <v>232</v>
      </c>
      <c r="F1122" s="20" t="s">
        <v>232</v>
      </c>
      <c r="G1122" s="20" t="s">
        <v>234</v>
      </c>
      <c r="H1122" s="23">
        <v>3875.16</v>
      </c>
      <c r="I1122" s="23">
        <v>0</v>
      </c>
      <c r="J1122" s="23">
        <v>0</v>
      </c>
      <c r="K1122" s="23">
        <v>0</v>
      </c>
      <c r="L1122" s="23">
        <v>-2049.98</v>
      </c>
      <c r="M1122" s="23">
        <v>-40</v>
      </c>
      <c r="N1122" s="23">
        <v>0</v>
      </c>
      <c r="O1122" s="24">
        <f t="shared" si="126"/>
        <v>1785.1799999999998</v>
      </c>
      <c r="P1122" s="23">
        <v>-1071</v>
      </c>
      <c r="Q1122" s="23">
        <v>0</v>
      </c>
      <c r="R1122" s="23">
        <v>0</v>
      </c>
      <c r="S1122" s="23">
        <v>0</v>
      </c>
      <c r="T1122" s="23">
        <v>0</v>
      </c>
      <c r="U1122" s="23">
        <v>0</v>
      </c>
      <c r="V1122" s="23">
        <v>0</v>
      </c>
      <c r="W1122" s="23">
        <f t="shared" si="127"/>
        <v>714.17999999999984</v>
      </c>
      <c r="X1122" s="23">
        <f t="shared" si="128"/>
        <v>714.17999999999984</v>
      </c>
      <c r="Y1122" s="23">
        <f t="shared" si="129"/>
        <v>0</v>
      </c>
      <c r="Z1122" s="23">
        <v>0</v>
      </c>
      <c r="AA1122" s="23">
        <f t="shared" si="123"/>
        <v>0</v>
      </c>
      <c r="AB1122" s="23">
        <f t="shared" si="124"/>
        <v>1071</v>
      </c>
      <c r="AC1122" s="20"/>
      <c r="AD1122" s="20" t="str">
        <f>VLOOKUP($C1122,'[1]CTRL AUTOS'!$E:$AH,2,0)</f>
        <v>MFP751C</v>
      </c>
      <c r="AE1122" s="11" t="str">
        <f t="shared" si="125"/>
        <v>MFP751C47</v>
      </c>
    </row>
    <row r="1123" spans="1:31" ht="15" hidden="1" customHeight="1" x14ac:dyDescent="0.3">
      <c r="A1123" s="8">
        <v>47</v>
      </c>
      <c r="B1123" s="20" t="s">
        <v>414</v>
      </c>
      <c r="C1123" s="20" t="s">
        <v>59</v>
      </c>
      <c r="D1123" s="20" t="s">
        <v>502</v>
      </c>
      <c r="E1123" s="20" t="s">
        <v>232</v>
      </c>
      <c r="F1123" s="20" t="s">
        <v>232</v>
      </c>
      <c r="G1123" s="20" t="s">
        <v>234</v>
      </c>
      <c r="H1123" s="23">
        <v>0</v>
      </c>
      <c r="I1123" s="23">
        <v>0</v>
      </c>
      <c r="J1123" s="23">
        <v>0</v>
      </c>
      <c r="K1123" s="23">
        <v>0</v>
      </c>
      <c r="L1123" s="23">
        <v>0</v>
      </c>
      <c r="M1123" s="23">
        <v>0</v>
      </c>
      <c r="N1123" s="23">
        <v>0</v>
      </c>
      <c r="O1123" s="24">
        <f t="shared" si="126"/>
        <v>0</v>
      </c>
      <c r="P1123" s="23">
        <v>0</v>
      </c>
      <c r="Q1123" s="23">
        <v>0</v>
      </c>
      <c r="R1123" s="23">
        <v>2000</v>
      </c>
      <c r="S1123" s="23">
        <v>0</v>
      </c>
      <c r="T1123" s="23">
        <v>0</v>
      </c>
      <c r="U1123" s="23">
        <v>0</v>
      </c>
      <c r="V1123" s="23">
        <v>0</v>
      </c>
      <c r="W1123" s="23">
        <f t="shared" si="127"/>
        <v>2000</v>
      </c>
      <c r="X1123" s="23">
        <f t="shared" si="128"/>
        <v>2000</v>
      </c>
      <c r="Y1123" s="23">
        <f t="shared" si="129"/>
        <v>0</v>
      </c>
      <c r="Z1123" s="23">
        <v>0</v>
      </c>
      <c r="AA1123" s="23">
        <f t="shared" si="123"/>
        <v>0</v>
      </c>
      <c r="AB1123" s="23">
        <f t="shared" si="124"/>
        <v>-2000</v>
      </c>
      <c r="AD1123" s="20" t="str">
        <f>VLOOKUP($C1123,'[1]CTRL AUTOS'!$E:$AH,2,0)</f>
        <v>P62BHW</v>
      </c>
      <c r="AE1123" s="11" t="str">
        <f t="shared" si="125"/>
        <v>P62BHW47</v>
      </c>
    </row>
    <row r="1124" spans="1:31" ht="12.75" hidden="1" customHeight="1" x14ac:dyDescent="0.3">
      <c r="A1124" s="8">
        <v>47</v>
      </c>
      <c r="B1124" s="20" t="s">
        <v>76</v>
      </c>
      <c r="C1124" s="20" t="s">
        <v>104</v>
      </c>
      <c r="D1124" s="20" t="s">
        <v>237</v>
      </c>
      <c r="E1124" s="20" t="s">
        <v>364</v>
      </c>
      <c r="F1124" s="22" t="s">
        <v>364</v>
      </c>
      <c r="G1124" s="20" t="s">
        <v>234</v>
      </c>
      <c r="H1124" s="23">
        <v>182.56</v>
      </c>
      <c r="I1124" s="23">
        <v>0</v>
      </c>
      <c r="J1124" s="23">
        <v>0</v>
      </c>
      <c r="K1124" s="23">
        <v>-2.0499999999999998</v>
      </c>
      <c r="L1124" s="23">
        <v>-212.09</v>
      </c>
      <c r="M1124" s="23">
        <v>-15</v>
      </c>
      <c r="N1124" s="23">
        <v>-95</v>
      </c>
      <c r="O1124" s="24">
        <f t="shared" si="126"/>
        <v>-141.58000000000001</v>
      </c>
      <c r="P1124" s="23">
        <v>-714</v>
      </c>
      <c r="Q1124" s="23">
        <v>0</v>
      </c>
      <c r="R1124" s="23">
        <v>0</v>
      </c>
      <c r="S1124" s="23">
        <v>0</v>
      </c>
      <c r="T1124" s="23">
        <v>0</v>
      </c>
      <c r="U1124" s="23">
        <v>0</v>
      </c>
      <c r="V1124" s="23">
        <v>0</v>
      </c>
      <c r="W1124" s="23">
        <f t="shared" si="127"/>
        <v>-855.58</v>
      </c>
      <c r="X1124" s="23">
        <f t="shared" si="128"/>
        <v>0</v>
      </c>
      <c r="Y1124" s="23">
        <f t="shared" si="129"/>
        <v>-855.58</v>
      </c>
      <c r="Z1124" s="23">
        <v>856</v>
      </c>
      <c r="AA1124" s="23">
        <f t="shared" si="123"/>
        <v>0.41999999999995907</v>
      </c>
      <c r="AB1124" s="23">
        <f t="shared" si="124"/>
        <v>714.83999999999992</v>
      </c>
      <c r="AD1124" s="20" t="e">
        <f>VLOOKUP($C1124,'[1]CTRL AUTOS'!$E:$AH,2,0)</f>
        <v>#N/A</v>
      </c>
      <c r="AE1124" s="11" t="e">
        <f t="shared" si="125"/>
        <v>#N/A</v>
      </c>
    </row>
    <row r="1125" spans="1:31" ht="12" hidden="1" customHeight="1" x14ac:dyDescent="0.3">
      <c r="A1125" s="8">
        <v>48</v>
      </c>
      <c r="B1125" s="20" t="s">
        <v>13</v>
      </c>
      <c r="C1125" s="20" t="s">
        <v>14</v>
      </c>
      <c r="D1125" s="20" t="s">
        <v>505</v>
      </c>
      <c r="E1125" s="20" t="s">
        <v>232</v>
      </c>
      <c r="F1125" s="20" t="s">
        <v>232</v>
      </c>
      <c r="G1125" s="20" t="s">
        <v>234</v>
      </c>
      <c r="H1125" s="23">
        <v>7081.27</v>
      </c>
      <c r="I1125" s="23">
        <v>0</v>
      </c>
      <c r="J1125" s="23">
        <v>0</v>
      </c>
      <c r="K1125" s="23">
        <v>0</v>
      </c>
      <c r="L1125" s="23">
        <v>0</v>
      </c>
      <c r="M1125" s="23">
        <v>-55</v>
      </c>
      <c r="N1125" s="23">
        <v>0</v>
      </c>
      <c r="O1125" s="24">
        <f t="shared" si="126"/>
        <v>7026.27</v>
      </c>
      <c r="P1125" s="23">
        <v>-2671</v>
      </c>
      <c r="Q1125" s="23">
        <v>0</v>
      </c>
      <c r="R1125" s="23">
        <v>0</v>
      </c>
      <c r="S1125" s="23">
        <v>0</v>
      </c>
      <c r="T1125" s="23">
        <v>0</v>
      </c>
      <c r="U1125" s="23">
        <v>0</v>
      </c>
      <c r="V1125" s="23">
        <v>0</v>
      </c>
      <c r="W1125" s="23">
        <f t="shared" si="127"/>
        <v>4355.2700000000004</v>
      </c>
      <c r="X1125" s="23">
        <f t="shared" si="128"/>
        <v>4355.2700000000004</v>
      </c>
      <c r="Y1125" s="23">
        <f t="shared" si="129"/>
        <v>0</v>
      </c>
      <c r="Z1125" s="23">
        <v>0</v>
      </c>
      <c r="AA1125" s="23">
        <f t="shared" si="123"/>
        <v>0</v>
      </c>
      <c r="AB1125" s="23">
        <f t="shared" si="124"/>
        <v>2671</v>
      </c>
      <c r="AC1125" s="20"/>
      <c r="AD1125" s="20" t="str">
        <f>VLOOKUP($C1125,'[1]CTRL AUTOS'!$E:$AH,2,0)</f>
        <v>MXM503C</v>
      </c>
      <c r="AE1125" s="11" t="str">
        <f t="shared" si="125"/>
        <v>MXM503C48</v>
      </c>
    </row>
    <row r="1126" spans="1:31" ht="12" hidden="1" customHeight="1" x14ac:dyDescent="0.3">
      <c r="A1126" s="8">
        <v>48</v>
      </c>
      <c r="B1126" s="20" t="s">
        <v>13</v>
      </c>
      <c r="C1126" s="20" t="s">
        <v>30</v>
      </c>
      <c r="D1126" s="20" t="s">
        <v>500</v>
      </c>
      <c r="E1126" s="20" t="s">
        <v>232</v>
      </c>
      <c r="F1126" s="20" t="s">
        <v>232</v>
      </c>
      <c r="G1126" s="20" t="s">
        <v>234</v>
      </c>
      <c r="H1126" s="23">
        <v>0</v>
      </c>
      <c r="I1126" s="23">
        <v>0</v>
      </c>
      <c r="J1126" s="23">
        <v>9.7899999999999991</v>
      </c>
      <c r="K1126" s="23">
        <v>0</v>
      </c>
      <c r="L1126" s="23">
        <v>0</v>
      </c>
      <c r="M1126" s="23">
        <v>-10</v>
      </c>
      <c r="N1126" s="23">
        <v>0</v>
      </c>
      <c r="O1126" s="24">
        <f t="shared" si="126"/>
        <v>-0.21000000000000085</v>
      </c>
      <c r="P1126" s="23">
        <v>0</v>
      </c>
      <c r="Q1126" s="23">
        <v>0</v>
      </c>
      <c r="R1126" s="23">
        <v>0</v>
      </c>
      <c r="S1126" s="23">
        <v>0</v>
      </c>
      <c r="T1126" s="23">
        <v>0</v>
      </c>
      <c r="U1126" s="23">
        <v>0</v>
      </c>
      <c r="V1126" s="23">
        <v>0</v>
      </c>
      <c r="W1126" s="23">
        <f t="shared" si="127"/>
        <v>-0.21000000000000085</v>
      </c>
      <c r="X1126" s="23">
        <f t="shared" si="128"/>
        <v>0</v>
      </c>
      <c r="Y1126" s="23">
        <f t="shared" si="129"/>
        <v>-0.21000000000000085</v>
      </c>
      <c r="Z1126" s="23">
        <v>0</v>
      </c>
      <c r="AA1126" s="23">
        <f t="shared" si="123"/>
        <v>-0.21000000000000085</v>
      </c>
      <c r="AB1126" s="23">
        <f t="shared" si="124"/>
        <v>-0.42000000000000171</v>
      </c>
      <c r="AD1126" s="20" t="str">
        <f>VLOOKUP($C1126,'[1]CTRL AUTOS'!$E:$AH,2,0)</f>
        <v>D51BHV</v>
      </c>
      <c r="AE1126" s="11" t="str">
        <f t="shared" si="125"/>
        <v>D51BHV48</v>
      </c>
    </row>
    <row r="1127" spans="1:31" ht="12" hidden="1" customHeight="1" x14ac:dyDescent="0.3">
      <c r="A1127" s="8">
        <v>48</v>
      </c>
      <c r="B1127" s="20" t="s">
        <v>11</v>
      </c>
      <c r="C1127" s="20" t="s">
        <v>86</v>
      </c>
      <c r="D1127" s="20" t="s">
        <v>499</v>
      </c>
      <c r="E1127" s="20" t="s">
        <v>232</v>
      </c>
      <c r="F1127" s="20" t="s">
        <v>232</v>
      </c>
      <c r="G1127" s="20" t="s">
        <v>234</v>
      </c>
      <c r="H1127" s="23">
        <v>8644.85</v>
      </c>
      <c r="I1127" s="23">
        <v>0</v>
      </c>
      <c r="J1127" s="23">
        <v>0</v>
      </c>
      <c r="K1127" s="23">
        <v>0</v>
      </c>
      <c r="L1127" s="23">
        <v>-3223.59</v>
      </c>
      <c r="M1127" s="23">
        <v>-65</v>
      </c>
      <c r="N1127" s="23">
        <v>0</v>
      </c>
      <c r="O1127" s="24">
        <f t="shared" si="126"/>
        <v>5356.26</v>
      </c>
      <c r="P1127" s="23">
        <v>-2671</v>
      </c>
      <c r="Q1127" s="23">
        <v>0</v>
      </c>
      <c r="R1127" s="23">
        <v>0</v>
      </c>
      <c r="S1127" s="23">
        <v>0</v>
      </c>
      <c r="T1127" s="23">
        <v>0</v>
      </c>
      <c r="U1127" s="23">
        <v>0</v>
      </c>
      <c r="V1127" s="23">
        <v>0</v>
      </c>
      <c r="W1127" s="23">
        <f t="shared" si="127"/>
        <v>2685.26</v>
      </c>
      <c r="X1127" s="23">
        <f t="shared" si="128"/>
        <v>2685.26</v>
      </c>
      <c r="Y1127" s="23">
        <f t="shared" si="129"/>
        <v>0</v>
      </c>
      <c r="Z1127" s="23">
        <v>0</v>
      </c>
      <c r="AA1127" s="23">
        <f t="shared" si="123"/>
        <v>0</v>
      </c>
      <c r="AB1127" s="23">
        <f t="shared" si="124"/>
        <v>2671</v>
      </c>
      <c r="AD1127" s="20" t="str">
        <f>VLOOKUP($C1127,'[1]CTRL AUTOS'!$E:$AH,2,0)</f>
        <v>R22BMR</v>
      </c>
      <c r="AE1127" s="11" t="str">
        <f t="shared" si="125"/>
        <v>R22BMR48</v>
      </c>
    </row>
    <row r="1128" spans="1:31" ht="12" hidden="1" customHeight="1" x14ac:dyDescent="0.3">
      <c r="A1128" s="8">
        <v>48</v>
      </c>
      <c r="B1128" s="20" t="s">
        <v>35</v>
      </c>
      <c r="C1128" s="20" t="s">
        <v>36</v>
      </c>
      <c r="D1128" s="20" t="s">
        <v>273</v>
      </c>
      <c r="E1128" s="20" t="s">
        <v>232</v>
      </c>
      <c r="F1128" s="20" t="s">
        <v>232</v>
      </c>
      <c r="G1128" s="20" t="s">
        <v>234</v>
      </c>
      <c r="H1128" s="23">
        <v>8860.2999999999993</v>
      </c>
      <c r="I1128" s="23">
        <v>-200</v>
      </c>
      <c r="J1128" s="23">
        <v>0</v>
      </c>
      <c r="K1128" s="23">
        <v>0</v>
      </c>
      <c r="L1128" s="23">
        <v>-4282.53</v>
      </c>
      <c r="M1128" s="23">
        <v>-75</v>
      </c>
      <c r="N1128" s="23">
        <v>0</v>
      </c>
      <c r="O1128" s="24">
        <f t="shared" si="126"/>
        <v>4302.7699999999995</v>
      </c>
      <c r="P1128" s="23">
        <v>-2500</v>
      </c>
      <c r="Q1128" s="23">
        <v>0</v>
      </c>
      <c r="R1128" s="23">
        <v>0</v>
      </c>
      <c r="S1128" s="23">
        <v>0</v>
      </c>
      <c r="T1128" s="23">
        <v>-500</v>
      </c>
      <c r="U1128" s="23">
        <v>0</v>
      </c>
      <c r="V1128" s="23">
        <v>0</v>
      </c>
      <c r="W1128" s="23">
        <f t="shared" si="127"/>
        <v>1302.7699999999995</v>
      </c>
      <c r="X1128" s="23">
        <f t="shared" si="128"/>
        <v>1302.7699999999995</v>
      </c>
      <c r="Y1128" s="23">
        <f t="shared" si="129"/>
        <v>0</v>
      </c>
      <c r="Z1128" s="23">
        <v>0</v>
      </c>
      <c r="AA1128" s="23">
        <f t="shared" si="123"/>
        <v>0</v>
      </c>
      <c r="AB1128" s="23">
        <f t="shared" si="124"/>
        <v>3000</v>
      </c>
      <c r="AD1128" s="20" t="str">
        <f>VLOOKUP($C1128,'[1]CTRL AUTOS'!$E:$AH,2,0)</f>
        <v>MLC126A</v>
      </c>
      <c r="AE1128" s="11" t="str">
        <f t="shared" si="125"/>
        <v>MLC126A48</v>
      </c>
    </row>
    <row r="1129" spans="1:31" ht="12" hidden="1" customHeight="1" x14ac:dyDescent="0.3">
      <c r="A1129" s="8">
        <v>48</v>
      </c>
      <c r="B1129" s="20" t="s">
        <v>25</v>
      </c>
      <c r="C1129" s="20" t="s">
        <v>67</v>
      </c>
      <c r="D1129" s="20" t="s">
        <v>343</v>
      </c>
      <c r="E1129" s="20" t="s">
        <v>232</v>
      </c>
      <c r="F1129" s="20" t="s">
        <v>232</v>
      </c>
      <c r="G1129" s="20" t="s">
        <v>234</v>
      </c>
      <c r="H1129" s="23">
        <v>5022.51</v>
      </c>
      <c r="I1129" s="23">
        <v>0</v>
      </c>
      <c r="J1129" s="23">
        <v>0</v>
      </c>
      <c r="K1129" s="23">
        <v>0</v>
      </c>
      <c r="L1129" s="23">
        <v>-2508.79</v>
      </c>
      <c r="M1129" s="23">
        <v>-55</v>
      </c>
      <c r="N1129" s="23">
        <v>0</v>
      </c>
      <c r="O1129" s="24">
        <f t="shared" si="126"/>
        <v>2458.7200000000003</v>
      </c>
      <c r="P1129" s="23">
        <v>-2500</v>
      </c>
      <c r="Q1129" s="23">
        <v>-744.8</v>
      </c>
      <c r="R1129" s="23">
        <v>0</v>
      </c>
      <c r="S1129" s="23">
        <v>0</v>
      </c>
      <c r="T1129" s="23">
        <v>0</v>
      </c>
      <c r="U1129" s="23">
        <v>0</v>
      </c>
      <c r="V1129" s="23">
        <v>0</v>
      </c>
      <c r="W1129" s="23">
        <f t="shared" si="127"/>
        <v>-786.07999999999993</v>
      </c>
      <c r="X1129" s="23">
        <f t="shared" si="128"/>
        <v>0</v>
      </c>
      <c r="Y1129" s="23">
        <f t="shared" si="129"/>
        <v>-786.07999999999993</v>
      </c>
      <c r="Z1129" s="23">
        <v>400</v>
      </c>
      <c r="AA1129" s="23">
        <f t="shared" si="123"/>
        <v>-386.07999999999993</v>
      </c>
      <c r="AB1129" s="23">
        <f t="shared" si="124"/>
        <v>2472.6400000000003</v>
      </c>
      <c r="AD1129" s="20" t="str">
        <f>VLOOKUP($C1129,'[1]CTRL AUTOS'!$E:$AH,2,0)</f>
        <v>MFP751C</v>
      </c>
      <c r="AE1129" s="11" t="str">
        <f t="shared" si="125"/>
        <v>MFP751C48</v>
      </c>
    </row>
    <row r="1130" spans="1:31" ht="12" hidden="1" customHeight="1" x14ac:dyDescent="0.3">
      <c r="A1130" s="8">
        <v>48</v>
      </c>
      <c r="B1130" s="20" t="s">
        <v>396</v>
      </c>
      <c r="C1130" s="20" t="s">
        <v>75</v>
      </c>
      <c r="D1130" s="20" t="s">
        <v>333</v>
      </c>
      <c r="E1130" s="22" t="s">
        <v>241</v>
      </c>
      <c r="F1130" s="20" t="s">
        <v>291</v>
      </c>
      <c r="G1130" s="20" t="s">
        <v>234</v>
      </c>
      <c r="H1130" s="23">
        <v>0</v>
      </c>
      <c r="I1130" s="23">
        <v>0</v>
      </c>
      <c r="J1130" s="23">
        <v>0</v>
      </c>
      <c r="K1130" s="23">
        <v>0</v>
      </c>
      <c r="L1130" s="23">
        <v>0</v>
      </c>
      <c r="M1130" s="23">
        <v>0</v>
      </c>
      <c r="N1130" s="23">
        <v>0</v>
      </c>
      <c r="O1130" s="24">
        <f t="shared" si="126"/>
        <v>0</v>
      </c>
      <c r="P1130" s="23">
        <v>0</v>
      </c>
      <c r="Q1130" s="23">
        <v>0</v>
      </c>
      <c r="R1130" s="23">
        <v>500</v>
      </c>
      <c r="S1130" s="23">
        <v>0</v>
      </c>
      <c r="T1130" s="23">
        <v>0</v>
      </c>
      <c r="U1130" s="23">
        <v>0</v>
      </c>
      <c r="V1130" s="23">
        <v>0</v>
      </c>
      <c r="W1130" s="23">
        <f t="shared" si="127"/>
        <v>500</v>
      </c>
      <c r="X1130" s="23">
        <f t="shared" si="128"/>
        <v>500</v>
      </c>
      <c r="Y1130" s="23">
        <f t="shared" si="129"/>
        <v>0</v>
      </c>
      <c r="Z1130" s="23">
        <v>0</v>
      </c>
      <c r="AA1130" s="23">
        <f t="shared" si="123"/>
        <v>0</v>
      </c>
      <c r="AB1130" s="23">
        <f t="shared" si="124"/>
        <v>-500</v>
      </c>
      <c r="AD1130" s="20" t="str">
        <f>VLOOKUP($C1130,'[1]CTRL AUTOS'!$E:$AH,2,0)</f>
        <v>NFN014B</v>
      </c>
      <c r="AE1130" s="11" t="str">
        <f t="shared" si="125"/>
        <v>NFN014B48</v>
      </c>
    </row>
    <row r="1131" spans="1:31" ht="12" hidden="1" customHeight="1" x14ac:dyDescent="0.3">
      <c r="A1131" s="8">
        <v>48</v>
      </c>
      <c r="B1131" s="20" t="s">
        <v>49</v>
      </c>
      <c r="C1131" s="20" t="s">
        <v>50</v>
      </c>
      <c r="D1131" s="20" t="s">
        <v>480</v>
      </c>
      <c r="E1131" s="20" t="s">
        <v>232</v>
      </c>
      <c r="F1131" s="20" t="s">
        <v>232</v>
      </c>
      <c r="G1131" s="20" t="s">
        <v>234</v>
      </c>
      <c r="H1131" s="23">
        <v>8265.99</v>
      </c>
      <c r="I1131" s="23">
        <v>-24</v>
      </c>
      <c r="J1131" s="23">
        <v>-0.41</v>
      </c>
      <c r="K1131" s="23">
        <v>0</v>
      </c>
      <c r="L1131" s="23">
        <v>-309.92</v>
      </c>
      <c r="M1131" s="23">
        <v>-40</v>
      </c>
      <c r="N1131" s="23">
        <v>0</v>
      </c>
      <c r="O1131" s="24">
        <f t="shared" si="126"/>
        <v>7891.66</v>
      </c>
      <c r="P1131" s="23">
        <v>-2500</v>
      </c>
      <c r="Q1131" s="23">
        <v>0</v>
      </c>
      <c r="R1131" s="23">
        <v>-500</v>
      </c>
      <c r="S1131" s="23">
        <v>0</v>
      </c>
      <c r="T1131" s="23">
        <v>-700</v>
      </c>
      <c r="U1131" s="23">
        <v>0</v>
      </c>
      <c r="V1131" s="23">
        <v>0</v>
      </c>
      <c r="W1131" s="23">
        <f t="shared" si="127"/>
        <v>4191.66</v>
      </c>
      <c r="X1131" s="23">
        <f t="shared" si="128"/>
        <v>4191.66</v>
      </c>
      <c r="Y1131" s="23">
        <f t="shared" si="129"/>
        <v>0</v>
      </c>
      <c r="Z1131" s="23">
        <v>0</v>
      </c>
      <c r="AA1131" s="23">
        <f t="shared" si="123"/>
        <v>0</v>
      </c>
      <c r="AB1131" s="23">
        <f t="shared" si="124"/>
        <v>3700</v>
      </c>
      <c r="AD1131" s="20" t="str">
        <f>VLOOKUP($C1131,'[1]CTRL AUTOS'!$E:$AH,2,0)</f>
        <v>NBS225A</v>
      </c>
      <c r="AE1131" s="11" t="str">
        <f t="shared" si="125"/>
        <v>NBS225A48</v>
      </c>
    </row>
    <row r="1132" spans="1:31" ht="12" hidden="1" customHeight="1" x14ac:dyDescent="0.3">
      <c r="A1132" s="8">
        <v>48</v>
      </c>
      <c r="B1132" s="20" t="s">
        <v>47</v>
      </c>
      <c r="C1132" s="20" t="s">
        <v>106</v>
      </c>
      <c r="D1132" s="20" t="s">
        <v>322</v>
      </c>
      <c r="E1132" s="20" t="s">
        <v>232</v>
      </c>
      <c r="F1132" s="20" t="s">
        <v>232</v>
      </c>
      <c r="G1132" s="20" t="s">
        <v>234</v>
      </c>
      <c r="H1132" s="23">
        <v>5698.68</v>
      </c>
      <c r="I1132" s="23">
        <v>0</v>
      </c>
      <c r="J1132" s="23">
        <v>0</v>
      </c>
      <c r="K1132" s="23">
        <v>-68.47</v>
      </c>
      <c r="L1132" s="23">
        <v>-2713.76</v>
      </c>
      <c r="M1132" s="23">
        <v>-55</v>
      </c>
      <c r="N1132" s="23">
        <v>0</v>
      </c>
      <c r="O1132" s="24">
        <f t="shared" si="126"/>
        <v>2861.45</v>
      </c>
      <c r="P1132" s="23">
        <v>-2500</v>
      </c>
      <c r="Q1132" s="23">
        <v>0</v>
      </c>
      <c r="R1132" s="23">
        <v>-500</v>
      </c>
      <c r="S1132" s="23">
        <v>0</v>
      </c>
      <c r="T1132" s="23">
        <v>0</v>
      </c>
      <c r="U1132" s="23">
        <v>0</v>
      </c>
      <c r="V1132" s="23">
        <v>0</v>
      </c>
      <c r="W1132" s="23">
        <f t="shared" si="127"/>
        <v>-138.55000000000018</v>
      </c>
      <c r="X1132" s="23">
        <f t="shared" si="128"/>
        <v>0</v>
      </c>
      <c r="Y1132" s="23">
        <f t="shared" si="129"/>
        <v>-138.55000000000018</v>
      </c>
      <c r="Z1132" s="23">
        <v>139</v>
      </c>
      <c r="AA1132" s="23">
        <f t="shared" si="123"/>
        <v>0.4499999999998181</v>
      </c>
      <c r="AB1132" s="23">
        <f t="shared" si="124"/>
        <v>3000.8999999999996</v>
      </c>
      <c r="AD1132" s="20" t="str">
        <f>VLOOKUP($C1132,'[1]CTRL AUTOS'!$E:$AH,2,0)</f>
        <v>NZU5163</v>
      </c>
      <c r="AE1132" s="11" t="str">
        <f t="shared" si="125"/>
        <v>NZU516348</v>
      </c>
    </row>
    <row r="1133" spans="1:31" ht="12" hidden="1" customHeight="1" x14ac:dyDescent="0.3">
      <c r="A1133" s="8">
        <v>48</v>
      </c>
      <c r="B1133" s="20" t="s">
        <v>60</v>
      </c>
      <c r="C1133" s="41" t="s">
        <v>42</v>
      </c>
      <c r="D1133" s="20" t="s">
        <v>490</v>
      </c>
      <c r="E1133" s="20" t="s">
        <v>232</v>
      </c>
      <c r="F1133" s="20" t="s">
        <v>232</v>
      </c>
      <c r="G1133" s="20" t="s">
        <v>234</v>
      </c>
      <c r="H1133" s="23">
        <v>8713.39</v>
      </c>
      <c r="I1133" s="23">
        <v>-96</v>
      </c>
      <c r="J1133" s="23">
        <v>0</v>
      </c>
      <c r="K1133" s="23">
        <v>0</v>
      </c>
      <c r="L1133" s="23">
        <v>-5872.04</v>
      </c>
      <c r="M1133" s="23">
        <v>-75</v>
      </c>
      <c r="N1133" s="23">
        <v>0</v>
      </c>
      <c r="O1133" s="24">
        <f t="shared" si="126"/>
        <v>2670.3499999999995</v>
      </c>
      <c r="P1133" s="23">
        <v>-2500</v>
      </c>
      <c r="Q1133" s="23">
        <v>0</v>
      </c>
      <c r="R1133" s="23">
        <v>0</v>
      </c>
      <c r="S1133" s="23">
        <v>0</v>
      </c>
      <c r="T1133" s="23">
        <v>0</v>
      </c>
      <c r="U1133" s="23">
        <v>0</v>
      </c>
      <c r="V1133" s="23">
        <v>0</v>
      </c>
      <c r="W1133" s="23">
        <f t="shared" si="127"/>
        <v>170.34999999999945</v>
      </c>
      <c r="X1133" s="23">
        <f t="shared" si="128"/>
        <v>170.34999999999945</v>
      </c>
      <c r="Y1133" s="23">
        <f t="shared" si="129"/>
        <v>0</v>
      </c>
      <c r="Z1133" s="23">
        <v>0</v>
      </c>
      <c r="AA1133" s="23">
        <f t="shared" si="123"/>
        <v>0</v>
      </c>
      <c r="AB1133" s="23">
        <f t="shared" si="124"/>
        <v>2500</v>
      </c>
      <c r="AD1133" s="20" t="str">
        <f>VLOOKUP($C1133,'[1]CTRL AUTOS'!$E:$AH,2,0)</f>
        <v>MMA672C</v>
      </c>
      <c r="AE1133" s="11" t="str">
        <f t="shared" si="125"/>
        <v>MMA672C48</v>
      </c>
    </row>
    <row r="1134" spans="1:31" ht="12" hidden="1" customHeight="1" x14ac:dyDescent="0.3">
      <c r="A1134" s="8">
        <v>48</v>
      </c>
      <c r="B1134" s="20" t="s">
        <v>19</v>
      </c>
      <c r="C1134" s="20" t="s">
        <v>20</v>
      </c>
      <c r="D1134" s="20" t="s">
        <v>239</v>
      </c>
      <c r="E1134" s="20" t="s">
        <v>232</v>
      </c>
      <c r="F1134" s="20" t="s">
        <v>232</v>
      </c>
      <c r="G1134" s="20" t="s">
        <v>234</v>
      </c>
      <c r="H1134" s="23">
        <v>6745.28</v>
      </c>
      <c r="I1134" s="23">
        <v>0</v>
      </c>
      <c r="J1134" s="23">
        <v>0</v>
      </c>
      <c r="K1134" s="23">
        <v>-53.82</v>
      </c>
      <c r="L1134" s="23">
        <v>0</v>
      </c>
      <c r="M1134" s="23">
        <v>-60</v>
      </c>
      <c r="N1134" s="23">
        <v>0</v>
      </c>
      <c r="O1134" s="24">
        <f t="shared" si="126"/>
        <v>6631.46</v>
      </c>
      <c r="P1134" s="23">
        <v>-2500</v>
      </c>
      <c r="Q1134" s="23">
        <v>0</v>
      </c>
      <c r="R1134" s="23">
        <v>0</v>
      </c>
      <c r="S1134" s="23">
        <v>0</v>
      </c>
      <c r="T1134" s="23">
        <v>0</v>
      </c>
      <c r="U1134" s="23">
        <v>-1000</v>
      </c>
      <c r="V1134" s="23">
        <v>0</v>
      </c>
      <c r="W1134" s="23">
        <f t="shared" si="127"/>
        <v>3131.46</v>
      </c>
      <c r="X1134" s="23">
        <f t="shared" si="128"/>
        <v>3131.46</v>
      </c>
      <c r="Y1134" s="23">
        <f t="shared" si="129"/>
        <v>0</v>
      </c>
      <c r="Z1134" s="23">
        <v>0</v>
      </c>
      <c r="AA1134" s="23">
        <f t="shared" si="123"/>
        <v>0</v>
      </c>
      <c r="AB1134" s="23">
        <f t="shared" si="124"/>
        <v>3500</v>
      </c>
      <c r="AD1134" s="20" t="str">
        <f>VLOOKUP($C1134,'[1]CTRL AUTOS'!$E:$AH,2,0)</f>
        <v>D40BKD</v>
      </c>
      <c r="AE1134" s="11" t="str">
        <f t="shared" si="125"/>
        <v>D40BKD48</v>
      </c>
    </row>
    <row r="1135" spans="1:31" ht="12" hidden="1" customHeight="1" x14ac:dyDescent="0.3">
      <c r="A1135" s="8">
        <v>48</v>
      </c>
      <c r="B1135" s="20" t="s">
        <v>51</v>
      </c>
      <c r="C1135" s="20" t="s">
        <v>52</v>
      </c>
      <c r="D1135" s="22" t="s">
        <v>313</v>
      </c>
      <c r="E1135" s="20" t="s">
        <v>232</v>
      </c>
      <c r="F1135" s="20" t="s">
        <v>232</v>
      </c>
      <c r="G1135" s="20" t="s">
        <v>234</v>
      </c>
      <c r="H1135" s="23">
        <v>3781.6</v>
      </c>
      <c r="I1135" s="23">
        <v>-33.6</v>
      </c>
      <c r="J1135" s="23">
        <v>0</v>
      </c>
      <c r="K1135" s="23">
        <v>-27.1</v>
      </c>
      <c r="L1135" s="23">
        <v>-1072.45</v>
      </c>
      <c r="M1135" s="23">
        <v>-60</v>
      </c>
      <c r="N1135" s="23">
        <v>0</v>
      </c>
      <c r="O1135" s="24">
        <f t="shared" si="126"/>
        <v>2588.4499999999998</v>
      </c>
      <c r="P1135" s="23">
        <v>-2500</v>
      </c>
      <c r="Q1135" s="23">
        <v>0</v>
      </c>
      <c r="R1135" s="23">
        <v>0</v>
      </c>
      <c r="S1135" s="23">
        <v>0</v>
      </c>
      <c r="T1135" s="23">
        <v>0</v>
      </c>
      <c r="U1135" s="23">
        <v>0</v>
      </c>
      <c r="V1135" s="23">
        <v>0</v>
      </c>
      <c r="W1135" s="23">
        <f t="shared" si="127"/>
        <v>88.449999999999818</v>
      </c>
      <c r="X1135" s="23">
        <f t="shared" si="128"/>
        <v>88.449999999999818</v>
      </c>
      <c r="Y1135" s="23">
        <f t="shared" si="129"/>
        <v>0</v>
      </c>
      <c r="Z1135" s="23">
        <v>0</v>
      </c>
      <c r="AA1135" s="23">
        <f t="shared" si="123"/>
        <v>0</v>
      </c>
      <c r="AB1135" s="23">
        <f t="shared" si="124"/>
        <v>2500</v>
      </c>
      <c r="AD1135" s="20" t="str">
        <f>VLOOKUP($C1135,'[1]CTRL AUTOS'!$E:$AH,2,0)</f>
        <v>A35BHD</v>
      </c>
      <c r="AE1135" s="11" t="str">
        <f t="shared" si="125"/>
        <v>A35BHD48</v>
      </c>
    </row>
    <row r="1136" spans="1:31" ht="12" hidden="1" customHeight="1" x14ac:dyDescent="0.3">
      <c r="A1136" s="8">
        <v>48</v>
      </c>
      <c r="B1136" s="20" t="s">
        <v>45</v>
      </c>
      <c r="C1136" s="20" t="s">
        <v>46</v>
      </c>
      <c r="D1136" s="20" t="s">
        <v>257</v>
      </c>
      <c r="E1136" s="20" t="s">
        <v>232</v>
      </c>
      <c r="F1136" s="20" t="s">
        <v>232</v>
      </c>
      <c r="G1136" s="20" t="s">
        <v>234</v>
      </c>
      <c r="H1136" s="23">
        <v>2396.41</v>
      </c>
      <c r="I1136" s="23">
        <v>0</v>
      </c>
      <c r="J1136" s="23">
        <v>0</v>
      </c>
      <c r="K1136" s="23">
        <v>0</v>
      </c>
      <c r="L1136" s="23">
        <v>-646.95000000000005</v>
      </c>
      <c r="M1136" s="23">
        <v>-65</v>
      </c>
      <c r="N1136" s="23">
        <v>0</v>
      </c>
      <c r="O1136" s="24">
        <f t="shared" si="126"/>
        <v>1684.4599999999998</v>
      </c>
      <c r="P1136" s="23">
        <v>-2500</v>
      </c>
      <c r="Q1136" s="23">
        <v>-663.2976000000001</v>
      </c>
      <c r="R1136" s="23">
        <v>0</v>
      </c>
      <c r="S1136" s="23">
        <v>0</v>
      </c>
      <c r="T1136" s="23">
        <v>0</v>
      </c>
      <c r="U1136" s="23">
        <v>0</v>
      </c>
      <c r="V1136" s="23">
        <v>0</v>
      </c>
      <c r="W1136" s="23">
        <f t="shared" si="127"/>
        <v>-1478.8376000000001</v>
      </c>
      <c r="X1136" s="23">
        <f t="shared" si="128"/>
        <v>0</v>
      </c>
      <c r="Y1136" s="23">
        <f t="shared" si="129"/>
        <v>-1478.8376000000001</v>
      </c>
      <c r="Z1136" s="23">
        <f>151+665</f>
        <v>816</v>
      </c>
      <c r="AA1136" s="23">
        <f t="shared" si="123"/>
        <v>-662.83760000000007</v>
      </c>
      <c r="AB1136" s="23">
        <f t="shared" si="124"/>
        <v>1837.6224</v>
      </c>
      <c r="AD1136" s="20" t="str">
        <f>VLOOKUP($C1136,'[1]CTRL AUTOS'!$E:$AH,2,0)</f>
        <v>R66BER</v>
      </c>
      <c r="AE1136" s="11" t="str">
        <f t="shared" si="125"/>
        <v>R66BER48</v>
      </c>
    </row>
    <row r="1137" spans="1:31" ht="12" hidden="1" customHeight="1" x14ac:dyDescent="0.3">
      <c r="A1137" s="8">
        <v>48</v>
      </c>
      <c r="B1137" s="20" t="s">
        <v>37</v>
      </c>
      <c r="C1137" s="20" t="s">
        <v>40</v>
      </c>
      <c r="D1137" s="20" t="s">
        <v>315</v>
      </c>
      <c r="E1137" s="20" t="s">
        <v>232</v>
      </c>
      <c r="F1137" s="20" t="s">
        <v>232</v>
      </c>
      <c r="G1137" s="20" t="s">
        <v>234</v>
      </c>
      <c r="H1137" s="23">
        <v>1902.43</v>
      </c>
      <c r="I1137" s="23">
        <v>0</v>
      </c>
      <c r="J1137" s="23">
        <v>0</v>
      </c>
      <c r="K1137" s="23">
        <v>0</v>
      </c>
      <c r="L1137" s="23">
        <v>-801.6</v>
      </c>
      <c r="M1137" s="23">
        <v>-65</v>
      </c>
      <c r="N1137" s="23">
        <v>0</v>
      </c>
      <c r="O1137" s="24">
        <f t="shared" si="126"/>
        <v>1035.83</v>
      </c>
      <c r="P1137" s="23">
        <v>-2500</v>
      </c>
      <c r="Q1137" s="23">
        <v>1</v>
      </c>
      <c r="R1137" s="23">
        <v>0</v>
      </c>
      <c r="S1137" s="23">
        <v>0</v>
      </c>
      <c r="T1137" s="23">
        <v>0</v>
      </c>
      <c r="U1137" s="23">
        <v>0</v>
      </c>
      <c r="V1137" s="23">
        <v>0</v>
      </c>
      <c r="W1137" s="23">
        <f t="shared" si="127"/>
        <v>-1463.17</v>
      </c>
      <c r="X1137" s="23">
        <f t="shared" si="128"/>
        <v>0</v>
      </c>
      <c r="Y1137" s="23">
        <f t="shared" si="129"/>
        <v>-1463.17</v>
      </c>
      <c r="Z1137" s="23">
        <v>1400</v>
      </c>
      <c r="AA1137" s="23">
        <f t="shared" si="123"/>
        <v>-63.170000000000073</v>
      </c>
      <c r="AB1137" s="23">
        <f t="shared" si="124"/>
        <v>2372.66</v>
      </c>
      <c r="AD1137" s="20" t="str">
        <f>VLOOKUP($C1137,'[1]CTRL AUTOS'!$E:$AH,2,0)</f>
        <v>NEL860A</v>
      </c>
      <c r="AE1137" s="11" t="str">
        <f t="shared" si="125"/>
        <v>NEL860A48</v>
      </c>
    </row>
    <row r="1138" spans="1:31" ht="12" hidden="1" customHeight="1" x14ac:dyDescent="0.3">
      <c r="A1138" s="8">
        <v>48</v>
      </c>
      <c r="B1138" s="20" t="s">
        <v>61</v>
      </c>
      <c r="C1138" s="20" t="s">
        <v>34</v>
      </c>
      <c r="D1138" s="20" t="s">
        <v>285</v>
      </c>
      <c r="E1138" s="20" t="s">
        <v>232</v>
      </c>
      <c r="F1138" s="20" t="s">
        <v>232</v>
      </c>
      <c r="G1138" s="20" t="s">
        <v>234</v>
      </c>
      <c r="H1138" s="23">
        <v>3958.5</v>
      </c>
      <c r="I1138" s="23">
        <v>0</v>
      </c>
      <c r="J1138" s="23">
        <v>0</v>
      </c>
      <c r="K1138" s="23">
        <v>0</v>
      </c>
      <c r="L1138" s="23">
        <v>-752.27</v>
      </c>
      <c r="M1138" s="23">
        <v>-55</v>
      </c>
      <c r="N1138" s="23">
        <v>0</v>
      </c>
      <c r="O1138" s="24">
        <f t="shared" si="126"/>
        <v>3151.23</v>
      </c>
      <c r="P1138" s="23">
        <v>-2500</v>
      </c>
      <c r="Q1138" s="23">
        <v>-525.28</v>
      </c>
      <c r="R1138" s="23">
        <v>0</v>
      </c>
      <c r="S1138" s="23">
        <v>0</v>
      </c>
      <c r="T1138" s="23">
        <v>-700</v>
      </c>
      <c r="U1138" s="23">
        <v>0</v>
      </c>
      <c r="V1138" s="23">
        <v>0</v>
      </c>
      <c r="W1138" s="23">
        <f t="shared" si="127"/>
        <v>-574.04999999999973</v>
      </c>
      <c r="X1138" s="23">
        <f t="shared" si="128"/>
        <v>0</v>
      </c>
      <c r="Y1138" s="23">
        <f t="shared" si="129"/>
        <v>-574.04999999999973</v>
      </c>
      <c r="Z1138" s="23">
        <v>574</v>
      </c>
      <c r="AA1138" s="23">
        <f t="shared" si="123"/>
        <v>-4.9999999999727152E-2</v>
      </c>
      <c r="AB1138" s="23">
        <f t="shared" si="124"/>
        <v>3725.1800000000003</v>
      </c>
      <c r="AD1138" s="20" t="str">
        <f>VLOOKUP($C1138,'[1]CTRL AUTOS'!$E:$AH,2,0)</f>
        <v>X59AWG</v>
      </c>
      <c r="AE1138" s="11" t="str">
        <f t="shared" si="125"/>
        <v>X59AWG48</v>
      </c>
    </row>
    <row r="1139" spans="1:31" ht="12" hidden="1" customHeight="1" x14ac:dyDescent="0.3">
      <c r="A1139" s="8">
        <v>48</v>
      </c>
      <c r="B1139" s="20" t="s">
        <v>9</v>
      </c>
      <c r="C1139" s="20" t="s">
        <v>10</v>
      </c>
      <c r="D1139" s="20" t="s">
        <v>343</v>
      </c>
      <c r="E1139" s="20" t="s">
        <v>232</v>
      </c>
      <c r="F1139" s="20" t="s">
        <v>232</v>
      </c>
      <c r="G1139" s="20" t="s">
        <v>425</v>
      </c>
      <c r="H1139" s="23">
        <v>3015.84</v>
      </c>
      <c r="I1139" s="23">
        <v>0</v>
      </c>
      <c r="J1139" s="23">
        <v>0</v>
      </c>
      <c r="K1139" s="23">
        <v>0</v>
      </c>
      <c r="L1139" s="23">
        <v>-2685.18</v>
      </c>
      <c r="M1139" s="23">
        <v>-60</v>
      </c>
      <c r="N1139" s="23">
        <v>0</v>
      </c>
      <c r="O1139" s="24">
        <f t="shared" si="126"/>
        <v>270.66000000000031</v>
      </c>
      <c r="P1139" s="23">
        <v>-1250</v>
      </c>
      <c r="Q1139" s="23">
        <v>202</v>
      </c>
      <c r="R1139" s="23">
        <v>0</v>
      </c>
      <c r="S1139" s="23">
        <v>0</v>
      </c>
      <c r="T1139" s="23">
        <v>0</v>
      </c>
      <c r="U1139" s="23">
        <v>0</v>
      </c>
      <c r="V1139" s="23">
        <v>0</v>
      </c>
      <c r="W1139" s="23">
        <f t="shared" si="127"/>
        <v>-777.33999999999969</v>
      </c>
      <c r="X1139" s="23">
        <f t="shared" si="128"/>
        <v>0</v>
      </c>
      <c r="Y1139" s="23">
        <f t="shared" si="129"/>
        <v>-777.33999999999969</v>
      </c>
      <c r="Z1139" s="23">
        <f>26+751</f>
        <v>777</v>
      </c>
      <c r="AA1139" s="23">
        <f t="shared" si="123"/>
        <v>-0.33999999999969077</v>
      </c>
      <c r="AB1139" s="23">
        <f t="shared" si="124"/>
        <v>1047.3200000000006</v>
      </c>
      <c r="AD1139" s="20" t="str">
        <f>VLOOKUP($C1139,'[1]CTRL AUTOS'!$E:$AH,2,0)</f>
        <v>LRL009C</v>
      </c>
      <c r="AE1139" s="11" t="str">
        <f t="shared" si="125"/>
        <v>LRL009C48</v>
      </c>
    </row>
    <row r="1140" spans="1:31" ht="12" hidden="1" customHeight="1" x14ac:dyDescent="0.3">
      <c r="A1140" s="8">
        <v>48</v>
      </c>
      <c r="B1140" s="20" t="s">
        <v>9</v>
      </c>
      <c r="C1140" s="20" t="s">
        <v>10</v>
      </c>
      <c r="D1140" s="20" t="s">
        <v>343</v>
      </c>
      <c r="E1140" s="20" t="s">
        <v>232</v>
      </c>
      <c r="F1140" s="20" t="s">
        <v>232</v>
      </c>
      <c r="G1140" s="20" t="s">
        <v>234</v>
      </c>
      <c r="H1140" s="23">
        <v>776.38</v>
      </c>
      <c r="I1140" s="23">
        <v>0</v>
      </c>
      <c r="J1140" s="23">
        <v>0</v>
      </c>
      <c r="K1140" s="23">
        <v>0</v>
      </c>
      <c r="L1140" s="23">
        <v>-625.27</v>
      </c>
      <c r="M1140" s="23">
        <v>-75</v>
      </c>
      <c r="N1140" s="23">
        <v>0</v>
      </c>
      <c r="O1140" s="24">
        <f t="shared" si="126"/>
        <v>76.110000000000014</v>
      </c>
      <c r="P1140" s="23">
        <v>-1250</v>
      </c>
      <c r="Q1140" s="23">
        <v>0</v>
      </c>
      <c r="R1140" s="23">
        <v>0</v>
      </c>
      <c r="S1140" s="23">
        <v>0</v>
      </c>
      <c r="T1140" s="23">
        <v>0</v>
      </c>
      <c r="U1140" s="23">
        <v>0</v>
      </c>
      <c r="V1140" s="23">
        <v>0</v>
      </c>
      <c r="W1140" s="23">
        <f t="shared" si="127"/>
        <v>-1173.8899999999999</v>
      </c>
      <c r="X1140" s="23">
        <f t="shared" si="128"/>
        <v>0</v>
      </c>
      <c r="Y1140" s="23">
        <f t="shared" si="129"/>
        <v>-1173.8899999999999</v>
      </c>
      <c r="Z1140" s="23">
        <v>1174</v>
      </c>
      <c r="AA1140" s="23">
        <f t="shared" si="123"/>
        <v>0.11000000000012733</v>
      </c>
      <c r="AB1140" s="23">
        <f t="shared" si="124"/>
        <v>1250.2200000000003</v>
      </c>
      <c r="AD1140" s="20" t="str">
        <f>VLOOKUP($C1140,'[1]CTRL AUTOS'!$E:$AH,2,0)</f>
        <v>LRL009C</v>
      </c>
      <c r="AE1140" s="11" t="str">
        <f t="shared" si="125"/>
        <v>LRL009C48</v>
      </c>
    </row>
    <row r="1141" spans="1:31" ht="12" hidden="1" customHeight="1" x14ac:dyDescent="0.3">
      <c r="A1141" s="8">
        <v>48</v>
      </c>
      <c r="B1141" s="20" t="s">
        <v>3</v>
      </c>
      <c r="C1141" s="20" t="s">
        <v>4</v>
      </c>
      <c r="D1141" s="20" t="s">
        <v>480</v>
      </c>
      <c r="E1141" s="20" t="s">
        <v>232</v>
      </c>
      <c r="F1141" s="20" t="s">
        <v>232</v>
      </c>
      <c r="G1141" s="20" t="s">
        <v>425</v>
      </c>
      <c r="H1141" s="23">
        <v>2741.25</v>
      </c>
      <c r="I1141" s="23">
        <v>0</v>
      </c>
      <c r="J1141" s="23">
        <v>0</v>
      </c>
      <c r="K1141" s="23">
        <v>0</v>
      </c>
      <c r="L1141" s="23">
        <v>-2769.15</v>
      </c>
      <c r="M1141" s="23">
        <v>-125</v>
      </c>
      <c r="N1141" s="23">
        <v>0</v>
      </c>
      <c r="O1141" s="24">
        <f t="shared" si="126"/>
        <v>-152.90000000000009</v>
      </c>
      <c r="P1141" s="23">
        <v>-1486</v>
      </c>
      <c r="Q1141" s="23">
        <v>691</v>
      </c>
      <c r="R1141" s="23">
        <v>-500</v>
      </c>
      <c r="S1141" s="23">
        <v>0</v>
      </c>
      <c r="T1141" s="23">
        <v>0</v>
      </c>
      <c r="U1141" s="23">
        <v>-130</v>
      </c>
      <c r="V1141" s="23">
        <v>0</v>
      </c>
      <c r="W1141" s="23">
        <f t="shared" si="127"/>
        <v>-1577.9</v>
      </c>
      <c r="X1141" s="23">
        <f t="shared" si="128"/>
        <v>0</v>
      </c>
      <c r="Y1141" s="23">
        <f t="shared" si="129"/>
        <v>-1577.9</v>
      </c>
      <c r="Z1141" s="23">
        <v>600</v>
      </c>
      <c r="AA1141" s="23">
        <f t="shared" si="123"/>
        <v>-977.90000000000009</v>
      </c>
      <c r="AB1141" s="23">
        <f t="shared" si="124"/>
        <v>-530.80000000000018</v>
      </c>
      <c r="AD1141" s="20" t="str">
        <f>VLOOKUP($C1141,'[1]CTRL AUTOS'!$E:$AH,2,0)</f>
        <v>N15BKD</v>
      </c>
      <c r="AE1141" s="11" t="str">
        <f t="shared" si="125"/>
        <v>N15BKD48</v>
      </c>
    </row>
    <row r="1142" spans="1:31" ht="12" hidden="1" customHeight="1" x14ac:dyDescent="0.3">
      <c r="A1142" s="8">
        <v>48</v>
      </c>
      <c r="B1142" s="20" t="s">
        <v>5</v>
      </c>
      <c r="C1142" s="41" t="s">
        <v>42</v>
      </c>
      <c r="D1142" s="20" t="s">
        <v>274</v>
      </c>
      <c r="E1142" s="20" t="s">
        <v>232</v>
      </c>
      <c r="F1142" s="20" t="s">
        <v>232</v>
      </c>
      <c r="G1142" s="20" t="s">
        <v>234</v>
      </c>
      <c r="H1142" s="23">
        <v>0</v>
      </c>
      <c r="I1142" s="23">
        <v>0</v>
      </c>
      <c r="J1142" s="23">
        <v>0</v>
      </c>
      <c r="K1142" s="23">
        <v>0</v>
      </c>
      <c r="L1142" s="23">
        <v>0</v>
      </c>
      <c r="M1142" s="23">
        <v>0</v>
      </c>
      <c r="N1142" s="23">
        <v>0</v>
      </c>
      <c r="O1142" s="24">
        <f t="shared" si="126"/>
        <v>0</v>
      </c>
      <c r="P1142" s="23">
        <v>-2321.42</v>
      </c>
      <c r="Q1142" s="23">
        <v>25</v>
      </c>
      <c r="R1142" s="23">
        <v>0</v>
      </c>
      <c r="S1142" s="23">
        <v>0</v>
      </c>
      <c r="T1142" s="23">
        <v>-500</v>
      </c>
      <c r="U1142" s="23">
        <v>0</v>
      </c>
      <c r="V1142" s="23">
        <v>0</v>
      </c>
      <c r="W1142" s="23">
        <f t="shared" si="127"/>
        <v>-2796.42</v>
      </c>
      <c r="X1142" s="23">
        <f t="shared" si="128"/>
        <v>0</v>
      </c>
      <c r="Y1142" s="23">
        <f t="shared" si="129"/>
        <v>-2796.42</v>
      </c>
      <c r="Z1142" s="23">
        <v>3000</v>
      </c>
      <c r="AA1142" s="23">
        <f t="shared" si="123"/>
        <v>203.57999999999993</v>
      </c>
      <c r="AB1142" s="23">
        <f t="shared" si="124"/>
        <v>3203.58</v>
      </c>
      <c r="AD1142" s="20" t="str">
        <f>VLOOKUP($C1142,'[1]CTRL AUTOS'!$E:$AH,2,0)</f>
        <v>MMA672C</v>
      </c>
      <c r="AE1142" s="11" t="str">
        <f t="shared" si="125"/>
        <v>MMA672C48</v>
      </c>
    </row>
    <row r="1143" spans="1:31" ht="12" hidden="1" customHeight="1" x14ac:dyDescent="0.3">
      <c r="A1143" s="8">
        <v>48</v>
      </c>
      <c r="B1143" s="20" t="s">
        <v>98</v>
      </c>
      <c r="C1143" s="20" t="s">
        <v>168</v>
      </c>
      <c r="D1143" s="20" t="s">
        <v>265</v>
      </c>
      <c r="E1143" s="20" t="s">
        <v>232</v>
      </c>
      <c r="F1143" s="20" t="s">
        <v>232</v>
      </c>
      <c r="G1143" s="20" t="s">
        <v>234</v>
      </c>
      <c r="H1143" s="23">
        <v>6567.59</v>
      </c>
      <c r="I1143" s="23">
        <v>0</v>
      </c>
      <c r="J1143" s="23">
        <v>0</v>
      </c>
      <c r="K1143" s="23">
        <v>0</v>
      </c>
      <c r="L1143" s="23">
        <v>0</v>
      </c>
      <c r="M1143" s="23">
        <v>-75</v>
      </c>
      <c r="N1143" s="23">
        <v>-163.52000000000001</v>
      </c>
      <c r="O1143" s="24">
        <f t="shared" si="126"/>
        <v>6329.07</v>
      </c>
      <c r="P1143" s="23">
        <v>-2500</v>
      </c>
      <c r="Q1143" s="23">
        <v>0</v>
      </c>
      <c r="R1143" s="23">
        <v>0</v>
      </c>
      <c r="S1143" s="23">
        <v>0</v>
      </c>
      <c r="T1143" s="23">
        <v>0</v>
      </c>
      <c r="U1143" s="23">
        <v>0</v>
      </c>
      <c r="V1143" s="23">
        <v>0</v>
      </c>
      <c r="W1143" s="23">
        <f t="shared" si="127"/>
        <v>3829.0699999999997</v>
      </c>
      <c r="X1143" s="23">
        <f t="shared" si="128"/>
        <v>3829.0699999999997</v>
      </c>
      <c r="Y1143" s="23">
        <f t="shared" si="129"/>
        <v>0</v>
      </c>
      <c r="Z1143" s="23">
        <v>0</v>
      </c>
      <c r="AA1143" s="23">
        <f t="shared" si="123"/>
        <v>0</v>
      </c>
      <c r="AB1143" s="23">
        <f t="shared" si="124"/>
        <v>2500</v>
      </c>
      <c r="AD1143" s="20" t="e">
        <f>VLOOKUP($C1143,'[1]CTRL AUTOS'!$E:$AH,2,0)</f>
        <v>#N/A</v>
      </c>
      <c r="AE1143" s="11" t="e">
        <f t="shared" si="125"/>
        <v>#N/A</v>
      </c>
    </row>
    <row r="1144" spans="1:31" ht="12" hidden="1" customHeight="1" x14ac:dyDescent="0.3">
      <c r="A1144" s="8">
        <v>48</v>
      </c>
      <c r="B1144" s="20" t="s">
        <v>80</v>
      </c>
      <c r="C1144" s="20" t="s">
        <v>81</v>
      </c>
      <c r="D1144" s="20" t="s">
        <v>317</v>
      </c>
      <c r="E1144" s="20" t="s">
        <v>232</v>
      </c>
      <c r="F1144" s="20" t="s">
        <v>232</v>
      </c>
      <c r="G1144" s="20" t="s">
        <v>234</v>
      </c>
      <c r="H1144" s="23">
        <v>0</v>
      </c>
      <c r="I1144" s="23">
        <v>0</v>
      </c>
      <c r="J1144" s="23">
        <v>0</v>
      </c>
      <c r="K1144" s="23">
        <v>0</v>
      </c>
      <c r="L1144" s="23">
        <v>0</v>
      </c>
      <c r="M1144" s="23">
        <v>0</v>
      </c>
      <c r="N1144" s="23">
        <v>0</v>
      </c>
      <c r="O1144" s="24">
        <f t="shared" si="126"/>
        <v>0</v>
      </c>
      <c r="P1144" s="23">
        <v>-2500</v>
      </c>
      <c r="Q1144" s="23">
        <v>0</v>
      </c>
      <c r="R1144" s="23">
        <v>0</v>
      </c>
      <c r="S1144" s="23">
        <v>0</v>
      </c>
      <c r="T1144" s="23">
        <v>0</v>
      </c>
      <c r="U1144" s="23">
        <v>0</v>
      </c>
      <c r="V1144" s="23">
        <v>0</v>
      </c>
      <c r="W1144" s="23">
        <f t="shared" si="127"/>
        <v>-2500</v>
      </c>
      <c r="X1144" s="23">
        <f t="shared" si="128"/>
        <v>0</v>
      </c>
      <c r="Y1144" s="23">
        <f t="shared" si="129"/>
        <v>-2500</v>
      </c>
      <c r="Z1144" s="23">
        <v>2500</v>
      </c>
      <c r="AA1144" s="23">
        <f t="shared" si="123"/>
        <v>0</v>
      </c>
      <c r="AB1144" s="23">
        <f t="shared" si="124"/>
        <v>2500</v>
      </c>
      <c r="AD1144" s="20" t="str">
        <f>VLOOKUP($C1144,'[1]CTRL AUTOS'!$E:$AH,2,0)</f>
        <v>NLP172B</v>
      </c>
      <c r="AE1144" s="11" t="str">
        <f t="shared" si="125"/>
        <v>NLP172B48</v>
      </c>
    </row>
    <row r="1145" spans="1:31" ht="12" hidden="1" customHeight="1" x14ac:dyDescent="0.3">
      <c r="A1145" s="8">
        <v>48</v>
      </c>
      <c r="B1145" s="20" t="s">
        <v>23</v>
      </c>
      <c r="C1145" s="20" t="s">
        <v>24</v>
      </c>
      <c r="D1145" s="20" t="s">
        <v>273</v>
      </c>
      <c r="E1145" s="20" t="s">
        <v>232</v>
      </c>
      <c r="F1145" s="20" t="s">
        <v>232</v>
      </c>
      <c r="G1145" s="20" t="s">
        <v>234</v>
      </c>
      <c r="H1145" s="23">
        <v>4936.5600000000004</v>
      </c>
      <c r="I1145" s="23">
        <v>0</v>
      </c>
      <c r="J1145" s="23">
        <v>0</v>
      </c>
      <c r="K1145" s="23">
        <v>0</v>
      </c>
      <c r="L1145" s="23">
        <v>-4789.1400000000003</v>
      </c>
      <c r="M1145" s="23">
        <v>-60</v>
      </c>
      <c r="N1145" s="23">
        <v>-124.32</v>
      </c>
      <c r="O1145" s="24">
        <f t="shared" si="126"/>
        <v>-36.89999999999992</v>
      </c>
      <c r="P1145" s="23">
        <v>-2643</v>
      </c>
      <c r="Q1145" s="23">
        <v>-590.24</v>
      </c>
      <c r="R1145" s="23">
        <v>0</v>
      </c>
      <c r="S1145" s="23">
        <v>0</v>
      </c>
      <c r="T1145" s="23">
        <v>-700</v>
      </c>
      <c r="U1145" s="23">
        <v>0</v>
      </c>
      <c r="V1145" s="23">
        <v>0</v>
      </c>
      <c r="W1145" s="23">
        <f t="shared" si="127"/>
        <v>-3970.14</v>
      </c>
      <c r="X1145" s="23">
        <f t="shared" si="128"/>
        <v>0</v>
      </c>
      <c r="Y1145" s="23">
        <f t="shared" si="129"/>
        <v>-3970.14</v>
      </c>
      <c r="Z1145" s="23">
        <f>2700+750+520</f>
        <v>3970</v>
      </c>
      <c r="AA1145" s="23">
        <f t="shared" si="123"/>
        <v>-0.13999999999987267</v>
      </c>
      <c r="AB1145" s="23">
        <f t="shared" si="124"/>
        <v>3932.96</v>
      </c>
      <c r="AD1145" s="20" t="str">
        <f>VLOOKUP($C1145,'[1]CTRL AUTOS'!$E:$AH,2,0)</f>
        <v>MXM502C</v>
      </c>
      <c r="AE1145" s="11" t="str">
        <f t="shared" si="125"/>
        <v>MXM502C48</v>
      </c>
    </row>
    <row r="1146" spans="1:31" ht="12" hidden="1" customHeight="1" x14ac:dyDescent="0.3">
      <c r="A1146" s="8">
        <v>48</v>
      </c>
      <c r="B1146" s="20" t="s">
        <v>292</v>
      </c>
      <c r="C1146" s="20" t="s">
        <v>52</v>
      </c>
      <c r="D1146" s="20" t="s">
        <v>313</v>
      </c>
      <c r="E1146" s="20" t="s">
        <v>232</v>
      </c>
      <c r="F1146" s="20" t="s">
        <v>232</v>
      </c>
      <c r="G1146" s="20" t="s">
        <v>234</v>
      </c>
      <c r="H1146" s="23">
        <v>0</v>
      </c>
      <c r="I1146" s="23">
        <v>0</v>
      </c>
      <c r="J1146" s="23">
        <v>0</v>
      </c>
      <c r="K1146" s="23">
        <v>0</v>
      </c>
      <c r="L1146" s="23">
        <v>0</v>
      </c>
      <c r="M1146" s="23">
        <v>0</v>
      </c>
      <c r="N1146" s="23">
        <v>0</v>
      </c>
      <c r="O1146" s="24">
        <f t="shared" si="126"/>
        <v>0</v>
      </c>
      <c r="P1146" s="23">
        <v>0</v>
      </c>
      <c r="Q1146" s="23">
        <v>0</v>
      </c>
      <c r="R1146" s="23">
        <v>500</v>
      </c>
      <c r="S1146" s="23">
        <v>0</v>
      </c>
      <c r="T1146" s="23">
        <v>0</v>
      </c>
      <c r="U1146" s="23">
        <v>0</v>
      </c>
      <c r="V1146" s="23">
        <v>0</v>
      </c>
      <c r="W1146" s="23">
        <f t="shared" si="127"/>
        <v>500</v>
      </c>
      <c r="X1146" s="23">
        <f t="shared" si="128"/>
        <v>500</v>
      </c>
      <c r="Y1146" s="23">
        <f t="shared" si="129"/>
        <v>0</v>
      </c>
      <c r="Z1146" s="23">
        <v>0</v>
      </c>
      <c r="AA1146" s="23">
        <f t="shared" si="123"/>
        <v>0</v>
      </c>
      <c r="AB1146" s="23">
        <f t="shared" si="124"/>
        <v>-500</v>
      </c>
      <c r="AD1146" s="20" t="str">
        <f>VLOOKUP($C1146,'[1]CTRL AUTOS'!$E:$AH,2,0)</f>
        <v>A35BHD</v>
      </c>
      <c r="AE1146" s="11" t="str">
        <f t="shared" si="125"/>
        <v>A35BHD48</v>
      </c>
    </row>
    <row r="1147" spans="1:31" ht="12" hidden="1" customHeight="1" x14ac:dyDescent="0.3">
      <c r="A1147" s="8">
        <v>48</v>
      </c>
      <c r="B1147" s="20" t="s">
        <v>362</v>
      </c>
      <c r="C1147" s="20" t="s">
        <v>50</v>
      </c>
      <c r="D1147" s="20" t="s">
        <v>480</v>
      </c>
      <c r="E1147" s="20" t="s">
        <v>232</v>
      </c>
      <c r="F1147" s="20" t="s">
        <v>232</v>
      </c>
      <c r="G1147" s="20" t="s">
        <v>234</v>
      </c>
      <c r="H1147" s="23">
        <v>0</v>
      </c>
      <c r="I1147" s="23">
        <v>0</v>
      </c>
      <c r="J1147" s="23">
        <v>0</v>
      </c>
      <c r="K1147" s="23">
        <v>0</v>
      </c>
      <c r="L1147" s="23">
        <v>0</v>
      </c>
      <c r="M1147" s="23">
        <v>0</v>
      </c>
      <c r="N1147" s="23">
        <v>0</v>
      </c>
      <c r="O1147" s="24">
        <f t="shared" si="126"/>
        <v>0</v>
      </c>
      <c r="P1147" s="23">
        <v>0</v>
      </c>
      <c r="Q1147" s="23">
        <v>0</v>
      </c>
      <c r="R1147" s="23">
        <v>500</v>
      </c>
      <c r="S1147" s="23">
        <v>0</v>
      </c>
      <c r="T1147" s="23">
        <v>0</v>
      </c>
      <c r="U1147" s="23">
        <v>0</v>
      </c>
      <c r="V1147" s="23">
        <v>0</v>
      </c>
      <c r="W1147" s="23">
        <f t="shared" si="127"/>
        <v>500</v>
      </c>
      <c r="X1147" s="23">
        <f t="shared" si="128"/>
        <v>500</v>
      </c>
      <c r="Y1147" s="23">
        <f t="shared" si="129"/>
        <v>0</v>
      </c>
      <c r="Z1147" s="23">
        <v>0</v>
      </c>
      <c r="AA1147" s="23">
        <f t="shared" si="123"/>
        <v>0</v>
      </c>
      <c r="AB1147" s="23">
        <f t="shared" si="124"/>
        <v>-500</v>
      </c>
      <c r="AD1147" s="20" t="str">
        <f>VLOOKUP($C1147,'[1]CTRL AUTOS'!$E:$AH,2,0)</f>
        <v>NBS225A</v>
      </c>
      <c r="AE1147" s="11" t="str">
        <f t="shared" si="125"/>
        <v>NBS225A48</v>
      </c>
    </row>
    <row r="1148" spans="1:31" ht="12" hidden="1" customHeight="1" x14ac:dyDescent="0.3">
      <c r="A1148" s="8">
        <v>48</v>
      </c>
      <c r="B1148" s="20" t="s">
        <v>7</v>
      </c>
      <c r="C1148" s="20" t="s">
        <v>8</v>
      </c>
      <c r="D1148" s="20" t="s">
        <v>367</v>
      </c>
      <c r="E1148" s="20" t="s">
        <v>364</v>
      </c>
      <c r="F1148" s="22" t="s">
        <v>364</v>
      </c>
      <c r="G1148" s="20" t="s">
        <v>425</v>
      </c>
      <c r="H1148" s="23">
        <v>7341</v>
      </c>
      <c r="I1148" s="23">
        <v>0</v>
      </c>
      <c r="J1148" s="23">
        <v>0</v>
      </c>
      <c r="K1148" s="23">
        <v>0</v>
      </c>
      <c r="L1148" s="23">
        <v>-5745</v>
      </c>
      <c r="M1148" s="23">
        <v>-125</v>
      </c>
      <c r="N1148" s="23">
        <v>0</v>
      </c>
      <c r="O1148" s="24">
        <f t="shared" si="126"/>
        <v>1471</v>
      </c>
      <c r="P1148" s="23">
        <v>-2600</v>
      </c>
      <c r="Q1148" s="23">
        <v>0</v>
      </c>
      <c r="R1148" s="23">
        <v>0</v>
      </c>
      <c r="S1148" s="23">
        <v>0</v>
      </c>
      <c r="T1148" s="23">
        <v>0</v>
      </c>
      <c r="U1148" s="23">
        <v>0</v>
      </c>
      <c r="V1148" s="23">
        <v>0</v>
      </c>
      <c r="W1148" s="23">
        <f t="shared" si="127"/>
        <v>-1129</v>
      </c>
      <c r="X1148" s="23">
        <f t="shared" si="128"/>
        <v>0</v>
      </c>
      <c r="Y1148" s="23">
        <f t="shared" si="129"/>
        <v>-1129</v>
      </c>
      <c r="Z1148" s="23">
        <v>-1129</v>
      </c>
      <c r="AA1148" s="23">
        <f t="shared" si="123"/>
        <v>-2258</v>
      </c>
      <c r="AB1148" s="23">
        <f t="shared" si="124"/>
        <v>-1916</v>
      </c>
      <c r="AD1148" s="20" t="e">
        <f>VLOOKUP($C1148,'[1]CTRL AUTOS'!$E:$AH,2,0)</f>
        <v>#N/A</v>
      </c>
      <c r="AE1148" s="11" t="e">
        <f t="shared" si="125"/>
        <v>#N/A</v>
      </c>
    </row>
    <row r="1149" spans="1:31" ht="12" hidden="1" customHeight="1" x14ac:dyDescent="0.3">
      <c r="A1149" s="8">
        <v>48</v>
      </c>
      <c r="B1149" s="20" t="s">
        <v>105</v>
      </c>
      <c r="C1149" s="20" t="s">
        <v>204</v>
      </c>
      <c r="D1149" s="20" t="s">
        <v>470</v>
      </c>
      <c r="E1149" s="20" t="s">
        <v>364</v>
      </c>
      <c r="F1149" s="22" t="s">
        <v>364</v>
      </c>
      <c r="G1149" s="20" t="s">
        <v>425</v>
      </c>
      <c r="H1149" s="23">
        <v>0</v>
      </c>
      <c r="I1149" s="23">
        <v>0</v>
      </c>
      <c r="J1149" s="23">
        <v>0</v>
      </c>
      <c r="K1149" s="23">
        <v>0</v>
      </c>
      <c r="L1149" s="23">
        <v>0</v>
      </c>
      <c r="M1149" s="23">
        <v>0</v>
      </c>
      <c r="N1149" s="23">
        <v>0</v>
      </c>
      <c r="O1149" s="24">
        <f t="shared" si="126"/>
        <v>0</v>
      </c>
      <c r="P1149" s="23">
        <v>-2500</v>
      </c>
      <c r="Q1149" s="23">
        <v>0</v>
      </c>
      <c r="R1149" s="23">
        <v>0</v>
      </c>
      <c r="S1149" s="23">
        <v>0</v>
      </c>
      <c r="T1149" s="23">
        <v>0</v>
      </c>
      <c r="U1149" s="23">
        <v>0</v>
      </c>
      <c r="V1149" s="23">
        <v>0</v>
      </c>
      <c r="W1149" s="23">
        <f t="shared" si="127"/>
        <v>-2500</v>
      </c>
      <c r="X1149" s="23">
        <f t="shared" si="128"/>
        <v>0</v>
      </c>
      <c r="Y1149" s="23">
        <f t="shared" si="129"/>
        <v>-2500</v>
      </c>
      <c r="Z1149" s="23">
        <v>2500</v>
      </c>
      <c r="AA1149" s="23">
        <f t="shared" si="123"/>
        <v>0</v>
      </c>
      <c r="AB1149" s="23">
        <f t="shared" si="124"/>
        <v>2500</v>
      </c>
      <c r="AD1149" s="20" t="e">
        <f>VLOOKUP($C1149,'[1]CTRL AUTOS'!$E:$AH,2,0)</f>
        <v>#N/A</v>
      </c>
      <c r="AE1149" s="11" t="e">
        <f t="shared" si="125"/>
        <v>#N/A</v>
      </c>
    </row>
    <row r="1150" spans="1:31" ht="12" hidden="1" customHeight="1" x14ac:dyDescent="0.3">
      <c r="A1150" s="8">
        <v>48</v>
      </c>
      <c r="B1150" s="20" t="s">
        <v>417</v>
      </c>
      <c r="C1150" s="20" t="s">
        <v>428</v>
      </c>
      <c r="D1150" s="20" t="s">
        <v>237</v>
      </c>
      <c r="E1150" s="20" t="s">
        <v>364</v>
      </c>
      <c r="F1150" s="22" t="s">
        <v>364</v>
      </c>
      <c r="G1150" s="20" t="s">
        <v>234</v>
      </c>
      <c r="H1150" s="23">
        <v>4635.41</v>
      </c>
      <c r="I1150" s="23">
        <v>0</v>
      </c>
      <c r="J1150" s="23">
        <v>0</v>
      </c>
      <c r="K1150" s="23">
        <v>0</v>
      </c>
      <c r="L1150" s="23">
        <v>-1951.69</v>
      </c>
      <c r="M1150" s="23">
        <v>-35</v>
      </c>
      <c r="N1150" s="23">
        <v>0</v>
      </c>
      <c r="O1150" s="24">
        <f t="shared" si="126"/>
        <v>2648.72</v>
      </c>
      <c r="P1150" s="23">
        <v>-2500</v>
      </c>
      <c r="Q1150" s="23">
        <v>0</v>
      </c>
      <c r="R1150" s="23">
        <v>0</v>
      </c>
      <c r="S1150" s="23">
        <v>0</v>
      </c>
      <c r="T1150" s="23">
        <v>0</v>
      </c>
      <c r="U1150" s="23">
        <v>-550</v>
      </c>
      <c r="V1150" s="23">
        <v>0</v>
      </c>
      <c r="W1150" s="23">
        <f t="shared" si="127"/>
        <v>-401.2800000000002</v>
      </c>
      <c r="X1150" s="23">
        <f t="shared" si="128"/>
        <v>0</v>
      </c>
      <c r="Y1150" s="23">
        <f t="shared" si="129"/>
        <v>-401.2800000000002</v>
      </c>
      <c r="Z1150" s="23">
        <v>401</v>
      </c>
      <c r="AA1150" s="23">
        <f t="shared" si="123"/>
        <v>-0.28000000000020009</v>
      </c>
      <c r="AB1150" s="23">
        <f t="shared" si="124"/>
        <v>3049.4399999999996</v>
      </c>
      <c r="AD1150" s="20" t="e">
        <f>VLOOKUP($C1150,'[1]CTRL AUTOS'!$E:$AH,2,0)</f>
        <v>#N/A</v>
      </c>
      <c r="AE1150" s="11" t="e">
        <f t="shared" si="125"/>
        <v>#N/A</v>
      </c>
    </row>
    <row r="1151" spans="1:31" ht="12" hidden="1" customHeight="1" x14ac:dyDescent="0.3">
      <c r="A1151" s="8">
        <v>48</v>
      </c>
      <c r="B1151" s="20" t="s">
        <v>21</v>
      </c>
      <c r="C1151" s="20" t="s">
        <v>22</v>
      </c>
      <c r="D1151" s="20" t="s">
        <v>319</v>
      </c>
      <c r="E1151" s="20" t="s">
        <v>232</v>
      </c>
      <c r="F1151" s="20" t="s">
        <v>232</v>
      </c>
      <c r="G1151" s="20" t="s">
        <v>234</v>
      </c>
      <c r="H1151" s="23">
        <v>187.23</v>
      </c>
      <c r="I1151" s="23">
        <v>-8.31</v>
      </c>
      <c r="J1151" s="23">
        <v>0</v>
      </c>
      <c r="K1151" s="23">
        <v>0</v>
      </c>
      <c r="L1151" s="23">
        <v>0</v>
      </c>
      <c r="M1151" s="23">
        <v>-60</v>
      </c>
      <c r="N1151" s="23">
        <v>0</v>
      </c>
      <c r="O1151" s="24">
        <f t="shared" si="126"/>
        <v>118.91999999999999</v>
      </c>
      <c r="P1151" s="23">
        <v>-2500</v>
      </c>
      <c r="Q1151" s="23">
        <v>0</v>
      </c>
      <c r="R1151" s="23">
        <v>-500</v>
      </c>
      <c r="S1151" s="23">
        <v>0</v>
      </c>
      <c r="T1151" s="23">
        <v>0</v>
      </c>
      <c r="U1151" s="23">
        <v>0</v>
      </c>
      <c r="V1151" s="23">
        <v>0</v>
      </c>
      <c r="W1151" s="23">
        <f t="shared" si="127"/>
        <v>-2881.08</v>
      </c>
      <c r="X1151" s="23">
        <f t="shared" si="128"/>
        <v>0</v>
      </c>
      <c r="Y1151" s="23">
        <f t="shared" si="129"/>
        <v>-2881.08</v>
      </c>
      <c r="Z1151" s="23">
        <v>2881</v>
      </c>
      <c r="AA1151" s="23">
        <f t="shared" si="123"/>
        <v>-7.999999999992724E-2</v>
      </c>
      <c r="AB1151" s="23">
        <f t="shared" si="124"/>
        <v>2999.84</v>
      </c>
      <c r="AD1151" s="20" t="str">
        <f>VLOOKUP($C1151,'[1]CTRL AUTOS'!$E:$AH,2,0)</f>
        <v>NCK475B</v>
      </c>
      <c r="AE1151" s="11" t="str">
        <f t="shared" si="125"/>
        <v>NCK475B48</v>
      </c>
    </row>
    <row r="1152" spans="1:31" ht="12" hidden="1" customHeight="1" x14ac:dyDescent="0.3">
      <c r="A1152" s="8">
        <v>48</v>
      </c>
      <c r="B1152" s="20" t="s">
        <v>15</v>
      </c>
      <c r="C1152" s="20" t="s">
        <v>16</v>
      </c>
      <c r="D1152" s="20" t="s">
        <v>314</v>
      </c>
      <c r="E1152" s="20" t="s">
        <v>232</v>
      </c>
      <c r="F1152" s="20" t="s">
        <v>232</v>
      </c>
      <c r="G1152" s="20" t="s">
        <v>234</v>
      </c>
      <c r="H1152" s="23">
        <v>2882.73</v>
      </c>
      <c r="I1152" s="23">
        <v>0</v>
      </c>
      <c r="J1152" s="23">
        <v>9.7899999999999991</v>
      </c>
      <c r="K1152" s="23">
        <v>0</v>
      </c>
      <c r="L1152" s="23">
        <v>-1028.17</v>
      </c>
      <c r="M1152" s="23">
        <v>-55</v>
      </c>
      <c r="N1152" s="23">
        <v>0</v>
      </c>
      <c r="O1152" s="24">
        <f t="shared" si="126"/>
        <v>1809.35</v>
      </c>
      <c r="P1152" s="23">
        <v>-2500</v>
      </c>
      <c r="Q1152" s="23">
        <v>0</v>
      </c>
      <c r="R1152" s="23">
        <v>-500</v>
      </c>
      <c r="S1152" s="23">
        <v>0</v>
      </c>
      <c r="T1152" s="23">
        <v>0</v>
      </c>
      <c r="U1152" s="23">
        <v>0</v>
      </c>
      <c r="V1152" s="23">
        <v>0</v>
      </c>
      <c r="W1152" s="23">
        <f t="shared" si="127"/>
        <v>-1190.6500000000001</v>
      </c>
      <c r="X1152" s="23">
        <f t="shared" si="128"/>
        <v>0</v>
      </c>
      <c r="Y1152" s="23">
        <f t="shared" si="129"/>
        <v>-1190.6500000000001</v>
      </c>
      <c r="Z1152" s="23">
        <v>1191</v>
      </c>
      <c r="AA1152" s="23">
        <f t="shared" si="123"/>
        <v>0.34999999999990905</v>
      </c>
      <c r="AB1152" s="23">
        <f t="shared" si="124"/>
        <v>3000.7</v>
      </c>
      <c r="AD1152" s="20" t="str">
        <f>VLOOKUP($C1152,'[1]CTRL AUTOS'!$E:$AH,2,0)</f>
        <v>D28BET</v>
      </c>
      <c r="AE1152" s="11" t="str">
        <f t="shared" si="125"/>
        <v>D28BET48</v>
      </c>
    </row>
    <row r="1153" spans="1:31" ht="12" hidden="1" customHeight="1" x14ac:dyDescent="0.3">
      <c r="A1153" s="8">
        <v>48</v>
      </c>
      <c r="B1153" s="20" t="s">
        <v>53</v>
      </c>
      <c r="C1153" s="20" t="s">
        <v>86</v>
      </c>
      <c r="D1153" s="20" t="s">
        <v>499</v>
      </c>
      <c r="E1153" s="20" t="s">
        <v>232</v>
      </c>
      <c r="F1153" s="20" t="s">
        <v>232</v>
      </c>
      <c r="G1153" s="20" t="s">
        <v>234</v>
      </c>
      <c r="H1153" s="23">
        <v>227.99</v>
      </c>
      <c r="I1153" s="23">
        <v>-5.36</v>
      </c>
      <c r="J1153" s="23">
        <v>0</v>
      </c>
      <c r="K1153" s="23">
        <v>0</v>
      </c>
      <c r="L1153" s="23">
        <v>-331.93</v>
      </c>
      <c r="M1153" s="23">
        <v>-45</v>
      </c>
      <c r="N1153" s="23">
        <v>0</v>
      </c>
      <c r="O1153" s="24">
        <f t="shared" si="126"/>
        <v>-154.30000000000001</v>
      </c>
      <c r="P1153" s="23">
        <v>-1785.71</v>
      </c>
      <c r="Q1153" s="23">
        <v>0</v>
      </c>
      <c r="R1153" s="23">
        <v>-500</v>
      </c>
      <c r="S1153" s="23">
        <v>0</v>
      </c>
      <c r="T1153" s="23">
        <v>0</v>
      </c>
      <c r="U1153" s="23">
        <v>0</v>
      </c>
      <c r="V1153" s="23">
        <v>0</v>
      </c>
      <c r="W1153" s="23">
        <f t="shared" si="127"/>
        <v>-2440.0100000000002</v>
      </c>
      <c r="X1153" s="23">
        <f t="shared" si="128"/>
        <v>0</v>
      </c>
      <c r="Y1153" s="23">
        <f t="shared" si="129"/>
        <v>-2440.0100000000002</v>
      </c>
      <c r="Z1153" s="23">
        <v>2440</v>
      </c>
      <c r="AA1153" s="23">
        <f t="shared" si="123"/>
        <v>-1.0000000000218279E-2</v>
      </c>
      <c r="AB1153" s="23">
        <f t="shared" si="124"/>
        <v>2285.6899999999996</v>
      </c>
      <c r="AD1153" s="20" t="str">
        <f>VLOOKUP($C1153,'[1]CTRL AUTOS'!$E:$AH,2,0)</f>
        <v>R22BMR</v>
      </c>
      <c r="AE1153" s="11" t="str">
        <f t="shared" si="125"/>
        <v>R22BMR48</v>
      </c>
    </row>
    <row r="1154" spans="1:31" ht="12" hidden="1" customHeight="1" x14ac:dyDescent="0.3">
      <c r="A1154" s="8">
        <v>48</v>
      </c>
      <c r="B1154" s="20" t="s">
        <v>414</v>
      </c>
      <c r="C1154" s="20" t="s">
        <v>59</v>
      </c>
      <c r="D1154" s="20" t="s">
        <v>502</v>
      </c>
      <c r="E1154" s="20" t="s">
        <v>232</v>
      </c>
      <c r="F1154" s="20" t="s">
        <v>232</v>
      </c>
      <c r="G1154" s="20" t="s">
        <v>234</v>
      </c>
      <c r="H1154" s="23">
        <v>0</v>
      </c>
      <c r="I1154" s="23">
        <v>0</v>
      </c>
      <c r="J1154" s="23">
        <v>0</v>
      </c>
      <c r="K1154" s="23">
        <v>0</v>
      </c>
      <c r="L1154" s="23">
        <v>0</v>
      </c>
      <c r="M1154" s="23">
        <v>0</v>
      </c>
      <c r="N1154" s="23">
        <v>0</v>
      </c>
      <c r="O1154" s="24">
        <f t="shared" si="126"/>
        <v>0</v>
      </c>
      <c r="P1154" s="23">
        <v>0</v>
      </c>
      <c r="Q1154" s="23">
        <v>0</v>
      </c>
      <c r="R1154" s="23">
        <v>500</v>
      </c>
      <c r="S1154" s="23">
        <v>0</v>
      </c>
      <c r="T1154" s="23">
        <v>0</v>
      </c>
      <c r="U1154" s="23">
        <v>0</v>
      </c>
      <c r="V1154" s="23">
        <v>0</v>
      </c>
      <c r="W1154" s="23">
        <f t="shared" si="127"/>
        <v>500</v>
      </c>
      <c r="X1154" s="23">
        <f t="shared" si="128"/>
        <v>500</v>
      </c>
      <c r="Y1154" s="23">
        <f t="shared" si="129"/>
        <v>0</v>
      </c>
      <c r="Z1154" s="23">
        <v>0</v>
      </c>
      <c r="AA1154" s="23">
        <f t="shared" si="123"/>
        <v>0</v>
      </c>
      <c r="AB1154" s="23">
        <f t="shared" si="124"/>
        <v>-500</v>
      </c>
      <c r="AD1154" s="20" t="str">
        <f>VLOOKUP($C1154,'[1]CTRL AUTOS'!$E:$AH,2,0)</f>
        <v>P62BHW</v>
      </c>
      <c r="AE1154" s="11" t="str">
        <f t="shared" si="125"/>
        <v>P62BHW48</v>
      </c>
    </row>
    <row r="1155" spans="1:31" ht="12" hidden="1" customHeight="1" x14ac:dyDescent="0.3">
      <c r="A1155" s="8">
        <v>48</v>
      </c>
      <c r="B1155" s="20" t="s">
        <v>64</v>
      </c>
      <c r="C1155" s="20" t="s">
        <v>59</v>
      </c>
      <c r="D1155" s="20" t="s">
        <v>502</v>
      </c>
      <c r="E1155" s="20" t="s">
        <v>232</v>
      </c>
      <c r="F1155" s="20" t="s">
        <v>232</v>
      </c>
      <c r="G1155" s="20" t="s">
        <v>234</v>
      </c>
      <c r="H1155" s="23">
        <v>4157.43</v>
      </c>
      <c r="I1155" s="23">
        <v>-43.2</v>
      </c>
      <c r="J1155" s="23">
        <v>0</v>
      </c>
      <c r="K1155" s="23">
        <v>0</v>
      </c>
      <c r="L1155" s="23">
        <v>0</v>
      </c>
      <c r="M1155" s="23">
        <v>-55</v>
      </c>
      <c r="N1155" s="23">
        <v>0</v>
      </c>
      <c r="O1155" s="24">
        <f t="shared" si="126"/>
        <v>4059.2300000000005</v>
      </c>
      <c r="P1155" s="23">
        <v>-1428.57</v>
      </c>
      <c r="Q1155" s="23">
        <v>0</v>
      </c>
      <c r="R1155" s="23">
        <v>-286</v>
      </c>
      <c r="S1155" s="23">
        <v>0</v>
      </c>
      <c r="T1155" s="23">
        <v>0</v>
      </c>
      <c r="U1155" s="23">
        <v>0</v>
      </c>
      <c r="V1155" s="23">
        <v>0</v>
      </c>
      <c r="W1155" s="23">
        <f t="shared" si="127"/>
        <v>2344.6600000000008</v>
      </c>
      <c r="X1155" s="23">
        <f t="shared" si="128"/>
        <v>2344.6600000000008</v>
      </c>
      <c r="Y1155" s="23">
        <f t="shared" si="129"/>
        <v>0</v>
      </c>
      <c r="Z1155" s="23">
        <v>0</v>
      </c>
      <c r="AA1155" s="23">
        <f t="shared" ref="AA1155:AA1218" si="130">+Y1155+Z1155</f>
        <v>0</v>
      </c>
      <c r="AB1155" s="23">
        <f t="shared" ref="AB1155:AB1218" si="131">+O1155-X1155+Z1155+AA1155</f>
        <v>1714.5699999999997</v>
      </c>
      <c r="AD1155" s="20" t="str">
        <f>VLOOKUP($C1155,'[1]CTRL AUTOS'!$E:$AH,2,0)</f>
        <v>P62BHW</v>
      </c>
      <c r="AE1155" s="11" t="str">
        <f t="shared" si="125"/>
        <v>P62BHW48</v>
      </c>
    </row>
    <row r="1156" spans="1:31" ht="12" hidden="1" customHeight="1" x14ac:dyDescent="0.3">
      <c r="A1156" s="8">
        <v>48</v>
      </c>
      <c r="B1156" s="20" t="s">
        <v>506</v>
      </c>
      <c r="C1156" s="20" t="s">
        <v>54</v>
      </c>
      <c r="D1156" s="20" t="s">
        <v>318</v>
      </c>
      <c r="E1156" s="20" t="s">
        <v>232</v>
      </c>
      <c r="F1156" s="20" t="s">
        <v>232</v>
      </c>
      <c r="G1156" s="20" t="s">
        <v>234</v>
      </c>
      <c r="H1156" s="23">
        <v>1637.78</v>
      </c>
      <c r="I1156" s="23">
        <v>0</v>
      </c>
      <c r="J1156" s="23">
        <v>0</v>
      </c>
      <c r="K1156" s="23">
        <v>0</v>
      </c>
      <c r="L1156" s="23">
        <v>-717.98</v>
      </c>
      <c r="M1156" s="23">
        <v>-55</v>
      </c>
      <c r="N1156" s="23">
        <v>0</v>
      </c>
      <c r="O1156" s="24">
        <f t="shared" si="126"/>
        <v>864.8</v>
      </c>
      <c r="P1156" s="23">
        <v>-357.14</v>
      </c>
      <c r="Q1156" s="23">
        <v>0</v>
      </c>
      <c r="R1156" s="23">
        <v>-71.42</v>
      </c>
      <c r="S1156" s="23">
        <v>0</v>
      </c>
      <c r="T1156" s="23">
        <v>0</v>
      </c>
      <c r="U1156" s="23">
        <v>0</v>
      </c>
      <c r="V1156" s="23">
        <v>0</v>
      </c>
      <c r="W1156" s="23">
        <f t="shared" si="127"/>
        <v>436.23999999999995</v>
      </c>
      <c r="X1156" s="23">
        <f t="shared" si="128"/>
        <v>436.23999999999995</v>
      </c>
      <c r="Y1156" s="23">
        <f t="shared" si="129"/>
        <v>0</v>
      </c>
      <c r="Z1156" s="23">
        <v>0</v>
      </c>
      <c r="AA1156" s="23">
        <f t="shared" si="130"/>
        <v>0</v>
      </c>
      <c r="AB1156" s="23">
        <f t="shared" si="131"/>
        <v>428.56</v>
      </c>
      <c r="AD1156" s="20" t="str">
        <f>VLOOKUP($C1156,'[1]CTRL AUTOS'!$E:$AH,2,0)</f>
        <v>NZY685B</v>
      </c>
      <c r="AE1156" s="11" t="str">
        <f t="shared" ref="AE1156:AE1219" si="132">AD1156&amp;A1156</f>
        <v>NZY685B48</v>
      </c>
    </row>
    <row r="1157" spans="1:31" ht="12" hidden="1" customHeight="1" x14ac:dyDescent="0.3">
      <c r="A1157" s="8">
        <v>48</v>
      </c>
      <c r="B1157" s="20" t="s">
        <v>29</v>
      </c>
      <c r="C1157" s="20" t="s">
        <v>30</v>
      </c>
      <c r="D1157" s="20" t="s">
        <v>500</v>
      </c>
      <c r="E1157" s="20" t="s">
        <v>232</v>
      </c>
      <c r="F1157" s="20" t="s">
        <v>232</v>
      </c>
      <c r="G1157" s="20" t="s">
        <v>234</v>
      </c>
      <c r="H1157" s="23">
        <v>5170.97</v>
      </c>
      <c r="I1157" s="23">
        <v>-6.91</v>
      </c>
      <c r="J1157" s="23">
        <v>0</v>
      </c>
      <c r="K1157" s="23">
        <v>0</v>
      </c>
      <c r="L1157" s="23">
        <v>-1422.52</v>
      </c>
      <c r="M1157" s="23">
        <v>-55</v>
      </c>
      <c r="N1157" s="23">
        <v>-106.4</v>
      </c>
      <c r="O1157" s="24">
        <f t="shared" si="126"/>
        <v>3580.1400000000003</v>
      </c>
      <c r="P1157" s="23">
        <v>-1785.71</v>
      </c>
      <c r="Q1157" s="23">
        <v>0</v>
      </c>
      <c r="R1157" s="23">
        <v>-357.14</v>
      </c>
      <c r="S1157" s="23">
        <v>0</v>
      </c>
      <c r="T1157" s="23">
        <v>0</v>
      </c>
      <c r="U1157" s="23">
        <v>0</v>
      </c>
      <c r="V1157" s="23">
        <v>0</v>
      </c>
      <c r="W1157" s="23">
        <f t="shared" si="127"/>
        <v>1437.2900000000004</v>
      </c>
      <c r="X1157" s="23">
        <f t="shared" si="128"/>
        <v>1437.2900000000004</v>
      </c>
      <c r="Y1157" s="23">
        <f t="shared" si="129"/>
        <v>0</v>
      </c>
      <c r="Z1157" s="23">
        <v>0</v>
      </c>
      <c r="AA1157" s="23">
        <f t="shared" si="130"/>
        <v>0</v>
      </c>
      <c r="AB1157" s="23">
        <f t="shared" si="131"/>
        <v>2142.85</v>
      </c>
      <c r="AD1157" s="20" t="str">
        <f>VLOOKUP($C1157,'[1]CTRL AUTOS'!$E:$AH,2,0)</f>
        <v>D51BHV</v>
      </c>
      <c r="AE1157" s="11" t="str">
        <f t="shared" si="132"/>
        <v>D51BHV48</v>
      </c>
    </row>
    <row r="1158" spans="1:31" ht="12" hidden="1" customHeight="1" x14ac:dyDescent="0.3">
      <c r="A1158" s="8">
        <v>48</v>
      </c>
      <c r="B1158" s="20" t="s">
        <v>17</v>
      </c>
      <c r="C1158" s="20" t="s">
        <v>18</v>
      </c>
      <c r="D1158" s="20" t="s">
        <v>237</v>
      </c>
      <c r="E1158" s="20" t="s">
        <v>232</v>
      </c>
      <c r="F1158" s="20" t="s">
        <v>232</v>
      </c>
      <c r="G1158" s="20" t="s">
        <v>234</v>
      </c>
      <c r="H1158" s="23">
        <v>2366.83</v>
      </c>
      <c r="I1158" s="23">
        <v>0</v>
      </c>
      <c r="J1158" s="23">
        <v>0</v>
      </c>
      <c r="K1158" s="23">
        <v>0</v>
      </c>
      <c r="L1158" s="23">
        <v>-1043.76</v>
      </c>
      <c r="M1158" s="23">
        <v>-50</v>
      </c>
      <c r="N1158" s="23">
        <v>0</v>
      </c>
      <c r="O1158" s="24">
        <f t="shared" si="126"/>
        <v>1273.07</v>
      </c>
      <c r="P1158" s="23">
        <v>-1542.85</v>
      </c>
      <c r="Q1158" s="23">
        <v>0</v>
      </c>
      <c r="R1158" s="23">
        <v>0</v>
      </c>
      <c r="S1158" s="23">
        <v>0</v>
      </c>
      <c r="T1158" s="23">
        <v>0</v>
      </c>
      <c r="U1158" s="23">
        <v>-250</v>
      </c>
      <c r="V1158" s="23">
        <v>0</v>
      </c>
      <c r="W1158" s="23">
        <f t="shared" si="127"/>
        <v>-519.78</v>
      </c>
      <c r="X1158" s="23">
        <f t="shared" si="128"/>
        <v>0</v>
      </c>
      <c r="Y1158" s="23">
        <f t="shared" si="129"/>
        <v>-519.78</v>
      </c>
      <c r="Z1158" s="23">
        <v>520</v>
      </c>
      <c r="AA1158" s="23">
        <f t="shared" si="130"/>
        <v>0.22000000000002728</v>
      </c>
      <c r="AB1158" s="23">
        <f t="shared" si="131"/>
        <v>1793.29</v>
      </c>
      <c r="AC1158" s="46" t="s">
        <v>507</v>
      </c>
      <c r="AD1158" s="20" t="str">
        <f>VLOOKUP($C1158,'[1]CTRL AUTOS'!$E:$AH,2,0)</f>
        <v>MZN091C</v>
      </c>
      <c r="AE1158" s="11" t="str">
        <f t="shared" si="132"/>
        <v>MZN091C48</v>
      </c>
    </row>
    <row r="1159" spans="1:31" ht="12" hidden="1" customHeight="1" x14ac:dyDescent="0.3">
      <c r="A1159" s="8">
        <v>48</v>
      </c>
      <c r="B1159" s="20" t="s">
        <v>17</v>
      </c>
      <c r="C1159" s="20" t="s">
        <v>69</v>
      </c>
      <c r="D1159" s="20" t="s">
        <v>370</v>
      </c>
      <c r="E1159" s="22" t="s">
        <v>241</v>
      </c>
      <c r="F1159" s="20" t="s">
        <v>291</v>
      </c>
      <c r="G1159" s="20" t="s">
        <v>234</v>
      </c>
      <c r="H1159" s="23">
        <v>3195.07</v>
      </c>
      <c r="I1159" s="23">
        <v>0</v>
      </c>
      <c r="J1159" s="23">
        <v>0</v>
      </c>
      <c r="K1159" s="23">
        <v>0</v>
      </c>
      <c r="L1159" s="23">
        <v>-1408.45</v>
      </c>
      <c r="M1159" s="23">
        <v>-25</v>
      </c>
      <c r="N1159" s="23">
        <v>0</v>
      </c>
      <c r="O1159" s="24">
        <f t="shared" si="126"/>
        <v>1761.6200000000001</v>
      </c>
      <c r="P1159" s="23">
        <v>-1071.42</v>
      </c>
      <c r="Q1159" s="23">
        <v>-86.24</v>
      </c>
      <c r="R1159" s="23">
        <v>0</v>
      </c>
      <c r="S1159" s="23">
        <v>0</v>
      </c>
      <c r="T1159" s="23">
        <v>0</v>
      </c>
      <c r="U1159" s="23">
        <v>0</v>
      </c>
      <c r="V1159" s="23">
        <v>0</v>
      </c>
      <c r="W1159" s="23">
        <f t="shared" si="127"/>
        <v>603.96</v>
      </c>
      <c r="X1159" s="23">
        <f t="shared" si="128"/>
        <v>603.96</v>
      </c>
      <c r="Y1159" s="23">
        <f t="shared" si="129"/>
        <v>0</v>
      </c>
      <c r="Z1159" s="23">
        <v>0</v>
      </c>
      <c r="AA1159" s="23">
        <f t="shared" si="130"/>
        <v>0</v>
      </c>
      <c r="AB1159" s="23">
        <f t="shared" si="131"/>
        <v>1157.6600000000001</v>
      </c>
      <c r="AD1159" s="20" t="str">
        <f>VLOOKUP($C1159,'[1]CTRL AUTOS'!$E:$AH,2,0)</f>
        <v>R51BKD</v>
      </c>
      <c r="AE1159" s="11" t="str">
        <f t="shared" si="132"/>
        <v>R51BKD48</v>
      </c>
    </row>
    <row r="1160" spans="1:31" ht="12" hidden="1" customHeight="1" x14ac:dyDescent="0.3">
      <c r="A1160" s="8">
        <v>48</v>
      </c>
      <c r="B1160" s="20" t="s">
        <v>76</v>
      </c>
      <c r="C1160" s="20" t="s">
        <v>56</v>
      </c>
      <c r="D1160" s="20" t="s">
        <v>336</v>
      </c>
      <c r="E1160" s="22" t="s">
        <v>241</v>
      </c>
      <c r="F1160" s="20" t="s">
        <v>291</v>
      </c>
      <c r="G1160" s="20" t="s">
        <v>234</v>
      </c>
      <c r="H1160" s="23">
        <v>1449.53</v>
      </c>
      <c r="I1160" s="23">
        <v>0</v>
      </c>
      <c r="J1160" s="23">
        <v>625.79</v>
      </c>
      <c r="K1160" s="23">
        <v>-24.67</v>
      </c>
      <c r="L1160" s="23">
        <v>0</v>
      </c>
      <c r="M1160" s="23">
        <v>-65</v>
      </c>
      <c r="N1160" s="23">
        <v>0</v>
      </c>
      <c r="O1160" s="24">
        <f t="shared" si="126"/>
        <v>1985.6499999999996</v>
      </c>
      <c r="P1160" s="23">
        <v>-2500</v>
      </c>
      <c r="Q1160" s="23">
        <v>0</v>
      </c>
      <c r="R1160" s="23">
        <v>-500</v>
      </c>
      <c r="S1160" s="23">
        <v>0</v>
      </c>
      <c r="T1160" s="23">
        <v>0</v>
      </c>
      <c r="U1160" s="23">
        <v>0</v>
      </c>
      <c r="V1160" s="23">
        <v>0</v>
      </c>
      <c r="W1160" s="23">
        <f t="shared" si="127"/>
        <v>-1014.3500000000004</v>
      </c>
      <c r="X1160" s="23">
        <f t="shared" si="128"/>
        <v>0</v>
      </c>
      <c r="Y1160" s="23">
        <f t="shared" si="129"/>
        <v>-1014.3500000000004</v>
      </c>
      <c r="Z1160" s="23">
        <v>1000</v>
      </c>
      <c r="AA1160" s="23">
        <f t="shared" si="130"/>
        <v>-14.350000000000364</v>
      </c>
      <c r="AB1160" s="23">
        <f t="shared" si="131"/>
        <v>2971.2999999999993</v>
      </c>
      <c r="AD1160" s="20" t="str">
        <f>VLOOKUP($C1160,'[1]CTRL AUTOS'!$E:$AH,2,0)</f>
        <v>MYE912A</v>
      </c>
      <c r="AE1160" s="11" t="str">
        <f t="shared" si="132"/>
        <v>MYE912A48</v>
      </c>
    </row>
    <row r="1161" spans="1:31" ht="12" hidden="1" customHeight="1" x14ac:dyDescent="0.3">
      <c r="A1161" s="8">
        <v>48</v>
      </c>
      <c r="B1161" s="20" t="s">
        <v>74</v>
      </c>
      <c r="C1161" s="20" t="s">
        <v>75</v>
      </c>
      <c r="D1161" s="20" t="s">
        <v>333</v>
      </c>
      <c r="E1161" s="22" t="s">
        <v>241</v>
      </c>
      <c r="F1161" s="20" t="s">
        <v>291</v>
      </c>
      <c r="G1161" s="20" t="s">
        <v>234</v>
      </c>
      <c r="H1161" s="23">
        <v>2944.55</v>
      </c>
      <c r="I1161" s="23">
        <v>0</v>
      </c>
      <c r="J1161" s="23">
        <v>0</v>
      </c>
      <c r="K1161" s="23">
        <v>0</v>
      </c>
      <c r="L1161" s="23">
        <v>-797.51</v>
      </c>
      <c r="M1161" s="23">
        <v>-55</v>
      </c>
      <c r="N1161" s="23">
        <v>0</v>
      </c>
      <c r="O1161" s="24">
        <f t="shared" si="126"/>
        <v>2092.04</v>
      </c>
      <c r="P1161" s="23">
        <v>-2500</v>
      </c>
      <c r="Q1161" s="23">
        <v>-446.88</v>
      </c>
      <c r="R1161" s="23">
        <v>0</v>
      </c>
      <c r="S1161" s="23">
        <v>0</v>
      </c>
      <c r="T1161" s="23">
        <v>-500</v>
      </c>
      <c r="U1161" s="23">
        <v>0</v>
      </c>
      <c r="V1161" s="23">
        <v>0</v>
      </c>
      <c r="W1161" s="23">
        <f t="shared" si="127"/>
        <v>-1354.8400000000001</v>
      </c>
      <c r="X1161" s="23">
        <f t="shared" si="128"/>
        <v>0</v>
      </c>
      <c r="Y1161" s="23">
        <f t="shared" si="129"/>
        <v>-1354.8400000000001</v>
      </c>
      <c r="Z1161" s="23">
        <v>-447</v>
      </c>
      <c r="AA1161" s="23">
        <f t="shared" si="130"/>
        <v>-1801.8400000000001</v>
      </c>
      <c r="AB1161" s="23">
        <f t="shared" si="131"/>
        <v>-156.80000000000018</v>
      </c>
      <c r="AD1161" s="20" t="str">
        <f>VLOOKUP($C1161,'[1]CTRL AUTOS'!$E:$AH,2,0)</f>
        <v>NFN014B</v>
      </c>
      <c r="AE1161" s="11" t="str">
        <f t="shared" si="132"/>
        <v>NFN014B48</v>
      </c>
    </row>
    <row r="1162" spans="1:31" ht="12" hidden="1" customHeight="1" x14ac:dyDescent="0.3">
      <c r="A1162" s="8">
        <v>48</v>
      </c>
      <c r="B1162" s="20" t="s">
        <v>111</v>
      </c>
      <c r="C1162" s="20" t="s">
        <v>63</v>
      </c>
      <c r="D1162" s="20" t="s">
        <v>374</v>
      </c>
      <c r="E1162" s="20" t="s">
        <v>291</v>
      </c>
      <c r="F1162" s="20" t="s">
        <v>291</v>
      </c>
      <c r="G1162" s="20" t="s">
        <v>234</v>
      </c>
      <c r="H1162" s="23">
        <v>5470.02</v>
      </c>
      <c r="I1162" s="23">
        <v>0</v>
      </c>
      <c r="J1162" s="23">
        <v>0</v>
      </c>
      <c r="K1162" s="23">
        <v>0</v>
      </c>
      <c r="L1162" s="23">
        <v>-2064.81</v>
      </c>
      <c r="M1162" s="23">
        <v>-75</v>
      </c>
      <c r="N1162" s="23">
        <v>0</v>
      </c>
      <c r="O1162" s="24">
        <f t="shared" si="126"/>
        <v>3330.2100000000005</v>
      </c>
      <c r="P1162" s="23">
        <v>-2500</v>
      </c>
      <c r="Q1162" s="23">
        <v>0</v>
      </c>
      <c r="R1162" s="23">
        <v>0</v>
      </c>
      <c r="S1162" s="23">
        <v>0</v>
      </c>
      <c r="T1162" s="23">
        <v>0</v>
      </c>
      <c r="U1162" s="23">
        <v>0</v>
      </c>
      <c r="V1162" s="23">
        <v>0</v>
      </c>
      <c r="W1162" s="23">
        <f t="shared" si="127"/>
        <v>830.21000000000049</v>
      </c>
      <c r="X1162" s="23">
        <f t="shared" si="128"/>
        <v>830.21000000000049</v>
      </c>
      <c r="Y1162" s="23">
        <f t="shared" si="129"/>
        <v>0</v>
      </c>
      <c r="Z1162" s="23">
        <v>0</v>
      </c>
      <c r="AA1162" s="23">
        <f t="shared" si="130"/>
        <v>0</v>
      </c>
      <c r="AB1162" s="23">
        <f t="shared" si="131"/>
        <v>2500</v>
      </c>
      <c r="AD1162" s="20" t="str">
        <f>VLOOKUP($C1162,'[1]CTRL AUTOS'!$E:$AH,2,0)</f>
        <v>X89ALV</v>
      </c>
      <c r="AE1162" s="11" t="str">
        <f t="shared" si="132"/>
        <v>X89ALV48</v>
      </c>
    </row>
    <row r="1163" spans="1:31" ht="12" hidden="1" customHeight="1" x14ac:dyDescent="0.3">
      <c r="A1163" s="8">
        <v>48</v>
      </c>
      <c r="B1163" s="20" t="s">
        <v>78</v>
      </c>
      <c r="C1163" s="44" t="s">
        <v>79</v>
      </c>
      <c r="D1163" s="20" t="s">
        <v>475</v>
      </c>
      <c r="E1163" s="20" t="s">
        <v>291</v>
      </c>
      <c r="F1163" s="20" t="s">
        <v>291</v>
      </c>
      <c r="G1163" s="20" t="s">
        <v>234</v>
      </c>
      <c r="H1163" s="23">
        <v>2387.3000000000002</v>
      </c>
      <c r="I1163" s="23">
        <v>-7.41</v>
      </c>
      <c r="J1163" s="23">
        <v>9.7899999999999991</v>
      </c>
      <c r="K1163" s="23">
        <v>-15.4</v>
      </c>
      <c r="L1163" s="23">
        <v>0</v>
      </c>
      <c r="M1163" s="23">
        <v>-65</v>
      </c>
      <c r="N1163" s="23">
        <v>0</v>
      </c>
      <c r="O1163" s="24">
        <f t="shared" si="126"/>
        <v>2309.2800000000002</v>
      </c>
      <c r="P1163" s="23">
        <f>-2500+357</f>
        <v>-2143</v>
      </c>
      <c r="Q1163" s="23">
        <v>0</v>
      </c>
      <c r="R1163" s="23">
        <v>-500</v>
      </c>
      <c r="S1163" s="23">
        <v>0</v>
      </c>
      <c r="T1163" s="23">
        <v>0</v>
      </c>
      <c r="U1163" s="23">
        <v>0</v>
      </c>
      <c r="V1163" s="23">
        <v>0</v>
      </c>
      <c r="W1163" s="23">
        <f t="shared" si="127"/>
        <v>-333.7199999999998</v>
      </c>
      <c r="X1163" s="23">
        <f t="shared" si="128"/>
        <v>0</v>
      </c>
      <c r="Y1163" s="23">
        <f t="shared" si="129"/>
        <v>-333.7199999999998</v>
      </c>
      <c r="Z1163" s="23">
        <v>-334</v>
      </c>
      <c r="AA1163" s="23">
        <f t="shared" si="130"/>
        <v>-667.7199999999998</v>
      </c>
      <c r="AB1163" s="23">
        <f t="shared" si="131"/>
        <v>1307.5600000000004</v>
      </c>
      <c r="AD1163" s="20" t="str">
        <f>VLOOKUP($C1163,'[1]CTRL AUTOS'!$E:$AH,2,0)</f>
        <v>MAY737C</v>
      </c>
      <c r="AE1163" s="11" t="str">
        <f t="shared" si="132"/>
        <v>MAY737C48</v>
      </c>
    </row>
    <row r="1164" spans="1:31" ht="12" hidden="1" customHeight="1" x14ac:dyDescent="0.3">
      <c r="A1164" s="8">
        <v>48</v>
      </c>
      <c r="B1164" s="20" t="s">
        <v>68</v>
      </c>
      <c r="C1164" s="20" t="s">
        <v>69</v>
      </c>
      <c r="D1164" s="20" t="s">
        <v>370</v>
      </c>
      <c r="E1164" s="22" t="s">
        <v>241</v>
      </c>
      <c r="F1164" s="20" t="s">
        <v>291</v>
      </c>
      <c r="G1164" s="20" t="s">
        <v>234</v>
      </c>
      <c r="H1164" s="23">
        <v>1639.26</v>
      </c>
      <c r="I1164" s="23">
        <v>0</v>
      </c>
      <c r="J1164" s="23">
        <v>0</v>
      </c>
      <c r="K1164" s="23">
        <v>0</v>
      </c>
      <c r="L1164" s="23">
        <v>-454.89</v>
      </c>
      <c r="M1164" s="23">
        <v>-55</v>
      </c>
      <c r="N1164" s="23">
        <v>0</v>
      </c>
      <c r="O1164" s="24">
        <f t="shared" si="126"/>
        <v>1129.3699999999999</v>
      </c>
      <c r="P1164" s="23">
        <v>-1249</v>
      </c>
      <c r="Q1164" s="23">
        <v>0</v>
      </c>
      <c r="R1164" s="23">
        <v>-2000</v>
      </c>
      <c r="S1164" s="23">
        <v>0</v>
      </c>
      <c r="T1164" s="23">
        <v>0</v>
      </c>
      <c r="U1164" s="23">
        <v>0</v>
      </c>
      <c r="V1164" s="23">
        <v>0</v>
      </c>
      <c r="W1164" s="23">
        <f t="shared" si="127"/>
        <v>-2119.63</v>
      </c>
      <c r="X1164" s="23">
        <f t="shared" si="128"/>
        <v>0</v>
      </c>
      <c r="Y1164" s="23">
        <f t="shared" si="129"/>
        <v>-2119.63</v>
      </c>
      <c r="Z1164" s="23">
        <v>2109</v>
      </c>
      <c r="AA1164" s="23">
        <f t="shared" si="130"/>
        <v>-10.630000000000109</v>
      </c>
      <c r="AB1164" s="23">
        <f t="shared" si="131"/>
        <v>3227.74</v>
      </c>
      <c r="AC1164" s="46" t="s">
        <v>508</v>
      </c>
      <c r="AD1164" s="20" t="str">
        <f>VLOOKUP($C1164,'[1]CTRL AUTOS'!$E:$AH,2,0)</f>
        <v>R51BKD</v>
      </c>
      <c r="AE1164" s="11" t="str">
        <f t="shared" si="132"/>
        <v>R51BKD48</v>
      </c>
    </row>
    <row r="1165" spans="1:31" ht="12" hidden="1" customHeight="1" x14ac:dyDescent="0.3">
      <c r="A1165" s="8">
        <v>48</v>
      </c>
      <c r="B1165" s="20" t="s">
        <v>72</v>
      </c>
      <c r="C1165" s="20" t="s">
        <v>73</v>
      </c>
      <c r="D1165" s="20" t="s">
        <v>368</v>
      </c>
      <c r="E1165" s="22" t="s">
        <v>241</v>
      </c>
      <c r="F1165" s="20" t="s">
        <v>291</v>
      </c>
      <c r="G1165" s="20" t="s">
        <v>234</v>
      </c>
      <c r="H1165" s="23">
        <v>8993.08</v>
      </c>
      <c r="I1165" s="23">
        <v>-80</v>
      </c>
      <c r="J1165" s="23">
        <v>0</v>
      </c>
      <c r="K1165" s="23">
        <v>-78.19</v>
      </c>
      <c r="L1165" s="23">
        <v>-3137.77</v>
      </c>
      <c r="M1165" s="23">
        <v>-75</v>
      </c>
      <c r="N1165" s="23">
        <v>-26.88</v>
      </c>
      <c r="O1165" s="24">
        <f t="shared" si="126"/>
        <v>5595.2399999999989</v>
      </c>
      <c r="P1165" s="23">
        <v>-2500</v>
      </c>
      <c r="Q1165" s="23">
        <v>0</v>
      </c>
      <c r="R1165" s="23">
        <v>0</v>
      </c>
      <c r="S1165" s="23">
        <v>0</v>
      </c>
      <c r="T1165" s="23">
        <v>-700</v>
      </c>
      <c r="U1165" s="23">
        <v>0</v>
      </c>
      <c r="V1165" s="23">
        <v>0</v>
      </c>
      <c r="W1165" s="23">
        <f t="shared" si="127"/>
        <v>2395.2399999999989</v>
      </c>
      <c r="X1165" s="23">
        <f t="shared" si="128"/>
        <v>2395.2399999999989</v>
      </c>
      <c r="Y1165" s="23">
        <f t="shared" si="129"/>
        <v>0</v>
      </c>
      <c r="Z1165" s="23">
        <v>0</v>
      </c>
      <c r="AA1165" s="23">
        <f t="shared" si="130"/>
        <v>0</v>
      </c>
      <c r="AB1165" s="23">
        <f t="shared" si="131"/>
        <v>3200</v>
      </c>
      <c r="AD1165" s="20" t="str">
        <f>VLOOKUP($C1165,'[1]CTRL AUTOS'!$E:$AH,2,0)</f>
        <v>H99BLC</v>
      </c>
      <c r="AE1165" s="11" t="str">
        <f t="shared" si="132"/>
        <v>H99BLC48</v>
      </c>
    </row>
    <row r="1166" spans="1:31" ht="12" hidden="1" customHeight="1" x14ac:dyDescent="0.3">
      <c r="A1166" s="8">
        <v>48</v>
      </c>
      <c r="B1166" s="20" t="s">
        <v>57</v>
      </c>
      <c r="C1166" s="20" t="s">
        <v>16</v>
      </c>
      <c r="D1166" s="20" t="s">
        <v>314</v>
      </c>
      <c r="E1166" s="20" t="s">
        <v>232</v>
      </c>
      <c r="F1166" s="20" t="s">
        <v>232</v>
      </c>
      <c r="G1166" s="20" t="s">
        <v>234</v>
      </c>
      <c r="H1166" s="23">
        <v>0</v>
      </c>
      <c r="I1166" s="24">
        <v>0</v>
      </c>
      <c r="J1166" s="23">
        <v>0</v>
      </c>
      <c r="K1166" s="23">
        <v>0</v>
      </c>
      <c r="L1166" s="23">
        <v>0</v>
      </c>
      <c r="M1166" s="23">
        <v>0</v>
      </c>
      <c r="N1166" s="23">
        <v>0</v>
      </c>
      <c r="O1166" s="24">
        <f t="shared" si="126"/>
        <v>0</v>
      </c>
      <c r="P1166" s="23">
        <v>0</v>
      </c>
      <c r="Q1166" s="23">
        <v>0</v>
      </c>
      <c r="R1166" s="23">
        <v>500</v>
      </c>
      <c r="S1166" s="23">
        <v>0</v>
      </c>
      <c r="T1166" s="23">
        <v>0</v>
      </c>
      <c r="U1166" s="23">
        <v>0</v>
      </c>
      <c r="V1166" s="23">
        <v>0</v>
      </c>
      <c r="W1166" s="23">
        <f t="shared" si="127"/>
        <v>500</v>
      </c>
      <c r="X1166" s="23">
        <f t="shared" si="128"/>
        <v>500</v>
      </c>
      <c r="Y1166" s="23">
        <f t="shared" si="129"/>
        <v>0</v>
      </c>
      <c r="Z1166" s="23">
        <v>0</v>
      </c>
      <c r="AA1166" s="23">
        <f t="shared" si="130"/>
        <v>0</v>
      </c>
      <c r="AB1166" s="23">
        <f t="shared" si="131"/>
        <v>-500</v>
      </c>
      <c r="AD1166" s="20" t="str">
        <f>VLOOKUP($C1166,'[1]CTRL AUTOS'!$E:$AH,2,0)</f>
        <v>D28BET</v>
      </c>
      <c r="AE1166" s="11" t="str">
        <f t="shared" si="132"/>
        <v>D28BET48</v>
      </c>
    </row>
    <row r="1167" spans="1:31" ht="12" hidden="1" customHeight="1" x14ac:dyDescent="0.3">
      <c r="A1167" s="8">
        <v>48</v>
      </c>
      <c r="B1167" s="20" t="s">
        <v>31</v>
      </c>
      <c r="C1167" s="20" t="s">
        <v>97</v>
      </c>
      <c r="D1167" s="20" t="s">
        <v>273</v>
      </c>
      <c r="E1167" s="20" t="s">
        <v>232</v>
      </c>
      <c r="F1167" s="20" t="s">
        <v>232</v>
      </c>
      <c r="G1167" s="20" t="s">
        <v>234</v>
      </c>
      <c r="H1167" s="23">
        <v>8365.76</v>
      </c>
      <c r="I1167" s="23">
        <v>0</v>
      </c>
      <c r="J1167" s="23">
        <v>0</v>
      </c>
      <c r="K1167" s="23">
        <v>0</v>
      </c>
      <c r="L1167" s="23">
        <v>-4086.69</v>
      </c>
      <c r="M1167" s="23">
        <v>-50</v>
      </c>
      <c r="N1167" s="23">
        <v>0</v>
      </c>
      <c r="O1167" s="24">
        <f t="shared" si="126"/>
        <v>4229.07</v>
      </c>
      <c r="P1167" s="23">
        <v>-1786</v>
      </c>
      <c r="Q1167" s="23">
        <v>0</v>
      </c>
      <c r="R1167" s="23">
        <v>-357</v>
      </c>
      <c r="S1167" s="23">
        <v>0</v>
      </c>
      <c r="T1167" s="23">
        <v>0</v>
      </c>
      <c r="U1167" s="23">
        <v>0</v>
      </c>
      <c r="V1167" s="23">
        <v>0</v>
      </c>
      <c r="W1167" s="23">
        <f t="shared" si="127"/>
        <v>2086.0699999999997</v>
      </c>
      <c r="X1167" s="23">
        <f t="shared" si="128"/>
        <v>2086.0699999999997</v>
      </c>
      <c r="Y1167" s="23">
        <f t="shared" si="129"/>
        <v>0</v>
      </c>
      <c r="Z1167" s="23">
        <v>0</v>
      </c>
      <c r="AA1167" s="23">
        <f t="shared" si="130"/>
        <v>0</v>
      </c>
      <c r="AB1167" s="23">
        <f t="shared" si="131"/>
        <v>2143</v>
      </c>
      <c r="AD1167" s="20" t="str">
        <f>VLOOKUP($C1167,'[1]CTRL AUTOS'!$E:$AH,2,0)</f>
        <v>MUF515A</v>
      </c>
      <c r="AE1167" s="11" t="str">
        <f t="shared" si="132"/>
        <v>MUF515A48</v>
      </c>
    </row>
    <row r="1168" spans="1:31" ht="12" hidden="1" customHeight="1" x14ac:dyDescent="0.3">
      <c r="A1168" s="8">
        <v>49</v>
      </c>
      <c r="B1168" s="20" t="s">
        <v>13</v>
      </c>
      <c r="C1168" s="39" t="s">
        <v>14</v>
      </c>
      <c r="D1168" s="39" t="s">
        <v>505</v>
      </c>
      <c r="E1168" s="20" t="s">
        <v>232</v>
      </c>
      <c r="F1168" s="20" t="s">
        <v>232</v>
      </c>
      <c r="G1168" s="20" t="s">
        <v>234</v>
      </c>
      <c r="H1168" s="23">
        <v>5317.39</v>
      </c>
      <c r="I1168" s="23">
        <v>0</v>
      </c>
      <c r="J1168" s="23">
        <v>39.159999999999997</v>
      </c>
      <c r="K1168" s="23">
        <v>0</v>
      </c>
      <c r="L1168" s="23">
        <v>0</v>
      </c>
      <c r="M1168" s="23">
        <v>-85</v>
      </c>
      <c r="N1168" s="23">
        <v>-118.72</v>
      </c>
      <c r="O1168" s="24">
        <f t="shared" si="126"/>
        <v>5152.83</v>
      </c>
      <c r="P1168" s="23">
        <v>-2700</v>
      </c>
      <c r="Q1168" s="23">
        <v>0</v>
      </c>
      <c r="R1168" s="23">
        <v>0</v>
      </c>
      <c r="S1168" s="23">
        <v>0</v>
      </c>
      <c r="T1168" s="23">
        <v>0</v>
      </c>
      <c r="U1168" s="23">
        <v>0</v>
      </c>
      <c r="V1168" s="23">
        <v>0</v>
      </c>
      <c r="W1168" s="23">
        <f t="shared" si="127"/>
        <v>2452.83</v>
      </c>
      <c r="X1168" s="23">
        <f t="shared" si="128"/>
        <v>2452.83</v>
      </c>
      <c r="Y1168" s="23">
        <f t="shared" si="129"/>
        <v>0</v>
      </c>
      <c r="Z1168" s="23">
        <v>0</v>
      </c>
      <c r="AA1168" s="23">
        <f t="shared" si="130"/>
        <v>0</v>
      </c>
      <c r="AB1168" s="23">
        <f t="shared" si="131"/>
        <v>2700</v>
      </c>
      <c r="AD1168" s="20" t="str">
        <f>VLOOKUP($C1168,'[1]CTRL AUTOS'!$E:$AH,2,0)</f>
        <v>MXM503C</v>
      </c>
      <c r="AE1168" s="11" t="str">
        <f t="shared" si="132"/>
        <v>MXM503C49</v>
      </c>
    </row>
    <row r="1169" spans="1:31" ht="12" hidden="1" customHeight="1" x14ac:dyDescent="0.3">
      <c r="A1169" s="8">
        <v>49</v>
      </c>
      <c r="B1169" s="20" t="s">
        <v>11</v>
      </c>
      <c r="C1169" s="39" t="s">
        <v>12</v>
      </c>
      <c r="D1169" s="39" t="s">
        <v>509</v>
      </c>
      <c r="E1169" s="20" t="s">
        <v>232</v>
      </c>
      <c r="F1169" s="20" t="s">
        <v>232</v>
      </c>
      <c r="G1169" s="20" t="s">
        <v>234</v>
      </c>
      <c r="H1169" s="23">
        <v>8909.1</v>
      </c>
      <c r="I1169" s="23">
        <v>-64.84</v>
      </c>
      <c r="J1169" s="23">
        <v>0</v>
      </c>
      <c r="K1169" s="23">
        <v>0</v>
      </c>
      <c r="L1169" s="23">
        <v>-3907.65</v>
      </c>
      <c r="M1169" s="23">
        <v>-85</v>
      </c>
      <c r="N1169" s="23">
        <v>0</v>
      </c>
      <c r="O1169" s="24">
        <f t="shared" si="126"/>
        <v>4851.6100000000006</v>
      </c>
      <c r="P1169" s="23">
        <v>-2700</v>
      </c>
      <c r="Q1169" s="23">
        <v>0</v>
      </c>
      <c r="R1169" s="23">
        <v>0</v>
      </c>
      <c r="S1169" s="23">
        <v>0</v>
      </c>
      <c r="T1169" s="23">
        <v>0</v>
      </c>
      <c r="U1169" s="23">
        <v>-400</v>
      </c>
      <c r="V1169" s="23">
        <v>0</v>
      </c>
      <c r="W1169" s="23">
        <f t="shared" si="127"/>
        <v>1751.6100000000006</v>
      </c>
      <c r="X1169" s="23">
        <f t="shared" si="128"/>
        <v>1751.6100000000006</v>
      </c>
      <c r="Y1169" s="23">
        <f t="shared" si="129"/>
        <v>0</v>
      </c>
      <c r="Z1169" s="23">
        <v>0</v>
      </c>
      <c r="AA1169" s="23">
        <f t="shared" si="130"/>
        <v>0</v>
      </c>
      <c r="AB1169" s="23">
        <f t="shared" si="131"/>
        <v>3100</v>
      </c>
      <c r="AD1169" s="20" t="str">
        <f>VLOOKUP($C1169,'[1]CTRL AUTOS'!$E:$AH,2,0)</f>
        <v>MXM510C</v>
      </c>
      <c r="AE1169" s="11" t="str">
        <f t="shared" si="132"/>
        <v>MXM510C49</v>
      </c>
    </row>
    <row r="1170" spans="1:31" ht="12" hidden="1" customHeight="1" x14ac:dyDescent="0.3">
      <c r="A1170" s="8">
        <v>49</v>
      </c>
      <c r="B1170" s="20" t="s">
        <v>35</v>
      </c>
      <c r="C1170" s="20" t="s">
        <v>36</v>
      </c>
      <c r="D1170" s="39" t="s">
        <v>510</v>
      </c>
      <c r="E1170" s="20" t="s">
        <v>232</v>
      </c>
      <c r="F1170" s="20" t="s">
        <v>232</v>
      </c>
      <c r="G1170" s="20" t="s">
        <v>234</v>
      </c>
      <c r="H1170" s="23">
        <v>9598.15</v>
      </c>
      <c r="I1170" s="23">
        <v>-232</v>
      </c>
      <c r="J1170" s="23">
        <v>0</v>
      </c>
      <c r="K1170" s="23">
        <v>0</v>
      </c>
      <c r="L1170" s="23">
        <v>-4663.1899999999996</v>
      </c>
      <c r="M1170" s="23">
        <v>-60</v>
      </c>
      <c r="N1170" s="23">
        <v>0</v>
      </c>
      <c r="O1170" s="24">
        <f t="shared" si="126"/>
        <v>4642.96</v>
      </c>
      <c r="P1170" s="23">
        <v>-2500</v>
      </c>
      <c r="Q1170" s="23">
        <v>0</v>
      </c>
      <c r="R1170" s="23">
        <v>0</v>
      </c>
      <c r="S1170" s="23">
        <v>0</v>
      </c>
      <c r="T1170" s="23">
        <v>-500</v>
      </c>
      <c r="U1170" s="23">
        <v>0</v>
      </c>
      <c r="V1170" s="23">
        <v>0</v>
      </c>
      <c r="W1170" s="23">
        <f t="shared" si="127"/>
        <v>1642.96</v>
      </c>
      <c r="X1170" s="23">
        <f t="shared" si="128"/>
        <v>1642.96</v>
      </c>
      <c r="Y1170" s="23">
        <f t="shared" si="129"/>
        <v>0</v>
      </c>
      <c r="Z1170" s="23">
        <v>0</v>
      </c>
      <c r="AA1170" s="23">
        <f t="shared" si="130"/>
        <v>0</v>
      </c>
      <c r="AB1170" s="23">
        <f t="shared" si="131"/>
        <v>3000</v>
      </c>
      <c r="AD1170" s="20" t="str">
        <f>VLOOKUP($C1170,'[1]CTRL AUTOS'!$E:$AH,2,0)</f>
        <v>MLC126A</v>
      </c>
      <c r="AE1170" s="11" t="str">
        <f t="shared" si="132"/>
        <v>MLC126A49</v>
      </c>
    </row>
    <row r="1171" spans="1:31" ht="12" hidden="1" customHeight="1" x14ac:dyDescent="0.3">
      <c r="A1171" s="8">
        <v>49</v>
      </c>
      <c r="B1171" s="20" t="s">
        <v>25</v>
      </c>
      <c r="C1171" s="20" t="s">
        <v>67</v>
      </c>
      <c r="D1171" s="39" t="s">
        <v>511</v>
      </c>
      <c r="E1171" s="20" t="s">
        <v>232</v>
      </c>
      <c r="F1171" s="20" t="s">
        <v>232</v>
      </c>
      <c r="G1171" s="20" t="s">
        <v>234</v>
      </c>
      <c r="H1171" s="23">
        <v>3401.86</v>
      </c>
      <c r="I1171" s="23">
        <v>-11.56</v>
      </c>
      <c r="J1171" s="23">
        <v>0</v>
      </c>
      <c r="K1171" s="23">
        <v>0</v>
      </c>
      <c r="L1171" s="23">
        <v>-1582.86</v>
      </c>
      <c r="M1171" s="23">
        <v>-60</v>
      </c>
      <c r="N1171" s="23">
        <v>0</v>
      </c>
      <c r="O1171" s="24">
        <f t="shared" si="126"/>
        <v>1747.4400000000003</v>
      </c>
      <c r="P1171" s="23">
        <v>-2500</v>
      </c>
      <c r="Q1171" s="23">
        <v>-432.32</v>
      </c>
      <c r="R1171" s="23">
        <v>0</v>
      </c>
      <c r="S1171" s="23">
        <v>0</v>
      </c>
      <c r="T1171" s="23">
        <v>0</v>
      </c>
      <c r="U1171" s="23">
        <v>0</v>
      </c>
      <c r="V1171" s="23">
        <v>0</v>
      </c>
      <c r="W1171" s="23">
        <f t="shared" si="127"/>
        <v>-1184.8799999999999</v>
      </c>
      <c r="X1171" s="23">
        <f t="shared" si="128"/>
        <v>0</v>
      </c>
      <c r="Y1171" s="23">
        <f t="shared" si="129"/>
        <v>-1184.8799999999999</v>
      </c>
      <c r="Z1171" s="23">
        <f>500+400</f>
        <v>900</v>
      </c>
      <c r="AA1171" s="23">
        <f t="shared" si="130"/>
        <v>-284.87999999999988</v>
      </c>
      <c r="AB1171" s="23">
        <f t="shared" si="131"/>
        <v>2362.5600000000004</v>
      </c>
      <c r="AC1171" s="11" t="s">
        <v>512</v>
      </c>
      <c r="AD1171" s="20" t="str">
        <f>VLOOKUP($C1171,'[1]CTRL AUTOS'!$E:$AH,2,0)</f>
        <v>MFP751C</v>
      </c>
      <c r="AE1171" s="11" t="str">
        <f t="shared" si="132"/>
        <v>MFP751C49</v>
      </c>
    </row>
    <row r="1172" spans="1:31" ht="12" hidden="1" customHeight="1" x14ac:dyDescent="0.3">
      <c r="A1172" s="8">
        <v>49</v>
      </c>
      <c r="B1172" s="20" t="s">
        <v>396</v>
      </c>
      <c r="C1172" s="20" t="s">
        <v>75</v>
      </c>
      <c r="D1172" s="20" t="s">
        <v>333</v>
      </c>
      <c r="E1172" s="22" t="s">
        <v>241</v>
      </c>
      <c r="F1172" s="20" t="s">
        <v>232</v>
      </c>
      <c r="G1172" s="20" t="s">
        <v>234</v>
      </c>
      <c r="H1172" s="23">
        <v>0</v>
      </c>
      <c r="I1172" s="23">
        <v>0</v>
      </c>
      <c r="J1172" s="23">
        <v>0</v>
      </c>
      <c r="K1172" s="23">
        <v>0</v>
      </c>
      <c r="L1172" s="23">
        <v>0</v>
      </c>
      <c r="M1172" s="23">
        <v>0</v>
      </c>
      <c r="N1172" s="23">
        <v>0</v>
      </c>
      <c r="O1172" s="24">
        <f t="shared" si="126"/>
        <v>0</v>
      </c>
      <c r="P1172" s="23">
        <v>0</v>
      </c>
      <c r="Q1172" s="23">
        <v>0</v>
      </c>
      <c r="R1172" s="23">
        <v>500</v>
      </c>
      <c r="S1172" s="23">
        <v>0</v>
      </c>
      <c r="T1172" s="23">
        <v>0</v>
      </c>
      <c r="U1172" s="23">
        <v>0</v>
      </c>
      <c r="V1172" s="23">
        <v>0</v>
      </c>
      <c r="W1172" s="23">
        <f t="shared" si="127"/>
        <v>500</v>
      </c>
      <c r="X1172" s="23">
        <f t="shared" si="128"/>
        <v>500</v>
      </c>
      <c r="Y1172" s="23">
        <f t="shared" si="129"/>
        <v>0</v>
      </c>
      <c r="Z1172" s="23">
        <v>0</v>
      </c>
      <c r="AA1172" s="23">
        <f t="shared" si="130"/>
        <v>0</v>
      </c>
      <c r="AB1172" s="23">
        <f t="shared" si="131"/>
        <v>-500</v>
      </c>
      <c r="AD1172" s="20" t="str">
        <f>VLOOKUP($C1172,'[1]CTRL AUTOS'!$E:$AH,2,0)</f>
        <v>NFN014B</v>
      </c>
      <c r="AE1172" s="11" t="str">
        <f t="shared" si="132"/>
        <v>NFN014B49</v>
      </c>
    </row>
    <row r="1173" spans="1:31" ht="12" hidden="1" customHeight="1" x14ac:dyDescent="0.3">
      <c r="A1173" s="8">
        <v>49</v>
      </c>
      <c r="B1173" s="20" t="s">
        <v>49</v>
      </c>
      <c r="C1173" s="20" t="s">
        <v>50</v>
      </c>
      <c r="D1173" s="39" t="s">
        <v>480</v>
      </c>
      <c r="E1173" s="20" t="s">
        <v>232</v>
      </c>
      <c r="F1173" s="20" t="s">
        <v>232</v>
      </c>
      <c r="G1173" s="20" t="s">
        <v>234</v>
      </c>
      <c r="H1173" s="23">
        <v>8547.1200000000008</v>
      </c>
      <c r="I1173" s="23">
        <v>-44.8</v>
      </c>
      <c r="J1173" s="23">
        <v>0</v>
      </c>
      <c r="K1173" s="23">
        <v>0</v>
      </c>
      <c r="L1173" s="23">
        <v>-492.84</v>
      </c>
      <c r="M1173" s="23">
        <v>-60</v>
      </c>
      <c r="N1173" s="23">
        <v>0</v>
      </c>
      <c r="O1173" s="24">
        <f t="shared" si="126"/>
        <v>7949.4800000000014</v>
      </c>
      <c r="P1173" s="23">
        <v>-2500</v>
      </c>
      <c r="Q1173" s="23">
        <v>0</v>
      </c>
      <c r="R1173" s="23">
        <v>-179</v>
      </c>
      <c r="S1173" s="23">
        <v>0</v>
      </c>
      <c r="T1173" s="23">
        <v>-700</v>
      </c>
      <c r="U1173" s="23">
        <v>0</v>
      </c>
      <c r="V1173" s="23">
        <v>0</v>
      </c>
      <c r="W1173" s="23">
        <f t="shared" si="127"/>
        <v>4570.4800000000014</v>
      </c>
      <c r="X1173" s="23">
        <f t="shared" si="128"/>
        <v>4570.4800000000014</v>
      </c>
      <c r="Y1173" s="23">
        <f t="shared" si="129"/>
        <v>0</v>
      </c>
      <c r="Z1173" s="23">
        <v>0</v>
      </c>
      <c r="AA1173" s="23">
        <f t="shared" si="130"/>
        <v>0</v>
      </c>
      <c r="AB1173" s="23">
        <f t="shared" si="131"/>
        <v>3379</v>
      </c>
      <c r="AD1173" s="20" t="str">
        <f>VLOOKUP($C1173,'[1]CTRL AUTOS'!$E:$AH,2,0)</f>
        <v>NBS225A</v>
      </c>
      <c r="AE1173" s="11" t="str">
        <f t="shared" si="132"/>
        <v>NBS225A49</v>
      </c>
    </row>
    <row r="1174" spans="1:31" ht="12" hidden="1" customHeight="1" x14ac:dyDescent="0.3">
      <c r="A1174" s="8">
        <v>49</v>
      </c>
      <c r="B1174" s="20" t="s">
        <v>47</v>
      </c>
      <c r="C1174" s="39" t="s">
        <v>106</v>
      </c>
      <c r="D1174" s="39" t="s">
        <v>322</v>
      </c>
      <c r="E1174" s="20" t="s">
        <v>232</v>
      </c>
      <c r="F1174" s="20" t="s">
        <v>232</v>
      </c>
      <c r="G1174" s="20" t="s">
        <v>234</v>
      </c>
      <c r="H1174" s="23">
        <v>7183.34</v>
      </c>
      <c r="I1174" s="23">
        <v>-21.12</v>
      </c>
      <c r="J1174" s="23">
        <v>0</v>
      </c>
      <c r="K1174" s="23">
        <v>-79.81</v>
      </c>
      <c r="L1174" s="23">
        <v>-2097.41</v>
      </c>
      <c r="M1174" s="23">
        <v>-60</v>
      </c>
      <c r="N1174" s="23">
        <v>0</v>
      </c>
      <c r="O1174" s="24">
        <f t="shared" si="126"/>
        <v>4925</v>
      </c>
      <c r="P1174" s="23">
        <v>-2500</v>
      </c>
      <c r="Q1174" s="23">
        <v>0</v>
      </c>
      <c r="R1174" s="23">
        <v>-500</v>
      </c>
      <c r="S1174" s="23">
        <v>0</v>
      </c>
      <c r="T1174" s="23">
        <v>0</v>
      </c>
      <c r="U1174" s="23">
        <v>0</v>
      </c>
      <c r="V1174" s="23">
        <v>0</v>
      </c>
      <c r="W1174" s="23">
        <f t="shared" si="127"/>
        <v>1925</v>
      </c>
      <c r="X1174" s="23">
        <f t="shared" si="128"/>
        <v>1925</v>
      </c>
      <c r="Y1174" s="23">
        <f t="shared" si="129"/>
        <v>0</v>
      </c>
      <c r="Z1174" s="23">
        <v>0</v>
      </c>
      <c r="AA1174" s="23">
        <f t="shared" si="130"/>
        <v>0</v>
      </c>
      <c r="AB1174" s="23">
        <f t="shared" si="131"/>
        <v>3000</v>
      </c>
      <c r="AD1174" s="20" t="str">
        <f>VLOOKUP($C1174,'[1]CTRL AUTOS'!$E:$AH,2,0)</f>
        <v>NZU5163</v>
      </c>
      <c r="AE1174" s="11" t="str">
        <f t="shared" si="132"/>
        <v>NZU516349</v>
      </c>
    </row>
    <row r="1175" spans="1:31" ht="12" hidden="1" customHeight="1" x14ac:dyDescent="0.3">
      <c r="A1175" s="8">
        <v>49</v>
      </c>
      <c r="B1175" s="20" t="s">
        <v>19</v>
      </c>
      <c r="C1175" s="39" t="s">
        <v>54</v>
      </c>
      <c r="D1175" s="39" t="s">
        <v>318</v>
      </c>
      <c r="E1175" s="20" t="s">
        <v>232</v>
      </c>
      <c r="F1175" s="20" t="s">
        <v>232</v>
      </c>
      <c r="G1175" s="20" t="s">
        <v>234</v>
      </c>
      <c r="H1175" s="23">
        <v>8634.34</v>
      </c>
      <c r="I1175" s="23">
        <v>-82.4</v>
      </c>
      <c r="J1175" s="23">
        <v>403.48</v>
      </c>
      <c r="K1175" s="23">
        <v>-66.83</v>
      </c>
      <c r="L1175" s="23">
        <v>0</v>
      </c>
      <c r="M1175" s="23">
        <v>-60</v>
      </c>
      <c r="N1175" s="23">
        <v>0</v>
      </c>
      <c r="O1175" s="24">
        <f t="shared" ref="O1175:O1238" si="133">SUM(H1175:N1175)</f>
        <v>8828.59</v>
      </c>
      <c r="P1175" s="23">
        <v>-2500</v>
      </c>
      <c r="Q1175" s="23">
        <v>0</v>
      </c>
      <c r="R1175" s="23">
        <v>0</v>
      </c>
      <c r="S1175" s="23">
        <v>0</v>
      </c>
      <c r="T1175" s="23">
        <v>0</v>
      </c>
      <c r="U1175" s="23">
        <v>-1000</v>
      </c>
      <c r="V1175" s="23">
        <v>0</v>
      </c>
      <c r="W1175" s="23">
        <f t="shared" ref="W1175:W1238" si="134">+O1175+SUM(P1175:V1175)</f>
        <v>5328.59</v>
      </c>
      <c r="X1175" s="23">
        <f t="shared" ref="X1175:X1238" si="135">IF(W1175&gt;=0,W1175,0)</f>
        <v>5328.59</v>
      </c>
      <c r="Y1175" s="23">
        <f t="shared" ref="Y1175:Y1238" si="136">IF(W1175&lt;=0,W1175,0)</f>
        <v>0</v>
      </c>
      <c r="Z1175" s="23">
        <v>0</v>
      </c>
      <c r="AA1175" s="23">
        <f t="shared" si="130"/>
        <v>0</v>
      </c>
      <c r="AB1175" s="23">
        <f t="shared" si="131"/>
        <v>3500</v>
      </c>
      <c r="AD1175" s="20" t="str">
        <f>VLOOKUP($C1175,'[1]CTRL AUTOS'!$E:$AH,2,0)</f>
        <v>NZY685B</v>
      </c>
      <c r="AE1175" s="11" t="str">
        <f t="shared" si="132"/>
        <v>NZY685B49</v>
      </c>
    </row>
    <row r="1176" spans="1:31" ht="12" hidden="1" customHeight="1" x14ac:dyDescent="0.3">
      <c r="A1176" s="8">
        <v>49</v>
      </c>
      <c r="B1176" s="20" t="s">
        <v>51</v>
      </c>
      <c r="C1176" s="39" t="s">
        <v>52</v>
      </c>
      <c r="D1176" s="39" t="s">
        <v>313</v>
      </c>
      <c r="E1176" s="20" t="s">
        <v>232</v>
      </c>
      <c r="F1176" s="20" t="s">
        <v>232</v>
      </c>
      <c r="G1176" s="20" t="s">
        <v>234</v>
      </c>
      <c r="H1176" s="23">
        <v>3189.36</v>
      </c>
      <c r="I1176" s="23">
        <v>-97.48</v>
      </c>
      <c r="J1176" s="23">
        <v>0</v>
      </c>
      <c r="K1176" s="23">
        <v>-20.58</v>
      </c>
      <c r="L1176" s="23">
        <v>0</v>
      </c>
      <c r="M1176" s="23">
        <v>-60</v>
      </c>
      <c r="N1176" s="23">
        <v>0</v>
      </c>
      <c r="O1176" s="24">
        <f t="shared" si="133"/>
        <v>3011.3</v>
      </c>
      <c r="P1176" s="23">
        <v>-2500</v>
      </c>
      <c r="Q1176" s="23">
        <v>0</v>
      </c>
      <c r="R1176" s="23">
        <v>0</v>
      </c>
      <c r="S1176" s="23">
        <v>0</v>
      </c>
      <c r="T1176" s="23">
        <v>0</v>
      </c>
      <c r="U1176" s="23">
        <v>0</v>
      </c>
      <c r="V1176" s="23">
        <v>0</v>
      </c>
      <c r="W1176" s="23">
        <f t="shared" si="134"/>
        <v>511.30000000000018</v>
      </c>
      <c r="X1176" s="23">
        <f t="shared" si="135"/>
        <v>511.30000000000018</v>
      </c>
      <c r="Y1176" s="23">
        <f t="shared" si="136"/>
        <v>0</v>
      </c>
      <c r="Z1176" s="23">
        <v>0</v>
      </c>
      <c r="AA1176" s="23">
        <f t="shared" si="130"/>
        <v>0</v>
      </c>
      <c r="AB1176" s="23">
        <f t="shared" si="131"/>
        <v>2500</v>
      </c>
      <c r="AD1176" s="20" t="str">
        <f>VLOOKUP($C1176,'[1]CTRL AUTOS'!$E:$AH,2,0)</f>
        <v>A35BHD</v>
      </c>
      <c r="AE1176" s="11" t="str">
        <f t="shared" si="132"/>
        <v>A35BHD49</v>
      </c>
    </row>
    <row r="1177" spans="1:31" ht="12" hidden="1" customHeight="1" x14ac:dyDescent="0.3">
      <c r="A1177" s="8">
        <v>49</v>
      </c>
      <c r="B1177" s="20" t="s">
        <v>45</v>
      </c>
      <c r="C1177" s="39" t="s">
        <v>46</v>
      </c>
      <c r="D1177" s="39" t="s">
        <v>257</v>
      </c>
      <c r="E1177" s="20" t="s">
        <v>232</v>
      </c>
      <c r="F1177" s="20" t="s">
        <v>232</v>
      </c>
      <c r="G1177" s="20" t="s">
        <v>234</v>
      </c>
      <c r="H1177" s="23">
        <v>5581.99</v>
      </c>
      <c r="I1177" s="23">
        <v>0</v>
      </c>
      <c r="J1177" s="23">
        <v>0</v>
      </c>
      <c r="K1177" s="23">
        <v>0</v>
      </c>
      <c r="L1177" s="23">
        <v>-1798.85</v>
      </c>
      <c r="M1177" s="23">
        <v>-60</v>
      </c>
      <c r="N1177" s="23">
        <v>0</v>
      </c>
      <c r="O1177" s="24">
        <f t="shared" si="133"/>
        <v>3723.14</v>
      </c>
      <c r="P1177" s="23">
        <v>-2500</v>
      </c>
      <c r="Q1177" s="23">
        <v>-742.56</v>
      </c>
      <c r="R1177" s="23">
        <v>0</v>
      </c>
      <c r="S1177" s="23">
        <v>0</v>
      </c>
      <c r="T1177" s="23">
        <v>0</v>
      </c>
      <c r="U1177" s="23">
        <v>0</v>
      </c>
      <c r="V1177" s="23">
        <v>0</v>
      </c>
      <c r="W1177" s="23">
        <f t="shared" si="134"/>
        <v>480.57999999999993</v>
      </c>
      <c r="X1177" s="23">
        <f t="shared" si="135"/>
        <v>480.57999999999993</v>
      </c>
      <c r="Y1177" s="23">
        <f t="shared" si="136"/>
        <v>0</v>
      </c>
      <c r="Z1177" s="23">
        <v>0</v>
      </c>
      <c r="AA1177" s="23">
        <f t="shared" si="130"/>
        <v>0</v>
      </c>
      <c r="AB1177" s="23">
        <f t="shared" si="131"/>
        <v>3242.56</v>
      </c>
      <c r="AD1177" s="20" t="str">
        <f>VLOOKUP($C1177,'[1]CTRL AUTOS'!$E:$AH,2,0)</f>
        <v>R66BER</v>
      </c>
      <c r="AE1177" s="11" t="str">
        <f t="shared" si="132"/>
        <v>R66BER49</v>
      </c>
    </row>
    <row r="1178" spans="1:31" ht="12" hidden="1" customHeight="1" x14ac:dyDescent="0.3">
      <c r="A1178" s="8">
        <v>49</v>
      </c>
      <c r="B1178" s="20" t="s">
        <v>37</v>
      </c>
      <c r="C1178" s="39" t="s">
        <v>40</v>
      </c>
      <c r="D1178" s="39" t="s">
        <v>315</v>
      </c>
      <c r="E1178" s="20" t="s">
        <v>232</v>
      </c>
      <c r="F1178" s="20" t="s">
        <v>232</v>
      </c>
      <c r="G1178" s="20" t="s">
        <v>234</v>
      </c>
      <c r="H1178" s="23">
        <v>4372.2700000000004</v>
      </c>
      <c r="I1178" s="23">
        <v>-18.53</v>
      </c>
      <c r="J1178" s="23">
        <v>0</v>
      </c>
      <c r="K1178" s="23">
        <v>0</v>
      </c>
      <c r="L1178" s="23">
        <v>-2861.51</v>
      </c>
      <c r="M1178" s="23">
        <v>-60</v>
      </c>
      <c r="N1178" s="23">
        <v>0</v>
      </c>
      <c r="O1178" s="24">
        <f t="shared" si="133"/>
        <v>1432.2300000000005</v>
      </c>
      <c r="P1178" s="23">
        <v>-2500</v>
      </c>
      <c r="Q1178" s="23">
        <v>-70.56</v>
      </c>
      <c r="R1178" s="23">
        <v>0</v>
      </c>
      <c r="S1178" s="23">
        <v>0</v>
      </c>
      <c r="T1178" s="23">
        <v>0</v>
      </c>
      <c r="U1178" s="23">
        <v>0</v>
      </c>
      <c r="V1178" s="23">
        <v>0</v>
      </c>
      <c r="W1178" s="23">
        <f t="shared" si="134"/>
        <v>-1138.3299999999995</v>
      </c>
      <c r="X1178" s="23">
        <f t="shared" si="135"/>
        <v>0</v>
      </c>
      <c r="Y1178" s="23">
        <f t="shared" si="136"/>
        <v>-1138.3299999999995</v>
      </c>
      <c r="Z1178" s="23">
        <v>1100</v>
      </c>
      <c r="AA1178" s="23">
        <f t="shared" si="130"/>
        <v>-38.329999999999472</v>
      </c>
      <c r="AB1178" s="23">
        <f t="shared" si="131"/>
        <v>2493.900000000001</v>
      </c>
      <c r="AC1178" s="11" t="s">
        <v>512</v>
      </c>
      <c r="AD1178" s="20" t="str">
        <f>VLOOKUP($C1178,'[1]CTRL AUTOS'!$E:$AH,2,0)</f>
        <v>NEL860A</v>
      </c>
      <c r="AE1178" s="11" t="str">
        <f t="shared" si="132"/>
        <v>NEL860A49</v>
      </c>
    </row>
    <row r="1179" spans="1:31" ht="12" hidden="1" customHeight="1" x14ac:dyDescent="0.3">
      <c r="A1179" s="8">
        <v>49</v>
      </c>
      <c r="B1179" s="20" t="s">
        <v>61</v>
      </c>
      <c r="C1179" s="39" t="s">
        <v>34</v>
      </c>
      <c r="D1179" s="39" t="s">
        <v>285</v>
      </c>
      <c r="E1179" s="20" t="s">
        <v>232</v>
      </c>
      <c r="F1179" s="20" t="s">
        <v>232</v>
      </c>
      <c r="G1179" s="20" t="s">
        <v>234</v>
      </c>
      <c r="H1179" s="23">
        <v>3684.26</v>
      </c>
      <c r="I1179" s="23">
        <v>0</v>
      </c>
      <c r="J1179" s="23">
        <v>0</v>
      </c>
      <c r="K1179" s="23">
        <v>0</v>
      </c>
      <c r="L1179" s="23">
        <v>-57.28</v>
      </c>
      <c r="M1179" s="23">
        <v>-60</v>
      </c>
      <c r="N1179" s="23">
        <v>0</v>
      </c>
      <c r="O1179" s="24">
        <f t="shared" si="133"/>
        <v>3566.98</v>
      </c>
      <c r="P1179" s="23">
        <v>-2500</v>
      </c>
      <c r="Q1179" s="23">
        <v>0</v>
      </c>
      <c r="R1179" s="23">
        <v>0</v>
      </c>
      <c r="S1179" s="23">
        <v>0</v>
      </c>
      <c r="T1179" s="23">
        <v>-700</v>
      </c>
      <c r="U1179" s="23">
        <v>0</v>
      </c>
      <c r="V1179" s="23">
        <v>0</v>
      </c>
      <c r="W1179" s="23">
        <f t="shared" si="134"/>
        <v>366.98</v>
      </c>
      <c r="X1179" s="23">
        <f t="shared" si="135"/>
        <v>366.98</v>
      </c>
      <c r="Y1179" s="23">
        <f t="shared" si="136"/>
        <v>0</v>
      </c>
      <c r="Z1179" s="23">
        <v>0</v>
      </c>
      <c r="AA1179" s="23">
        <f t="shared" si="130"/>
        <v>0</v>
      </c>
      <c r="AB1179" s="23">
        <f t="shared" si="131"/>
        <v>3200</v>
      </c>
      <c r="AD1179" s="20" t="str">
        <f>VLOOKUP($C1179,'[1]CTRL AUTOS'!$E:$AH,2,0)</f>
        <v>X59AWG</v>
      </c>
      <c r="AE1179" s="11" t="str">
        <f t="shared" si="132"/>
        <v>X59AWG49</v>
      </c>
    </row>
    <row r="1180" spans="1:31" ht="12" hidden="1" customHeight="1" x14ac:dyDescent="0.3">
      <c r="A1180" s="8">
        <v>49</v>
      </c>
      <c r="B1180" s="20" t="s">
        <v>9</v>
      </c>
      <c r="C1180" s="39" t="s">
        <v>10</v>
      </c>
      <c r="D1180" s="39" t="s">
        <v>343</v>
      </c>
      <c r="E1180" s="20" t="s">
        <v>232</v>
      </c>
      <c r="F1180" s="20" t="s">
        <v>232</v>
      </c>
      <c r="G1180" s="20" t="s">
        <v>234</v>
      </c>
      <c r="H1180" s="23">
        <v>814.14</v>
      </c>
      <c r="I1180" s="23">
        <v>0</v>
      </c>
      <c r="J1180" s="23">
        <v>0</v>
      </c>
      <c r="K1180" s="23">
        <v>0</v>
      </c>
      <c r="L1180" s="23">
        <v>-500.36</v>
      </c>
      <c r="M1180" s="23">
        <v>-60</v>
      </c>
      <c r="N1180" s="23">
        <v>0</v>
      </c>
      <c r="O1180" s="24">
        <f t="shared" si="133"/>
        <v>253.77999999999997</v>
      </c>
      <c r="P1180" s="23">
        <v>-1250</v>
      </c>
      <c r="Q1180" s="23">
        <v>-226.24</v>
      </c>
      <c r="R1180" s="23">
        <v>0</v>
      </c>
      <c r="S1180" s="23">
        <v>0</v>
      </c>
      <c r="T1180" s="23">
        <v>0</v>
      </c>
      <c r="U1180" s="23">
        <v>202</v>
      </c>
      <c r="V1180" s="23">
        <v>0</v>
      </c>
      <c r="W1180" s="23">
        <f t="shared" si="134"/>
        <v>-1020.46</v>
      </c>
      <c r="X1180" s="23">
        <f t="shared" si="135"/>
        <v>0</v>
      </c>
      <c r="Y1180" s="23">
        <f t="shared" si="136"/>
        <v>-1020.46</v>
      </c>
      <c r="Z1180" s="23">
        <f>535-304+740</f>
        <v>971</v>
      </c>
      <c r="AA1180" s="23">
        <f t="shared" si="130"/>
        <v>-49.460000000000036</v>
      </c>
      <c r="AB1180" s="23">
        <f t="shared" si="131"/>
        <v>1175.32</v>
      </c>
      <c r="AC1180" s="11" t="s">
        <v>513</v>
      </c>
      <c r="AD1180" s="20" t="str">
        <f>VLOOKUP($C1180,'[1]CTRL AUTOS'!$E:$AH,2,0)</f>
        <v>LRL009C</v>
      </c>
      <c r="AE1180" s="11" t="str">
        <f t="shared" si="132"/>
        <v>LRL009C49</v>
      </c>
    </row>
    <row r="1181" spans="1:31" ht="12" hidden="1" customHeight="1" x14ac:dyDescent="0.3">
      <c r="A1181" s="8">
        <v>49</v>
      </c>
      <c r="B1181" s="20" t="s">
        <v>9</v>
      </c>
      <c r="C1181" s="39" t="s">
        <v>10</v>
      </c>
      <c r="D1181" s="39" t="s">
        <v>343</v>
      </c>
      <c r="E1181" s="20" t="s">
        <v>232</v>
      </c>
      <c r="F1181" s="20" t="s">
        <v>232</v>
      </c>
      <c r="G1181" s="20" t="s">
        <v>425</v>
      </c>
      <c r="H1181" s="23">
        <v>6151.72</v>
      </c>
      <c r="I1181" s="23">
        <v>0</v>
      </c>
      <c r="J1181" s="23">
        <v>0</v>
      </c>
      <c r="K1181" s="23">
        <v>0</v>
      </c>
      <c r="L1181" s="23">
        <v>-6556.19</v>
      </c>
      <c r="M1181" s="23">
        <v>-200</v>
      </c>
      <c r="N1181" s="23">
        <v>0</v>
      </c>
      <c r="O1181" s="24">
        <f t="shared" si="133"/>
        <v>-604.46999999999935</v>
      </c>
      <c r="P1181" s="23">
        <v>-1250</v>
      </c>
      <c r="Q1181" s="23">
        <v>0</v>
      </c>
      <c r="R1181" s="23">
        <v>0</v>
      </c>
      <c r="S1181" s="23">
        <v>0</v>
      </c>
      <c r="T1181" s="23">
        <v>0</v>
      </c>
      <c r="U1181" s="23">
        <v>0</v>
      </c>
      <c r="V1181" s="23">
        <v>0</v>
      </c>
      <c r="W1181" s="23">
        <f t="shared" si="134"/>
        <v>-1854.4699999999993</v>
      </c>
      <c r="X1181" s="23">
        <f t="shared" si="135"/>
        <v>0</v>
      </c>
      <c r="Y1181" s="23">
        <f t="shared" si="136"/>
        <v>-1854.4699999999993</v>
      </c>
      <c r="Z1181" s="23">
        <f>1550+304</f>
        <v>1854</v>
      </c>
      <c r="AA1181" s="23">
        <f t="shared" si="130"/>
        <v>-0.46999999999934516</v>
      </c>
      <c r="AB1181" s="23">
        <f t="shared" si="131"/>
        <v>1249.0600000000013</v>
      </c>
      <c r="AC1181" s="11" t="s">
        <v>397</v>
      </c>
      <c r="AD1181" s="20" t="str">
        <f>VLOOKUP($C1181,'[1]CTRL AUTOS'!$E:$AH,2,0)</f>
        <v>LRL009C</v>
      </c>
      <c r="AE1181" s="11" t="str">
        <f t="shared" si="132"/>
        <v>LRL009C49</v>
      </c>
    </row>
    <row r="1182" spans="1:31" ht="12" hidden="1" customHeight="1" x14ac:dyDescent="0.3">
      <c r="A1182" s="8">
        <v>49</v>
      </c>
      <c r="B1182" s="20" t="s">
        <v>3</v>
      </c>
      <c r="C1182" s="20" t="s">
        <v>4</v>
      </c>
      <c r="D1182" s="39" t="s">
        <v>245</v>
      </c>
      <c r="E1182" s="20" t="s">
        <v>232</v>
      </c>
      <c r="F1182" s="20" t="s">
        <v>232</v>
      </c>
      <c r="G1182" s="20" t="s">
        <v>425</v>
      </c>
      <c r="H1182" s="23">
        <v>2289.86</v>
      </c>
      <c r="I1182" s="23">
        <v>0</v>
      </c>
      <c r="J1182" s="23">
        <v>0</v>
      </c>
      <c r="K1182" s="23">
        <v>0</v>
      </c>
      <c r="L1182" s="23">
        <v>-2234.12</v>
      </c>
      <c r="M1182" s="23">
        <v>-75</v>
      </c>
      <c r="N1182" s="23">
        <v>0</v>
      </c>
      <c r="O1182" s="24">
        <f t="shared" si="133"/>
        <v>-19.259999999999764</v>
      </c>
      <c r="P1182" s="23">
        <v>-771.42</v>
      </c>
      <c r="Q1182" s="23">
        <v>-977.90000000000009</v>
      </c>
      <c r="R1182" s="23">
        <v>0</v>
      </c>
      <c r="S1182" s="23">
        <v>0</v>
      </c>
      <c r="T1182" s="23">
        <v>0</v>
      </c>
      <c r="U1182" s="23">
        <v>0</v>
      </c>
      <c r="V1182" s="23">
        <v>0</v>
      </c>
      <c r="W1182" s="23">
        <f t="shared" si="134"/>
        <v>-1768.58</v>
      </c>
      <c r="X1182" s="23">
        <f t="shared" si="135"/>
        <v>0</v>
      </c>
      <c r="Y1182" s="23">
        <f t="shared" si="136"/>
        <v>-1768.58</v>
      </c>
      <c r="Z1182" s="23">
        <f>700+700</f>
        <v>1400</v>
      </c>
      <c r="AA1182" s="23">
        <f t="shared" si="130"/>
        <v>-368.57999999999993</v>
      </c>
      <c r="AB1182" s="23">
        <f t="shared" si="131"/>
        <v>1012.1600000000003</v>
      </c>
      <c r="AC1182" s="11" t="s">
        <v>397</v>
      </c>
      <c r="AD1182" s="20" t="str">
        <f>VLOOKUP($C1182,'[1]CTRL AUTOS'!$E:$AH,2,0)</f>
        <v>N15BKD</v>
      </c>
      <c r="AE1182" s="11" t="str">
        <f t="shared" si="132"/>
        <v>N15BKD49</v>
      </c>
    </row>
    <row r="1183" spans="1:31" ht="12" hidden="1" customHeight="1" x14ac:dyDescent="0.3">
      <c r="A1183" s="8">
        <v>49</v>
      </c>
      <c r="B1183" s="20" t="s">
        <v>5</v>
      </c>
      <c r="C1183" s="41" t="s">
        <v>42</v>
      </c>
      <c r="D1183" s="39" t="s">
        <v>250</v>
      </c>
      <c r="E1183" s="20" t="s">
        <v>232</v>
      </c>
      <c r="F1183" s="20" t="s">
        <v>232</v>
      </c>
      <c r="G1183" s="20" t="s">
        <v>234</v>
      </c>
      <c r="H1183" s="23">
        <v>0</v>
      </c>
      <c r="I1183" s="23">
        <v>0</v>
      </c>
      <c r="J1183" s="23">
        <v>0</v>
      </c>
      <c r="K1183" s="23">
        <v>0</v>
      </c>
      <c r="L1183" s="23">
        <v>0</v>
      </c>
      <c r="M1183" s="23">
        <v>0</v>
      </c>
      <c r="N1183" s="23">
        <v>0</v>
      </c>
      <c r="O1183" s="24">
        <f t="shared" si="133"/>
        <v>0</v>
      </c>
      <c r="P1183" s="23">
        <v>-2320</v>
      </c>
      <c r="Q1183" s="23">
        <v>204</v>
      </c>
      <c r="R1183" s="23">
        <v>0</v>
      </c>
      <c r="S1183" s="23">
        <v>0</v>
      </c>
      <c r="T1183" s="23">
        <v>-500</v>
      </c>
      <c r="U1183" s="23">
        <v>0</v>
      </c>
      <c r="V1183" s="23">
        <v>0</v>
      </c>
      <c r="W1183" s="23">
        <f t="shared" si="134"/>
        <v>-2616</v>
      </c>
      <c r="X1183" s="23">
        <f t="shared" si="135"/>
        <v>0</v>
      </c>
      <c r="Y1183" s="23">
        <f t="shared" si="136"/>
        <v>-2616</v>
      </c>
      <c r="Z1183" s="23">
        <f>2000+450</f>
        <v>2450</v>
      </c>
      <c r="AA1183" s="23">
        <f t="shared" si="130"/>
        <v>-166</v>
      </c>
      <c r="AB1183" s="23">
        <f t="shared" si="131"/>
        <v>2284</v>
      </c>
      <c r="AC1183" s="11" t="s">
        <v>514</v>
      </c>
      <c r="AD1183" s="20" t="str">
        <f>VLOOKUP($C1183,'[1]CTRL AUTOS'!$E:$AH,2,0)</f>
        <v>MMA672C</v>
      </c>
      <c r="AE1183" s="11" t="str">
        <f t="shared" si="132"/>
        <v>MMA672C49</v>
      </c>
    </row>
    <row r="1184" spans="1:31" ht="12" hidden="1" customHeight="1" x14ac:dyDescent="0.3">
      <c r="A1184" s="8">
        <v>49</v>
      </c>
      <c r="B1184" s="20" t="s">
        <v>98</v>
      </c>
      <c r="C1184" s="39" t="s">
        <v>168</v>
      </c>
      <c r="D1184" s="39" t="s">
        <v>265</v>
      </c>
      <c r="E1184" s="20" t="s">
        <v>232</v>
      </c>
      <c r="F1184" s="20" t="s">
        <v>232</v>
      </c>
      <c r="G1184" s="20" t="s">
        <v>234</v>
      </c>
      <c r="H1184" s="23">
        <v>1228.6199999999999</v>
      </c>
      <c r="I1184" s="23">
        <v>-17.329999999999998</v>
      </c>
      <c r="J1184" s="23">
        <v>0</v>
      </c>
      <c r="K1184" s="23">
        <v>0</v>
      </c>
      <c r="L1184" s="23">
        <v>0</v>
      </c>
      <c r="M1184" s="23">
        <v>-40</v>
      </c>
      <c r="N1184" s="23">
        <v>-14.31</v>
      </c>
      <c r="O1184" s="24">
        <f t="shared" si="133"/>
        <v>1156.98</v>
      </c>
      <c r="P1184" s="23">
        <v>-2500</v>
      </c>
      <c r="Q1184" s="23">
        <v>0</v>
      </c>
      <c r="R1184" s="23">
        <v>0</v>
      </c>
      <c r="S1184" s="23">
        <v>0</v>
      </c>
      <c r="T1184" s="23">
        <v>0</v>
      </c>
      <c r="U1184" s="23">
        <v>0</v>
      </c>
      <c r="V1184" s="23">
        <v>0</v>
      </c>
      <c r="W1184" s="23">
        <f t="shared" si="134"/>
        <v>-1343.02</v>
      </c>
      <c r="X1184" s="23">
        <f t="shared" si="135"/>
        <v>0</v>
      </c>
      <c r="Y1184" s="23">
        <f t="shared" si="136"/>
        <v>-1343.02</v>
      </c>
      <c r="Z1184" s="23">
        <v>1220</v>
      </c>
      <c r="AA1184" s="23">
        <f t="shared" si="130"/>
        <v>-123.01999999999998</v>
      </c>
      <c r="AB1184" s="23">
        <f t="shared" si="131"/>
        <v>2253.96</v>
      </c>
      <c r="AC1184" s="11" t="s">
        <v>397</v>
      </c>
      <c r="AD1184" s="20" t="e">
        <f>VLOOKUP($C1184,'[1]CTRL AUTOS'!$E:$AH,2,0)</f>
        <v>#N/A</v>
      </c>
      <c r="AE1184" s="11" t="e">
        <f t="shared" si="132"/>
        <v>#N/A</v>
      </c>
    </row>
    <row r="1185" spans="1:31" ht="12" hidden="1" customHeight="1" x14ac:dyDescent="0.3">
      <c r="A1185" s="8">
        <v>49</v>
      </c>
      <c r="B1185" s="20" t="s">
        <v>80</v>
      </c>
      <c r="C1185" s="39" t="s">
        <v>81</v>
      </c>
      <c r="D1185" s="39" t="s">
        <v>317</v>
      </c>
      <c r="E1185" s="20" t="s">
        <v>232</v>
      </c>
      <c r="F1185" s="20" t="s">
        <v>232</v>
      </c>
      <c r="G1185" s="20" t="s">
        <v>234</v>
      </c>
      <c r="H1185" s="23">
        <v>0</v>
      </c>
      <c r="I1185" s="23">
        <v>0</v>
      </c>
      <c r="J1185" s="23">
        <v>0</v>
      </c>
      <c r="K1185" s="23">
        <v>0</v>
      </c>
      <c r="L1185" s="23">
        <v>0</v>
      </c>
      <c r="M1185" s="23">
        <v>0</v>
      </c>
      <c r="N1185" s="23">
        <v>0</v>
      </c>
      <c r="O1185" s="24">
        <f t="shared" si="133"/>
        <v>0</v>
      </c>
      <c r="P1185" s="23">
        <v>-2500</v>
      </c>
      <c r="Q1185" s="23">
        <v>0</v>
      </c>
      <c r="R1185" s="23">
        <v>0</v>
      </c>
      <c r="S1185" s="23">
        <v>0</v>
      </c>
      <c r="T1185" s="23">
        <v>0</v>
      </c>
      <c r="U1185" s="23">
        <v>0</v>
      </c>
      <c r="V1185" s="23">
        <v>0</v>
      </c>
      <c r="W1185" s="23">
        <f t="shared" si="134"/>
        <v>-2500</v>
      </c>
      <c r="X1185" s="23">
        <f t="shared" si="135"/>
        <v>0</v>
      </c>
      <c r="Y1185" s="23">
        <f t="shared" si="136"/>
        <v>-2500</v>
      </c>
      <c r="Z1185" s="23">
        <v>2500</v>
      </c>
      <c r="AA1185" s="23">
        <f t="shared" si="130"/>
        <v>0</v>
      </c>
      <c r="AB1185" s="23">
        <f t="shared" si="131"/>
        <v>2500</v>
      </c>
      <c r="AC1185" s="11" t="s">
        <v>397</v>
      </c>
      <c r="AD1185" s="20" t="str">
        <f>VLOOKUP($C1185,'[1]CTRL AUTOS'!$E:$AH,2,0)</f>
        <v>NLP172B</v>
      </c>
      <c r="AE1185" s="11" t="str">
        <f t="shared" si="132"/>
        <v>NLP172B49</v>
      </c>
    </row>
    <row r="1186" spans="1:31" ht="12" hidden="1" customHeight="1" x14ac:dyDescent="0.3">
      <c r="A1186" s="8">
        <v>49</v>
      </c>
      <c r="B1186" s="20" t="s">
        <v>23</v>
      </c>
      <c r="C1186" s="39" t="s">
        <v>24</v>
      </c>
      <c r="D1186" s="39" t="s">
        <v>515</v>
      </c>
      <c r="E1186" s="20" t="s">
        <v>232</v>
      </c>
      <c r="F1186" s="20" t="s">
        <v>232</v>
      </c>
      <c r="G1186" s="20" t="s">
        <v>234</v>
      </c>
      <c r="H1186" s="23">
        <v>7010.1</v>
      </c>
      <c r="I1186" s="23">
        <v>0</v>
      </c>
      <c r="J1186" s="23">
        <v>0</v>
      </c>
      <c r="K1186" s="23">
        <v>0</v>
      </c>
      <c r="L1186" s="23">
        <v>-6494.03</v>
      </c>
      <c r="M1186" s="23">
        <v>-60</v>
      </c>
      <c r="N1186" s="23">
        <f>-454.4</f>
        <v>-454.4</v>
      </c>
      <c r="O1186" s="24">
        <f t="shared" si="133"/>
        <v>1.6700000000006412</v>
      </c>
      <c r="P1186" s="23">
        <v>-2700</v>
      </c>
      <c r="Q1186" s="23">
        <v>0</v>
      </c>
      <c r="R1186" s="23">
        <v>0</v>
      </c>
      <c r="S1186" s="23">
        <v>0</v>
      </c>
      <c r="T1186" s="23">
        <v>-700</v>
      </c>
      <c r="U1186" s="23">
        <v>0</v>
      </c>
      <c r="V1186" s="23">
        <v>0</v>
      </c>
      <c r="W1186" s="23">
        <f t="shared" si="134"/>
        <v>-3398.3299999999995</v>
      </c>
      <c r="X1186" s="23">
        <f t="shared" si="135"/>
        <v>0</v>
      </c>
      <c r="Y1186" s="23">
        <f t="shared" si="136"/>
        <v>-3398.3299999999995</v>
      </c>
      <c r="Z1186" s="23">
        <f>2700+500</f>
        <v>3200</v>
      </c>
      <c r="AA1186" s="23">
        <f t="shared" si="130"/>
        <v>-198.32999999999947</v>
      </c>
      <c r="AB1186" s="23">
        <f t="shared" si="131"/>
        <v>3003.3400000000011</v>
      </c>
      <c r="AC1186" s="11" t="s">
        <v>397</v>
      </c>
      <c r="AD1186" s="20" t="str">
        <f>VLOOKUP($C1186,'[1]CTRL AUTOS'!$E:$AH,2,0)</f>
        <v>MXM502C</v>
      </c>
      <c r="AE1186" s="11" t="str">
        <f t="shared" si="132"/>
        <v>MXM502C49</v>
      </c>
    </row>
    <row r="1187" spans="1:31" ht="12" hidden="1" customHeight="1" x14ac:dyDescent="0.3">
      <c r="A1187" s="8">
        <v>49</v>
      </c>
      <c r="B1187" s="20" t="s">
        <v>292</v>
      </c>
      <c r="C1187" s="39" t="s">
        <v>28</v>
      </c>
      <c r="D1187" s="39" t="s">
        <v>274</v>
      </c>
      <c r="E1187" s="20" t="s">
        <v>232</v>
      </c>
      <c r="F1187" s="20" t="s">
        <v>232</v>
      </c>
      <c r="G1187" s="20" t="s">
        <v>234</v>
      </c>
      <c r="H1187" s="23">
        <v>0</v>
      </c>
      <c r="I1187" s="23">
        <v>0</v>
      </c>
      <c r="J1187" s="23">
        <v>0</v>
      </c>
      <c r="K1187" s="23">
        <v>0</v>
      </c>
      <c r="L1187" s="23">
        <v>0</v>
      </c>
      <c r="M1187" s="23">
        <v>0</v>
      </c>
      <c r="N1187" s="23">
        <v>0</v>
      </c>
      <c r="O1187" s="24">
        <f t="shared" si="133"/>
        <v>0</v>
      </c>
      <c r="P1187" s="23">
        <v>0</v>
      </c>
      <c r="Q1187" s="23">
        <v>0</v>
      </c>
      <c r="R1187" s="23">
        <v>500</v>
      </c>
      <c r="S1187" s="23">
        <v>0</v>
      </c>
      <c r="T1187" s="23">
        <v>0</v>
      </c>
      <c r="U1187" s="23">
        <v>0</v>
      </c>
      <c r="V1187" s="23">
        <v>0</v>
      </c>
      <c r="W1187" s="23">
        <f t="shared" si="134"/>
        <v>500</v>
      </c>
      <c r="X1187" s="23">
        <f t="shared" si="135"/>
        <v>500</v>
      </c>
      <c r="Y1187" s="23">
        <f t="shared" si="136"/>
        <v>0</v>
      </c>
      <c r="Z1187" s="23">
        <v>0</v>
      </c>
      <c r="AA1187" s="23">
        <f t="shared" si="130"/>
        <v>0</v>
      </c>
      <c r="AB1187" s="23">
        <f t="shared" si="131"/>
        <v>-500</v>
      </c>
      <c r="AD1187" s="20" t="str">
        <f>VLOOKUP($C1187,'[1]CTRL AUTOS'!$E:$AH,2,0)</f>
        <v>NCT814A</v>
      </c>
      <c r="AE1187" s="11" t="str">
        <f t="shared" si="132"/>
        <v>NCT814A49</v>
      </c>
    </row>
    <row r="1188" spans="1:31" ht="12" hidden="1" customHeight="1" x14ac:dyDescent="0.3">
      <c r="A1188" s="8">
        <v>49</v>
      </c>
      <c r="B1188" s="20" t="s">
        <v>362</v>
      </c>
      <c r="C1188" s="20" t="s">
        <v>50</v>
      </c>
      <c r="D1188" s="39" t="s">
        <v>480</v>
      </c>
      <c r="E1188" s="20" t="s">
        <v>232</v>
      </c>
      <c r="F1188" s="20" t="s">
        <v>232</v>
      </c>
      <c r="G1188" s="20" t="s">
        <v>234</v>
      </c>
      <c r="H1188" s="23">
        <v>0</v>
      </c>
      <c r="I1188" s="23">
        <v>0</v>
      </c>
      <c r="J1188" s="23">
        <v>0</v>
      </c>
      <c r="K1188" s="23">
        <v>0</v>
      </c>
      <c r="L1188" s="23">
        <v>0</v>
      </c>
      <c r="M1188" s="23">
        <v>0</v>
      </c>
      <c r="N1188" s="23">
        <v>0</v>
      </c>
      <c r="O1188" s="24">
        <f t="shared" si="133"/>
        <v>0</v>
      </c>
      <c r="P1188" s="23">
        <v>0</v>
      </c>
      <c r="Q1188" s="23">
        <v>0</v>
      </c>
      <c r="R1188" s="23">
        <v>500</v>
      </c>
      <c r="S1188" s="23">
        <v>0</v>
      </c>
      <c r="T1188" s="23">
        <v>0</v>
      </c>
      <c r="U1188" s="23">
        <v>0</v>
      </c>
      <c r="V1188" s="23">
        <v>0</v>
      </c>
      <c r="W1188" s="23">
        <f t="shared" si="134"/>
        <v>500</v>
      </c>
      <c r="X1188" s="23">
        <f t="shared" si="135"/>
        <v>500</v>
      </c>
      <c r="Y1188" s="23">
        <f t="shared" si="136"/>
        <v>0</v>
      </c>
      <c r="Z1188" s="23">
        <v>0</v>
      </c>
      <c r="AA1188" s="23">
        <f t="shared" si="130"/>
        <v>0</v>
      </c>
      <c r="AB1188" s="23">
        <f t="shared" si="131"/>
        <v>-500</v>
      </c>
      <c r="AD1188" s="20" t="str">
        <f>VLOOKUP($C1188,'[1]CTRL AUTOS'!$E:$AH,2,0)</f>
        <v>NBS225A</v>
      </c>
      <c r="AE1188" s="11" t="str">
        <f t="shared" si="132"/>
        <v>NBS225A49</v>
      </c>
    </row>
    <row r="1189" spans="1:31" ht="12" hidden="1" customHeight="1" x14ac:dyDescent="0.3">
      <c r="A1189" s="8">
        <v>49</v>
      </c>
      <c r="B1189" s="20" t="s">
        <v>7</v>
      </c>
      <c r="C1189" s="39" t="s">
        <v>8</v>
      </c>
      <c r="D1189" s="39" t="s">
        <v>516</v>
      </c>
      <c r="E1189" s="20" t="s">
        <v>364</v>
      </c>
      <c r="F1189" s="22" t="s">
        <v>364</v>
      </c>
      <c r="G1189" s="20" t="s">
        <v>425</v>
      </c>
      <c r="H1189" s="23">
        <v>7630.11</v>
      </c>
      <c r="I1189" s="23">
        <v>0</v>
      </c>
      <c r="J1189" s="23">
        <v>0</v>
      </c>
      <c r="K1189" s="23">
        <v>0</v>
      </c>
      <c r="L1189" s="23">
        <v>-5195.43</v>
      </c>
      <c r="M1189" s="23">
        <v>-60</v>
      </c>
      <c r="N1189" s="23">
        <v>0</v>
      </c>
      <c r="O1189" s="24">
        <f t="shared" si="133"/>
        <v>2374.6799999999994</v>
      </c>
      <c r="P1189" s="23">
        <v>-2600</v>
      </c>
      <c r="Q1189" s="23">
        <v>0</v>
      </c>
      <c r="R1189" s="23">
        <v>0</v>
      </c>
      <c r="S1189" s="23">
        <v>0</v>
      </c>
      <c r="T1189" s="23">
        <v>0</v>
      </c>
      <c r="U1189" s="23">
        <v>0</v>
      </c>
      <c r="V1189" s="23">
        <v>0</v>
      </c>
      <c r="W1189" s="23">
        <f t="shared" si="134"/>
        <v>-225.32000000000062</v>
      </c>
      <c r="X1189" s="23">
        <f t="shared" si="135"/>
        <v>0</v>
      </c>
      <c r="Y1189" s="23">
        <f t="shared" si="136"/>
        <v>-225.32000000000062</v>
      </c>
      <c r="Z1189" s="23">
        <v>225</v>
      </c>
      <c r="AA1189" s="23">
        <f t="shared" si="130"/>
        <v>-0.32000000000061846</v>
      </c>
      <c r="AB1189" s="23">
        <f t="shared" si="131"/>
        <v>2599.3599999999988</v>
      </c>
      <c r="AC1189" s="11" t="s">
        <v>517</v>
      </c>
      <c r="AD1189" s="20" t="e">
        <f>VLOOKUP($C1189,'[1]CTRL AUTOS'!$E:$AH,2,0)</f>
        <v>#N/A</v>
      </c>
      <c r="AE1189" s="11" t="e">
        <f t="shared" si="132"/>
        <v>#N/A</v>
      </c>
    </row>
    <row r="1190" spans="1:31" ht="12" hidden="1" customHeight="1" x14ac:dyDescent="0.3">
      <c r="A1190" s="8">
        <v>49</v>
      </c>
      <c r="B1190" s="20" t="s">
        <v>105</v>
      </c>
      <c r="C1190" s="39" t="s">
        <v>518</v>
      </c>
      <c r="D1190" s="39" t="s">
        <v>470</v>
      </c>
      <c r="E1190" s="20" t="s">
        <v>364</v>
      </c>
      <c r="F1190" s="22" t="s">
        <v>364</v>
      </c>
      <c r="G1190" s="20" t="s">
        <v>234</v>
      </c>
      <c r="H1190" s="23">
        <v>0</v>
      </c>
      <c r="I1190" s="23">
        <v>0</v>
      </c>
      <c r="J1190" s="23">
        <v>0</v>
      </c>
      <c r="K1190" s="23">
        <v>0</v>
      </c>
      <c r="L1190" s="23">
        <v>0</v>
      </c>
      <c r="M1190" s="23">
        <v>0</v>
      </c>
      <c r="N1190" s="23">
        <v>0</v>
      </c>
      <c r="O1190" s="24">
        <f t="shared" si="133"/>
        <v>0</v>
      </c>
      <c r="P1190" s="23">
        <v>-2500</v>
      </c>
      <c r="Q1190" s="23">
        <v>0</v>
      </c>
      <c r="R1190" s="23">
        <v>0</v>
      </c>
      <c r="S1190" s="23">
        <v>0</v>
      </c>
      <c r="T1190" s="23">
        <v>0</v>
      </c>
      <c r="U1190" s="23">
        <v>0</v>
      </c>
      <c r="V1190" s="23">
        <v>0</v>
      </c>
      <c r="W1190" s="23">
        <f t="shared" si="134"/>
        <v>-2500</v>
      </c>
      <c r="X1190" s="23">
        <f t="shared" si="135"/>
        <v>0</v>
      </c>
      <c r="Y1190" s="23">
        <f t="shared" si="136"/>
        <v>-2500</v>
      </c>
      <c r="Z1190" s="23">
        <f>1800+700</f>
        <v>2500</v>
      </c>
      <c r="AA1190" s="23">
        <f t="shared" si="130"/>
        <v>0</v>
      </c>
      <c r="AB1190" s="23">
        <f t="shared" si="131"/>
        <v>2500</v>
      </c>
      <c r="AC1190" s="11" t="s">
        <v>517</v>
      </c>
      <c r="AD1190" s="20" t="e">
        <f>VLOOKUP($C1190,'[1]CTRL AUTOS'!$E:$AH,2,0)</f>
        <v>#N/A</v>
      </c>
      <c r="AE1190" s="11" t="e">
        <f t="shared" si="132"/>
        <v>#N/A</v>
      </c>
    </row>
    <row r="1191" spans="1:31" ht="12" hidden="1" customHeight="1" x14ac:dyDescent="0.3">
      <c r="A1191" s="8">
        <v>49</v>
      </c>
      <c r="B1191" s="20" t="s">
        <v>417</v>
      </c>
      <c r="C1191" s="39" t="s">
        <v>428</v>
      </c>
      <c r="D1191" s="39" t="s">
        <v>237</v>
      </c>
      <c r="E1191" s="20" t="s">
        <v>364</v>
      </c>
      <c r="F1191" s="22" t="s">
        <v>364</v>
      </c>
      <c r="G1191" s="20" t="s">
        <v>234</v>
      </c>
      <c r="H1191" s="23">
        <v>3783.02</v>
      </c>
      <c r="I1191" s="23">
        <v>0</v>
      </c>
      <c r="J1191" s="23">
        <v>0</v>
      </c>
      <c r="K1191" s="23">
        <v>0</v>
      </c>
      <c r="L1191" s="23">
        <v>-1193.6199999999999</v>
      </c>
      <c r="M1191" s="23">
        <v>-75</v>
      </c>
      <c r="N1191" s="23">
        <v>0</v>
      </c>
      <c r="O1191" s="24">
        <f t="shared" si="133"/>
        <v>2514.4</v>
      </c>
      <c r="P1191" s="23">
        <v>-2500</v>
      </c>
      <c r="Q1191" s="23">
        <v>0</v>
      </c>
      <c r="R1191" s="23">
        <v>0</v>
      </c>
      <c r="S1191" s="23">
        <v>0</v>
      </c>
      <c r="T1191" s="23">
        <v>0</v>
      </c>
      <c r="U1191" s="23">
        <v>-500</v>
      </c>
      <c r="V1191" s="23">
        <v>0</v>
      </c>
      <c r="W1191" s="23">
        <f t="shared" si="134"/>
        <v>-485.59999999999991</v>
      </c>
      <c r="X1191" s="23">
        <f t="shared" si="135"/>
        <v>0</v>
      </c>
      <c r="Y1191" s="23">
        <f t="shared" si="136"/>
        <v>-485.59999999999991</v>
      </c>
      <c r="Z1191" s="23">
        <v>486</v>
      </c>
      <c r="AA1191" s="23">
        <f t="shared" si="130"/>
        <v>0.40000000000009095</v>
      </c>
      <c r="AB1191" s="23">
        <f t="shared" si="131"/>
        <v>3000.8</v>
      </c>
      <c r="AC1191" s="11" t="s">
        <v>517</v>
      </c>
      <c r="AD1191" s="20" t="e">
        <f>VLOOKUP($C1191,'[1]CTRL AUTOS'!$E:$AH,2,0)</f>
        <v>#N/A</v>
      </c>
      <c r="AE1191" s="11" t="e">
        <f t="shared" si="132"/>
        <v>#N/A</v>
      </c>
    </row>
    <row r="1192" spans="1:31" ht="12" hidden="1" customHeight="1" x14ac:dyDescent="0.3">
      <c r="A1192" s="8">
        <v>49</v>
      </c>
      <c r="B1192" s="20" t="s">
        <v>21</v>
      </c>
      <c r="C1192" s="39" t="s">
        <v>22</v>
      </c>
      <c r="D1192" s="39" t="s">
        <v>319</v>
      </c>
      <c r="E1192" s="20" t="s">
        <v>232</v>
      </c>
      <c r="F1192" s="20" t="s">
        <v>232</v>
      </c>
      <c r="G1192" s="20" t="s">
        <v>234</v>
      </c>
      <c r="H1192" s="23">
        <v>1073.1199999999999</v>
      </c>
      <c r="I1192" s="23">
        <v>-2.78</v>
      </c>
      <c r="J1192" s="23">
        <v>0</v>
      </c>
      <c r="K1192" s="23">
        <v>0</v>
      </c>
      <c r="L1192" s="23">
        <v>-435</v>
      </c>
      <c r="M1192" s="23">
        <v>-60</v>
      </c>
      <c r="N1192" s="23">
        <v>0</v>
      </c>
      <c r="O1192" s="24">
        <f t="shared" si="133"/>
        <v>575.33999999999992</v>
      </c>
      <c r="P1192" s="23">
        <v>-2500</v>
      </c>
      <c r="Q1192" s="23">
        <v>0</v>
      </c>
      <c r="R1192" s="23">
        <v>-500</v>
      </c>
      <c r="S1192" s="23">
        <v>0</v>
      </c>
      <c r="T1192" s="23">
        <v>0</v>
      </c>
      <c r="U1192" s="23">
        <v>0</v>
      </c>
      <c r="V1192" s="23">
        <v>0</v>
      </c>
      <c r="W1192" s="23">
        <f t="shared" si="134"/>
        <v>-2424.66</v>
      </c>
      <c r="X1192" s="23">
        <f t="shared" si="135"/>
        <v>0</v>
      </c>
      <c r="Y1192" s="23">
        <f t="shared" si="136"/>
        <v>-2424.66</v>
      </c>
      <c r="Z1192" s="23">
        <v>2480</v>
      </c>
      <c r="AA1192" s="23">
        <f t="shared" si="130"/>
        <v>55.340000000000146</v>
      </c>
      <c r="AB1192" s="23">
        <f t="shared" si="131"/>
        <v>3110.6800000000003</v>
      </c>
      <c r="AC1192" s="11" t="s">
        <v>397</v>
      </c>
      <c r="AD1192" s="20" t="str">
        <f>VLOOKUP($C1192,'[1]CTRL AUTOS'!$E:$AH,2,0)</f>
        <v>NCK475B</v>
      </c>
      <c r="AE1192" s="11" t="str">
        <f t="shared" si="132"/>
        <v>NCK475B49</v>
      </c>
    </row>
    <row r="1193" spans="1:31" ht="12" hidden="1" customHeight="1" x14ac:dyDescent="0.3">
      <c r="A1193" s="8">
        <v>49</v>
      </c>
      <c r="B1193" s="20" t="s">
        <v>15</v>
      </c>
      <c r="C1193" s="39" t="s">
        <v>16</v>
      </c>
      <c r="D1193" s="39" t="s">
        <v>314</v>
      </c>
      <c r="E1193" s="20" t="s">
        <v>232</v>
      </c>
      <c r="F1193" s="20" t="s">
        <v>232</v>
      </c>
      <c r="G1193" s="20" t="s">
        <v>234</v>
      </c>
      <c r="H1193" s="23">
        <v>2493.46</v>
      </c>
      <c r="I1193" s="23">
        <v>0</v>
      </c>
      <c r="J1193" s="23">
        <v>0</v>
      </c>
      <c r="K1193" s="23">
        <v>0</v>
      </c>
      <c r="L1193" s="23">
        <v>-219.92</v>
      </c>
      <c r="M1193" s="23">
        <v>-60</v>
      </c>
      <c r="N1193" s="23">
        <v>0</v>
      </c>
      <c r="O1193" s="24">
        <f t="shared" si="133"/>
        <v>2213.54</v>
      </c>
      <c r="P1193" s="23">
        <v>-2500</v>
      </c>
      <c r="Q1193" s="23">
        <v>0</v>
      </c>
      <c r="R1193" s="23">
        <v>-500</v>
      </c>
      <c r="S1193" s="23">
        <v>0</v>
      </c>
      <c r="T1193" s="23">
        <v>0</v>
      </c>
      <c r="U1193" s="23">
        <v>0</v>
      </c>
      <c r="V1193" s="23">
        <v>0</v>
      </c>
      <c r="W1193" s="23">
        <f t="shared" si="134"/>
        <v>-786.46</v>
      </c>
      <c r="X1193" s="23">
        <f t="shared" si="135"/>
        <v>0</v>
      </c>
      <c r="Y1193" s="23">
        <f t="shared" si="136"/>
        <v>-786.46</v>
      </c>
      <c r="Z1193" s="23">
        <v>786</v>
      </c>
      <c r="AA1193" s="23">
        <f t="shared" si="130"/>
        <v>-0.46000000000003638</v>
      </c>
      <c r="AB1193" s="23">
        <f t="shared" si="131"/>
        <v>2999.08</v>
      </c>
      <c r="AC1193" s="11" t="s">
        <v>397</v>
      </c>
      <c r="AD1193" s="20" t="str">
        <f>VLOOKUP($C1193,'[1]CTRL AUTOS'!$E:$AH,2,0)</f>
        <v>D28BET</v>
      </c>
      <c r="AE1193" s="11" t="str">
        <f t="shared" si="132"/>
        <v>D28BET49</v>
      </c>
    </row>
    <row r="1194" spans="1:31" ht="12" hidden="1" customHeight="1" x14ac:dyDescent="0.3">
      <c r="A1194" s="8">
        <v>49</v>
      </c>
      <c r="B1194" s="20" t="s">
        <v>53</v>
      </c>
      <c r="C1194" s="39" t="s">
        <v>86</v>
      </c>
      <c r="D1194" s="39" t="s">
        <v>519</v>
      </c>
      <c r="E1194" s="20" t="s">
        <v>232</v>
      </c>
      <c r="F1194" s="20" t="s">
        <v>232</v>
      </c>
      <c r="G1194" s="20" t="s">
        <v>234</v>
      </c>
      <c r="H1194" s="23">
        <v>0</v>
      </c>
      <c r="I1194" s="23">
        <v>0</v>
      </c>
      <c r="J1194" s="23">
        <v>0</v>
      </c>
      <c r="K1194" s="23">
        <v>0</v>
      </c>
      <c r="L1194" s="23">
        <v>0</v>
      </c>
      <c r="M1194" s="23">
        <v>0</v>
      </c>
      <c r="N1194" s="23">
        <v>0</v>
      </c>
      <c r="O1194" s="24">
        <f t="shared" si="133"/>
        <v>0</v>
      </c>
      <c r="P1194" s="23">
        <v>-1071.42</v>
      </c>
      <c r="Q1194" s="23">
        <v>0</v>
      </c>
      <c r="R1194" s="23">
        <v>-1000</v>
      </c>
      <c r="S1194" s="23">
        <v>0</v>
      </c>
      <c r="T1194" s="23">
        <v>0</v>
      </c>
      <c r="U1194" s="23">
        <v>0</v>
      </c>
      <c r="V1194" s="23">
        <v>0</v>
      </c>
      <c r="W1194" s="23">
        <f t="shared" si="134"/>
        <v>-2071.42</v>
      </c>
      <c r="X1194" s="23">
        <f t="shared" si="135"/>
        <v>0</v>
      </c>
      <c r="Y1194" s="23">
        <f t="shared" si="136"/>
        <v>-2071.42</v>
      </c>
      <c r="Z1194" s="23">
        <v>2000</v>
      </c>
      <c r="AA1194" s="23">
        <f t="shared" si="130"/>
        <v>-71.420000000000073</v>
      </c>
      <c r="AB1194" s="23">
        <f t="shared" si="131"/>
        <v>1928.58</v>
      </c>
      <c r="AC1194" s="11" t="s">
        <v>397</v>
      </c>
      <c r="AD1194" s="20" t="str">
        <f>VLOOKUP($C1194,'[1]CTRL AUTOS'!$E:$AH,2,0)</f>
        <v>R22BMR</v>
      </c>
      <c r="AE1194" s="11" t="str">
        <f t="shared" si="132"/>
        <v>R22BMR49</v>
      </c>
    </row>
    <row r="1195" spans="1:31" ht="12" hidden="1" customHeight="1" x14ac:dyDescent="0.3">
      <c r="A1195" s="8">
        <v>49</v>
      </c>
      <c r="B1195" s="20" t="s">
        <v>414</v>
      </c>
      <c r="C1195" s="39" t="s">
        <v>59</v>
      </c>
      <c r="D1195" s="39" t="s">
        <v>520</v>
      </c>
      <c r="E1195" s="20" t="s">
        <v>232</v>
      </c>
      <c r="F1195" s="20" t="s">
        <v>232</v>
      </c>
      <c r="G1195" s="20" t="s">
        <v>234</v>
      </c>
      <c r="H1195" s="23">
        <v>0</v>
      </c>
      <c r="I1195" s="23">
        <v>0</v>
      </c>
      <c r="J1195" s="23">
        <v>0</v>
      </c>
      <c r="K1195" s="23">
        <v>0</v>
      </c>
      <c r="L1195" s="23">
        <v>0</v>
      </c>
      <c r="M1195" s="23">
        <v>0</v>
      </c>
      <c r="N1195" s="23">
        <v>0</v>
      </c>
      <c r="O1195" s="24">
        <f t="shared" si="133"/>
        <v>0</v>
      </c>
      <c r="P1195" s="23">
        <v>0</v>
      </c>
      <c r="Q1195" s="23">
        <v>0</v>
      </c>
      <c r="R1195" s="23">
        <v>500</v>
      </c>
      <c r="S1195" s="23">
        <v>0</v>
      </c>
      <c r="T1195" s="23">
        <v>0</v>
      </c>
      <c r="U1195" s="23">
        <v>0</v>
      </c>
      <c r="V1195" s="23">
        <v>0</v>
      </c>
      <c r="W1195" s="23">
        <f t="shared" si="134"/>
        <v>500</v>
      </c>
      <c r="X1195" s="23">
        <f t="shared" si="135"/>
        <v>500</v>
      </c>
      <c r="Y1195" s="23">
        <f t="shared" si="136"/>
        <v>0</v>
      </c>
      <c r="Z1195" s="23">
        <v>0</v>
      </c>
      <c r="AA1195" s="23">
        <f t="shared" si="130"/>
        <v>0</v>
      </c>
      <c r="AB1195" s="23">
        <f t="shared" si="131"/>
        <v>-500</v>
      </c>
      <c r="AD1195" s="20" t="str">
        <f>VLOOKUP($C1195,'[1]CTRL AUTOS'!$E:$AH,2,0)</f>
        <v>P62BHW</v>
      </c>
      <c r="AE1195" s="11" t="str">
        <f t="shared" si="132"/>
        <v>P62BHW49</v>
      </c>
    </row>
    <row r="1196" spans="1:31" ht="11.85" hidden="1" customHeight="1" x14ac:dyDescent="0.3">
      <c r="A1196" s="8">
        <v>49</v>
      </c>
      <c r="B1196" s="20" t="s">
        <v>64</v>
      </c>
      <c r="C1196" s="39" t="s">
        <v>59</v>
      </c>
      <c r="D1196" s="39" t="s">
        <v>520</v>
      </c>
      <c r="E1196" s="20" t="s">
        <v>232</v>
      </c>
      <c r="F1196" s="20" t="s">
        <v>232</v>
      </c>
      <c r="G1196" s="20" t="s">
        <v>234</v>
      </c>
      <c r="H1196" s="23">
        <v>7964.3</v>
      </c>
      <c r="I1196" s="23">
        <v>-88.8</v>
      </c>
      <c r="J1196" s="23">
        <v>0</v>
      </c>
      <c r="K1196" s="23">
        <v>0</v>
      </c>
      <c r="L1196" s="23">
        <v>-421.12</v>
      </c>
      <c r="M1196" s="23">
        <v>-60</v>
      </c>
      <c r="N1196" s="23">
        <v>0</v>
      </c>
      <c r="O1196" s="24">
        <f t="shared" si="133"/>
        <v>7394.38</v>
      </c>
      <c r="P1196" s="23">
        <v>-2500</v>
      </c>
      <c r="Q1196" s="23">
        <v>0</v>
      </c>
      <c r="R1196" s="23">
        <v>-500</v>
      </c>
      <c r="S1196" s="23">
        <v>0</v>
      </c>
      <c r="T1196" s="23">
        <v>0</v>
      </c>
      <c r="U1196" s="23">
        <v>0</v>
      </c>
      <c r="V1196" s="23">
        <v>0</v>
      </c>
      <c r="W1196" s="23">
        <f t="shared" si="134"/>
        <v>4394.38</v>
      </c>
      <c r="X1196" s="23">
        <f t="shared" si="135"/>
        <v>4394.38</v>
      </c>
      <c r="Y1196" s="23">
        <f t="shared" si="136"/>
        <v>0</v>
      </c>
      <c r="Z1196" s="23">
        <v>0</v>
      </c>
      <c r="AA1196" s="23">
        <f t="shared" si="130"/>
        <v>0</v>
      </c>
      <c r="AB1196" s="23">
        <f t="shared" si="131"/>
        <v>3000</v>
      </c>
      <c r="AD1196" s="20" t="str">
        <f>VLOOKUP($C1196,'[1]CTRL AUTOS'!$E:$AH,2,0)</f>
        <v>P62BHW</v>
      </c>
      <c r="AE1196" s="11" t="str">
        <f t="shared" si="132"/>
        <v>P62BHW49</v>
      </c>
    </row>
    <row r="1197" spans="1:31" ht="11.85" hidden="1" customHeight="1" x14ac:dyDescent="0.3">
      <c r="A1197" s="8">
        <v>49</v>
      </c>
      <c r="B1197" s="20" t="s">
        <v>506</v>
      </c>
      <c r="C1197" s="39" t="s">
        <v>54</v>
      </c>
      <c r="D1197" s="39" t="s">
        <v>318</v>
      </c>
      <c r="E1197" s="20" t="s">
        <v>232</v>
      </c>
      <c r="F1197" s="20" t="s">
        <v>232</v>
      </c>
      <c r="G1197" s="20" t="s">
        <v>234</v>
      </c>
      <c r="H1197" s="23">
        <v>5012.76</v>
      </c>
      <c r="I1197" s="23">
        <v>-5.29</v>
      </c>
      <c r="J1197" s="23">
        <v>0</v>
      </c>
      <c r="K1197" s="23">
        <v>0</v>
      </c>
      <c r="L1197" s="23">
        <v>-1935.52</v>
      </c>
      <c r="M1197" s="23">
        <v>-60</v>
      </c>
      <c r="N1197" s="23">
        <v>0</v>
      </c>
      <c r="O1197" s="24">
        <f t="shared" si="133"/>
        <v>3011.9500000000003</v>
      </c>
      <c r="P1197" s="23">
        <v>-2500</v>
      </c>
      <c r="Q1197" s="23">
        <v>0</v>
      </c>
      <c r="R1197" s="23">
        <v>-500</v>
      </c>
      <c r="S1197" s="23">
        <v>0</v>
      </c>
      <c r="T1197" s="23">
        <v>0</v>
      </c>
      <c r="U1197" s="23">
        <v>0</v>
      </c>
      <c r="V1197" s="23">
        <v>0</v>
      </c>
      <c r="W1197" s="23">
        <f t="shared" si="134"/>
        <v>11.950000000000273</v>
      </c>
      <c r="X1197" s="23">
        <f t="shared" si="135"/>
        <v>11.950000000000273</v>
      </c>
      <c r="Y1197" s="23">
        <f t="shared" si="136"/>
        <v>0</v>
      </c>
      <c r="Z1197" s="23">
        <v>0</v>
      </c>
      <c r="AA1197" s="23">
        <f t="shared" si="130"/>
        <v>0</v>
      </c>
      <c r="AB1197" s="23">
        <f t="shared" si="131"/>
        <v>3000</v>
      </c>
      <c r="AD1197" s="20" t="str">
        <f>VLOOKUP($C1197,'[1]CTRL AUTOS'!$E:$AH,2,0)</f>
        <v>NZY685B</v>
      </c>
      <c r="AE1197" s="11" t="str">
        <f t="shared" si="132"/>
        <v>NZY685B49</v>
      </c>
    </row>
    <row r="1198" spans="1:31" ht="11.85" hidden="1" customHeight="1" x14ac:dyDescent="0.3">
      <c r="A1198" s="8">
        <v>49</v>
      </c>
      <c r="B1198" s="20" t="s">
        <v>29</v>
      </c>
      <c r="C1198" s="39" t="s">
        <v>30</v>
      </c>
      <c r="D1198" s="39" t="s">
        <v>521</v>
      </c>
      <c r="E1198" s="20" t="s">
        <v>232</v>
      </c>
      <c r="F1198" s="20" t="s">
        <v>232</v>
      </c>
      <c r="G1198" s="20" t="s">
        <v>234</v>
      </c>
      <c r="H1198" s="23">
        <v>2930.82</v>
      </c>
      <c r="I1198" s="23">
        <v>0</v>
      </c>
      <c r="J1198" s="23">
        <v>0</v>
      </c>
      <c r="K1198" s="23">
        <v>0</v>
      </c>
      <c r="L1198" s="23">
        <v>-328.99</v>
      </c>
      <c r="M1198" s="23">
        <v>-60</v>
      </c>
      <c r="N1198" s="23">
        <v>0</v>
      </c>
      <c r="O1198" s="24">
        <f t="shared" si="133"/>
        <v>2541.83</v>
      </c>
      <c r="P1198" s="23">
        <v>-2500</v>
      </c>
      <c r="Q1198" s="23">
        <v>0</v>
      </c>
      <c r="R1198" s="23">
        <v>-500</v>
      </c>
      <c r="S1198" s="23">
        <v>0</v>
      </c>
      <c r="T1198" s="23">
        <v>0</v>
      </c>
      <c r="U1198" s="23">
        <v>0</v>
      </c>
      <c r="V1198" s="23">
        <v>0</v>
      </c>
      <c r="W1198" s="23">
        <f t="shared" si="134"/>
        <v>-458.17000000000007</v>
      </c>
      <c r="X1198" s="23">
        <f t="shared" si="135"/>
        <v>0</v>
      </c>
      <c r="Y1198" s="23">
        <f t="shared" si="136"/>
        <v>-458.17000000000007</v>
      </c>
      <c r="Z1198" s="23">
        <v>454</v>
      </c>
      <c r="AA1198" s="23">
        <f t="shared" si="130"/>
        <v>-4.1700000000000728</v>
      </c>
      <c r="AB1198" s="23">
        <f t="shared" si="131"/>
        <v>2991.66</v>
      </c>
      <c r="AC1198" s="11" t="s">
        <v>397</v>
      </c>
      <c r="AD1198" s="20" t="str">
        <f>VLOOKUP($C1198,'[1]CTRL AUTOS'!$E:$AH,2,0)</f>
        <v>D51BHV</v>
      </c>
      <c r="AE1198" s="11" t="str">
        <f t="shared" si="132"/>
        <v>D51BHV49</v>
      </c>
    </row>
    <row r="1199" spans="1:31" ht="11.85" hidden="1" customHeight="1" x14ac:dyDescent="0.3">
      <c r="A1199" s="8">
        <v>49</v>
      </c>
      <c r="B1199" s="20" t="s">
        <v>17</v>
      </c>
      <c r="C1199" s="39" t="s">
        <v>18</v>
      </c>
      <c r="D1199" s="39" t="s">
        <v>237</v>
      </c>
      <c r="E1199" s="20" t="s">
        <v>232</v>
      </c>
      <c r="F1199" s="20" t="s">
        <v>232</v>
      </c>
      <c r="G1199" s="20" t="s">
        <v>234</v>
      </c>
      <c r="H1199" s="23">
        <v>9747.4500000000007</v>
      </c>
      <c r="I1199" s="23">
        <v>0</v>
      </c>
      <c r="J1199" s="23">
        <v>0</v>
      </c>
      <c r="K1199" s="23">
        <v>0</v>
      </c>
      <c r="L1199" s="23">
        <v>-4339.22</v>
      </c>
      <c r="M1199" s="23">
        <v>-60</v>
      </c>
      <c r="N1199" s="23">
        <v>0</v>
      </c>
      <c r="O1199" s="24">
        <f t="shared" si="133"/>
        <v>5348.2300000000005</v>
      </c>
      <c r="P1199" s="23">
        <v>-2700</v>
      </c>
      <c r="Q1199" s="23">
        <v>0</v>
      </c>
      <c r="R1199" s="23">
        <v>0</v>
      </c>
      <c r="S1199" s="23">
        <v>0</v>
      </c>
      <c r="T1199" s="23">
        <v>0</v>
      </c>
      <c r="U1199" s="23">
        <v>400</v>
      </c>
      <c r="V1199" s="23">
        <v>0</v>
      </c>
      <c r="W1199" s="23">
        <f t="shared" si="134"/>
        <v>3048.2300000000005</v>
      </c>
      <c r="X1199" s="23">
        <f t="shared" si="135"/>
        <v>3048.2300000000005</v>
      </c>
      <c r="Y1199" s="23">
        <f t="shared" si="136"/>
        <v>0</v>
      </c>
      <c r="Z1199" s="23">
        <v>0</v>
      </c>
      <c r="AA1199" s="23">
        <f t="shared" si="130"/>
        <v>0</v>
      </c>
      <c r="AB1199" s="23">
        <f t="shared" si="131"/>
        <v>2300</v>
      </c>
      <c r="AD1199" s="20" t="str">
        <f>VLOOKUP($C1199,'[1]CTRL AUTOS'!$E:$AH,2,0)</f>
        <v>MZN091C</v>
      </c>
      <c r="AE1199" s="11" t="str">
        <f t="shared" si="132"/>
        <v>MZN091C49</v>
      </c>
    </row>
    <row r="1200" spans="1:31" ht="11.85" hidden="1" customHeight="1" x14ac:dyDescent="0.3">
      <c r="A1200" s="8">
        <v>49</v>
      </c>
      <c r="B1200" s="20" t="s">
        <v>76</v>
      </c>
      <c r="C1200" s="39" t="s">
        <v>77</v>
      </c>
      <c r="D1200" s="39" t="s">
        <v>474</v>
      </c>
      <c r="E1200" s="20" t="s">
        <v>232</v>
      </c>
      <c r="F1200" s="20" t="s">
        <v>232</v>
      </c>
      <c r="G1200" s="20" t="s">
        <v>234</v>
      </c>
      <c r="H1200" s="23">
        <v>2256.09</v>
      </c>
      <c r="I1200" s="23">
        <v>0</v>
      </c>
      <c r="J1200" s="23">
        <v>0</v>
      </c>
      <c r="K1200" s="23">
        <v>-24.75</v>
      </c>
      <c r="L1200" s="23">
        <v>-1086.68</v>
      </c>
      <c r="M1200" s="23">
        <v>-60</v>
      </c>
      <c r="N1200" s="23">
        <v>-81.78</v>
      </c>
      <c r="O1200" s="24">
        <f t="shared" si="133"/>
        <v>1002.8800000000001</v>
      </c>
      <c r="P1200" s="23">
        <v>-2500</v>
      </c>
      <c r="Q1200" s="23">
        <v>-15.68</v>
      </c>
      <c r="R1200" s="23">
        <v>-500</v>
      </c>
      <c r="S1200" s="23">
        <v>0</v>
      </c>
      <c r="T1200" s="23">
        <v>0</v>
      </c>
      <c r="U1200" s="23">
        <v>0</v>
      </c>
      <c r="V1200" s="23">
        <v>0</v>
      </c>
      <c r="W1200" s="23">
        <f t="shared" si="134"/>
        <v>-2012.7999999999997</v>
      </c>
      <c r="X1200" s="23">
        <f t="shared" si="135"/>
        <v>0</v>
      </c>
      <c r="Y1200" s="23">
        <f t="shared" si="136"/>
        <v>-2012.7999999999997</v>
      </c>
      <c r="Z1200" s="23">
        <v>2000</v>
      </c>
      <c r="AA1200" s="23">
        <f t="shared" si="130"/>
        <v>-12.799999999999727</v>
      </c>
      <c r="AB1200" s="23">
        <f t="shared" si="131"/>
        <v>2990.0800000000004</v>
      </c>
      <c r="AC1200" s="11" t="s">
        <v>397</v>
      </c>
      <c r="AD1200" s="20" t="str">
        <f>VLOOKUP($C1200,'[1]CTRL AUTOS'!$E:$AH,2,0)</f>
        <v>MEE228C</v>
      </c>
      <c r="AE1200" s="11" t="str">
        <f t="shared" si="132"/>
        <v>MEE228C49</v>
      </c>
    </row>
    <row r="1201" spans="1:31" ht="11.85" hidden="1" customHeight="1" x14ac:dyDescent="0.3">
      <c r="A1201" s="8">
        <v>49</v>
      </c>
      <c r="B1201" s="20" t="s">
        <v>424</v>
      </c>
      <c r="C1201" s="39" t="s">
        <v>44</v>
      </c>
      <c r="D1201" s="39" t="s">
        <v>467</v>
      </c>
      <c r="E1201" s="22" t="s">
        <v>232</v>
      </c>
      <c r="F1201" s="20" t="s">
        <v>232</v>
      </c>
      <c r="G1201" s="20" t="s">
        <v>234</v>
      </c>
      <c r="H1201" s="23">
        <v>1105.54</v>
      </c>
      <c r="I1201" s="23">
        <v>0</v>
      </c>
      <c r="J1201" s="23">
        <v>0</v>
      </c>
      <c r="K1201" s="23">
        <v>0</v>
      </c>
      <c r="L1201" s="23">
        <v>-424.09</v>
      </c>
      <c r="M1201" s="23">
        <v>-60</v>
      </c>
      <c r="N1201" s="23">
        <v>0</v>
      </c>
      <c r="O1201" s="24">
        <f t="shared" si="133"/>
        <v>621.45000000000005</v>
      </c>
      <c r="P1201" s="23">
        <v>-893</v>
      </c>
      <c r="Q1201" s="23">
        <v>0</v>
      </c>
      <c r="R1201" s="23">
        <v>0</v>
      </c>
      <c r="S1201" s="23">
        <v>0</v>
      </c>
      <c r="T1201" s="23">
        <v>0</v>
      </c>
      <c r="U1201" s="23">
        <v>0</v>
      </c>
      <c r="V1201" s="23">
        <v>0</v>
      </c>
      <c r="W1201" s="23">
        <f t="shared" si="134"/>
        <v>-271.54999999999995</v>
      </c>
      <c r="X1201" s="23">
        <f t="shared" si="135"/>
        <v>0</v>
      </c>
      <c r="Y1201" s="23">
        <f t="shared" si="136"/>
        <v>-271.54999999999995</v>
      </c>
      <c r="Z1201" s="23">
        <v>0</v>
      </c>
      <c r="AA1201" s="23">
        <f t="shared" si="130"/>
        <v>-271.54999999999995</v>
      </c>
      <c r="AB1201" s="23">
        <f t="shared" si="131"/>
        <v>349.90000000000009</v>
      </c>
      <c r="AC1201" s="11" t="s">
        <v>307</v>
      </c>
      <c r="AD1201" s="20" t="str">
        <f>VLOOKUP($C1201,'[1]CTRL AUTOS'!$E:$AH,2,0)</f>
        <v>MAY730C</v>
      </c>
      <c r="AE1201" s="11" t="str">
        <f t="shared" si="132"/>
        <v>MAY730C49</v>
      </c>
    </row>
    <row r="1202" spans="1:31" ht="11.85" hidden="1" customHeight="1" x14ac:dyDescent="0.3">
      <c r="A1202" s="8">
        <v>49</v>
      </c>
      <c r="B1202" s="20" t="s">
        <v>31</v>
      </c>
      <c r="C1202" s="39" t="s">
        <v>97</v>
      </c>
      <c r="D1202" s="39" t="s">
        <v>273</v>
      </c>
      <c r="E1202" s="20" t="s">
        <v>232</v>
      </c>
      <c r="F1202" s="20" t="s">
        <v>232</v>
      </c>
      <c r="G1202" s="20" t="s">
        <v>234</v>
      </c>
      <c r="H1202" s="23">
        <v>13445.81</v>
      </c>
      <c r="I1202" s="23">
        <v>-346.19</v>
      </c>
      <c r="J1202" s="23">
        <v>0</v>
      </c>
      <c r="K1202" s="23">
        <v>0</v>
      </c>
      <c r="L1202" s="23">
        <v>-4875.9399999999996</v>
      </c>
      <c r="M1202" s="23">
        <v>-60</v>
      </c>
      <c r="N1202" s="23">
        <v>0</v>
      </c>
      <c r="O1202" s="24">
        <f t="shared" si="133"/>
        <v>8163.68</v>
      </c>
      <c r="P1202" s="23">
        <v>-2500</v>
      </c>
      <c r="Q1202" s="23">
        <v>0</v>
      </c>
      <c r="R1202" s="23">
        <v>-500</v>
      </c>
      <c r="S1202" s="23">
        <v>0</v>
      </c>
      <c r="T1202" s="23">
        <v>0</v>
      </c>
      <c r="U1202" s="23">
        <v>0</v>
      </c>
      <c r="V1202" s="23">
        <v>0</v>
      </c>
      <c r="W1202" s="23">
        <f t="shared" si="134"/>
        <v>5163.68</v>
      </c>
      <c r="X1202" s="23">
        <f t="shared" si="135"/>
        <v>5163.68</v>
      </c>
      <c r="Y1202" s="23">
        <f t="shared" si="136"/>
        <v>0</v>
      </c>
      <c r="Z1202" s="23">
        <v>0</v>
      </c>
      <c r="AA1202" s="23">
        <f t="shared" si="130"/>
        <v>0</v>
      </c>
      <c r="AB1202" s="23">
        <f t="shared" si="131"/>
        <v>3000</v>
      </c>
      <c r="AD1202" s="20" t="str">
        <f>VLOOKUP($C1202,'[1]CTRL AUTOS'!$E:$AH,2,0)</f>
        <v>MUF515A</v>
      </c>
      <c r="AE1202" s="11" t="str">
        <f t="shared" si="132"/>
        <v>MUF515A49</v>
      </c>
    </row>
    <row r="1203" spans="1:31" ht="11.85" hidden="1" customHeight="1" x14ac:dyDescent="0.3">
      <c r="A1203" s="8">
        <v>49</v>
      </c>
      <c r="B1203" s="20" t="s">
        <v>27</v>
      </c>
      <c r="C1203" s="39" t="s">
        <v>28</v>
      </c>
      <c r="D1203" s="39" t="s">
        <v>274</v>
      </c>
      <c r="E1203" s="20" t="s">
        <v>232</v>
      </c>
      <c r="F1203" s="20" t="s">
        <v>232</v>
      </c>
      <c r="G1203" s="20" t="s">
        <v>234</v>
      </c>
      <c r="H1203" s="23">
        <v>4312.43</v>
      </c>
      <c r="I1203" s="23">
        <v>-29.62</v>
      </c>
      <c r="J1203" s="23">
        <v>0</v>
      </c>
      <c r="K1203" s="23">
        <v>0</v>
      </c>
      <c r="L1203" s="23">
        <v>-678.29</v>
      </c>
      <c r="M1203" s="23">
        <v>-60</v>
      </c>
      <c r="N1203" s="23">
        <v>0</v>
      </c>
      <c r="O1203" s="24">
        <f t="shared" si="133"/>
        <v>3544.5200000000004</v>
      </c>
      <c r="P1203" s="23">
        <v>-1785.71</v>
      </c>
      <c r="Q1203" s="23">
        <v>0</v>
      </c>
      <c r="R1203" s="23">
        <v>0</v>
      </c>
      <c r="S1203" s="23">
        <v>0</v>
      </c>
      <c r="T1203" s="23">
        <v>0</v>
      </c>
      <c r="U1203" s="23">
        <v>0</v>
      </c>
      <c r="V1203" s="23">
        <v>0</v>
      </c>
      <c r="W1203" s="23">
        <f t="shared" si="134"/>
        <v>1758.8100000000004</v>
      </c>
      <c r="X1203" s="23">
        <f t="shared" si="135"/>
        <v>1758.8100000000004</v>
      </c>
      <c r="Y1203" s="23">
        <f t="shared" si="136"/>
        <v>0</v>
      </c>
      <c r="Z1203" s="23">
        <v>0</v>
      </c>
      <c r="AA1203" s="23">
        <f t="shared" si="130"/>
        <v>0</v>
      </c>
      <c r="AB1203" s="23">
        <f t="shared" si="131"/>
        <v>1785.71</v>
      </c>
      <c r="AD1203" s="20" t="str">
        <f>VLOOKUP($C1203,'[1]CTRL AUTOS'!$E:$AH,2,0)</f>
        <v>NCT814A</v>
      </c>
      <c r="AE1203" s="11" t="str">
        <f t="shared" si="132"/>
        <v>NCT814A49</v>
      </c>
    </row>
    <row r="1204" spans="1:31" ht="11.85" hidden="1" customHeight="1" x14ac:dyDescent="0.3">
      <c r="A1204" s="8">
        <v>49</v>
      </c>
      <c r="B1204" s="20" t="s">
        <v>27</v>
      </c>
      <c r="C1204" s="39" t="s">
        <v>56</v>
      </c>
      <c r="D1204" s="39" t="s">
        <v>336</v>
      </c>
      <c r="E1204" s="22" t="s">
        <v>241</v>
      </c>
      <c r="F1204" s="20" t="s">
        <v>291</v>
      </c>
      <c r="G1204" s="20" t="s">
        <v>234</v>
      </c>
      <c r="H1204" s="23">
        <v>628.5</v>
      </c>
      <c r="I1204" s="23">
        <v>0</v>
      </c>
      <c r="J1204" s="23">
        <v>0</v>
      </c>
      <c r="K1204" s="23">
        <v>0</v>
      </c>
      <c r="L1204" s="23">
        <v>-235.03</v>
      </c>
      <c r="M1204" s="23">
        <v>-20</v>
      </c>
      <c r="N1204" s="23">
        <v>-106</v>
      </c>
      <c r="O1204" s="24">
        <f t="shared" si="133"/>
        <v>267.47000000000003</v>
      </c>
      <c r="P1204" s="23">
        <v>-714.28</v>
      </c>
      <c r="Q1204" s="23">
        <v>0</v>
      </c>
      <c r="R1204" s="23">
        <v>0</v>
      </c>
      <c r="S1204" s="23">
        <v>0</v>
      </c>
      <c r="T1204" s="23">
        <v>0</v>
      </c>
      <c r="U1204" s="23">
        <v>0</v>
      </c>
      <c r="V1204" s="23">
        <v>0</v>
      </c>
      <c r="W1204" s="23">
        <f t="shared" si="134"/>
        <v>-446.80999999999995</v>
      </c>
      <c r="X1204" s="23">
        <f t="shared" si="135"/>
        <v>0</v>
      </c>
      <c r="Y1204" s="23">
        <f t="shared" si="136"/>
        <v>-446.80999999999995</v>
      </c>
      <c r="Z1204" s="23">
        <v>447</v>
      </c>
      <c r="AA1204" s="23">
        <f t="shared" si="130"/>
        <v>0.19000000000005457</v>
      </c>
      <c r="AB1204" s="23">
        <f t="shared" si="131"/>
        <v>714.66000000000008</v>
      </c>
      <c r="AC1204" s="11" t="s">
        <v>522</v>
      </c>
      <c r="AD1204" s="20" t="str">
        <f>VLOOKUP($C1204,'[1]CTRL AUTOS'!$E:$AH,2,0)</f>
        <v>MYE912A</v>
      </c>
      <c r="AE1204" s="11" t="str">
        <f t="shared" si="132"/>
        <v>MYE912A49</v>
      </c>
    </row>
    <row r="1205" spans="1:31" ht="11.85" hidden="1" customHeight="1" x14ac:dyDescent="0.3">
      <c r="A1205" s="8">
        <v>49</v>
      </c>
      <c r="B1205" s="20" t="s">
        <v>74</v>
      </c>
      <c r="C1205" s="39" t="s">
        <v>75</v>
      </c>
      <c r="D1205" s="39" t="s">
        <v>333</v>
      </c>
      <c r="E1205" s="22" t="s">
        <v>241</v>
      </c>
      <c r="F1205" s="20" t="s">
        <v>291</v>
      </c>
      <c r="G1205" s="20" t="s">
        <v>234</v>
      </c>
      <c r="H1205" s="23">
        <v>1072.3900000000001</v>
      </c>
      <c r="I1205" s="23">
        <v>0</v>
      </c>
      <c r="J1205" s="23">
        <v>0</v>
      </c>
      <c r="K1205" s="23">
        <v>0</v>
      </c>
      <c r="L1205" s="23">
        <v>-529.55999999999995</v>
      </c>
      <c r="M1205" s="23">
        <v>-60</v>
      </c>
      <c r="N1205" s="23">
        <v>0</v>
      </c>
      <c r="O1205" s="24">
        <f t="shared" si="133"/>
        <v>482.83000000000015</v>
      </c>
      <c r="P1205" s="23">
        <v>-1428.57</v>
      </c>
      <c r="Q1205" s="23">
        <v>-1016.97</v>
      </c>
      <c r="R1205" s="23">
        <v>0</v>
      </c>
      <c r="S1205" s="23">
        <v>0</v>
      </c>
      <c r="T1205" s="23">
        <v>-500</v>
      </c>
      <c r="U1205" s="23">
        <v>0</v>
      </c>
      <c r="V1205" s="23">
        <v>0</v>
      </c>
      <c r="W1205" s="23">
        <f t="shared" si="134"/>
        <v>-2462.71</v>
      </c>
      <c r="X1205" s="23">
        <f t="shared" si="135"/>
        <v>0</v>
      </c>
      <c r="Y1205" s="23">
        <f t="shared" si="136"/>
        <v>-2462.71</v>
      </c>
      <c r="Z1205" s="23">
        <v>0</v>
      </c>
      <c r="AA1205" s="23">
        <f t="shared" si="130"/>
        <v>-2462.71</v>
      </c>
      <c r="AB1205" s="23">
        <f t="shared" si="131"/>
        <v>-1979.8799999999999</v>
      </c>
      <c r="AD1205" s="20" t="str">
        <f>VLOOKUP($C1205,'[1]CTRL AUTOS'!$E:$AH,2,0)</f>
        <v>NFN014B</v>
      </c>
      <c r="AE1205" s="11" t="str">
        <f t="shared" si="132"/>
        <v>NFN014B49</v>
      </c>
    </row>
    <row r="1206" spans="1:31" ht="11.85" hidden="1" customHeight="1" x14ac:dyDescent="0.3">
      <c r="A1206" s="8">
        <v>49</v>
      </c>
      <c r="B1206" s="20" t="s">
        <v>111</v>
      </c>
      <c r="C1206" s="39" t="s">
        <v>63</v>
      </c>
      <c r="D1206" s="39" t="s">
        <v>374</v>
      </c>
      <c r="E1206" s="20" t="s">
        <v>291</v>
      </c>
      <c r="F1206" s="20" t="s">
        <v>291</v>
      </c>
      <c r="G1206" s="20" t="s">
        <v>234</v>
      </c>
      <c r="H1206" s="23">
        <v>7187.7</v>
      </c>
      <c r="I1206" s="23">
        <v>-7.72</v>
      </c>
      <c r="J1206" s="23">
        <v>0</v>
      </c>
      <c r="K1206" s="23">
        <v>0</v>
      </c>
      <c r="L1206" s="23">
        <v>-2677.5</v>
      </c>
      <c r="M1206" s="23">
        <v>-60</v>
      </c>
      <c r="N1206" s="23">
        <v>0</v>
      </c>
      <c r="O1206" s="24">
        <f t="shared" si="133"/>
        <v>4442.4799999999996</v>
      </c>
      <c r="P1206" s="23">
        <v>-2500</v>
      </c>
      <c r="Q1206" s="23">
        <v>0</v>
      </c>
      <c r="R1206" s="23">
        <v>0</v>
      </c>
      <c r="S1206" s="23">
        <v>0</v>
      </c>
      <c r="T1206" s="23">
        <v>-700</v>
      </c>
      <c r="U1206" s="23">
        <v>0</v>
      </c>
      <c r="V1206" s="23">
        <v>0</v>
      </c>
      <c r="W1206" s="23">
        <f t="shared" si="134"/>
        <v>1242.4799999999996</v>
      </c>
      <c r="X1206" s="23">
        <f t="shared" si="135"/>
        <v>1242.4799999999996</v>
      </c>
      <c r="Y1206" s="23">
        <f t="shared" si="136"/>
        <v>0</v>
      </c>
      <c r="Z1206" s="23">
        <v>0</v>
      </c>
      <c r="AA1206" s="23">
        <f t="shared" si="130"/>
        <v>0</v>
      </c>
      <c r="AB1206" s="23">
        <f t="shared" si="131"/>
        <v>3200</v>
      </c>
      <c r="AD1206" s="20" t="str">
        <f>VLOOKUP($C1206,'[1]CTRL AUTOS'!$E:$AH,2,0)</f>
        <v>X89ALV</v>
      </c>
      <c r="AE1206" s="11" t="str">
        <f t="shared" si="132"/>
        <v>X89ALV49</v>
      </c>
    </row>
    <row r="1207" spans="1:31" ht="11.85" hidden="1" customHeight="1" x14ac:dyDescent="0.3">
      <c r="A1207" s="8">
        <v>49</v>
      </c>
      <c r="B1207" s="20" t="s">
        <v>78</v>
      </c>
      <c r="C1207" s="44" t="s">
        <v>79</v>
      </c>
      <c r="D1207" s="39" t="s">
        <v>475</v>
      </c>
      <c r="E1207" s="20" t="s">
        <v>291</v>
      </c>
      <c r="F1207" s="20" t="s">
        <v>291</v>
      </c>
      <c r="G1207" s="20" t="s">
        <v>234</v>
      </c>
      <c r="H1207" s="23">
        <v>4926.43</v>
      </c>
      <c r="I1207" s="23">
        <v>0</v>
      </c>
      <c r="J1207" s="23">
        <v>0</v>
      </c>
      <c r="K1207" s="23">
        <v>-37.520000000000003</v>
      </c>
      <c r="L1207" s="23">
        <v>-1248.06</v>
      </c>
      <c r="M1207" s="23">
        <v>-60</v>
      </c>
      <c r="N1207" s="23">
        <v>0</v>
      </c>
      <c r="O1207" s="24">
        <f t="shared" si="133"/>
        <v>3580.85</v>
      </c>
      <c r="P1207" s="23">
        <v>-2142.85</v>
      </c>
      <c r="Q1207" s="23">
        <v>0</v>
      </c>
      <c r="R1207" s="23">
        <v>-500</v>
      </c>
      <c r="S1207" s="23">
        <v>0</v>
      </c>
      <c r="T1207" s="23">
        <v>0</v>
      </c>
      <c r="U1207" s="23">
        <v>0</v>
      </c>
      <c r="V1207" s="23">
        <v>0</v>
      </c>
      <c r="W1207" s="23">
        <f t="shared" si="134"/>
        <v>938</v>
      </c>
      <c r="X1207" s="23">
        <f t="shared" si="135"/>
        <v>938</v>
      </c>
      <c r="Y1207" s="23">
        <f t="shared" si="136"/>
        <v>0</v>
      </c>
      <c r="Z1207" s="23">
        <v>0</v>
      </c>
      <c r="AA1207" s="23">
        <f t="shared" si="130"/>
        <v>0</v>
      </c>
      <c r="AB1207" s="23">
        <f t="shared" si="131"/>
        <v>2642.85</v>
      </c>
      <c r="AD1207" s="20" t="str">
        <f>VLOOKUP($C1207,'[1]CTRL AUTOS'!$E:$AH,2,0)</f>
        <v>MAY737C</v>
      </c>
      <c r="AE1207" s="11" t="str">
        <f t="shared" si="132"/>
        <v>MAY737C49</v>
      </c>
    </row>
    <row r="1208" spans="1:31" ht="11.85" hidden="1" customHeight="1" x14ac:dyDescent="0.3">
      <c r="A1208" s="8">
        <v>49</v>
      </c>
      <c r="B1208" s="20" t="s">
        <v>68</v>
      </c>
      <c r="C1208" s="39" t="s">
        <v>69</v>
      </c>
      <c r="D1208" s="39" t="s">
        <v>370</v>
      </c>
      <c r="E1208" s="22" t="s">
        <v>241</v>
      </c>
      <c r="F1208" s="20" t="s">
        <v>291</v>
      </c>
      <c r="G1208" s="20" t="s">
        <v>234</v>
      </c>
      <c r="H1208" s="23">
        <v>6520.16</v>
      </c>
      <c r="I1208" s="23">
        <v>0</v>
      </c>
      <c r="J1208" s="23">
        <v>0</v>
      </c>
      <c r="K1208" s="23">
        <v>0</v>
      </c>
      <c r="L1208" s="23">
        <v>-2812.11</v>
      </c>
      <c r="M1208" s="23">
        <v>-60</v>
      </c>
      <c r="N1208" s="23">
        <v>0</v>
      </c>
      <c r="O1208" s="24">
        <f t="shared" si="133"/>
        <v>3648.0499999999997</v>
      </c>
      <c r="P1208" s="23">
        <v>-2500</v>
      </c>
      <c r="Q1208" s="23">
        <v>-12</v>
      </c>
      <c r="R1208" s="23">
        <v>0</v>
      </c>
      <c r="S1208" s="23">
        <v>0</v>
      </c>
      <c r="T1208" s="23">
        <v>0</v>
      </c>
      <c r="U1208" s="23">
        <v>-400</v>
      </c>
      <c r="V1208" s="23">
        <v>0</v>
      </c>
      <c r="W1208" s="23">
        <f t="shared" si="134"/>
        <v>736.04999999999973</v>
      </c>
      <c r="X1208" s="23">
        <f t="shared" si="135"/>
        <v>736.04999999999973</v>
      </c>
      <c r="Y1208" s="23">
        <f t="shared" si="136"/>
        <v>0</v>
      </c>
      <c r="Z1208" s="23">
        <v>0</v>
      </c>
      <c r="AA1208" s="23">
        <f t="shared" si="130"/>
        <v>0</v>
      </c>
      <c r="AB1208" s="23">
        <f t="shared" si="131"/>
        <v>2912</v>
      </c>
      <c r="AD1208" s="20" t="str">
        <f>VLOOKUP($C1208,'[1]CTRL AUTOS'!$E:$AH,2,0)</f>
        <v>R51BKD</v>
      </c>
      <c r="AE1208" s="11" t="str">
        <f t="shared" si="132"/>
        <v>R51BKD49</v>
      </c>
    </row>
    <row r="1209" spans="1:31" ht="11.85" hidden="1" customHeight="1" x14ac:dyDescent="0.3">
      <c r="A1209" s="8">
        <v>49</v>
      </c>
      <c r="B1209" s="20" t="s">
        <v>72</v>
      </c>
      <c r="C1209" s="39" t="s">
        <v>73</v>
      </c>
      <c r="D1209" s="39" t="s">
        <v>368</v>
      </c>
      <c r="E1209" s="22" t="s">
        <v>241</v>
      </c>
      <c r="F1209" s="20" t="s">
        <v>291</v>
      </c>
      <c r="G1209" s="20" t="s">
        <v>234</v>
      </c>
      <c r="H1209" s="23">
        <v>9009.23</v>
      </c>
      <c r="I1209" s="23">
        <v>-131.19999999999999</v>
      </c>
      <c r="J1209" s="23">
        <v>0</v>
      </c>
      <c r="K1209" s="23">
        <v>-74.97</v>
      </c>
      <c r="L1209" s="23">
        <v>-4630.32</v>
      </c>
      <c r="M1209" s="23">
        <v>-60</v>
      </c>
      <c r="N1209" s="23">
        <v>-252</v>
      </c>
      <c r="O1209" s="24">
        <f t="shared" si="133"/>
        <v>3860.74</v>
      </c>
      <c r="P1209" s="23">
        <v>-2500</v>
      </c>
      <c r="Q1209" s="23">
        <v>0</v>
      </c>
      <c r="R1209" s="23">
        <v>0</v>
      </c>
      <c r="S1209" s="23">
        <v>0</v>
      </c>
      <c r="T1209" s="23">
        <v>-700</v>
      </c>
      <c r="U1209" s="23">
        <v>0</v>
      </c>
      <c r="V1209" s="23">
        <v>0</v>
      </c>
      <c r="W1209" s="23">
        <f t="shared" si="134"/>
        <v>660.73999999999978</v>
      </c>
      <c r="X1209" s="23">
        <f t="shared" si="135"/>
        <v>660.73999999999978</v>
      </c>
      <c r="Y1209" s="23">
        <f t="shared" si="136"/>
        <v>0</v>
      </c>
      <c r="Z1209" s="23">
        <v>0</v>
      </c>
      <c r="AA1209" s="23">
        <f t="shared" si="130"/>
        <v>0</v>
      </c>
      <c r="AB1209" s="23">
        <f t="shared" si="131"/>
        <v>3200</v>
      </c>
      <c r="AD1209" s="20" t="str">
        <f>VLOOKUP($C1209,'[1]CTRL AUTOS'!$E:$AH,2,0)</f>
        <v>H99BLC</v>
      </c>
      <c r="AE1209" s="11" t="str">
        <f t="shared" si="132"/>
        <v>H99BLC49</v>
      </c>
    </row>
    <row r="1210" spans="1:31" ht="11.85" hidden="1" customHeight="1" x14ac:dyDescent="0.3">
      <c r="A1210" s="8">
        <v>49</v>
      </c>
      <c r="B1210" s="20" t="s">
        <v>57</v>
      </c>
      <c r="C1210" s="39" t="s">
        <v>16</v>
      </c>
      <c r="D1210" s="39" t="s">
        <v>314</v>
      </c>
      <c r="E1210" s="20" t="s">
        <v>232</v>
      </c>
      <c r="F1210" s="20" t="s">
        <v>291</v>
      </c>
      <c r="G1210" s="20" t="s">
        <v>234</v>
      </c>
      <c r="H1210" s="23">
        <v>0</v>
      </c>
      <c r="I1210" s="23">
        <v>0</v>
      </c>
      <c r="J1210" s="23">
        <v>0</v>
      </c>
      <c r="K1210" s="23">
        <v>0</v>
      </c>
      <c r="L1210" s="23">
        <v>0</v>
      </c>
      <c r="M1210" s="23">
        <v>0</v>
      </c>
      <c r="N1210" s="23">
        <v>0</v>
      </c>
      <c r="O1210" s="24">
        <f t="shared" si="133"/>
        <v>0</v>
      </c>
      <c r="P1210" s="23">
        <v>0</v>
      </c>
      <c r="Q1210" s="23">
        <v>0</v>
      </c>
      <c r="R1210" s="23">
        <v>500</v>
      </c>
      <c r="S1210" s="23">
        <v>0</v>
      </c>
      <c r="T1210" s="23">
        <v>0</v>
      </c>
      <c r="U1210" s="23">
        <v>0</v>
      </c>
      <c r="V1210" s="23">
        <v>0</v>
      </c>
      <c r="W1210" s="23">
        <f t="shared" si="134"/>
        <v>500</v>
      </c>
      <c r="X1210" s="23">
        <f t="shared" si="135"/>
        <v>500</v>
      </c>
      <c r="Y1210" s="23">
        <f t="shared" si="136"/>
        <v>0</v>
      </c>
      <c r="Z1210" s="23">
        <v>0</v>
      </c>
      <c r="AA1210" s="23">
        <f t="shared" si="130"/>
        <v>0</v>
      </c>
      <c r="AB1210" s="23">
        <f t="shared" si="131"/>
        <v>-500</v>
      </c>
      <c r="AD1210" s="20" t="str">
        <f>VLOOKUP($C1210,'[1]CTRL AUTOS'!$E:$AH,2,0)</f>
        <v>D28BET</v>
      </c>
      <c r="AE1210" s="11" t="str">
        <f t="shared" si="132"/>
        <v>D28BET49</v>
      </c>
    </row>
    <row r="1211" spans="1:31" ht="11.85" hidden="1" customHeight="1" x14ac:dyDescent="0.3">
      <c r="A1211" s="8">
        <v>49</v>
      </c>
      <c r="B1211" s="20" t="s">
        <v>444</v>
      </c>
      <c r="C1211" s="39" t="s">
        <v>44</v>
      </c>
      <c r="D1211" s="39" t="s">
        <v>467</v>
      </c>
      <c r="E1211" s="22" t="s">
        <v>232</v>
      </c>
      <c r="F1211" s="20" t="s">
        <v>232</v>
      </c>
      <c r="G1211" s="20" t="s">
        <v>234</v>
      </c>
      <c r="H1211" s="23">
        <v>0</v>
      </c>
      <c r="I1211" s="23">
        <v>0</v>
      </c>
      <c r="J1211" s="23">
        <v>0</v>
      </c>
      <c r="K1211" s="23">
        <v>0</v>
      </c>
      <c r="L1211" s="23">
        <v>0</v>
      </c>
      <c r="M1211" s="23">
        <v>0</v>
      </c>
      <c r="N1211" s="23">
        <v>0</v>
      </c>
      <c r="O1211" s="24">
        <f t="shared" si="133"/>
        <v>0</v>
      </c>
      <c r="P1211" s="23">
        <v>0</v>
      </c>
      <c r="Q1211" s="23">
        <v>0</v>
      </c>
      <c r="R1211" s="23">
        <v>1000</v>
      </c>
      <c r="S1211" s="23">
        <v>0</v>
      </c>
      <c r="T1211" s="23">
        <v>0</v>
      </c>
      <c r="U1211" s="23">
        <v>0</v>
      </c>
      <c r="V1211" s="23">
        <v>0</v>
      </c>
      <c r="W1211" s="23">
        <f t="shared" si="134"/>
        <v>1000</v>
      </c>
      <c r="X1211" s="23">
        <f t="shared" si="135"/>
        <v>1000</v>
      </c>
      <c r="Y1211" s="23">
        <f t="shared" si="136"/>
        <v>0</v>
      </c>
      <c r="Z1211" s="23">
        <v>0</v>
      </c>
      <c r="AA1211" s="23">
        <f t="shared" si="130"/>
        <v>0</v>
      </c>
      <c r="AB1211" s="23">
        <f t="shared" si="131"/>
        <v>-1000</v>
      </c>
      <c r="AD1211" s="20" t="str">
        <f>VLOOKUP($C1211,'[1]CTRL AUTOS'!$E:$AH,2,0)</f>
        <v>MAY730C</v>
      </c>
      <c r="AE1211" s="11" t="str">
        <f t="shared" si="132"/>
        <v>MAY730C49</v>
      </c>
    </row>
    <row r="1212" spans="1:31" ht="11.85" hidden="1" customHeight="1" x14ac:dyDescent="0.3">
      <c r="A1212" s="8">
        <v>49</v>
      </c>
      <c r="B1212" s="20" t="s">
        <v>82</v>
      </c>
      <c r="C1212" s="39" t="s">
        <v>83</v>
      </c>
      <c r="D1212" s="39" t="s">
        <v>237</v>
      </c>
      <c r="E1212" s="20" t="s">
        <v>232</v>
      </c>
      <c r="F1212" s="20" t="s">
        <v>232</v>
      </c>
      <c r="G1212" s="20" t="s">
        <v>234</v>
      </c>
      <c r="H1212" s="23">
        <v>0</v>
      </c>
      <c r="I1212" s="23">
        <v>0</v>
      </c>
      <c r="J1212" s="23">
        <v>0</v>
      </c>
      <c r="K1212" s="23">
        <v>0</v>
      </c>
      <c r="L1212" s="23">
        <v>0</v>
      </c>
      <c r="M1212" s="23">
        <v>0</v>
      </c>
      <c r="N1212" s="23">
        <v>0</v>
      </c>
      <c r="O1212" s="24">
        <f t="shared" si="133"/>
        <v>0</v>
      </c>
      <c r="P1212" s="23">
        <v>-2700</v>
      </c>
      <c r="Q1212" s="23">
        <v>0</v>
      </c>
      <c r="R1212" s="23">
        <v>0</v>
      </c>
      <c r="S1212" s="23">
        <v>0</v>
      </c>
      <c r="T1212" s="23">
        <v>0</v>
      </c>
      <c r="U1212" s="23">
        <v>0</v>
      </c>
      <c r="V1212" s="23">
        <v>0</v>
      </c>
      <c r="W1212" s="23">
        <f t="shared" si="134"/>
        <v>-2700</v>
      </c>
      <c r="X1212" s="23">
        <f t="shared" si="135"/>
        <v>0</v>
      </c>
      <c r="Y1212" s="23">
        <f t="shared" si="136"/>
        <v>-2700</v>
      </c>
      <c r="Z1212" s="23">
        <v>2700</v>
      </c>
      <c r="AA1212" s="23">
        <f t="shared" si="130"/>
        <v>0</v>
      </c>
      <c r="AB1212" s="23">
        <f t="shared" si="131"/>
        <v>2700</v>
      </c>
      <c r="AC1212" s="11" t="s">
        <v>397</v>
      </c>
      <c r="AD1212" s="20" t="str">
        <f>VLOOKUP($C1212,'[1]CTRL AUTOS'!$E:$AH,2,0)</f>
        <v>MZN057C</v>
      </c>
      <c r="AE1212" s="11" t="str">
        <f t="shared" si="132"/>
        <v>MZN057C49</v>
      </c>
    </row>
    <row r="1213" spans="1:31" ht="15" hidden="1" customHeight="1" x14ac:dyDescent="0.3">
      <c r="A1213" s="8">
        <v>50</v>
      </c>
      <c r="B1213" s="20" t="s">
        <v>13</v>
      </c>
      <c r="C1213" s="39" t="s">
        <v>14</v>
      </c>
      <c r="D1213" s="39" t="s">
        <v>505</v>
      </c>
      <c r="E1213" s="20" t="s">
        <v>232</v>
      </c>
      <c r="F1213" s="20" t="s">
        <v>232</v>
      </c>
      <c r="G1213" s="20" t="s">
        <v>234</v>
      </c>
      <c r="H1213" s="23">
        <v>5892.29</v>
      </c>
      <c r="I1213" s="23">
        <v>0</v>
      </c>
      <c r="J1213" s="23">
        <v>0</v>
      </c>
      <c r="K1213" s="23">
        <v>0</v>
      </c>
      <c r="L1213" s="23">
        <v>0</v>
      </c>
      <c r="M1213" s="23">
        <v>-65</v>
      </c>
      <c r="N1213" s="23">
        <v>0</v>
      </c>
      <c r="O1213" s="24">
        <f t="shared" si="133"/>
        <v>5827.29</v>
      </c>
      <c r="P1213" s="23">
        <v>-2700</v>
      </c>
      <c r="Q1213" s="23">
        <v>0</v>
      </c>
      <c r="R1213" s="23">
        <v>0</v>
      </c>
      <c r="S1213" s="23">
        <v>0</v>
      </c>
      <c r="T1213" s="23">
        <v>0</v>
      </c>
      <c r="U1213" s="23">
        <v>0</v>
      </c>
      <c r="V1213" s="23">
        <v>0</v>
      </c>
      <c r="W1213" s="23">
        <f t="shared" si="134"/>
        <v>3127.29</v>
      </c>
      <c r="X1213" s="23">
        <f t="shared" si="135"/>
        <v>3127.29</v>
      </c>
      <c r="Y1213" s="23">
        <f t="shared" si="136"/>
        <v>0</v>
      </c>
      <c r="Z1213" s="23">
        <v>0</v>
      </c>
      <c r="AA1213" s="23">
        <f t="shared" si="130"/>
        <v>0</v>
      </c>
      <c r="AB1213" s="23">
        <f t="shared" si="131"/>
        <v>2700</v>
      </c>
      <c r="AC1213" s="11" t="s">
        <v>482</v>
      </c>
      <c r="AD1213" s="20" t="str">
        <f>VLOOKUP($C1213,'[1]CTRL AUTOS'!$E:$AH,2,0)</f>
        <v>MXM503C</v>
      </c>
      <c r="AE1213" s="11" t="str">
        <f t="shared" si="132"/>
        <v>MXM503C50</v>
      </c>
    </row>
    <row r="1214" spans="1:31" ht="15" hidden="1" customHeight="1" x14ac:dyDescent="0.3">
      <c r="A1214" s="8">
        <v>50</v>
      </c>
      <c r="B1214" s="20" t="s">
        <v>11</v>
      </c>
      <c r="C1214" s="39" t="s">
        <v>12</v>
      </c>
      <c r="D1214" s="39" t="s">
        <v>509</v>
      </c>
      <c r="E1214" s="20" t="s">
        <v>232</v>
      </c>
      <c r="F1214" s="20" t="s">
        <v>232</v>
      </c>
      <c r="G1214" s="20" t="s">
        <v>234</v>
      </c>
      <c r="H1214" s="23">
        <v>8978.07</v>
      </c>
      <c r="I1214" s="23">
        <v>-51.45</v>
      </c>
      <c r="J1214" s="23">
        <v>0</v>
      </c>
      <c r="K1214" s="23">
        <v>0</v>
      </c>
      <c r="L1214" s="23">
        <v>-2054.0300000000002</v>
      </c>
      <c r="M1214" s="23">
        <v>-60</v>
      </c>
      <c r="N1214" s="23">
        <v>0</v>
      </c>
      <c r="O1214" s="24">
        <f t="shared" si="133"/>
        <v>6812.5899999999983</v>
      </c>
      <c r="P1214" s="23">
        <v>-2700</v>
      </c>
      <c r="Q1214" s="23">
        <v>0</v>
      </c>
      <c r="R1214" s="23">
        <v>0</v>
      </c>
      <c r="S1214" s="23">
        <v>0</v>
      </c>
      <c r="T1214" s="23">
        <v>0</v>
      </c>
      <c r="U1214" s="23">
        <v>-400</v>
      </c>
      <c r="V1214" s="23">
        <v>0</v>
      </c>
      <c r="W1214" s="23">
        <f t="shared" si="134"/>
        <v>3712.5899999999983</v>
      </c>
      <c r="X1214" s="23">
        <f t="shared" si="135"/>
        <v>3712.5899999999983</v>
      </c>
      <c r="Y1214" s="23">
        <f t="shared" si="136"/>
        <v>0</v>
      </c>
      <c r="Z1214" s="23">
        <v>0</v>
      </c>
      <c r="AA1214" s="23">
        <f t="shared" si="130"/>
        <v>0</v>
      </c>
      <c r="AB1214" s="23">
        <f t="shared" si="131"/>
        <v>3100</v>
      </c>
      <c r="AC1214" s="11" t="s">
        <v>482</v>
      </c>
      <c r="AD1214" s="20" t="str">
        <f>VLOOKUP($C1214,'[1]CTRL AUTOS'!$E:$AH,2,0)</f>
        <v>MXM510C</v>
      </c>
      <c r="AE1214" s="11" t="str">
        <f t="shared" si="132"/>
        <v>MXM510C50</v>
      </c>
    </row>
    <row r="1215" spans="1:31" ht="15" hidden="1" customHeight="1" x14ac:dyDescent="0.3">
      <c r="A1215" s="8">
        <v>50</v>
      </c>
      <c r="B1215" s="20" t="s">
        <v>35</v>
      </c>
      <c r="C1215" s="20" t="s">
        <v>36</v>
      </c>
      <c r="D1215" s="39" t="s">
        <v>510</v>
      </c>
      <c r="E1215" s="20" t="s">
        <v>232</v>
      </c>
      <c r="F1215" s="20" t="s">
        <v>232</v>
      </c>
      <c r="G1215" s="20" t="s">
        <v>234</v>
      </c>
      <c r="H1215" s="23">
        <v>9143.77</v>
      </c>
      <c r="I1215" s="23">
        <v>-175.2</v>
      </c>
      <c r="J1215" s="23">
        <v>0</v>
      </c>
      <c r="K1215" s="23">
        <v>0</v>
      </c>
      <c r="L1215" s="23">
        <v>-4900.28</v>
      </c>
      <c r="M1215" s="23">
        <v>-80</v>
      </c>
      <c r="N1215" s="23">
        <v>0</v>
      </c>
      <c r="O1215" s="24">
        <f t="shared" si="133"/>
        <v>3988.29</v>
      </c>
      <c r="P1215" s="23">
        <v>-2500</v>
      </c>
      <c r="Q1215" s="23">
        <v>43</v>
      </c>
      <c r="R1215" s="23">
        <v>0</v>
      </c>
      <c r="S1215" s="23">
        <v>0</v>
      </c>
      <c r="T1215" s="23">
        <v>-500</v>
      </c>
      <c r="U1215" s="23">
        <v>0</v>
      </c>
      <c r="V1215" s="23">
        <v>0</v>
      </c>
      <c r="W1215" s="23">
        <f t="shared" si="134"/>
        <v>1031.29</v>
      </c>
      <c r="X1215" s="23">
        <f t="shared" si="135"/>
        <v>1031.29</v>
      </c>
      <c r="Y1215" s="23">
        <f t="shared" si="136"/>
        <v>0</v>
      </c>
      <c r="Z1215" s="23">
        <v>0</v>
      </c>
      <c r="AA1215" s="23">
        <f t="shared" si="130"/>
        <v>0</v>
      </c>
      <c r="AB1215" s="23">
        <f t="shared" si="131"/>
        <v>2957</v>
      </c>
      <c r="AC1215" s="11" t="s">
        <v>523</v>
      </c>
      <c r="AD1215" s="20" t="str">
        <f>VLOOKUP($C1215,'[1]CTRL AUTOS'!$E:$AH,2,0)</f>
        <v>MLC126A</v>
      </c>
      <c r="AE1215" s="11" t="str">
        <f t="shared" si="132"/>
        <v>MLC126A50</v>
      </c>
    </row>
    <row r="1216" spans="1:31" ht="15" hidden="1" customHeight="1" x14ac:dyDescent="0.3">
      <c r="A1216" s="8">
        <v>50</v>
      </c>
      <c r="B1216" s="20" t="s">
        <v>25</v>
      </c>
      <c r="C1216" s="39" t="s">
        <v>26</v>
      </c>
      <c r="D1216" s="39" t="s">
        <v>237</v>
      </c>
      <c r="E1216" s="20" t="s">
        <v>232</v>
      </c>
      <c r="F1216" s="20" t="s">
        <v>291</v>
      </c>
      <c r="G1216" s="20" t="s">
        <v>234</v>
      </c>
      <c r="H1216" s="23">
        <v>3884.02</v>
      </c>
      <c r="I1216" s="23">
        <v>0</v>
      </c>
      <c r="J1216" s="23">
        <v>0</v>
      </c>
      <c r="K1216" s="23">
        <v>0</v>
      </c>
      <c r="L1216" s="23">
        <v>-1730.8</v>
      </c>
      <c r="M1216" s="23">
        <v>-30</v>
      </c>
      <c r="N1216" s="23">
        <v>0</v>
      </c>
      <c r="O1216" s="24">
        <f t="shared" si="133"/>
        <v>2123.2200000000003</v>
      </c>
      <c r="P1216" s="23">
        <v>-1428.57</v>
      </c>
      <c r="Q1216" s="23">
        <v>0</v>
      </c>
      <c r="R1216" s="23">
        <v>0</v>
      </c>
      <c r="S1216" s="23">
        <v>0</v>
      </c>
      <c r="T1216" s="23">
        <v>0</v>
      </c>
      <c r="U1216" s="23">
        <v>-250</v>
      </c>
      <c r="V1216" s="23">
        <v>0</v>
      </c>
      <c r="W1216" s="23">
        <f t="shared" si="134"/>
        <v>444.65000000000032</v>
      </c>
      <c r="X1216" s="23">
        <f t="shared" si="135"/>
        <v>444.65000000000032</v>
      </c>
      <c r="Y1216" s="23">
        <f t="shared" si="136"/>
        <v>0</v>
      </c>
      <c r="Z1216" s="23">
        <v>0</v>
      </c>
      <c r="AA1216" s="23">
        <f t="shared" si="130"/>
        <v>0</v>
      </c>
      <c r="AB1216" s="23">
        <f t="shared" si="131"/>
        <v>1678.57</v>
      </c>
      <c r="AC1216" s="11" t="s">
        <v>524</v>
      </c>
      <c r="AD1216" s="20" t="str">
        <f>VLOOKUP($C1216,'[1]CTRL AUTOS'!$E:$AH,2,0)</f>
        <v>MWV156C</v>
      </c>
      <c r="AE1216" s="11" t="str">
        <f t="shared" si="132"/>
        <v>MWV156C50</v>
      </c>
    </row>
    <row r="1217" spans="1:31" ht="15" hidden="1" customHeight="1" x14ac:dyDescent="0.3">
      <c r="A1217" s="8">
        <v>50</v>
      </c>
      <c r="B1217" s="20" t="s">
        <v>25</v>
      </c>
      <c r="C1217" s="20" t="s">
        <v>67</v>
      </c>
      <c r="D1217" s="39" t="s">
        <v>511</v>
      </c>
      <c r="E1217" s="20" t="s">
        <v>232</v>
      </c>
      <c r="F1217" s="20" t="s">
        <v>232</v>
      </c>
      <c r="G1217" s="20" t="s">
        <v>234</v>
      </c>
      <c r="H1217" s="23">
        <v>1048.57</v>
      </c>
      <c r="I1217" s="23">
        <v>0</v>
      </c>
      <c r="J1217" s="23">
        <v>0</v>
      </c>
      <c r="K1217" s="23">
        <v>0</v>
      </c>
      <c r="L1217" s="23">
        <v>-723.9</v>
      </c>
      <c r="M1217" s="23">
        <v>-35</v>
      </c>
      <c r="N1217" s="23">
        <v>0</v>
      </c>
      <c r="O1217" s="24">
        <f t="shared" si="133"/>
        <v>289.66999999999996</v>
      </c>
      <c r="P1217" s="23">
        <v>-1071.72</v>
      </c>
      <c r="Q1217" s="23">
        <v>-319</v>
      </c>
      <c r="R1217" s="23">
        <v>0</v>
      </c>
      <c r="S1217" s="23">
        <v>0</v>
      </c>
      <c r="T1217" s="23">
        <v>0</v>
      </c>
      <c r="U1217" s="23">
        <v>0</v>
      </c>
      <c r="V1217" s="23">
        <v>0</v>
      </c>
      <c r="W1217" s="23">
        <f t="shared" si="134"/>
        <v>-1101.0500000000002</v>
      </c>
      <c r="X1217" s="23">
        <f t="shared" si="135"/>
        <v>0</v>
      </c>
      <c r="Y1217" s="23">
        <f t="shared" si="136"/>
        <v>-1101.0500000000002</v>
      </c>
      <c r="Z1217" s="23">
        <f>445+656+700</f>
        <v>1801</v>
      </c>
      <c r="AA1217" s="23">
        <f t="shared" si="130"/>
        <v>699.94999999999982</v>
      </c>
      <c r="AB1217" s="23">
        <f t="shared" si="131"/>
        <v>2790.62</v>
      </c>
      <c r="AC1217" s="11" t="s">
        <v>525</v>
      </c>
      <c r="AD1217" s="20" t="str">
        <f>VLOOKUP($C1217,'[1]CTRL AUTOS'!$E:$AH,2,0)</f>
        <v>MFP751C</v>
      </c>
      <c r="AE1217" s="11" t="str">
        <f t="shared" si="132"/>
        <v>MFP751C50</v>
      </c>
    </row>
    <row r="1218" spans="1:31" ht="15" hidden="1" customHeight="1" x14ac:dyDescent="0.3">
      <c r="A1218" s="8">
        <v>50</v>
      </c>
      <c r="B1218" s="20" t="s">
        <v>49</v>
      </c>
      <c r="C1218" s="20" t="s">
        <v>50</v>
      </c>
      <c r="D1218" s="39" t="s">
        <v>480</v>
      </c>
      <c r="E1218" s="20" t="s">
        <v>232</v>
      </c>
      <c r="F1218" s="20" t="s">
        <v>232</v>
      </c>
      <c r="G1218" s="20" t="s">
        <v>234</v>
      </c>
      <c r="H1218" s="23">
        <v>7951.5</v>
      </c>
      <c r="I1218" s="23">
        <v>-52</v>
      </c>
      <c r="J1218" s="23">
        <v>125.79</v>
      </c>
      <c r="K1218" s="23">
        <v>0</v>
      </c>
      <c r="L1218" s="23">
        <v>-501.94</v>
      </c>
      <c r="M1218" s="23">
        <v>-65</v>
      </c>
      <c r="N1218" s="23">
        <v>0</v>
      </c>
      <c r="O1218" s="24">
        <f t="shared" si="133"/>
        <v>7458.35</v>
      </c>
      <c r="P1218" s="23">
        <v>-2321.42</v>
      </c>
      <c r="Q1218" s="23">
        <v>0</v>
      </c>
      <c r="R1218" s="23">
        <v>0</v>
      </c>
      <c r="S1218" s="23">
        <v>0</v>
      </c>
      <c r="T1218" s="23">
        <v>-700</v>
      </c>
      <c r="U1218" s="23">
        <v>0</v>
      </c>
      <c r="V1218" s="23">
        <v>0</v>
      </c>
      <c r="W1218" s="23">
        <f t="shared" si="134"/>
        <v>4436.93</v>
      </c>
      <c r="X1218" s="23">
        <f t="shared" si="135"/>
        <v>4436.93</v>
      </c>
      <c r="Y1218" s="23">
        <f t="shared" si="136"/>
        <v>0</v>
      </c>
      <c r="Z1218" s="23">
        <v>0</v>
      </c>
      <c r="AA1218" s="23">
        <f t="shared" si="130"/>
        <v>0</v>
      </c>
      <c r="AB1218" s="23">
        <f t="shared" si="131"/>
        <v>3021.42</v>
      </c>
      <c r="AC1218" s="11" t="s">
        <v>482</v>
      </c>
      <c r="AD1218" s="20" t="str">
        <f>VLOOKUP($C1218,'[1]CTRL AUTOS'!$E:$AH,2,0)</f>
        <v>NBS225A</v>
      </c>
      <c r="AE1218" s="11" t="str">
        <f t="shared" si="132"/>
        <v>NBS225A50</v>
      </c>
    </row>
    <row r="1219" spans="1:31" ht="15" hidden="1" customHeight="1" x14ac:dyDescent="0.3">
      <c r="A1219" s="8">
        <v>50</v>
      </c>
      <c r="B1219" s="20" t="s">
        <v>47</v>
      </c>
      <c r="C1219" s="39" t="s">
        <v>106</v>
      </c>
      <c r="D1219" s="39" t="s">
        <v>322</v>
      </c>
      <c r="E1219" s="20" t="s">
        <v>232</v>
      </c>
      <c r="F1219" s="20" t="s">
        <v>232</v>
      </c>
      <c r="G1219" s="20" t="s">
        <v>234</v>
      </c>
      <c r="H1219" s="23">
        <v>6540.46</v>
      </c>
      <c r="I1219" s="23">
        <v>-60.51</v>
      </c>
      <c r="J1219" s="23">
        <v>0</v>
      </c>
      <c r="K1219" s="23">
        <v>-70.09</v>
      </c>
      <c r="L1219" s="23">
        <v>-1175.6199999999999</v>
      </c>
      <c r="M1219" s="23">
        <v>-30</v>
      </c>
      <c r="N1219" s="23">
        <v>0</v>
      </c>
      <c r="O1219" s="24">
        <f t="shared" si="133"/>
        <v>5204.24</v>
      </c>
      <c r="P1219" s="23">
        <v>-2500</v>
      </c>
      <c r="Q1219" s="23">
        <v>0</v>
      </c>
      <c r="R1219" s="23">
        <v>-500</v>
      </c>
      <c r="S1219" s="23">
        <v>0</v>
      </c>
      <c r="T1219" s="23">
        <v>0</v>
      </c>
      <c r="U1219" s="23">
        <v>0</v>
      </c>
      <c r="V1219" s="23">
        <v>0</v>
      </c>
      <c r="W1219" s="23">
        <f t="shared" si="134"/>
        <v>2204.2399999999998</v>
      </c>
      <c r="X1219" s="23">
        <f t="shared" si="135"/>
        <v>2204.2399999999998</v>
      </c>
      <c r="Y1219" s="23">
        <f t="shared" si="136"/>
        <v>0</v>
      </c>
      <c r="Z1219" s="23">
        <v>0</v>
      </c>
      <c r="AA1219" s="23">
        <f t="shared" ref="AA1219:AA1282" si="137">+Y1219+Z1219</f>
        <v>0</v>
      </c>
      <c r="AB1219" s="23">
        <f t="shared" ref="AB1219:AB1282" si="138">+O1219-X1219+Z1219+AA1219</f>
        <v>3000</v>
      </c>
      <c r="AC1219" s="11" t="s">
        <v>482</v>
      </c>
      <c r="AD1219" s="20" t="str">
        <f>VLOOKUP($C1219,'[1]CTRL AUTOS'!$E:$AH,2,0)</f>
        <v>NZU5163</v>
      </c>
      <c r="AE1219" s="11" t="str">
        <f t="shared" si="132"/>
        <v>NZU516350</v>
      </c>
    </row>
    <row r="1220" spans="1:31" ht="15" hidden="1" customHeight="1" x14ac:dyDescent="0.3">
      <c r="A1220" s="8">
        <v>50</v>
      </c>
      <c r="B1220" s="20" t="s">
        <v>19</v>
      </c>
      <c r="C1220" s="39" t="s">
        <v>54</v>
      </c>
      <c r="D1220" s="39" t="s">
        <v>318</v>
      </c>
      <c r="E1220" s="20" t="s">
        <v>232</v>
      </c>
      <c r="F1220" s="20" t="s">
        <v>232</v>
      </c>
      <c r="G1220" s="20" t="s">
        <v>234</v>
      </c>
      <c r="H1220" s="23">
        <v>9776.66</v>
      </c>
      <c r="I1220" s="23">
        <v>-171.64</v>
      </c>
      <c r="J1220" s="23">
        <v>0</v>
      </c>
      <c r="K1220" s="23">
        <v>-63.7</v>
      </c>
      <c r="L1220" s="23">
        <v>0</v>
      </c>
      <c r="M1220" s="23">
        <v>-20</v>
      </c>
      <c r="N1220" s="23">
        <v>-134</v>
      </c>
      <c r="O1220" s="24">
        <f t="shared" si="133"/>
        <v>9387.32</v>
      </c>
      <c r="P1220" s="23">
        <v>-2142.85</v>
      </c>
      <c r="Q1220" s="23">
        <v>0</v>
      </c>
      <c r="R1220" s="23">
        <v>0</v>
      </c>
      <c r="S1220" s="23">
        <v>0</v>
      </c>
      <c r="T1220" s="23">
        <v>0</v>
      </c>
      <c r="U1220" s="23">
        <v>-880</v>
      </c>
      <c r="V1220" s="23">
        <v>0</v>
      </c>
      <c r="W1220" s="23">
        <f t="shared" si="134"/>
        <v>6364.4699999999993</v>
      </c>
      <c r="X1220" s="23">
        <f t="shared" si="135"/>
        <v>6364.4699999999993</v>
      </c>
      <c r="Y1220" s="23">
        <f t="shared" si="136"/>
        <v>0</v>
      </c>
      <c r="Z1220" s="23">
        <v>0</v>
      </c>
      <c r="AA1220" s="23">
        <f t="shared" si="137"/>
        <v>0</v>
      </c>
      <c r="AB1220" s="23">
        <f t="shared" si="138"/>
        <v>3022.8500000000004</v>
      </c>
      <c r="AC1220" s="11" t="s">
        <v>482</v>
      </c>
      <c r="AD1220" s="20" t="str">
        <f>VLOOKUP($C1220,'[1]CTRL AUTOS'!$E:$AH,2,0)</f>
        <v>NZY685B</v>
      </c>
      <c r="AE1220" s="11" t="str">
        <f t="shared" ref="AE1220:AE1283" si="139">AD1220&amp;A1220</f>
        <v>NZY685B50</v>
      </c>
    </row>
    <row r="1221" spans="1:31" ht="15" hidden="1" customHeight="1" x14ac:dyDescent="0.3">
      <c r="A1221" s="8">
        <v>50</v>
      </c>
      <c r="B1221" s="20" t="s">
        <v>51</v>
      </c>
      <c r="C1221" s="39" t="s">
        <v>52</v>
      </c>
      <c r="D1221" s="39" t="s">
        <v>313</v>
      </c>
      <c r="E1221" s="20" t="s">
        <v>232</v>
      </c>
      <c r="F1221" s="20" t="s">
        <v>232</v>
      </c>
      <c r="G1221" s="20" t="s">
        <v>234</v>
      </c>
      <c r="H1221" s="23">
        <v>5193.51</v>
      </c>
      <c r="I1221" s="23">
        <v>-32.67</v>
      </c>
      <c r="J1221" s="23">
        <v>0</v>
      </c>
      <c r="K1221" s="23">
        <v>-35.119999999999997</v>
      </c>
      <c r="L1221" s="23">
        <v>-898.95</v>
      </c>
      <c r="M1221" s="23">
        <v>-40</v>
      </c>
      <c r="N1221" s="23">
        <v>0</v>
      </c>
      <c r="O1221" s="24">
        <f t="shared" si="133"/>
        <v>4186.7700000000004</v>
      </c>
      <c r="P1221" s="23">
        <v>-2500</v>
      </c>
      <c r="Q1221" s="23">
        <v>88</v>
      </c>
      <c r="R1221" s="23">
        <v>0</v>
      </c>
      <c r="S1221" s="23">
        <v>0</v>
      </c>
      <c r="T1221" s="23">
        <v>0</v>
      </c>
      <c r="U1221" s="23">
        <v>0</v>
      </c>
      <c r="V1221" s="23">
        <v>0</v>
      </c>
      <c r="W1221" s="23">
        <f t="shared" si="134"/>
        <v>1774.7700000000004</v>
      </c>
      <c r="X1221" s="23">
        <f t="shared" si="135"/>
        <v>1774.7700000000004</v>
      </c>
      <c r="Y1221" s="23">
        <f t="shared" si="136"/>
        <v>0</v>
      </c>
      <c r="Z1221" s="23">
        <v>0</v>
      </c>
      <c r="AA1221" s="23">
        <f t="shared" si="137"/>
        <v>0</v>
      </c>
      <c r="AB1221" s="23">
        <f t="shared" si="138"/>
        <v>2412</v>
      </c>
      <c r="AC1221" s="11" t="s">
        <v>482</v>
      </c>
      <c r="AD1221" s="20" t="str">
        <f>VLOOKUP($C1221,'[1]CTRL AUTOS'!$E:$AH,2,0)</f>
        <v>A35BHD</v>
      </c>
      <c r="AE1221" s="11" t="str">
        <f t="shared" si="139"/>
        <v>A35BHD50</v>
      </c>
    </row>
    <row r="1222" spans="1:31" ht="15" hidden="1" customHeight="1" x14ac:dyDescent="0.3">
      <c r="A1222" s="8">
        <v>50</v>
      </c>
      <c r="B1222" s="20" t="s">
        <v>45</v>
      </c>
      <c r="C1222" s="39" t="s">
        <v>46</v>
      </c>
      <c r="D1222" s="39" t="s">
        <v>257</v>
      </c>
      <c r="E1222" s="20" t="s">
        <v>232</v>
      </c>
      <c r="F1222" s="20" t="s">
        <v>232</v>
      </c>
      <c r="G1222" s="20" t="s">
        <v>234</v>
      </c>
      <c r="H1222" s="23">
        <v>2776.47</v>
      </c>
      <c r="I1222" s="23">
        <v>0</v>
      </c>
      <c r="J1222" s="23">
        <v>0</v>
      </c>
      <c r="K1222" s="23">
        <v>0</v>
      </c>
      <c r="L1222" s="23">
        <v>-962.2</v>
      </c>
      <c r="M1222" s="23">
        <v>-40</v>
      </c>
      <c r="N1222" s="23">
        <v>0</v>
      </c>
      <c r="O1222" s="24">
        <f t="shared" si="133"/>
        <v>1774.2699999999998</v>
      </c>
      <c r="P1222" s="23">
        <v>-2500</v>
      </c>
      <c r="Q1222" s="23">
        <v>0</v>
      </c>
      <c r="R1222" s="23">
        <v>0</v>
      </c>
      <c r="S1222" s="23">
        <v>0</v>
      </c>
      <c r="T1222" s="23">
        <v>0</v>
      </c>
      <c r="U1222" s="23">
        <v>0</v>
      </c>
      <c r="V1222" s="23">
        <v>0</v>
      </c>
      <c r="W1222" s="23">
        <f t="shared" si="134"/>
        <v>-725.73000000000025</v>
      </c>
      <c r="X1222" s="23">
        <f t="shared" si="135"/>
        <v>0</v>
      </c>
      <c r="Y1222" s="23">
        <f t="shared" si="136"/>
        <v>-725.73000000000025</v>
      </c>
      <c r="Z1222" s="23">
        <v>726</v>
      </c>
      <c r="AA1222" s="23">
        <f t="shared" si="137"/>
        <v>0.26999999999975444</v>
      </c>
      <c r="AB1222" s="23">
        <f t="shared" si="138"/>
        <v>2500.5399999999991</v>
      </c>
      <c r="AD1222" s="20" t="str">
        <f>VLOOKUP($C1222,'[1]CTRL AUTOS'!$E:$AH,2,0)</f>
        <v>R66BER</v>
      </c>
      <c r="AE1222" s="11" t="str">
        <f t="shared" si="139"/>
        <v>R66BER50</v>
      </c>
    </row>
    <row r="1223" spans="1:31" ht="15" hidden="1" customHeight="1" x14ac:dyDescent="0.3">
      <c r="A1223" s="8">
        <v>50</v>
      </c>
      <c r="B1223" s="20" t="s">
        <v>37</v>
      </c>
      <c r="C1223" s="39" t="s">
        <v>40</v>
      </c>
      <c r="D1223" s="39" t="s">
        <v>315</v>
      </c>
      <c r="E1223" s="20" t="s">
        <v>232</v>
      </c>
      <c r="F1223" s="20" t="s">
        <v>232</v>
      </c>
      <c r="G1223" s="20" t="s">
        <v>234</v>
      </c>
      <c r="H1223" s="23">
        <v>3494.06</v>
      </c>
      <c r="I1223" s="23">
        <v>-61.39</v>
      </c>
      <c r="J1223" s="23">
        <v>0</v>
      </c>
      <c r="K1223" s="23">
        <v>0</v>
      </c>
      <c r="L1223" s="23">
        <v>-150.4</v>
      </c>
      <c r="M1223" s="23">
        <v>-40</v>
      </c>
      <c r="N1223" s="23">
        <v>0</v>
      </c>
      <c r="O1223" s="24">
        <f t="shared" si="133"/>
        <v>3242.27</v>
      </c>
      <c r="P1223" s="23">
        <v>-2500</v>
      </c>
      <c r="Q1223" s="23">
        <v>-43</v>
      </c>
      <c r="R1223" s="23">
        <v>0</v>
      </c>
      <c r="S1223" s="23">
        <v>0</v>
      </c>
      <c r="T1223" s="23">
        <v>0</v>
      </c>
      <c r="U1223" s="23">
        <v>0</v>
      </c>
      <c r="V1223" s="23">
        <v>0</v>
      </c>
      <c r="W1223" s="23">
        <f t="shared" si="134"/>
        <v>699.27</v>
      </c>
      <c r="X1223" s="23">
        <f t="shared" si="135"/>
        <v>699.27</v>
      </c>
      <c r="Y1223" s="23">
        <f t="shared" si="136"/>
        <v>0</v>
      </c>
      <c r="Z1223" s="23">
        <v>0</v>
      </c>
      <c r="AA1223" s="23">
        <f t="shared" si="137"/>
        <v>0</v>
      </c>
      <c r="AB1223" s="23">
        <f t="shared" si="138"/>
        <v>2543</v>
      </c>
      <c r="AC1223" s="11" t="s">
        <v>482</v>
      </c>
      <c r="AD1223" s="20" t="str">
        <f>VLOOKUP($C1223,'[1]CTRL AUTOS'!$E:$AH,2,0)</f>
        <v>NEL860A</v>
      </c>
      <c r="AE1223" s="11" t="str">
        <f t="shared" si="139"/>
        <v>NEL860A50</v>
      </c>
    </row>
    <row r="1224" spans="1:31" ht="15" hidden="1" customHeight="1" x14ac:dyDescent="0.3">
      <c r="A1224" s="8">
        <v>50</v>
      </c>
      <c r="B1224" s="20" t="s">
        <v>61</v>
      </c>
      <c r="C1224" s="20" t="s">
        <v>104</v>
      </c>
      <c r="D1224" s="39" t="s">
        <v>237</v>
      </c>
      <c r="E1224" s="20" t="s">
        <v>364</v>
      </c>
      <c r="F1224" s="22" t="s">
        <v>364</v>
      </c>
      <c r="G1224" s="20" t="s">
        <v>234</v>
      </c>
      <c r="H1224" s="23">
        <v>2169.1</v>
      </c>
      <c r="I1224" s="24">
        <v>-62.37</v>
      </c>
      <c r="J1224" s="23">
        <v>0</v>
      </c>
      <c r="K1224" s="23">
        <v>0</v>
      </c>
      <c r="L1224" s="23">
        <v>-684.01</v>
      </c>
      <c r="M1224" s="23">
        <v>-20</v>
      </c>
      <c r="N1224" s="23">
        <v>0</v>
      </c>
      <c r="O1224" s="24">
        <f t="shared" si="133"/>
        <v>1402.72</v>
      </c>
      <c r="P1224" s="23">
        <v>-536</v>
      </c>
      <c r="Q1224" s="23">
        <v>0</v>
      </c>
      <c r="R1224" s="23">
        <v>0</v>
      </c>
      <c r="S1224" s="23">
        <v>0</v>
      </c>
      <c r="T1224" s="23">
        <v>0</v>
      </c>
      <c r="U1224" s="23">
        <v>0</v>
      </c>
      <c r="V1224" s="23">
        <v>0</v>
      </c>
      <c r="W1224" s="23">
        <f t="shared" si="134"/>
        <v>866.72</v>
      </c>
      <c r="X1224" s="23">
        <f t="shared" si="135"/>
        <v>866.72</v>
      </c>
      <c r="Y1224" s="23">
        <f t="shared" si="136"/>
        <v>0</v>
      </c>
      <c r="Z1224" s="23">
        <v>0</v>
      </c>
      <c r="AA1224" s="23">
        <f t="shared" si="137"/>
        <v>0</v>
      </c>
      <c r="AB1224" s="23">
        <f t="shared" si="138"/>
        <v>536</v>
      </c>
      <c r="AC1224" s="11" t="s">
        <v>526</v>
      </c>
      <c r="AD1224" s="20" t="e">
        <f>VLOOKUP($C1224,'[1]CTRL AUTOS'!$E:$AH,2,0)</f>
        <v>#N/A</v>
      </c>
      <c r="AE1224" s="11" t="e">
        <f t="shared" si="139"/>
        <v>#N/A</v>
      </c>
    </row>
    <row r="1225" spans="1:31" ht="15" hidden="1" customHeight="1" x14ac:dyDescent="0.3">
      <c r="A1225" s="8">
        <v>50</v>
      </c>
      <c r="B1225" s="20" t="s">
        <v>61</v>
      </c>
      <c r="C1225" s="39" t="s">
        <v>34</v>
      </c>
      <c r="D1225" s="39" t="s">
        <v>285</v>
      </c>
      <c r="E1225" s="20" t="s">
        <v>232</v>
      </c>
      <c r="F1225" s="20" t="s">
        <v>232</v>
      </c>
      <c r="G1225" s="20" t="s">
        <v>234</v>
      </c>
      <c r="H1225" s="23">
        <v>2733.95</v>
      </c>
      <c r="I1225" s="23">
        <v>0</v>
      </c>
      <c r="J1225" s="23">
        <v>0</v>
      </c>
      <c r="K1225" s="23">
        <v>0</v>
      </c>
      <c r="L1225" s="23">
        <v>-1225.3800000000001</v>
      </c>
      <c r="M1225" s="23">
        <v>-40</v>
      </c>
      <c r="N1225" s="23">
        <v>0</v>
      </c>
      <c r="O1225" s="24">
        <f t="shared" si="133"/>
        <v>1468.5699999999997</v>
      </c>
      <c r="P1225" s="23">
        <v>-1785.51</v>
      </c>
      <c r="Q1225" s="23">
        <v>0</v>
      </c>
      <c r="R1225" s="23">
        <v>0</v>
      </c>
      <c r="S1225" s="23">
        <v>0</v>
      </c>
      <c r="T1225" s="23">
        <v>-700</v>
      </c>
      <c r="U1225" s="23">
        <v>0</v>
      </c>
      <c r="V1225" s="23">
        <v>0</v>
      </c>
      <c r="W1225" s="23">
        <f t="shared" si="134"/>
        <v>-1016.9400000000005</v>
      </c>
      <c r="X1225" s="23">
        <f t="shared" si="135"/>
        <v>0</v>
      </c>
      <c r="Y1225" s="23">
        <f t="shared" si="136"/>
        <v>-1016.9400000000005</v>
      </c>
      <c r="Z1225" s="23">
        <f>877+140</f>
        <v>1017</v>
      </c>
      <c r="AA1225" s="23">
        <f t="shared" si="137"/>
        <v>5.9999999999490683E-2</v>
      </c>
      <c r="AB1225" s="23">
        <f t="shared" si="138"/>
        <v>2485.6299999999992</v>
      </c>
      <c r="AC1225" s="46" t="s">
        <v>527</v>
      </c>
      <c r="AD1225" s="20" t="str">
        <f>VLOOKUP($C1225,'[1]CTRL AUTOS'!$E:$AH,2,0)</f>
        <v>X59AWG</v>
      </c>
      <c r="AE1225" s="11" t="str">
        <f t="shared" si="139"/>
        <v>X59AWG50</v>
      </c>
    </row>
    <row r="1226" spans="1:31" ht="15" hidden="1" customHeight="1" x14ac:dyDescent="0.3">
      <c r="A1226" s="8">
        <v>50</v>
      </c>
      <c r="B1226" s="20" t="s">
        <v>9</v>
      </c>
      <c r="C1226" s="39" t="s">
        <v>10</v>
      </c>
      <c r="D1226" s="39" t="s">
        <v>343</v>
      </c>
      <c r="E1226" s="20" t="s">
        <v>232</v>
      </c>
      <c r="F1226" s="20" t="s">
        <v>232</v>
      </c>
      <c r="G1226" s="20" t="s">
        <v>234</v>
      </c>
      <c r="H1226" s="23">
        <v>265.14</v>
      </c>
      <c r="I1226" s="23">
        <v>0</v>
      </c>
      <c r="J1226" s="23">
        <v>0</v>
      </c>
      <c r="K1226" s="23">
        <v>0</v>
      </c>
      <c r="L1226" s="23">
        <v>-40.19</v>
      </c>
      <c r="M1226" s="23">
        <v>0</v>
      </c>
      <c r="N1226" s="23">
        <v>0</v>
      </c>
      <c r="O1226" s="24">
        <f t="shared" si="133"/>
        <v>224.95</v>
      </c>
      <c r="P1226" s="23">
        <v>-1250</v>
      </c>
      <c r="Q1226" s="23">
        <v>-55</v>
      </c>
      <c r="R1226" s="23">
        <v>0</v>
      </c>
      <c r="S1226" s="23">
        <v>0</v>
      </c>
      <c r="T1226" s="23">
        <v>0</v>
      </c>
      <c r="U1226" s="23">
        <v>0</v>
      </c>
      <c r="V1226" s="23">
        <v>0</v>
      </c>
      <c r="W1226" s="23">
        <f t="shared" si="134"/>
        <v>-1080.05</v>
      </c>
      <c r="X1226" s="23">
        <f t="shared" si="135"/>
        <v>0</v>
      </c>
      <c r="Y1226" s="23">
        <f t="shared" si="136"/>
        <v>-1080.05</v>
      </c>
      <c r="Z1226" s="23">
        <v>1080</v>
      </c>
      <c r="AA1226" s="23">
        <f t="shared" si="137"/>
        <v>-4.9999999999954525E-2</v>
      </c>
      <c r="AB1226" s="23">
        <f t="shared" si="138"/>
        <v>1304.9000000000001</v>
      </c>
      <c r="AC1226" s="46" t="s">
        <v>528</v>
      </c>
      <c r="AD1226" s="20" t="str">
        <f>VLOOKUP($C1226,'[1]CTRL AUTOS'!$E:$AH,2,0)</f>
        <v>LRL009C</v>
      </c>
      <c r="AE1226" s="11" t="str">
        <f t="shared" si="139"/>
        <v>LRL009C50</v>
      </c>
    </row>
    <row r="1227" spans="1:31" ht="15" hidden="1" customHeight="1" x14ac:dyDescent="0.3">
      <c r="A1227" s="8">
        <v>50</v>
      </c>
      <c r="B1227" s="20" t="s">
        <v>9</v>
      </c>
      <c r="C1227" s="39" t="s">
        <v>10</v>
      </c>
      <c r="D1227" s="39" t="s">
        <v>343</v>
      </c>
      <c r="E1227" s="20" t="s">
        <v>232</v>
      </c>
      <c r="F1227" s="20" t="s">
        <v>232</v>
      </c>
      <c r="G1227" s="20" t="s">
        <v>425</v>
      </c>
      <c r="H1227" s="23">
        <v>6309.29</v>
      </c>
      <c r="I1227" s="23">
        <v>0</v>
      </c>
      <c r="J1227" s="23">
        <v>0</v>
      </c>
      <c r="K1227" s="23">
        <v>0</v>
      </c>
      <c r="L1227" s="23">
        <v>-5683.66</v>
      </c>
      <c r="M1227" s="23">
        <v>-100</v>
      </c>
      <c r="N1227" s="23">
        <v>0</v>
      </c>
      <c r="O1227" s="24">
        <f t="shared" si="133"/>
        <v>525.63000000000011</v>
      </c>
      <c r="P1227" s="23">
        <v>-1250</v>
      </c>
      <c r="Q1227" s="23">
        <v>0</v>
      </c>
      <c r="R1227" s="23">
        <v>0</v>
      </c>
      <c r="S1227" s="23">
        <v>0</v>
      </c>
      <c r="T1227" s="23">
        <v>0</v>
      </c>
      <c r="U1227" s="23">
        <v>0</v>
      </c>
      <c r="V1227" s="23">
        <v>0</v>
      </c>
      <c r="W1227" s="23">
        <f t="shared" si="134"/>
        <v>-724.36999999999989</v>
      </c>
      <c r="X1227" s="23">
        <f t="shared" si="135"/>
        <v>0</v>
      </c>
      <c r="Y1227" s="23">
        <f t="shared" si="136"/>
        <v>-724.36999999999989</v>
      </c>
      <c r="Z1227" s="23">
        <v>725</v>
      </c>
      <c r="AA1227" s="23">
        <f t="shared" si="137"/>
        <v>0.63000000000010914</v>
      </c>
      <c r="AB1227" s="23">
        <f t="shared" si="138"/>
        <v>1251.2600000000002</v>
      </c>
      <c r="AC1227" s="46" t="s">
        <v>528</v>
      </c>
      <c r="AD1227" s="20" t="str">
        <f>VLOOKUP($C1227,'[1]CTRL AUTOS'!$E:$AH,2,0)</f>
        <v>LRL009C</v>
      </c>
      <c r="AE1227" s="11" t="str">
        <f t="shared" si="139"/>
        <v>LRL009C50</v>
      </c>
    </row>
    <row r="1228" spans="1:31" ht="14.4" hidden="1" x14ac:dyDescent="0.3">
      <c r="A1228" s="8">
        <v>50</v>
      </c>
      <c r="B1228" s="20" t="s">
        <v>3</v>
      </c>
      <c r="C1228" s="20" t="s">
        <v>4</v>
      </c>
      <c r="D1228" s="39" t="s">
        <v>245</v>
      </c>
      <c r="E1228" s="20" t="s">
        <v>232</v>
      </c>
      <c r="F1228" s="20" t="s">
        <v>232</v>
      </c>
      <c r="G1228" s="20" t="s">
        <v>425</v>
      </c>
      <c r="H1228" s="23">
        <v>8884.07</v>
      </c>
      <c r="I1228" s="23">
        <v>0</v>
      </c>
      <c r="J1228" s="23">
        <v>0</v>
      </c>
      <c r="K1228" s="23">
        <v>0</v>
      </c>
      <c r="L1228" s="23">
        <v>-8784.1299999999992</v>
      </c>
      <c r="M1228" s="23">
        <v>-125</v>
      </c>
      <c r="N1228" s="23">
        <v>0</v>
      </c>
      <c r="O1228" s="24">
        <f t="shared" si="133"/>
        <v>-25.059999999999491</v>
      </c>
      <c r="P1228" s="23">
        <v>-2600</v>
      </c>
      <c r="Q1228" s="23">
        <v>-368.57999999999993</v>
      </c>
      <c r="R1228" s="23">
        <v>0</v>
      </c>
      <c r="S1228" s="23">
        <v>0</v>
      </c>
      <c r="T1228" s="23">
        <v>0</v>
      </c>
      <c r="U1228" s="23">
        <v>0</v>
      </c>
      <c r="V1228" s="23">
        <v>0</v>
      </c>
      <c r="W1228" s="23">
        <f t="shared" si="134"/>
        <v>-2993.6399999999994</v>
      </c>
      <c r="X1228" s="23">
        <f t="shared" si="135"/>
        <v>0</v>
      </c>
      <c r="Y1228" s="23">
        <f t="shared" si="136"/>
        <v>-2993.6399999999994</v>
      </c>
      <c r="Z1228" s="23">
        <f>700+700+700+700</f>
        <v>2800</v>
      </c>
      <c r="AA1228" s="23">
        <f t="shared" si="137"/>
        <v>-193.63999999999942</v>
      </c>
      <c r="AB1228" s="23">
        <f t="shared" si="138"/>
        <v>2581.3000000000011</v>
      </c>
      <c r="AC1228" s="46" t="s">
        <v>529</v>
      </c>
      <c r="AD1228" s="20" t="str">
        <f>VLOOKUP($C1228,'[1]CTRL AUTOS'!$E:$AH,2,0)</f>
        <v>N15BKD</v>
      </c>
      <c r="AE1228" s="11" t="str">
        <f t="shared" si="139"/>
        <v>N15BKD50</v>
      </c>
    </row>
    <row r="1229" spans="1:31" ht="15" hidden="1" customHeight="1" x14ac:dyDescent="0.3">
      <c r="A1229" s="8">
        <v>50</v>
      </c>
      <c r="B1229" s="20" t="s">
        <v>5</v>
      </c>
      <c r="C1229" s="41" t="s">
        <v>42</v>
      </c>
      <c r="D1229" s="39" t="s">
        <v>237</v>
      </c>
      <c r="E1229" s="20" t="s">
        <v>232</v>
      </c>
      <c r="F1229" s="20" t="s">
        <v>232</v>
      </c>
      <c r="G1229" s="20" t="s">
        <v>425</v>
      </c>
      <c r="H1229" s="23">
        <v>2524.42</v>
      </c>
      <c r="I1229" s="23">
        <v>0</v>
      </c>
      <c r="J1229" s="23">
        <v>0</v>
      </c>
      <c r="K1229" s="23">
        <v>0</v>
      </c>
      <c r="L1229" s="23">
        <v>-1165.27</v>
      </c>
      <c r="M1229" s="23">
        <v>0</v>
      </c>
      <c r="N1229" s="23">
        <v>0</v>
      </c>
      <c r="O1229" s="24">
        <f t="shared" si="133"/>
        <v>1359.15</v>
      </c>
      <c r="P1229" s="23">
        <v>-1071.42</v>
      </c>
      <c r="Q1229" s="23">
        <v>0</v>
      </c>
      <c r="R1229" s="23">
        <v>0</v>
      </c>
      <c r="S1229" s="23">
        <v>0</v>
      </c>
      <c r="T1229" s="23">
        <v>0</v>
      </c>
      <c r="U1229" s="23">
        <v>0</v>
      </c>
      <c r="V1229" s="23">
        <v>0</v>
      </c>
      <c r="W1229" s="23">
        <f t="shared" si="134"/>
        <v>287.73</v>
      </c>
      <c r="X1229" s="23">
        <f t="shared" si="135"/>
        <v>287.73</v>
      </c>
      <c r="Y1229" s="23">
        <f t="shared" si="136"/>
        <v>0</v>
      </c>
      <c r="Z1229" s="23">
        <v>0</v>
      </c>
      <c r="AA1229" s="23">
        <f t="shared" si="137"/>
        <v>0</v>
      </c>
      <c r="AB1229" s="23">
        <f t="shared" si="138"/>
        <v>1071.42</v>
      </c>
      <c r="AC1229" s="11" t="s">
        <v>482</v>
      </c>
      <c r="AD1229" s="20" t="str">
        <f>VLOOKUP($C1229,'[1]CTRL AUTOS'!$E:$AH,2,0)</f>
        <v>MMA672C</v>
      </c>
      <c r="AE1229" s="11" t="str">
        <f t="shared" si="139"/>
        <v>MMA672C50</v>
      </c>
    </row>
    <row r="1230" spans="1:31" ht="15" hidden="1" customHeight="1" x14ac:dyDescent="0.3">
      <c r="A1230" s="8">
        <v>50</v>
      </c>
      <c r="B1230" s="20" t="s">
        <v>5</v>
      </c>
      <c r="C1230" s="41" t="s">
        <v>42</v>
      </c>
      <c r="D1230" s="39" t="s">
        <v>250</v>
      </c>
      <c r="E1230" s="20" t="s">
        <v>232</v>
      </c>
      <c r="F1230" s="20" t="s">
        <v>232</v>
      </c>
      <c r="G1230" s="20" t="s">
        <v>234</v>
      </c>
      <c r="H1230" s="23">
        <v>232.74</v>
      </c>
      <c r="I1230" s="23">
        <v>0</v>
      </c>
      <c r="J1230" s="23">
        <v>0</v>
      </c>
      <c r="K1230" s="23">
        <v>0</v>
      </c>
      <c r="L1230" s="23">
        <v>0</v>
      </c>
      <c r="M1230" s="23">
        <v>-65</v>
      </c>
      <c r="N1230" s="23">
        <v>0</v>
      </c>
      <c r="O1230" s="24">
        <f t="shared" si="133"/>
        <v>167.74</v>
      </c>
      <c r="P1230" s="23">
        <v>-1429</v>
      </c>
      <c r="Q1230" s="23">
        <v>-186</v>
      </c>
      <c r="R1230" s="23">
        <v>0</v>
      </c>
      <c r="S1230" s="23">
        <v>0</v>
      </c>
      <c r="T1230" s="23">
        <v>-500</v>
      </c>
      <c r="U1230" s="23">
        <v>0</v>
      </c>
      <c r="V1230" s="23">
        <v>0</v>
      </c>
      <c r="W1230" s="23">
        <f t="shared" si="134"/>
        <v>-1947.26</v>
      </c>
      <c r="X1230" s="23">
        <f t="shared" si="135"/>
        <v>0</v>
      </c>
      <c r="Y1230" s="23">
        <f t="shared" si="136"/>
        <v>-1947.26</v>
      </c>
      <c r="Z1230" s="23">
        <v>288</v>
      </c>
      <c r="AA1230" s="23">
        <f t="shared" si="137"/>
        <v>-1659.26</v>
      </c>
      <c r="AB1230" s="23">
        <f t="shared" si="138"/>
        <v>-1203.52</v>
      </c>
      <c r="AC1230" s="11" t="s">
        <v>530</v>
      </c>
      <c r="AD1230" s="20" t="str">
        <f>VLOOKUP($C1230,'[1]CTRL AUTOS'!$E:$AH,2,0)</f>
        <v>MMA672C</v>
      </c>
      <c r="AE1230" s="11" t="str">
        <f t="shared" si="139"/>
        <v>MMA672C50</v>
      </c>
    </row>
    <row r="1231" spans="1:31" ht="15" hidden="1" customHeight="1" x14ac:dyDescent="0.3">
      <c r="A1231" s="8">
        <v>50</v>
      </c>
      <c r="B1231" s="20" t="s">
        <v>98</v>
      </c>
      <c r="C1231" s="39" t="s">
        <v>168</v>
      </c>
      <c r="D1231" s="39" t="s">
        <v>265</v>
      </c>
      <c r="E1231" s="20" t="s">
        <v>232</v>
      </c>
      <c r="F1231" s="20" t="s">
        <v>232</v>
      </c>
      <c r="G1231" s="20" t="s">
        <v>234</v>
      </c>
      <c r="H1231" s="23">
        <v>876.78</v>
      </c>
      <c r="I1231" s="23">
        <v>-16.09</v>
      </c>
      <c r="J1231" s="23">
        <v>0</v>
      </c>
      <c r="K1231" s="23">
        <v>0</v>
      </c>
      <c r="L1231" s="23">
        <v>0</v>
      </c>
      <c r="M1231" s="23">
        <v>0</v>
      </c>
      <c r="N1231" s="23">
        <v>-37</v>
      </c>
      <c r="O1231" s="24">
        <f t="shared" si="133"/>
        <v>823.68999999999994</v>
      </c>
      <c r="P1231" s="23">
        <v>-2500</v>
      </c>
      <c r="Q1231" s="23">
        <v>-138</v>
      </c>
      <c r="R1231" s="23">
        <v>0</v>
      </c>
      <c r="S1231" s="23">
        <v>0</v>
      </c>
      <c r="T1231" s="23">
        <v>0</v>
      </c>
      <c r="U1231" s="23">
        <v>0</v>
      </c>
      <c r="V1231" s="23">
        <v>0</v>
      </c>
      <c r="W1231" s="23">
        <f t="shared" si="134"/>
        <v>-1814.31</v>
      </c>
      <c r="X1231" s="23">
        <f t="shared" si="135"/>
        <v>0</v>
      </c>
      <c r="Y1231" s="23">
        <f t="shared" si="136"/>
        <v>-1814.31</v>
      </c>
      <c r="Z1231" s="23">
        <f>1300+514</f>
        <v>1814</v>
      </c>
      <c r="AA1231" s="23">
        <f t="shared" si="137"/>
        <v>-0.30999999999994543</v>
      </c>
      <c r="AB1231" s="23">
        <f t="shared" si="138"/>
        <v>2637.38</v>
      </c>
      <c r="AC1231" s="11" t="s">
        <v>531</v>
      </c>
      <c r="AD1231" s="20" t="e">
        <f>VLOOKUP($C1231,'[1]CTRL AUTOS'!$E:$AH,2,0)</f>
        <v>#N/A</v>
      </c>
      <c r="AE1231" s="11" t="e">
        <f t="shared" si="139"/>
        <v>#N/A</v>
      </c>
    </row>
    <row r="1232" spans="1:31" ht="15" hidden="1" customHeight="1" x14ac:dyDescent="0.3">
      <c r="A1232" s="8">
        <v>50</v>
      </c>
      <c r="B1232" s="20" t="s">
        <v>80</v>
      </c>
      <c r="C1232" s="39" t="s">
        <v>81</v>
      </c>
      <c r="D1232" s="39" t="s">
        <v>317</v>
      </c>
      <c r="E1232" s="20" t="s">
        <v>232</v>
      </c>
      <c r="F1232" s="20" t="s">
        <v>232</v>
      </c>
      <c r="G1232" s="20" t="s">
        <v>234</v>
      </c>
      <c r="H1232" s="23">
        <v>0</v>
      </c>
      <c r="I1232" s="23">
        <v>0</v>
      </c>
      <c r="J1232" s="23">
        <v>0</v>
      </c>
      <c r="K1232" s="23">
        <v>0</v>
      </c>
      <c r="L1232" s="23">
        <v>0</v>
      </c>
      <c r="M1232" s="23">
        <v>0</v>
      </c>
      <c r="N1232" s="23">
        <v>0</v>
      </c>
      <c r="O1232" s="24">
        <f t="shared" si="133"/>
        <v>0</v>
      </c>
      <c r="P1232" s="23">
        <v>-2500</v>
      </c>
      <c r="Q1232" s="23">
        <v>0</v>
      </c>
      <c r="R1232" s="23">
        <v>0</v>
      </c>
      <c r="S1232" s="23">
        <v>0</v>
      </c>
      <c r="T1232" s="23">
        <v>0</v>
      </c>
      <c r="U1232" s="23">
        <v>650</v>
      </c>
      <c r="V1232" s="23">
        <v>0</v>
      </c>
      <c r="W1232" s="23">
        <f t="shared" si="134"/>
        <v>-1850</v>
      </c>
      <c r="X1232" s="23">
        <f t="shared" si="135"/>
        <v>0</v>
      </c>
      <c r="Y1232" s="23">
        <f t="shared" si="136"/>
        <v>-1850</v>
      </c>
      <c r="Z1232" s="23">
        <v>1850</v>
      </c>
      <c r="AA1232" s="23">
        <f t="shared" si="137"/>
        <v>0</v>
      </c>
      <c r="AB1232" s="23">
        <f t="shared" si="138"/>
        <v>1850</v>
      </c>
      <c r="AC1232" s="46" t="s">
        <v>532</v>
      </c>
      <c r="AD1232" s="20" t="str">
        <f>VLOOKUP($C1232,'[1]CTRL AUTOS'!$E:$AH,2,0)</f>
        <v>NLP172B</v>
      </c>
      <c r="AE1232" s="11" t="str">
        <f t="shared" si="139"/>
        <v>NLP172B50</v>
      </c>
    </row>
    <row r="1233" spans="1:31" ht="15" hidden="1" customHeight="1" x14ac:dyDescent="0.3">
      <c r="A1233" s="8">
        <v>50</v>
      </c>
      <c r="B1233" s="20" t="s">
        <v>23</v>
      </c>
      <c r="C1233" s="39" t="s">
        <v>24</v>
      </c>
      <c r="D1233" s="39" t="s">
        <v>515</v>
      </c>
      <c r="E1233" s="20" t="s">
        <v>232</v>
      </c>
      <c r="F1233" s="20" t="s">
        <v>232</v>
      </c>
      <c r="G1233" s="20" t="s">
        <v>234</v>
      </c>
      <c r="H1233" s="23">
        <v>5987.51</v>
      </c>
      <c r="I1233" s="23">
        <v>-41.6</v>
      </c>
      <c r="J1233" s="23">
        <v>0</v>
      </c>
      <c r="K1233" s="23">
        <v>0</v>
      </c>
      <c r="L1233" s="23">
        <v>-3326.51</v>
      </c>
      <c r="M1233" s="23">
        <v>-60</v>
      </c>
      <c r="N1233" s="23">
        <v>-132</v>
      </c>
      <c r="O1233" s="24">
        <f t="shared" si="133"/>
        <v>2427.3999999999996</v>
      </c>
      <c r="P1233" s="23">
        <v>-2700</v>
      </c>
      <c r="Q1233" s="23">
        <v>-222</v>
      </c>
      <c r="R1233" s="23">
        <v>0</v>
      </c>
      <c r="S1233" s="23">
        <v>0</v>
      </c>
      <c r="T1233" s="23">
        <v>-500</v>
      </c>
      <c r="U1233" s="23">
        <v>0</v>
      </c>
      <c r="V1233" s="23">
        <v>0</v>
      </c>
      <c r="W1233" s="23">
        <f t="shared" si="134"/>
        <v>-994.60000000000036</v>
      </c>
      <c r="X1233" s="23">
        <f t="shared" si="135"/>
        <v>0</v>
      </c>
      <c r="Y1233" s="23">
        <f t="shared" si="136"/>
        <v>-994.60000000000036</v>
      </c>
      <c r="Z1233" s="23">
        <v>800</v>
      </c>
      <c r="AA1233" s="23">
        <f t="shared" si="137"/>
        <v>-194.60000000000036</v>
      </c>
      <c r="AB1233" s="23">
        <f t="shared" si="138"/>
        <v>3032.7999999999993</v>
      </c>
      <c r="AC1233" s="46" t="s">
        <v>533</v>
      </c>
      <c r="AD1233" s="20" t="str">
        <f>VLOOKUP($C1233,'[1]CTRL AUTOS'!$E:$AH,2,0)</f>
        <v>MXM502C</v>
      </c>
      <c r="AE1233" s="11" t="str">
        <f t="shared" si="139"/>
        <v>MXM502C50</v>
      </c>
    </row>
    <row r="1234" spans="1:31" ht="15" hidden="1" customHeight="1" x14ac:dyDescent="0.3">
      <c r="A1234" s="8">
        <v>50</v>
      </c>
      <c r="B1234" s="20" t="s">
        <v>292</v>
      </c>
      <c r="C1234" s="39" t="s">
        <v>28</v>
      </c>
      <c r="D1234" s="39" t="s">
        <v>274</v>
      </c>
      <c r="E1234" s="20" t="s">
        <v>232</v>
      </c>
      <c r="F1234" s="20" t="s">
        <v>232</v>
      </c>
      <c r="G1234" s="20" t="s">
        <v>234</v>
      </c>
      <c r="H1234" s="23">
        <v>0</v>
      </c>
      <c r="I1234" s="23">
        <v>0</v>
      </c>
      <c r="J1234" s="23">
        <v>0</v>
      </c>
      <c r="K1234" s="23">
        <v>0</v>
      </c>
      <c r="L1234" s="23">
        <v>0</v>
      </c>
      <c r="M1234" s="23">
        <v>0</v>
      </c>
      <c r="N1234" s="23">
        <v>0</v>
      </c>
      <c r="O1234" s="24">
        <f t="shared" si="133"/>
        <v>0</v>
      </c>
      <c r="P1234" s="23">
        <v>0</v>
      </c>
      <c r="Q1234" s="23">
        <v>0</v>
      </c>
      <c r="R1234" s="23">
        <v>495</v>
      </c>
      <c r="S1234" s="23">
        <v>0</v>
      </c>
      <c r="T1234" s="23">
        <v>0</v>
      </c>
      <c r="U1234" s="23">
        <v>0</v>
      </c>
      <c r="V1234" s="23">
        <v>0</v>
      </c>
      <c r="W1234" s="23">
        <f t="shared" si="134"/>
        <v>495</v>
      </c>
      <c r="X1234" s="23">
        <f t="shared" si="135"/>
        <v>495</v>
      </c>
      <c r="Y1234" s="23">
        <f t="shared" si="136"/>
        <v>0</v>
      </c>
      <c r="Z1234" s="23">
        <v>0</v>
      </c>
      <c r="AA1234" s="23">
        <f t="shared" si="137"/>
        <v>0</v>
      </c>
      <c r="AB1234" s="23">
        <f t="shared" si="138"/>
        <v>-495</v>
      </c>
      <c r="AC1234" s="11" t="s">
        <v>482</v>
      </c>
      <c r="AD1234" s="20" t="str">
        <f>VLOOKUP($C1234,'[1]CTRL AUTOS'!$E:$AH,2,0)</f>
        <v>NCT814A</v>
      </c>
      <c r="AE1234" s="11" t="str">
        <f t="shared" si="139"/>
        <v>NCT814A50</v>
      </c>
    </row>
    <row r="1235" spans="1:31" ht="15" hidden="1" customHeight="1" x14ac:dyDescent="0.3">
      <c r="A1235" s="8">
        <v>50</v>
      </c>
      <c r="B1235" s="20" t="s">
        <v>362</v>
      </c>
      <c r="C1235" s="20" t="s">
        <v>50</v>
      </c>
      <c r="D1235" s="39" t="s">
        <v>480</v>
      </c>
      <c r="E1235" s="20" t="s">
        <v>232</v>
      </c>
      <c r="F1235" s="20" t="s">
        <v>232</v>
      </c>
      <c r="G1235" s="20" t="s">
        <v>234</v>
      </c>
      <c r="H1235" s="23">
        <v>0</v>
      </c>
      <c r="I1235" s="23">
        <v>0</v>
      </c>
      <c r="J1235" s="23">
        <v>0</v>
      </c>
      <c r="K1235" s="23">
        <v>0</v>
      </c>
      <c r="L1235" s="23">
        <v>0</v>
      </c>
      <c r="M1235" s="23">
        <v>0</v>
      </c>
      <c r="N1235" s="23">
        <v>0</v>
      </c>
      <c r="O1235" s="24">
        <f t="shared" si="133"/>
        <v>0</v>
      </c>
      <c r="P1235" s="23">
        <v>0</v>
      </c>
      <c r="Q1235" s="23">
        <v>0</v>
      </c>
      <c r="R1235" s="23">
        <v>594</v>
      </c>
      <c r="S1235" s="23">
        <v>0</v>
      </c>
      <c r="T1235" s="23">
        <v>0</v>
      </c>
      <c r="U1235" s="23">
        <v>0</v>
      </c>
      <c r="V1235" s="23">
        <v>0</v>
      </c>
      <c r="W1235" s="23">
        <f t="shared" si="134"/>
        <v>594</v>
      </c>
      <c r="X1235" s="23">
        <f t="shared" si="135"/>
        <v>594</v>
      </c>
      <c r="Y1235" s="23">
        <f t="shared" si="136"/>
        <v>0</v>
      </c>
      <c r="Z1235" s="23">
        <v>0</v>
      </c>
      <c r="AA1235" s="23">
        <f t="shared" si="137"/>
        <v>0</v>
      </c>
      <c r="AB1235" s="23">
        <f t="shared" si="138"/>
        <v>-594</v>
      </c>
      <c r="AC1235" s="11" t="s">
        <v>482</v>
      </c>
      <c r="AD1235" s="20" t="str">
        <f>VLOOKUP($C1235,'[1]CTRL AUTOS'!$E:$AH,2,0)</f>
        <v>NBS225A</v>
      </c>
      <c r="AE1235" s="11" t="str">
        <f t="shared" si="139"/>
        <v>NBS225A50</v>
      </c>
    </row>
    <row r="1236" spans="1:31" ht="15" hidden="1" customHeight="1" x14ac:dyDescent="0.3">
      <c r="A1236" s="8">
        <v>50</v>
      </c>
      <c r="B1236" s="20" t="s">
        <v>7</v>
      </c>
      <c r="C1236" s="39" t="s">
        <v>8</v>
      </c>
      <c r="D1236" s="39" t="s">
        <v>516</v>
      </c>
      <c r="E1236" s="20" t="s">
        <v>364</v>
      </c>
      <c r="F1236" s="22" t="s">
        <v>364</v>
      </c>
      <c r="G1236" s="20" t="s">
        <v>425</v>
      </c>
      <c r="H1236" s="23">
        <v>11151.84</v>
      </c>
      <c r="I1236" s="23">
        <v>0</v>
      </c>
      <c r="J1236" s="23">
        <v>0</v>
      </c>
      <c r="K1236" s="23">
        <v>0</v>
      </c>
      <c r="L1236" s="23">
        <v>-7572.04</v>
      </c>
      <c r="M1236" s="23">
        <v>-125</v>
      </c>
      <c r="N1236" s="23">
        <v>0</v>
      </c>
      <c r="O1236" s="24">
        <f t="shared" si="133"/>
        <v>3454.8</v>
      </c>
      <c r="P1236" s="23">
        <v>-2600</v>
      </c>
      <c r="Q1236" s="23">
        <v>0</v>
      </c>
      <c r="R1236" s="23">
        <v>0</v>
      </c>
      <c r="S1236" s="23">
        <v>0</v>
      </c>
      <c r="T1236" s="23">
        <v>0</v>
      </c>
      <c r="U1236" s="23">
        <v>0</v>
      </c>
      <c r="V1236" s="23">
        <v>0</v>
      </c>
      <c r="W1236" s="23">
        <f t="shared" si="134"/>
        <v>854.80000000000018</v>
      </c>
      <c r="X1236" s="23">
        <f t="shared" si="135"/>
        <v>854.80000000000018</v>
      </c>
      <c r="Y1236" s="23">
        <f t="shared" si="136"/>
        <v>0</v>
      </c>
      <c r="Z1236" s="23">
        <v>0</v>
      </c>
      <c r="AA1236" s="23">
        <f t="shared" si="137"/>
        <v>0</v>
      </c>
      <c r="AB1236" s="23">
        <f t="shared" si="138"/>
        <v>2600</v>
      </c>
      <c r="AD1236" s="20" t="e">
        <f>VLOOKUP($C1236,'[1]CTRL AUTOS'!$E:$AH,2,0)</f>
        <v>#N/A</v>
      </c>
      <c r="AE1236" s="11" t="e">
        <f t="shared" si="139"/>
        <v>#N/A</v>
      </c>
    </row>
    <row r="1237" spans="1:31" ht="15" hidden="1" customHeight="1" x14ac:dyDescent="0.3">
      <c r="A1237" s="8">
        <v>50</v>
      </c>
      <c r="B1237" s="20" t="s">
        <v>105</v>
      </c>
      <c r="C1237" s="39" t="s">
        <v>518</v>
      </c>
      <c r="D1237" s="39" t="s">
        <v>470</v>
      </c>
      <c r="E1237" s="20" t="s">
        <v>364</v>
      </c>
      <c r="F1237" s="22" t="s">
        <v>364</v>
      </c>
      <c r="G1237" s="20" t="s">
        <v>234</v>
      </c>
      <c r="H1237" s="23">
        <v>0</v>
      </c>
      <c r="I1237" s="23">
        <v>0</v>
      </c>
      <c r="J1237" s="23">
        <v>0</v>
      </c>
      <c r="K1237" s="23">
        <v>0</v>
      </c>
      <c r="L1237" s="23">
        <v>0</v>
      </c>
      <c r="M1237" s="23">
        <v>0</v>
      </c>
      <c r="N1237" s="23">
        <v>0</v>
      </c>
      <c r="O1237" s="24">
        <f t="shared" si="133"/>
        <v>0</v>
      </c>
      <c r="P1237" s="23">
        <v>-2500</v>
      </c>
      <c r="Q1237" s="23">
        <v>0</v>
      </c>
      <c r="R1237" s="23">
        <v>0</v>
      </c>
      <c r="S1237" s="23">
        <v>0</v>
      </c>
      <c r="T1237" s="23">
        <v>0</v>
      </c>
      <c r="U1237" s="23">
        <v>0</v>
      </c>
      <c r="V1237" s="23">
        <v>0</v>
      </c>
      <c r="W1237" s="23">
        <f t="shared" si="134"/>
        <v>-2500</v>
      </c>
      <c r="X1237" s="23">
        <f t="shared" si="135"/>
        <v>0</v>
      </c>
      <c r="Y1237" s="23">
        <f t="shared" si="136"/>
        <v>-2500</v>
      </c>
      <c r="Z1237" s="23">
        <v>2500</v>
      </c>
      <c r="AA1237" s="23">
        <f t="shared" si="137"/>
        <v>0</v>
      </c>
      <c r="AB1237" s="23">
        <f t="shared" si="138"/>
        <v>2500</v>
      </c>
      <c r="AC1237" s="11" t="s">
        <v>492</v>
      </c>
      <c r="AD1237" s="20" t="e">
        <f>VLOOKUP($C1237,'[1]CTRL AUTOS'!$E:$AH,2,0)</f>
        <v>#N/A</v>
      </c>
      <c r="AE1237" s="11" t="e">
        <f t="shared" si="139"/>
        <v>#N/A</v>
      </c>
    </row>
    <row r="1238" spans="1:31" ht="15" hidden="1" customHeight="1" x14ac:dyDescent="0.3">
      <c r="A1238" s="8">
        <v>50</v>
      </c>
      <c r="B1238" s="20" t="s">
        <v>417</v>
      </c>
      <c r="C1238" s="39" t="s">
        <v>428</v>
      </c>
      <c r="D1238" s="39" t="s">
        <v>237</v>
      </c>
      <c r="E1238" s="20" t="s">
        <v>364</v>
      </c>
      <c r="F1238" s="22" t="s">
        <v>364</v>
      </c>
      <c r="G1238" s="20" t="s">
        <v>234</v>
      </c>
      <c r="H1238" s="23">
        <v>4097.5200000000004</v>
      </c>
      <c r="I1238" s="23">
        <v>0</v>
      </c>
      <c r="J1238" s="23">
        <v>0</v>
      </c>
      <c r="K1238" s="23">
        <v>0</v>
      </c>
      <c r="L1238" s="23">
        <v>-1604.09</v>
      </c>
      <c r="M1238" s="23">
        <v>-70</v>
      </c>
      <c r="N1238" s="23">
        <v>0</v>
      </c>
      <c r="O1238" s="24">
        <f t="shared" si="133"/>
        <v>2423.4300000000003</v>
      </c>
      <c r="P1238" s="23">
        <v>-2500</v>
      </c>
      <c r="Q1238" s="23">
        <v>0</v>
      </c>
      <c r="R1238" s="23">
        <v>0</v>
      </c>
      <c r="S1238" s="23">
        <v>0</v>
      </c>
      <c r="T1238" s="23">
        <v>0</v>
      </c>
      <c r="U1238" s="23">
        <v>0</v>
      </c>
      <c r="V1238" s="23">
        <v>0</v>
      </c>
      <c r="W1238" s="23">
        <f t="shared" si="134"/>
        <v>-76.569999999999709</v>
      </c>
      <c r="X1238" s="23">
        <f t="shared" si="135"/>
        <v>0</v>
      </c>
      <c r="Y1238" s="23">
        <f t="shared" si="136"/>
        <v>-76.569999999999709</v>
      </c>
      <c r="Z1238" s="23">
        <v>77</v>
      </c>
      <c r="AA1238" s="23">
        <f t="shared" si="137"/>
        <v>0.43000000000029104</v>
      </c>
      <c r="AB1238" s="23">
        <f t="shared" si="138"/>
        <v>2500.8600000000006</v>
      </c>
      <c r="AC1238" s="11" t="s">
        <v>492</v>
      </c>
      <c r="AD1238" s="20" t="e">
        <f>VLOOKUP($C1238,'[1]CTRL AUTOS'!$E:$AH,2,0)</f>
        <v>#N/A</v>
      </c>
      <c r="AE1238" s="11" t="e">
        <f t="shared" si="139"/>
        <v>#N/A</v>
      </c>
    </row>
    <row r="1239" spans="1:31" ht="15" hidden="1" customHeight="1" x14ac:dyDescent="0.3">
      <c r="A1239" s="8">
        <v>50</v>
      </c>
      <c r="B1239" s="20" t="s">
        <v>21</v>
      </c>
      <c r="C1239" s="39" t="s">
        <v>22</v>
      </c>
      <c r="D1239" s="39" t="s">
        <v>319</v>
      </c>
      <c r="E1239" s="20" t="s">
        <v>232</v>
      </c>
      <c r="F1239" s="20" t="s">
        <v>232</v>
      </c>
      <c r="G1239" s="20" t="s">
        <v>234</v>
      </c>
      <c r="H1239" s="23">
        <v>2176.73</v>
      </c>
      <c r="I1239" s="23">
        <v>0</v>
      </c>
      <c r="J1239" s="23">
        <v>14.69</v>
      </c>
      <c r="K1239" s="23">
        <v>0</v>
      </c>
      <c r="L1239" s="23">
        <v>-1126.76</v>
      </c>
      <c r="M1239" s="23">
        <v>-60</v>
      </c>
      <c r="N1239" s="23">
        <v>0</v>
      </c>
      <c r="O1239" s="24">
        <f t="shared" ref="O1239:O1302" si="140">SUM(H1239:N1239)</f>
        <v>1004.6600000000001</v>
      </c>
      <c r="P1239" s="23">
        <v>-2500</v>
      </c>
      <c r="Q1239" s="23">
        <v>55</v>
      </c>
      <c r="R1239" s="23">
        <v>-500</v>
      </c>
      <c r="S1239" s="23">
        <v>0</v>
      </c>
      <c r="T1239" s="23">
        <v>0</v>
      </c>
      <c r="U1239" s="23">
        <v>0</v>
      </c>
      <c r="V1239" s="23">
        <v>0</v>
      </c>
      <c r="W1239" s="23">
        <f t="shared" ref="W1239:W1302" si="141">+O1239+SUM(P1239:V1239)</f>
        <v>-1940.34</v>
      </c>
      <c r="X1239" s="23">
        <f t="shared" ref="X1239:X1302" si="142">IF(W1239&gt;=0,W1239,0)</f>
        <v>0</v>
      </c>
      <c r="Y1239" s="23">
        <f t="shared" ref="Y1239:Y1302" si="143">IF(W1239&lt;=0,W1239,0)</f>
        <v>-1940.34</v>
      </c>
      <c r="Z1239" s="23">
        <v>1900</v>
      </c>
      <c r="AA1239" s="23">
        <f t="shared" si="137"/>
        <v>-40.339999999999918</v>
      </c>
      <c r="AB1239" s="23">
        <f t="shared" si="138"/>
        <v>2864.3199999999997</v>
      </c>
      <c r="AC1239" s="11" t="s">
        <v>534</v>
      </c>
      <c r="AD1239" s="20" t="str">
        <f>VLOOKUP($C1239,'[1]CTRL AUTOS'!$E:$AH,2,0)</f>
        <v>NCK475B</v>
      </c>
      <c r="AE1239" s="11" t="str">
        <f t="shared" si="139"/>
        <v>NCK475B50</v>
      </c>
    </row>
    <row r="1240" spans="1:31" ht="15" hidden="1" customHeight="1" x14ac:dyDescent="0.3">
      <c r="A1240" s="8">
        <v>50</v>
      </c>
      <c r="B1240" s="20" t="s">
        <v>15</v>
      </c>
      <c r="C1240" s="39" t="s">
        <v>16</v>
      </c>
      <c r="D1240" s="39" t="s">
        <v>314</v>
      </c>
      <c r="E1240" s="20" t="s">
        <v>232</v>
      </c>
      <c r="F1240" s="20" t="s">
        <v>232</v>
      </c>
      <c r="G1240" s="20" t="s">
        <v>234</v>
      </c>
      <c r="H1240" s="23">
        <v>3089.61</v>
      </c>
      <c r="I1240" s="23">
        <v>0</v>
      </c>
      <c r="J1240" s="23">
        <v>0</v>
      </c>
      <c r="K1240" s="23">
        <v>0</v>
      </c>
      <c r="L1240" s="23">
        <v>-943.33</v>
      </c>
      <c r="M1240" s="23">
        <v>-60</v>
      </c>
      <c r="N1240" s="23">
        <v>0</v>
      </c>
      <c r="O1240" s="24">
        <f t="shared" si="140"/>
        <v>2086.2800000000002</v>
      </c>
      <c r="P1240" s="23">
        <v>-2500</v>
      </c>
      <c r="Q1240" s="23">
        <v>0</v>
      </c>
      <c r="R1240" s="23">
        <v>-500</v>
      </c>
      <c r="S1240" s="23">
        <v>0</v>
      </c>
      <c r="T1240" s="23">
        <v>0</v>
      </c>
      <c r="U1240" s="23">
        <v>0</v>
      </c>
      <c r="V1240" s="23">
        <v>0</v>
      </c>
      <c r="W1240" s="23">
        <f t="shared" si="141"/>
        <v>-913.7199999999998</v>
      </c>
      <c r="X1240" s="23">
        <f t="shared" si="142"/>
        <v>0</v>
      </c>
      <c r="Y1240" s="23">
        <f t="shared" si="143"/>
        <v>-913.7199999999998</v>
      </c>
      <c r="Z1240" s="23">
        <v>914</v>
      </c>
      <c r="AA1240" s="23">
        <f t="shared" si="137"/>
        <v>0.28000000000020009</v>
      </c>
      <c r="AB1240" s="23">
        <f t="shared" si="138"/>
        <v>3000.5600000000004</v>
      </c>
      <c r="AC1240" s="11" t="s">
        <v>535</v>
      </c>
      <c r="AD1240" s="20" t="str">
        <f>VLOOKUP($C1240,'[1]CTRL AUTOS'!$E:$AH,2,0)</f>
        <v>D28BET</v>
      </c>
      <c r="AE1240" s="11" t="str">
        <f t="shared" si="139"/>
        <v>D28BET50</v>
      </c>
    </row>
    <row r="1241" spans="1:31" ht="15" hidden="1" customHeight="1" x14ac:dyDescent="0.3">
      <c r="A1241" s="8">
        <v>50</v>
      </c>
      <c r="B1241" s="20" t="s">
        <v>53</v>
      </c>
      <c r="C1241" s="39" t="s">
        <v>86</v>
      </c>
      <c r="D1241" s="39" t="s">
        <v>519</v>
      </c>
      <c r="E1241" s="20" t="s">
        <v>232</v>
      </c>
      <c r="F1241" s="20" t="s">
        <v>232</v>
      </c>
      <c r="G1241" s="20" t="s">
        <v>234</v>
      </c>
      <c r="H1241" s="23">
        <v>811.8</v>
      </c>
      <c r="I1241" s="23">
        <v>-30.84</v>
      </c>
      <c r="J1241" s="23">
        <v>0</v>
      </c>
      <c r="K1241" s="23">
        <v>0</v>
      </c>
      <c r="L1241" s="23">
        <v>0</v>
      </c>
      <c r="M1241" s="23">
        <v>-30</v>
      </c>
      <c r="N1241" s="23">
        <v>0</v>
      </c>
      <c r="O1241" s="24">
        <f t="shared" si="140"/>
        <v>750.95999999999992</v>
      </c>
      <c r="P1241" s="23">
        <v>-2500</v>
      </c>
      <c r="Q1241" s="23">
        <v>-80</v>
      </c>
      <c r="R1241" s="23">
        <v>-500</v>
      </c>
      <c r="S1241" s="23">
        <v>0</v>
      </c>
      <c r="T1241" s="23">
        <v>0</v>
      </c>
      <c r="U1241" s="23">
        <v>0</v>
      </c>
      <c r="V1241" s="23">
        <v>0</v>
      </c>
      <c r="W1241" s="23">
        <f t="shared" si="141"/>
        <v>-2329.04</v>
      </c>
      <c r="X1241" s="23">
        <f t="shared" si="142"/>
        <v>0</v>
      </c>
      <c r="Y1241" s="23">
        <f t="shared" si="143"/>
        <v>-2329.04</v>
      </c>
      <c r="Z1241" s="23">
        <v>0</v>
      </c>
      <c r="AA1241" s="23">
        <f t="shared" si="137"/>
        <v>-2329.04</v>
      </c>
      <c r="AB1241" s="23">
        <f t="shared" si="138"/>
        <v>-1578.08</v>
      </c>
      <c r="AC1241" s="11" t="s">
        <v>536</v>
      </c>
      <c r="AD1241" s="20" t="str">
        <f>VLOOKUP($C1241,'[1]CTRL AUTOS'!$E:$AH,2,0)</f>
        <v>R22BMR</v>
      </c>
      <c r="AE1241" s="11" t="str">
        <f t="shared" si="139"/>
        <v>R22BMR50</v>
      </c>
    </row>
    <row r="1242" spans="1:31" ht="15" hidden="1" customHeight="1" x14ac:dyDescent="0.3">
      <c r="A1242" s="8">
        <v>50</v>
      </c>
      <c r="B1242" s="20" t="s">
        <v>414</v>
      </c>
      <c r="C1242" s="39" t="s">
        <v>59</v>
      </c>
      <c r="D1242" s="39" t="s">
        <v>520</v>
      </c>
      <c r="E1242" s="20" t="s">
        <v>232</v>
      </c>
      <c r="F1242" s="20" t="s">
        <v>232</v>
      </c>
      <c r="G1242" s="20" t="s">
        <v>234</v>
      </c>
      <c r="H1242" s="23">
        <v>0</v>
      </c>
      <c r="I1242" s="23">
        <v>0</v>
      </c>
      <c r="J1242" s="23">
        <v>0</v>
      </c>
      <c r="K1242" s="23">
        <v>0</v>
      </c>
      <c r="L1242" s="23">
        <v>0</v>
      </c>
      <c r="M1242" s="23">
        <v>0</v>
      </c>
      <c r="N1242" s="23">
        <v>0</v>
      </c>
      <c r="O1242" s="24">
        <f t="shared" si="140"/>
        <v>0</v>
      </c>
      <c r="P1242" s="23">
        <v>0</v>
      </c>
      <c r="Q1242" s="23">
        <v>0</v>
      </c>
      <c r="R1242" s="23">
        <v>500</v>
      </c>
      <c r="S1242" s="23">
        <v>0</v>
      </c>
      <c r="T1242" s="23">
        <v>0</v>
      </c>
      <c r="U1242" s="23">
        <v>0</v>
      </c>
      <c r="V1242" s="23">
        <v>0</v>
      </c>
      <c r="W1242" s="23">
        <f t="shared" si="141"/>
        <v>500</v>
      </c>
      <c r="X1242" s="23">
        <f t="shared" si="142"/>
        <v>500</v>
      </c>
      <c r="Y1242" s="23">
        <f t="shared" si="143"/>
        <v>0</v>
      </c>
      <c r="Z1242" s="23">
        <v>0</v>
      </c>
      <c r="AA1242" s="23">
        <f t="shared" si="137"/>
        <v>0</v>
      </c>
      <c r="AB1242" s="23">
        <f t="shared" si="138"/>
        <v>-500</v>
      </c>
      <c r="AC1242" s="46" t="s">
        <v>482</v>
      </c>
      <c r="AD1242" s="20" t="str">
        <f>VLOOKUP($C1242,'[1]CTRL AUTOS'!$E:$AH,2,0)</f>
        <v>P62BHW</v>
      </c>
      <c r="AE1242" s="11" t="str">
        <f t="shared" si="139"/>
        <v>P62BHW50</v>
      </c>
    </row>
    <row r="1243" spans="1:31" ht="15" hidden="1" customHeight="1" x14ac:dyDescent="0.3">
      <c r="A1243" s="8">
        <v>50</v>
      </c>
      <c r="B1243" s="20" t="s">
        <v>64</v>
      </c>
      <c r="C1243" s="39" t="s">
        <v>59</v>
      </c>
      <c r="D1243" s="39" t="s">
        <v>520</v>
      </c>
      <c r="E1243" s="20" t="s">
        <v>232</v>
      </c>
      <c r="F1243" s="20" t="s">
        <v>232</v>
      </c>
      <c r="G1243" s="20" t="s">
        <v>234</v>
      </c>
      <c r="H1243" s="23">
        <v>9260.5400000000009</v>
      </c>
      <c r="I1243" s="23">
        <v>-174.85</v>
      </c>
      <c r="J1243" s="23">
        <v>79.34</v>
      </c>
      <c r="K1243" s="23">
        <v>0</v>
      </c>
      <c r="L1243" s="23">
        <v>0</v>
      </c>
      <c r="M1243" s="23">
        <v>0</v>
      </c>
      <c r="N1243" s="23">
        <v>0</v>
      </c>
      <c r="O1243" s="24">
        <f t="shared" si="140"/>
        <v>9165.0300000000007</v>
      </c>
      <c r="P1243" s="23">
        <v>-2500</v>
      </c>
      <c r="Q1243" s="23">
        <v>0</v>
      </c>
      <c r="R1243" s="23">
        <v>-500</v>
      </c>
      <c r="S1243" s="23">
        <v>0</v>
      </c>
      <c r="T1243" s="23">
        <v>0</v>
      </c>
      <c r="U1243" s="23">
        <v>0</v>
      </c>
      <c r="V1243" s="23">
        <v>0</v>
      </c>
      <c r="W1243" s="23">
        <f t="shared" si="141"/>
        <v>6165.0300000000007</v>
      </c>
      <c r="X1243" s="23">
        <f t="shared" si="142"/>
        <v>6165.0300000000007</v>
      </c>
      <c r="Y1243" s="23">
        <f t="shared" si="143"/>
        <v>0</v>
      </c>
      <c r="Z1243" s="23">
        <v>0</v>
      </c>
      <c r="AA1243" s="23">
        <f t="shared" si="137"/>
        <v>0</v>
      </c>
      <c r="AB1243" s="23">
        <f t="shared" si="138"/>
        <v>3000</v>
      </c>
      <c r="AC1243" s="11" t="s">
        <v>482</v>
      </c>
      <c r="AD1243" s="20" t="str">
        <f>VLOOKUP($C1243,'[1]CTRL AUTOS'!$E:$AH,2,0)</f>
        <v>P62BHW</v>
      </c>
      <c r="AE1243" s="11" t="str">
        <f t="shared" si="139"/>
        <v>P62BHW50</v>
      </c>
    </row>
    <row r="1244" spans="1:31" ht="15" hidden="1" customHeight="1" x14ac:dyDescent="0.3">
      <c r="A1244" s="8">
        <v>50</v>
      </c>
      <c r="B1244" s="20" t="s">
        <v>506</v>
      </c>
      <c r="C1244" s="39" t="s">
        <v>54</v>
      </c>
      <c r="D1244" s="39" t="s">
        <v>318</v>
      </c>
      <c r="E1244" s="20" t="s">
        <v>232</v>
      </c>
      <c r="F1244" s="20" t="s">
        <v>232</v>
      </c>
      <c r="G1244" s="20" t="s">
        <v>234</v>
      </c>
      <c r="H1244" s="23">
        <v>3866.66</v>
      </c>
      <c r="I1244" s="23">
        <v>-18.14</v>
      </c>
      <c r="J1244" s="23">
        <v>-51.55</v>
      </c>
      <c r="K1244" s="23">
        <v>0</v>
      </c>
      <c r="L1244" s="23">
        <v>-219.8</v>
      </c>
      <c r="M1244" s="23">
        <v>-19</v>
      </c>
      <c r="N1244" s="23">
        <v>0</v>
      </c>
      <c r="O1244" s="24">
        <f t="shared" si="140"/>
        <v>3558.1699999999996</v>
      </c>
      <c r="P1244" s="23">
        <v>-2500</v>
      </c>
      <c r="Q1244" s="23">
        <v>0</v>
      </c>
      <c r="R1244" s="23">
        <v>-500</v>
      </c>
      <c r="S1244" s="23">
        <v>0</v>
      </c>
      <c r="T1244" s="23">
        <v>0</v>
      </c>
      <c r="U1244" s="23">
        <v>0</v>
      </c>
      <c r="V1244" s="23">
        <v>0</v>
      </c>
      <c r="W1244" s="23">
        <f t="shared" si="141"/>
        <v>558.16999999999962</v>
      </c>
      <c r="X1244" s="23">
        <f t="shared" si="142"/>
        <v>558.16999999999962</v>
      </c>
      <c r="Y1244" s="23">
        <f t="shared" si="143"/>
        <v>0</v>
      </c>
      <c r="Z1244" s="23">
        <v>0</v>
      </c>
      <c r="AA1244" s="23">
        <f t="shared" si="137"/>
        <v>0</v>
      </c>
      <c r="AB1244" s="23">
        <f t="shared" si="138"/>
        <v>3000</v>
      </c>
      <c r="AC1244" s="11" t="s">
        <v>482</v>
      </c>
      <c r="AD1244" s="20" t="str">
        <f>VLOOKUP($C1244,'[1]CTRL AUTOS'!$E:$AH,2,0)</f>
        <v>NZY685B</v>
      </c>
      <c r="AE1244" s="11" t="str">
        <f t="shared" si="139"/>
        <v>NZY685B50</v>
      </c>
    </row>
    <row r="1245" spans="1:31" ht="15" hidden="1" customHeight="1" x14ac:dyDescent="0.3">
      <c r="A1245" s="8">
        <v>50</v>
      </c>
      <c r="B1245" s="20" t="s">
        <v>29</v>
      </c>
      <c r="C1245" s="39" t="s">
        <v>30</v>
      </c>
      <c r="D1245" s="39" t="s">
        <v>521</v>
      </c>
      <c r="E1245" s="20" t="s">
        <v>232</v>
      </c>
      <c r="F1245" s="20" t="s">
        <v>232</v>
      </c>
      <c r="G1245" s="20" t="s">
        <v>234</v>
      </c>
      <c r="H1245" s="23">
        <v>4627.8500000000004</v>
      </c>
      <c r="I1245" s="23">
        <v>0</v>
      </c>
      <c r="J1245" s="23">
        <v>0</v>
      </c>
      <c r="K1245" s="23">
        <v>0</v>
      </c>
      <c r="L1245" s="23">
        <v>-1007.21</v>
      </c>
      <c r="M1245" s="23">
        <v>-40</v>
      </c>
      <c r="N1245" s="23">
        <v>-218</v>
      </c>
      <c r="O1245" s="24">
        <f t="shared" si="140"/>
        <v>3362.6400000000003</v>
      </c>
      <c r="P1245" s="23">
        <v>-2500</v>
      </c>
      <c r="Q1245" s="23">
        <v>-5</v>
      </c>
      <c r="R1245" s="23">
        <v>-500</v>
      </c>
      <c r="S1245" s="23">
        <v>0</v>
      </c>
      <c r="T1245" s="23">
        <v>0</v>
      </c>
      <c r="U1245" s="23">
        <v>0</v>
      </c>
      <c r="V1245" s="23">
        <v>0</v>
      </c>
      <c r="W1245" s="23">
        <f t="shared" si="141"/>
        <v>357.64000000000033</v>
      </c>
      <c r="X1245" s="23">
        <f t="shared" si="142"/>
        <v>357.64000000000033</v>
      </c>
      <c r="Y1245" s="23">
        <f t="shared" si="143"/>
        <v>0</v>
      </c>
      <c r="Z1245" s="23">
        <v>0</v>
      </c>
      <c r="AA1245" s="23">
        <f t="shared" si="137"/>
        <v>0</v>
      </c>
      <c r="AB1245" s="23">
        <f t="shared" si="138"/>
        <v>3005</v>
      </c>
      <c r="AC1245" s="11" t="s">
        <v>482</v>
      </c>
      <c r="AD1245" s="20" t="str">
        <f>VLOOKUP($C1245,'[1]CTRL AUTOS'!$E:$AH,2,0)</f>
        <v>D51BHV</v>
      </c>
      <c r="AE1245" s="11" t="str">
        <f t="shared" si="139"/>
        <v>D51BHV50</v>
      </c>
    </row>
    <row r="1246" spans="1:31" ht="15" hidden="1" customHeight="1" x14ac:dyDescent="0.3">
      <c r="A1246" s="8">
        <v>50</v>
      </c>
      <c r="B1246" s="20" t="s">
        <v>17</v>
      </c>
      <c r="C1246" s="39" t="s">
        <v>18</v>
      </c>
      <c r="D1246" s="39" t="s">
        <v>237</v>
      </c>
      <c r="E1246" s="20" t="s">
        <v>232</v>
      </c>
      <c r="F1246" s="20" t="s">
        <v>232</v>
      </c>
      <c r="G1246" s="20" t="s">
        <v>234</v>
      </c>
      <c r="H1246" s="23">
        <v>7189.03</v>
      </c>
      <c r="I1246" s="23">
        <v>0</v>
      </c>
      <c r="J1246" s="23">
        <v>198.07</v>
      </c>
      <c r="K1246" s="23">
        <v>0</v>
      </c>
      <c r="L1246" s="23">
        <v>-4119.3500000000004</v>
      </c>
      <c r="M1246" s="23">
        <v>-70</v>
      </c>
      <c r="N1246" s="23">
        <v>0</v>
      </c>
      <c r="O1246" s="24">
        <f t="shared" si="140"/>
        <v>3197.7499999999991</v>
      </c>
      <c r="P1246" s="23">
        <v>-2700</v>
      </c>
      <c r="Q1246" s="23">
        <v>0</v>
      </c>
      <c r="R1246" s="23">
        <v>0</v>
      </c>
      <c r="S1246" s="23">
        <v>0</v>
      </c>
      <c r="T1246" s="23">
        <v>0</v>
      </c>
      <c r="U1246" s="23">
        <v>-2000</v>
      </c>
      <c r="V1246" s="23">
        <v>0</v>
      </c>
      <c r="W1246" s="23">
        <f t="shared" si="141"/>
        <v>-1502.2500000000009</v>
      </c>
      <c r="X1246" s="23">
        <f t="shared" si="142"/>
        <v>0</v>
      </c>
      <c r="Y1246" s="23">
        <f t="shared" si="143"/>
        <v>-1502.2500000000009</v>
      </c>
      <c r="Z1246" s="23">
        <v>1502</v>
      </c>
      <c r="AA1246" s="23">
        <f t="shared" si="137"/>
        <v>-0.25000000000090949</v>
      </c>
      <c r="AB1246" s="23">
        <f t="shared" si="138"/>
        <v>4699.4999999999982</v>
      </c>
      <c r="AC1246" s="11" t="s">
        <v>537</v>
      </c>
      <c r="AD1246" s="20" t="str">
        <f>VLOOKUP($C1246,'[1]CTRL AUTOS'!$E:$AH,2,0)</f>
        <v>MZN091C</v>
      </c>
      <c r="AE1246" s="11" t="str">
        <f t="shared" si="139"/>
        <v>MZN091C50</v>
      </c>
    </row>
    <row r="1247" spans="1:31" ht="15" hidden="1" customHeight="1" x14ac:dyDescent="0.3">
      <c r="A1247" s="8">
        <v>50</v>
      </c>
      <c r="B1247" s="20" t="s">
        <v>76</v>
      </c>
      <c r="C1247" s="39" t="s">
        <v>77</v>
      </c>
      <c r="D1247" s="39" t="s">
        <v>474</v>
      </c>
      <c r="E1247" s="20" t="s">
        <v>232</v>
      </c>
      <c r="F1247" s="20" t="s">
        <v>232</v>
      </c>
      <c r="G1247" s="20" t="s">
        <v>234</v>
      </c>
      <c r="H1247" s="23">
        <v>683.21</v>
      </c>
      <c r="I1247" s="23">
        <v>0</v>
      </c>
      <c r="J1247" s="23">
        <v>0</v>
      </c>
      <c r="K1247" s="23">
        <v>-5.04</v>
      </c>
      <c r="L1247" s="23">
        <v>0</v>
      </c>
      <c r="M1247" s="23">
        <v>0</v>
      </c>
      <c r="N1247" s="23">
        <v>-162</v>
      </c>
      <c r="O1247" s="24">
        <f t="shared" si="140"/>
        <v>516.17000000000007</v>
      </c>
      <c r="P1247" s="23">
        <v>-2500</v>
      </c>
      <c r="Q1247" s="23">
        <v>-15</v>
      </c>
      <c r="R1247" s="23">
        <v>0</v>
      </c>
      <c r="S1247" s="23">
        <v>0</v>
      </c>
      <c r="T1247" s="23">
        <v>0</v>
      </c>
      <c r="U1247" s="23">
        <v>0</v>
      </c>
      <c r="V1247" s="23">
        <v>0</v>
      </c>
      <c r="W1247" s="23">
        <f t="shared" si="141"/>
        <v>-1998.83</v>
      </c>
      <c r="X1247" s="23">
        <f t="shared" si="142"/>
        <v>0</v>
      </c>
      <c r="Y1247" s="23">
        <f t="shared" si="143"/>
        <v>-1998.83</v>
      </c>
      <c r="Z1247" s="23">
        <v>1900</v>
      </c>
      <c r="AA1247" s="23">
        <f t="shared" si="137"/>
        <v>-98.829999999999927</v>
      </c>
      <c r="AB1247" s="23">
        <f t="shared" si="138"/>
        <v>2317.34</v>
      </c>
      <c r="AC1247" s="46" t="s">
        <v>534</v>
      </c>
      <c r="AD1247" s="20" t="str">
        <f>VLOOKUP($C1247,'[1]CTRL AUTOS'!$E:$AH,2,0)</f>
        <v>MEE228C</v>
      </c>
      <c r="AE1247" s="11" t="str">
        <f t="shared" si="139"/>
        <v>MEE228C50</v>
      </c>
    </row>
    <row r="1248" spans="1:31" ht="15" hidden="1" customHeight="1" x14ac:dyDescent="0.3">
      <c r="A1248" s="8">
        <v>50</v>
      </c>
      <c r="B1248" s="20" t="s">
        <v>31</v>
      </c>
      <c r="C1248" s="39" t="s">
        <v>97</v>
      </c>
      <c r="D1248" s="39" t="s">
        <v>273</v>
      </c>
      <c r="E1248" s="20" t="s">
        <v>232</v>
      </c>
      <c r="F1248" s="20" t="s">
        <v>232</v>
      </c>
      <c r="G1248" s="20" t="s">
        <v>234</v>
      </c>
      <c r="H1248" s="23">
        <v>13015.22</v>
      </c>
      <c r="I1248" s="23">
        <v>-109.6</v>
      </c>
      <c r="J1248" s="23">
        <v>158.15</v>
      </c>
      <c r="K1248" s="23">
        <v>0</v>
      </c>
      <c r="L1248" s="23">
        <v>-7297.65</v>
      </c>
      <c r="M1248" s="23">
        <v>-120</v>
      </c>
      <c r="N1248" s="23">
        <v>0</v>
      </c>
      <c r="O1248" s="24">
        <f t="shared" si="140"/>
        <v>5646.119999999999</v>
      </c>
      <c r="P1248" s="23">
        <v>-2500</v>
      </c>
      <c r="Q1248" s="23">
        <v>0</v>
      </c>
      <c r="R1248" s="23">
        <v>-500</v>
      </c>
      <c r="S1248" s="23">
        <v>0</v>
      </c>
      <c r="T1248" s="23">
        <v>0</v>
      </c>
      <c r="U1248" s="23">
        <v>0</v>
      </c>
      <c r="V1248" s="23">
        <v>0</v>
      </c>
      <c r="W1248" s="23">
        <f t="shared" si="141"/>
        <v>2646.119999999999</v>
      </c>
      <c r="X1248" s="23">
        <f t="shared" si="142"/>
        <v>2646.119999999999</v>
      </c>
      <c r="Y1248" s="23">
        <f t="shared" si="143"/>
        <v>0</v>
      </c>
      <c r="Z1248" s="23">
        <v>0</v>
      </c>
      <c r="AA1248" s="23">
        <f t="shared" si="137"/>
        <v>0</v>
      </c>
      <c r="AB1248" s="23">
        <f t="shared" si="138"/>
        <v>3000</v>
      </c>
      <c r="AC1248" s="11" t="s">
        <v>482</v>
      </c>
      <c r="AD1248" s="20" t="str">
        <f>VLOOKUP($C1248,'[1]CTRL AUTOS'!$E:$AH,2,0)</f>
        <v>MUF515A</v>
      </c>
      <c r="AE1248" s="11" t="str">
        <f t="shared" si="139"/>
        <v>MUF515A50</v>
      </c>
    </row>
    <row r="1249" spans="1:31" ht="15" hidden="1" customHeight="1" x14ac:dyDescent="0.3">
      <c r="A1249" s="8">
        <v>50</v>
      </c>
      <c r="B1249" s="20" t="s">
        <v>27</v>
      </c>
      <c r="C1249" s="39" t="s">
        <v>28</v>
      </c>
      <c r="D1249" s="39" t="s">
        <v>274</v>
      </c>
      <c r="E1249" s="20" t="s">
        <v>232</v>
      </c>
      <c r="F1249" s="20" t="s">
        <v>232</v>
      </c>
      <c r="G1249" s="20" t="s">
        <v>234</v>
      </c>
      <c r="H1249" s="23">
        <v>3850.54</v>
      </c>
      <c r="I1249" s="23">
        <v>0</v>
      </c>
      <c r="J1249" s="23">
        <v>0</v>
      </c>
      <c r="K1249" s="23">
        <v>0</v>
      </c>
      <c r="L1249" s="23">
        <v>-1102.8</v>
      </c>
      <c r="M1249" s="23">
        <v>-40</v>
      </c>
      <c r="N1249" s="23">
        <v>-199</v>
      </c>
      <c r="O1249" s="24">
        <f t="shared" si="140"/>
        <v>2508.7399999999998</v>
      </c>
      <c r="P1249" s="23">
        <v>-2500</v>
      </c>
      <c r="Q1249" s="23">
        <v>0</v>
      </c>
      <c r="R1249" s="23">
        <v>-500</v>
      </c>
      <c r="S1249" s="23">
        <v>0</v>
      </c>
      <c r="T1249" s="23">
        <v>0</v>
      </c>
      <c r="U1249" s="23">
        <v>0</v>
      </c>
      <c r="V1249" s="23">
        <v>0</v>
      </c>
      <c r="W1249" s="23">
        <f t="shared" si="141"/>
        <v>-491.26000000000022</v>
      </c>
      <c r="X1249" s="23">
        <f t="shared" si="142"/>
        <v>0</v>
      </c>
      <c r="Y1249" s="23">
        <f t="shared" si="143"/>
        <v>-491.26000000000022</v>
      </c>
      <c r="Z1249" s="23">
        <v>491</v>
      </c>
      <c r="AA1249" s="23">
        <f t="shared" si="137"/>
        <v>-0.26000000000021828</v>
      </c>
      <c r="AB1249" s="23">
        <f t="shared" si="138"/>
        <v>2999.4799999999996</v>
      </c>
      <c r="AC1249" s="11" t="s">
        <v>538</v>
      </c>
      <c r="AD1249" s="20" t="str">
        <f>VLOOKUP($C1249,'[1]CTRL AUTOS'!$E:$AH,2,0)</f>
        <v>NCT814A</v>
      </c>
      <c r="AE1249" s="11" t="str">
        <f t="shared" si="139"/>
        <v>NCT814A50</v>
      </c>
    </row>
    <row r="1250" spans="1:31" ht="14.4" hidden="1" x14ac:dyDescent="0.3">
      <c r="A1250" s="8">
        <v>50</v>
      </c>
      <c r="B1250" s="20" t="s">
        <v>74</v>
      </c>
      <c r="C1250" s="39" t="s">
        <v>75</v>
      </c>
      <c r="D1250" s="39" t="s">
        <v>333</v>
      </c>
      <c r="E1250" s="22" t="s">
        <v>241</v>
      </c>
      <c r="F1250" s="20" t="s">
        <v>291</v>
      </c>
      <c r="G1250" s="20" t="s">
        <v>234</v>
      </c>
      <c r="H1250" s="23">
        <v>1422.02</v>
      </c>
      <c r="I1250" s="23">
        <v>0</v>
      </c>
      <c r="J1250" s="23">
        <v>0</v>
      </c>
      <c r="K1250" s="23">
        <v>0</v>
      </c>
      <c r="L1250" s="23">
        <v>-704.2</v>
      </c>
      <c r="M1250" s="23">
        <v>-30</v>
      </c>
      <c r="N1250" s="23">
        <v>0</v>
      </c>
      <c r="O1250" s="24">
        <f t="shared" si="140"/>
        <v>687.81999999999994</v>
      </c>
      <c r="P1250" s="23">
        <f>-1785.71</f>
        <v>-1785.71</v>
      </c>
      <c r="Q1250" s="23">
        <v>-2759</v>
      </c>
      <c r="R1250" s="23">
        <v>0</v>
      </c>
      <c r="S1250" s="23">
        <v>0</v>
      </c>
      <c r="T1250" s="23">
        <v>-500</v>
      </c>
      <c r="U1250" s="23">
        <v>0</v>
      </c>
      <c r="V1250" s="23">
        <v>0</v>
      </c>
      <c r="W1250" s="23">
        <f t="shared" si="141"/>
        <v>-4356.8900000000003</v>
      </c>
      <c r="X1250" s="23">
        <f t="shared" si="142"/>
        <v>0</v>
      </c>
      <c r="Y1250" s="23">
        <f t="shared" si="143"/>
        <v>-4356.8900000000003</v>
      </c>
      <c r="Z1250" s="23">
        <v>0</v>
      </c>
      <c r="AA1250" s="23">
        <f t="shared" si="137"/>
        <v>-4356.8900000000003</v>
      </c>
      <c r="AB1250" s="23">
        <f t="shared" si="138"/>
        <v>-3669.0700000000006</v>
      </c>
      <c r="AC1250" s="11" t="s">
        <v>536</v>
      </c>
      <c r="AD1250" s="20" t="str">
        <f>VLOOKUP($C1250,'[1]CTRL AUTOS'!$E:$AH,2,0)</f>
        <v>NFN014B</v>
      </c>
      <c r="AE1250" s="11" t="str">
        <f t="shared" si="139"/>
        <v>NFN014B50</v>
      </c>
    </row>
    <row r="1251" spans="1:31" ht="14.4" hidden="1" x14ac:dyDescent="0.3">
      <c r="A1251" s="8">
        <v>50</v>
      </c>
      <c r="B1251" s="20" t="s">
        <v>111</v>
      </c>
      <c r="C1251" s="39" t="s">
        <v>63</v>
      </c>
      <c r="D1251" s="39" t="s">
        <v>374</v>
      </c>
      <c r="E1251" s="20" t="s">
        <v>291</v>
      </c>
      <c r="F1251" s="20" t="s">
        <v>291</v>
      </c>
      <c r="G1251" s="20" t="s">
        <v>234</v>
      </c>
      <c r="H1251" s="23">
        <v>6769.3</v>
      </c>
      <c r="I1251" s="23">
        <v>-49.58</v>
      </c>
      <c r="J1251" s="23">
        <v>0</v>
      </c>
      <c r="K1251" s="23">
        <v>0</v>
      </c>
      <c r="L1251" s="23">
        <v>-3149.62</v>
      </c>
      <c r="M1251" s="23">
        <v>-50</v>
      </c>
      <c r="N1251" s="23">
        <v>0</v>
      </c>
      <c r="O1251" s="24">
        <f t="shared" si="140"/>
        <v>3520.1000000000004</v>
      </c>
      <c r="P1251" s="23">
        <v>-2500</v>
      </c>
      <c r="Q1251" s="23">
        <v>0</v>
      </c>
      <c r="R1251" s="23">
        <v>0</v>
      </c>
      <c r="S1251" s="23">
        <v>0</v>
      </c>
      <c r="T1251" s="23">
        <v>-700</v>
      </c>
      <c r="U1251" s="23">
        <v>0</v>
      </c>
      <c r="V1251" s="23">
        <v>0</v>
      </c>
      <c r="W1251" s="23">
        <f t="shared" si="141"/>
        <v>320.10000000000036</v>
      </c>
      <c r="X1251" s="23">
        <f t="shared" si="142"/>
        <v>320.10000000000036</v>
      </c>
      <c r="Y1251" s="23">
        <f t="shared" si="143"/>
        <v>0</v>
      </c>
      <c r="Z1251" s="23">
        <v>0</v>
      </c>
      <c r="AA1251" s="23">
        <f t="shared" si="137"/>
        <v>0</v>
      </c>
      <c r="AB1251" s="23">
        <f t="shared" si="138"/>
        <v>3200</v>
      </c>
      <c r="AC1251" s="11" t="s">
        <v>405</v>
      </c>
      <c r="AD1251" s="20" t="str">
        <f>VLOOKUP($C1251,'[1]CTRL AUTOS'!$E:$AH,2,0)</f>
        <v>X89ALV</v>
      </c>
      <c r="AE1251" s="11" t="str">
        <f t="shared" si="139"/>
        <v>X89ALV50</v>
      </c>
    </row>
    <row r="1252" spans="1:31" ht="14.4" hidden="1" x14ac:dyDescent="0.3">
      <c r="A1252" s="8">
        <v>50</v>
      </c>
      <c r="B1252" s="20" t="s">
        <v>78</v>
      </c>
      <c r="C1252" s="44" t="s">
        <v>79</v>
      </c>
      <c r="D1252" s="39" t="s">
        <v>475</v>
      </c>
      <c r="E1252" s="20" t="s">
        <v>291</v>
      </c>
      <c r="F1252" s="20" t="s">
        <v>291</v>
      </c>
      <c r="G1252" s="20" t="s">
        <v>234</v>
      </c>
      <c r="H1252" s="23">
        <v>4475.17</v>
      </c>
      <c r="I1252" s="23">
        <v>-91.24</v>
      </c>
      <c r="J1252" s="23">
        <v>0</v>
      </c>
      <c r="K1252" s="23">
        <v>-30.61</v>
      </c>
      <c r="L1252" s="23">
        <v>-227.49</v>
      </c>
      <c r="M1252" s="23">
        <v>-50</v>
      </c>
      <c r="N1252" s="23">
        <v>0</v>
      </c>
      <c r="O1252" s="24">
        <f t="shared" si="140"/>
        <v>4075.8300000000008</v>
      </c>
      <c r="P1252" s="23">
        <v>-2500</v>
      </c>
      <c r="Q1252" s="23">
        <v>0</v>
      </c>
      <c r="R1252" s="23">
        <v>-500</v>
      </c>
      <c r="S1252" s="23">
        <v>0</v>
      </c>
      <c r="T1252" s="23">
        <v>0</v>
      </c>
      <c r="U1252" s="23">
        <v>0</v>
      </c>
      <c r="V1252" s="23">
        <v>0</v>
      </c>
      <c r="W1252" s="23">
        <f t="shared" si="141"/>
        <v>1075.8300000000008</v>
      </c>
      <c r="X1252" s="23">
        <f t="shared" si="142"/>
        <v>1075.8300000000008</v>
      </c>
      <c r="Y1252" s="23">
        <f t="shared" si="143"/>
        <v>0</v>
      </c>
      <c r="Z1252" s="23">
        <v>0</v>
      </c>
      <c r="AA1252" s="23">
        <f t="shared" si="137"/>
        <v>0</v>
      </c>
      <c r="AB1252" s="23">
        <f t="shared" si="138"/>
        <v>3000</v>
      </c>
      <c r="AC1252" s="11" t="s">
        <v>405</v>
      </c>
      <c r="AD1252" s="20" t="str">
        <f>VLOOKUP($C1252,'[1]CTRL AUTOS'!$E:$AH,2,0)</f>
        <v>MAY737C</v>
      </c>
      <c r="AE1252" s="11" t="str">
        <f t="shared" si="139"/>
        <v>MAY737C50</v>
      </c>
    </row>
    <row r="1253" spans="1:31" ht="14.4" hidden="1" x14ac:dyDescent="0.3">
      <c r="A1253" s="8">
        <v>50</v>
      </c>
      <c r="B1253" s="20" t="s">
        <v>68</v>
      </c>
      <c r="C1253" s="39" t="s">
        <v>69</v>
      </c>
      <c r="D1253" s="39" t="s">
        <v>370</v>
      </c>
      <c r="E1253" s="22" t="s">
        <v>241</v>
      </c>
      <c r="F1253" s="20" t="s">
        <v>291</v>
      </c>
      <c r="G1253" s="20" t="s">
        <v>234</v>
      </c>
      <c r="H1253" s="23">
        <v>7986.17</v>
      </c>
      <c r="I1253" s="23">
        <v>-208</v>
      </c>
      <c r="J1253" s="23">
        <v>-88</v>
      </c>
      <c r="K1253" s="23">
        <v>0</v>
      </c>
      <c r="L1253" s="23">
        <v>-4018.41</v>
      </c>
      <c r="M1253" s="23">
        <v>-80</v>
      </c>
      <c r="N1253" s="23">
        <v>0</v>
      </c>
      <c r="O1253" s="24">
        <f t="shared" si="140"/>
        <v>3591.76</v>
      </c>
      <c r="P1253" s="23">
        <v>-2500</v>
      </c>
      <c r="Q1253" s="23">
        <v>0</v>
      </c>
      <c r="R1253" s="23">
        <v>-500</v>
      </c>
      <c r="S1253" s="23">
        <v>0</v>
      </c>
      <c r="T1253" s="23">
        <v>0</v>
      </c>
      <c r="U1253" s="23">
        <v>0</v>
      </c>
      <c r="V1253" s="23">
        <v>0</v>
      </c>
      <c r="W1253" s="23">
        <f t="shared" si="141"/>
        <v>591.76000000000022</v>
      </c>
      <c r="X1253" s="23">
        <f t="shared" si="142"/>
        <v>591.76000000000022</v>
      </c>
      <c r="Y1253" s="23">
        <f t="shared" si="143"/>
        <v>0</v>
      </c>
      <c r="Z1253" s="23">
        <v>0</v>
      </c>
      <c r="AA1253" s="23">
        <f t="shared" si="137"/>
        <v>0</v>
      </c>
      <c r="AB1253" s="23">
        <f t="shared" si="138"/>
        <v>3000</v>
      </c>
      <c r="AC1253" s="11" t="s">
        <v>405</v>
      </c>
      <c r="AD1253" s="20" t="str">
        <f>VLOOKUP($C1253,'[1]CTRL AUTOS'!$E:$AH,2,0)</f>
        <v>R51BKD</v>
      </c>
      <c r="AE1253" s="11" t="str">
        <f t="shared" si="139"/>
        <v>R51BKD50</v>
      </c>
    </row>
    <row r="1254" spans="1:31" ht="14.4" hidden="1" x14ac:dyDescent="0.3">
      <c r="A1254" s="8">
        <v>50</v>
      </c>
      <c r="B1254" s="20" t="s">
        <v>72</v>
      </c>
      <c r="C1254" s="39" t="s">
        <v>73</v>
      </c>
      <c r="D1254" s="39" t="s">
        <v>368</v>
      </c>
      <c r="E1254" s="22" t="s">
        <v>241</v>
      </c>
      <c r="F1254" s="20" t="s">
        <v>291</v>
      </c>
      <c r="G1254" s="20" t="s">
        <v>234</v>
      </c>
      <c r="H1254" s="23">
        <v>12281.71</v>
      </c>
      <c r="I1254" s="23">
        <v>-147.19999999999999</v>
      </c>
      <c r="J1254" s="23">
        <v>0</v>
      </c>
      <c r="K1254" s="23">
        <v>-88.81</v>
      </c>
      <c r="L1254" s="23">
        <v>-7397.8</v>
      </c>
      <c r="M1254" s="23">
        <v>-120</v>
      </c>
      <c r="N1254" s="23">
        <v>-151.02000000000001</v>
      </c>
      <c r="O1254" s="24">
        <f t="shared" si="140"/>
        <v>4376.8799999999983</v>
      </c>
      <c r="P1254" s="23">
        <v>-2500</v>
      </c>
      <c r="Q1254" s="23">
        <v>0</v>
      </c>
      <c r="R1254" s="23">
        <v>0</v>
      </c>
      <c r="S1254" s="23">
        <v>0</v>
      </c>
      <c r="T1254" s="23">
        <v>-700</v>
      </c>
      <c r="U1254" s="23">
        <v>0</v>
      </c>
      <c r="V1254" s="23">
        <v>0</v>
      </c>
      <c r="W1254" s="23">
        <f t="shared" si="141"/>
        <v>1176.8799999999983</v>
      </c>
      <c r="X1254" s="23">
        <f t="shared" si="142"/>
        <v>1176.8799999999983</v>
      </c>
      <c r="Y1254" s="23">
        <f t="shared" si="143"/>
        <v>0</v>
      </c>
      <c r="Z1254" s="23">
        <v>0</v>
      </c>
      <c r="AA1254" s="23">
        <f t="shared" si="137"/>
        <v>0</v>
      </c>
      <c r="AB1254" s="23">
        <f t="shared" si="138"/>
        <v>3200</v>
      </c>
      <c r="AC1254" s="11" t="s">
        <v>405</v>
      </c>
      <c r="AD1254" s="20" t="str">
        <f>VLOOKUP($C1254,'[1]CTRL AUTOS'!$E:$AH,2,0)</f>
        <v>H99BLC</v>
      </c>
      <c r="AE1254" s="11" t="str">
        <f t="shared" si="139"/>
        <v>H99BLC50</v>
      </c>
    </row>
    <row r="1255" spans="1:31" ht="14.4" hidden="1" x14ac:dyDescent="0.3">
      <c r="A1255" s="8">
        <v>50</v>
      </c>
      <c r="B1255" s="20" t="s">
        <v>57</v>
      </c>
      <c r="C1255" s="39" t="s">
        <v>16</v>
      </c>
      <c r="D1255" s="39" t="s">
        <v>314</v>
      </c>
      <c r="E1255" s="20" t="s">
        <v>232</v>
      </c>
      <c r="F1255" s="20" t="s">
        <v>291</v>
      </c>
      <c r="G1255" s="20" t="s">
        <v>234</v>
      </c>
      <c r="H1255" s="23">
        <v>0</v>
      </c>
      <c r="I1255" s="23">
        <v>0</v>
      </c>
      <c r="J1255" s="23">
        <v>0</v>
      </c>
      <c r="K1255" s="23">
        <v>0</v>
      </c>
      <c r="L1255" s="23">
        <v>0</v>
      </c>
      <c r="M1255" s="23">
        <v>0</v>
      </c>
      <c r="N1255" s="23">
        <v>0</v>
      </c>
      <c r="O1255" s="24">
        <f t="shared" si="140"/>
        <v>0</v>
      </c>
      <c r="P1255" s="23">
        <v>0</v>
      </c>
      <c r="Q1255" s="23">
        <v>0</v>
      </c>
      <c r="R1255" s="23">
        <v>500</v>
      </c>
      <c r="S1255" s="23">
        <v>0</v>
      </c>
      <c r="T1255" s="23">
        <v>0</v>
      </c>
      <c r="U1255" s="23">
        <v>0</v>
      </c>
      <c r="V1255" s="23">
        <v>0</v>
      </c>
      <c r="W1255" s="23">
        <f t="shared" si="141"/>
        <v>500</v>
      </c>
      <c r="X1255" s="23">
        <f t="shared" si="142"/>
        <v>500</v>
      </c>
      <c r="Y1255" s="23">
        <f t="shared" si="143"/>
        <v>0</v>
      </c>
      <c r="Z1255" s="23">
        <v>0</v>
      </c>
      <c r="AA1255" s="23">
        <f t="shared" si="137"/>
        <v>0</v>
      </c>
      <c r="AB1255" s="23">
        <f t="shared" si="138"/>
        <v>-500</v>
      </c>
      <c r="AC1255" s="11" t="s">
        <v>405</v>
      </c>
      <c r="AD1255" s="20" t="str">
        <f>VLOOKUP($C1255,'[1]CTRL AUTOS'!$E:$AH,2,0)</f>
        <v>D28BET</v>
      </c>
      <c r="AE1255" s="11" t="str">
        <f t="shared" si="139"/>
        <v>D28BET50</v>
      </c>
    </row>
    <row r="1256" spans="1:31" ht="14.4" hidden="1" x14ac:dyDescent="0.3">
      <c r="A1256" s="8">
        <v>50</v>
      </c>
      <c r="B1256" s="20" t="s">
        <v>444</v>
      </c>
      <c r="C1256" s="39" t="s">
        <v>44</v>
      </c>
      <c r="D1256" s="39" t="s">
        <v>467</v>
      </c>
      <c r="E1256" s="22" t="s">
        <v>232</v>
      </c>
      <c r="F1256" s="20" t="s">
        <v>232</v>
      </c>
      <c r="G1256" s="20" t="s">
        <v>234</v>
      </c>
      <c r="H1256" s="23">
        <v>0</v>
      </c>
      <c r="I1256" s="23">
        <v>0</v>
      </c>
      <c r="J1256" s="23">
        <v>0</v>
      </c>
      <c r="K1256" s="23">
        <v>0</v>
      </c>
      <c r="L1256" s="23">
        <v>0</v>
      </c>
      <c r="M1256" s="23">
        <v>0</v>
      </c>
      <c r="N1256" s="23">
        <v>0</v>
      </c>
      <c r="O1256" s="24">
        <f t="shared" si="140"/>
        <v>0</v>
      </c>
      <c r="P1256" s="23">
        <v>0</v>
      </c>
      <c r="Q1256" s="23">
        <v>0</v>
      </c>
      <c r="R1256" s="23">
        <v>500</v>
      </c>
      <c r="S1256" s="23">
        <v>0</v>
      </c>
      <c r="T1256" s="23">
        <v>0</v>
      </c>
      <c r="U1256" s="23">
        <v>0</v>
      </c>
      <c r="V1256" s="23">
        <v>0</v>
      </c>
      <c r="W1256" s="23">
        <f t="shared" si="141"/>
        <v>500</v>
      </c>
      <c r="X1256" s="23">
        <f t="shared" si="142"/>
        <v>500</v>
      </c>
      <c r="Y1256" s="23">
        <f t="shared" si="143"/>
        <v>0</v>
      </c>
      <c r="Z1256" s="23">
        <v>0</v>
      </c>
      <c r="AA1256" s="23">
        <f t="shared" si="137"/>
        <v>0</v>
      </c>
      <c r="AB1256" s="23">
        <f t="shared" si="138"/>
        <v>-500</v>
      </c>
      <c r="AC1256" s="11" t="s">
        <v>482</v>
      </c>
      <c r="AD1256" s="20" t="str">
        <f>VLOOKUP($C1256,'[1]CTRL AUTOS'!$E:$AH,2,0)</f>
        <v>MAY730C</v>
      </c>
      <c r="AE1256" s="11" t="str">
        <f t="shared" si="139"/>
        <v>MAY730C50</v>
      </c>
    </row>
    <row r="1257" spans="1:31" ht="14.4" hidden="1" x14ac:dyDescent="0.3">
      <c r="A1257" s="8">
        <v>50</v>
      </c>
      <c r="B1257" s="20" t="s">
        <v>82</v>
      </c>
      <c r="C1257" s="39" t="s">
        <v>83</v>
      </c>
      <c r="D1257" s="39" t="s">
        <v>237</v>
      </c>
      <c r="E1257" s="20" t="s">
        <v>232</v>
      </c>
      <c r="F1257" s="20" t="s">
        <v>232</v>
      </c>
      <c r="G1257" s="20" t="s">
        <v>234</v>
      </c>
      <c r="H1257" s="23">
        <v>0</v>
      </c>
      <c r="I1257" s="23">
        <v>0</v>
      </c>
      <c r="J1257" s="23">
        <v>0</v>
      </c>
      <c r="K1257" s="23">
        <v>0</v>
      </c>
      <c r="L1257" s="23">
        <v>0</v>
      </c>
      <c r="M1257" s="23">
        <v>0</v>
      </c>
      <c r="N1257" s="23">
        <v>0</v>
      </c>
      <c r="O1257" s="24">
        <f t="shared" si="140"/>
        <v>0</v>
      </c>
      <c r="P1257" s="23">
        <v>-2000</v>
      </c>
      <c r="Q1257" s="23">
        <v>0</v>
      </c>
      <c r="R1257" s="23">
        <v>0</v>
      </c>
      <c r="S1257" s="23">
        <v>0</v>
      </c>
      <c r="T1257" s="23">
        <v>0</v>
      </c>
      <c r="U1257" s="23">
        <v>0</v>
      </c>
      <c r="V1257" s="23">
        <v>0</v>
      </c>
      <c r="W1257" s="23">
        <f t="shared" si="141"/>
        <v>-2000</v>
      </c>
      <c r="X1257" s="23">
        <f t="shared" si="142"/>
        <v>0</v>
      </c>
      <c r="Y1257" s="23">
        <f t="shared" si="143"/>
        <v>-2000</v>
      </c>
      <c r="Z1257" s="23">
        <v>2000</v>
      </c>
      <c r="AA1257" s="23">
        <f t="shared" si="137"/>
        <v>0</v>
      </c>
      <c r="AB1257" s="23">
        <f t="shared" si="138"/>
        <v>2000</v>
      </c>
      <c r="AC1257" s="11" t="s">
        <v>539</v>
      </c>
      <c r="AD1257" s="20" t="str">
        <f>VLOOKUP($C1257,'[1]CTRL AUTOS'!$E:$AH,2,0)</f>
        <v>MZN057C</v>
      </c>
      <c r="AE1257" s="11" t="str">
        <f t="shared" si="139"/>
        <v>MZN057C50</v>
      </c>
    </row>
    <row r="1258" spans="1:31" ht="14.4" hidden="1" x14ac:dyDescent="0.3">
      <c r="A1258" s="8">
        <v>50</v>
      </c>
      <c r="B1258" s="20" t="s">
        <v>43</v>
      </c>
      <c r="C1258" s="39" t="s">
        <v>44</v>
      </c>
      <c r="D1258" s="39" t="s">
        <v>467</v>
      </c>
      <c r="E1258" s="22" t="s">
        <v>232</v>
      </c>
      <c r="F1258" s="20" t="s">
        <v>232</v>
      </c>
      <c r="G1258" s="20" t="s">
        <v>234</v>
      </c>
      <c r="H1258" s="23">
        <v>363.48</v>
      </c>
      <c r="I1258" s="23">
        <v>0</v>
      </c>
      <c r="J1258" s="23">
        <v>0</v>
      </c>
      <c r="K1258" s="23">
        <v>0</v>
      </c>
      <c r="L1258" s="23">
        <v>0</v>
      </c>
      <c r="M1258" s="23">
        <v>0</v>
      </c>
      <c r="N1258" s="23">
        <v>0</v>
      </c>
      <c r="O1258" s="24">
        <f t="shared" si="140"/>
        <v>363.48</v>
      </c>
      <c r="P1258" s="23">
        <v>-892.75</v>
      </c>
      <c r="Q1258" s="23">
        <v>0</v>
      </c>
      <c r="R1258" s="23">
        <v>-179</v>
      </c>
      <c r="S1258" s="23">
        <v>0</v>
      </c>
      <c r="T1258" s="23">
        <v>0</v>
      </c>
      <c r="U1258" s="23">
        <v>0</v>
      </c>
      <c r="V1258" s="23">
        <v>0</v>
      </c>
      <c r="W1258" s="23">
        <f t="shared" si="141"/>
        <v>-708.27</v>
      </c>
      <c r="X1258" s="23">
        <f t="shared" si="142"/>
        <v>0</v>
      </c>
      <c r="Y1258" s="23">
        <f t="shared" si="143"/>
        <v>-708.27</v>
      </c>
      <c r="Z1258" s="23">
        <v>708</v>
      </c>
      <c r="AA1258" s="23">
        <f t="shared" si="137"/>
        <v>-0.26999999999998181</v>
      </c>
      <c r="AB1258" s="23">
        <f t="shared" si="138"/>
        <v>1071.21</v>
      </c>
      <c r="AC1258" s="11" t="s">
        <v>540</v>
      </c>
      <c r="AD1258" s="20" t="str">
        <f>VLOOKUP($C1258,'[1]CTRL AUTOS'!$E:$AH,2,0)</f>
        <v>MAY730C</v>
      </c>
      <c r="AE1258" s="11" t="str">
        <f t="shared" si="139"/>
        <v>MAY730C50</v>
      </c>
    </row>
    <row r="1259" spans="1:31" ht="14.4" hidden="1" x14ac:dyDescent="0.3">
      <c r="A1259" s="8">
        <v>50</v>
      </c>
      <c r="B1259" s="20" t="s">
        <v>33</v>
      </c>
      <c r="C1259" s="39" t="s">
        <v>56</v>
      </c>
      <c r="D1259" s="39" t="s">
        <v>237</v>
      </c>
      <c r="E1259" s="22" t="s">
        <v>241</v>
      </c>
      <c r="F1259" s="20" t="s">
        <v>291</v>
      </c>
      <c r="G1259" s="20" t="s">
        <v>234</v>
      </c>
      <c r="H1259" s="23">
        <v>3712.29</v>
      </c>
      <c r="I1259" s="23">
        <v>-44.11</v>
      </c>
      <c r="J1259" s="23">
        <v>0</v>
      </c>
      <c r="K1259" s="23">
        <v>-25.99</v>
      </c>
      <c r="L1259" s="23">
        <v>-1001.97</v>
      </c>
      <c r="M1259" s="23">
        <v>-40</v>
      </c>
      <c r="N1259" s="23">
        <v>0</v>
      </c>
      <c r="O1259" s="24">
        <f t="shared" si="140"/>
        <v>2600.2200000000003</v>
      </c>
      <c r="P1259" s="23">
        <v>-2142.8200000000002</v>
      </c>
      <c r="Q1259" s="23">
        <v>0</v>
      </c>
      <c r="R1259" s="23">
        <v>-428</v>
      </c>
      <c r="S1259" s="23">
        <v>0</v>
      </c>
      <c r="T1259" s="23">
        <v>0</v>
      </c>
      <c r="U1259" s="23">
        <v>0</v>
      </c>
      <c r="V1259" s="23">
        <v>0</v>
      </c>
      <c r="W1259" s="23">
        <f t="shared" si="141"/>
        <v>29.400000000000091</v>
      </c>
      <c r="X1259" s="23">
        <f t="shared" si="142"/>
        <v>29.400000000000091</v>
      </c>
      <c r="Y1259" s="23">
        <f t="shared" si="143"/>
        <v>0</v>
      </c>
      <c r="Z1259" s="23">
        <v>0</v>
      </c>
      <c r="AA1259" s="23">
        <f t="shared" si="137"/>
        <v>0</v>
      </c>
      <c r="AB1259" s="23">
        <f t="shared" si="138"/>
        <v>2570.8200000000002</v>
      </c>
      <c r="AC1259" s="11" t="s">
        <v>541</v>
      </c>
      <c r="AD1259" s="20" t="str">
        <f>VLOOKUP($C1259,'[1]CTRL AUTOS'!$E:$AH,2,0)</f>
        <v>MYE912A</v>
      </c>
      <c r="AE1259" s="11" t="str">
        <f t="shared" si="139"/>
        <v>MYE912A50</v>
      </c>
    </row>
    <row r="1260" spans="1:31" ht="14.4" hidden="1" x14ac:dyDescent="0.3">
      <c r="A1260" s="8">
        <v>50</v>
      </c>
      <c r="B1260" s="20" t="s">
        <v>70</v>
      </c>
      <c r="C1260" s="39" t="s">
        <v>38</v>
      </c>
      <c r="D1260" s="39" t="s">
        <v>237</v>
      </c>
      <c r="E1260" s="20" t="s">
        <v>232</v>
      </c>
      <c r="F1260" s="20" t="s">
        <v>291</v>
      </c>
      <c r="G1260" s="20" t="s">
        <v>234</v>
      </c>
      <c r="H1260" s="23">
        <v>2958.08</v>
      </c>
      <c r="I1260" s="23">
        <v>-11.39</v>
      </c>
      <c r="J1260" s="23">
        <v>0</v>
      </c>
      <c r="K1260" s="23">
        <v>0</v>
      </c>
      <c r="L1260" s="23">
        <v>0</v>
      </c>
      <c r="M1260" s="23">
        <v>0</v>
      </c>
      <c r="N1260" s="23">
        <v>0</v>
      </c>
      <c r="O1260" s="24">
        <f t="shared" si="140"/>
        <v>2946.69</v>
      </c>
      <c r="P1260" s="23">
        <v>-2947</v>
      </c>
      <c r="Q1260" s="23">
        <v>0</v>
      </c>
      <c r="R1260" s="23">
        <v>0</v>
      </c>
      <c r="S1260" s="23">
        <v>0</v>
      </c>
      <c r="T1260" s="23">
        <v>0</v>
      </c>
      <c r="U1260" s="23">
        <v>0</v>
      </c>
      <c r="V1260" s="23">
        <v>0</v>
      </c>
      <c r="W1260" s="23">
        <f t="shared" si="141"/>
        <v>-0.30999999999994543</v>
      </c>
      <c r="X1260" s="23">
        <f t="shared" si="142"/>
        <v>0</v>
      </c>
      <c r="Y1260" s="23">
        <f t="shared" si="143"/>
        <v>-0.30999999999994543</v>
      </c>
      <c r="Z1260" s="23">
        <v>0</v>
      </c>
      <c r="AA1260" s="23">
        <f t="shared" si="137"/>
        <v>-0.30999999999994543</v>
      </c>
      <c r="AB1260" s="23">
        <f t="shared" si="138"/>
        <v>2946.38</v>
      </c>
      <c r="AC1260" s="11" t="s">
        <v>542</v>
      </c>
      <c r="AD1260" s="20" t="str">
        <f>VLOOKUP($C1260,'[1]CTRL AUTOS'!$E:$AH,2,0)</f>
        <v>A19BDY</v>
      </c>
      <c r="AE1260" s="11" t="str">
        <f t="shared" si="139"/>
        <v>A19BDY50</v>
      </c>
    </row>
    <row r="1261" spans="1:31" ht="14.4" hidden="1" x14ac:dyDescent="0.3">
      <c r="A1261" s="8">
        <v>50</v>
      </c>
      <c r="B1261" s="20" t="s">
        <v>543</v>
      </c>
      <c r="C1261" s="39" t="s">
        <v>6</v>
      </c>
      <c r="D1261" s="39" t="s">
        <v>237</v>
      </c>
      <c r="E1261" s="20" t="s">
        <v>232</v>
      </c>
      <c r="F1261" s="20" t="s">
        <v>232</v>
      </c>
      <c r="G1261" s="20" t="s">
        <v>425</v>
      </c>
      <c r="H1261" s="23">
        <v>926.9</v>
      </c>
      <c r="I1261" s="23">
        <v>0</v>
      </c>
      <c r="J1261" s="23">
        <v>0</v>
      </c>
      <c r="K1261" s="23">
        <v>0</v>
      </c>
      <c r="L1261" s="23">
        <v>-740</v>
      </c>
      <c r="M1261" s="23">
        <v>0</v>
      </c>
      <c r="N1261" s="23">
        <v>0</v>
      </c>
      <c r="O1261" s="23">
        <f t="shared" si="140"/>
        <v>186.89999999999998</v>
      </c>
      <c r="P1261" s="23">
        <v>-927</v>
      </c>
      <c r="Q1261" s="23">
        <v>0</v>
      </c>
      <c r="R1261" s="23">
        <v>0</v>
      </c>
      <c r="S1261" s="23">
        <v>0</v>
      </c>
      <c r="T1261" s="23">
        <v>0</v>
      </c>
      <c r="U1261" s="23">
        <v>0</v>
      </c>
      <c r="V1261" s="23">
        <v>0</v>
      </c>
      <c r="W1261" s="23">
        <f t="shared" si="141"/>
        <v>-740.1</v>
      </c>
      <c r="X1261" s="23">
        <f t="shared" si="142"/>
        <v>0</v>
      </c>
      <c r="Y1261" s="23">
        <f t="shared" si="143"/>
        <v>-740.1</v>
      </c>
      <c r="Z1261" s="23">
        <v>740</v>
      </c>
      <c r="AA1261" s="23">
        <f t="shared" si="137"/>
        <v>-0.10000000000002274</v>
      </c>
      <c r="AB1261" s="23">
        <f t="shared" si="138"/>
        <v>926.8</v>
      </c>
      <c r="AC1261" s="46" t="s">
        <v>544</v>
      </c>
      <c r="AD1261" s="20" t="str">
        <f>VLOOKUP($C1261,'[1]CTRL AUTOS'!$E:$AH,2,0)</f>
        <v>MXW453C</v>
      </c>
      <c r="AE1261" s="11" t="str">
        <f t="shared" si="139"/>
        <v>MXW453C50</v>
      </c>
    </row>
    <row r="1262" spans="1:31" ht="15" hidden="1" customHeight="1" x14ac:dyDescent="0.3">
      <c r="A1262" s="8">
        <v>50</v>
      </c>
      <c r="B1262" s="20" t="s">
        <v>41</v>
      </c>
      <c r="C1262" s="20" t="s">
        <v>42</v>
      </c>
      <c r="D1262" s="20" t="s">
        <v>250</v>
      </c>
      <c r="E1262" s="20" t="s">
        <v>232</v>
      </c>
      <c r="F1262" s="20" t="s">
        <v>232</v>
      </c>
      <c r="G1262" s="20" t="s">
        <v>234</v>
      </c>
      <c r="H1262" s="23">
        <v>0</v>
      </c>
      <c r="I1262" s="23">
        <v>0</v>
      </c>
      <c r="J1262" s="23">
        <v>0</v>
      </c>
      <c r="K1262" s="23">
        <v>0</v>
      </c>
      <c r="L1262" s="23">
        <v>0</v>
      </c>
      <c r="M1262" s="23">
        <v>0</v>
      </c>
      <c r="N1262" s="23">
        <v>0</v>
      </c>
      <c r="O1262" s="23">
        <f t="shared" si="140"/>
        <v>0</v>
      </c>
      <c r="P1262" s="23">
        <v>0</v>
      </c>
      <c r="Q1262" s="23">
        <v>0</v>
      </c>
      <c r="R1262" s="23">
        <v>-2500</v>
      </c>
      <c r="S1262" s="23">
        <v>0</v>
      </c>
      <c r="T1262" s="23">
        <v>0</v>
      </c>
      <c r="U1262" s="23">
        <v>0</v>
      </c>
      <c r="V1262" s="23">
        <v>0</v>
      </c>
      <c r="W1262" s="23">
        <f t="shared" si="141"/>
        <v>-2500</v>
      </c>
      <c r="X1262" s="23">
        <f t="shared" si="142"/>
        <v>0</v>
      </c>
      <c r="Y1262" s="23">
        <f t="shared" si="143"/>
        <v>-2500</v>
      </c>
      <c r="Z1262" s="23">
        <v>2500</v>
      </c>
      <c r="AA1262" s="23">
        <f t="shared" si="137"/>
        <v>0</v>
      </c>
      <c r="AB1262" s="23">
        <f t="shared" si="138"/>
        <v>2500</v>
      </c>
      <c r="AC1262" s="46" t="s">
        <v>545</v>
      </c>
      <c r="AD1262" s="20" t="str">
        <f>VLOOKUP($C1262,'[1]CTRL AUTOS'!$E:$AH,2,0)</f>
        <v>MMA672C</v>
      </c>
      <c r="AE1262" s="11" t="str">
        <f t="shared" si="139"/>
        <v>MMA672C50</v>
      </c>
    </row>
    <row r="1263" spans="1:31" ht="14.4" hidden="1" x14ac:dyDescent="0.3">
      <c r="A1263" s="8">
        <v>51</v>
      </c>
      <c r="B1263" s="20" t="s">
        <v>45</v>
      </c>
      <c r="C1263" s="20" t="s">
        <v>46</v>
      </c>
      <c r="D1263" s="20" t="s">
        <v>257</v>
      </c>
      <c r="E1263" s="20" t="s">
        <v>232</v>
      </c>
      <c r="F1263" s="20" t="s">
        <v>232</v>
      </c>
      <c r="G1263" s="20" t="s">
        <v>234</v>
      </c>
      <c r="H1263" s="23">
        <v>4023.9</v>
      </c>
      <c r="I1263" s="23">
        <v>0</v>
      </c>
      <c r="J1263" s="23">
        <v>0</v>
      </c>
      <c r="K1263" s="23">
        <v>0</v>
      </c>
      <c r="L1263" s="23">
        <v>-435.85</v>
      </c>
      <c r="M1263" s="23">
        <v>-30</v>
      </c>
      <c r="N1263" s="23">
        <v>0</v>
      </c>
      <c r="O1263" s="23">
        <f t="shared" si="140"/>
        <v>3558.05</v>
      </c>
      <c r="P1263" s="23">
        <v>-2500</v>
      </c>
      <c r="Q1263" s="23">
        <v>0</v>
      </c>
      <c r="R1263" s="23">
        <v>0</v>
      </c>
      <c r="S1263" s="23">
        <v>0</v>
      </c>
      <c r="T1263" s="23">
        <v>0</v>
      </c>
      <c r="U1263" s="23">
        <v>0</v>
      </c>
      <c r="V1263" s="23">
        <v>0</v>
      </c>
      <c r="W1263" s="23">
        <f t="shared" si="141"/>
        <v>1058.0500000000002</v>
      </c>
      <c r="X1263" s="47">
        <f t="shared" si="142"/>
        <v>1058.0500000000002</v>
      </c>
      <c r="Y1263" s="23">
        <f t="shared" si="143"/>
        <v>0</v>
      </c>
      <c r="Z1263" s="23">
        <v>0</v>
      </c>
      <c r="AA1263" s="23">
        <f t="shared" si="137"/>
        <v>0</v>
      </c>
      <c r="AB1263" s="23">
        <f t="shared" si="138"/>
        <v>2500</v>
      </c>
      <c r="AC1263" s="46" t="s">
        <v>482</v>
      </c>
      <c r="AD1263" s="20" t="str">
        <f>VLOOKUP($C1263,'[1]CTRL AUTOS'!$E:$AH,2,0)</f>
        <v>R66BER</v>
      </c>
      <c r="AE1263" s="11" t="str">
        <f t="shared" si="139"/>
        <v>R66BER51</v>
      </c>
    </row>
    <row r="1264" spans="1:31" ht="14.4" hidden="1" x14ac:dyDescent="0.3">
      <c r="A1264" s="8">
        <v>51</v>
      </c>
      <c r="B1264" s="20" t="s">
        <v>31</v>
      </c>
      <c r="C1264" s="20" t="s">
        <v>97</v>
      </c>
      <c r="D1264" s="20" t="s">
        <v>273</v>
      </c>
      <c r="E1264" s="20" t="s">
        <v>232</v>
      </c>
      <c r="F1264" s="20" t="s">
        <v>232</v>
      </c>
      <c r="G1264" s="20" t="s">
        <v>234</v>
      </c>
      <c r="H1264" s="23">
        <v>12331.51</v>
      </c>
      <c r="I1264" s="23">
        <v>0</v>
      </c>
      <c r="J1264" s="23">
        <v>240</v>
      </c>
      <c r="K1264" s="23">
        <v>0</v>
      </c>
      <c r="L1264" s="23">
        <v>-6789.5</v>
      </c>
      <c r="M1264" s="23">
        <v>-100</v>
      </c>
      <c r="N1264" s="23">
        <v>-200</v>
      </c>
      <c r="O1264" s="23">
        <f t="shared" si="140"/>
        <v>5482.01</v>
      </c>
      <c r="P1264" s="23">
        <v>-2500</v>
      </c>
      <c r="Q1264" s="23">
        <v>0</v>
      </c>
      <c r="R1264" s="23">
        <v>-500</v>
      </c>
      <c r="S1264" s="23">
        <v>0</v>
      </c>
      <c r="T1264" s="23">
        <v>0</v>
      </c>
      <c r="U1264" s="23">
        <v>0</v>
      </c>
      <c r="V1264" s="23">
        <v>0</v>
      </c>
      <c r="W1264" s="23">
        <f t="shared" si="141"/>
        <v>2482.0100000000002</v>
      </c>
      <c r="X1264" s="47">
        <f t="shared" si="142"/>
        <v>2482.0100000000002</v>
      </c>
      <c r="Y1264" s="23">
        <f t="shared" si="143"/>
        <v>0</v>
      </c>
      <c r="Z1264" s="23">
        <v>0</v>
      </c>
      <c r="AA1264" s="23">
        <f t="shared" si="137"/>
        <v>0</v>
      </c>
      <c r="AB1264" s="23">
        <f t="shared" si="138"/>
        <v>3000</v>
      </c>
      <c r="AC1264" s="46" t="s">
        <v>482</v>
      </c>
      <c r="AD1264" s="20" t="str">
        <f>VLOOKUP($C1264,'[1]CTRL AUTOS'!$E:$AH,2,0)</f>
        <v>MUF515A</v>
      </c>
      <c r="AE1264" s="11" t="str">
        <f t="shared" si="139"/>
        <v>MUF515A51</v>
      </c>
    </row>
    <row r="1265" spans="1:31" ht="14.4" hidden="1" x14ac:dyDescent="0.3">
      <c r="A1265" s="8">
        <v>51</v>
      </c>
      <c r="B1265" s="20" t="s">
        <v>68</v>
      </c>
      <c r="C1265" s="20" t="s">
        <v>69</v>
      </c>
      <c r="D1265" s="20" t="s">
        <v>370</v>
      </c>
      <c r="E1265" s="22" t="s">
        <v>241</v>
      </c>
      <c r="F1265" s="20" t="s">
        <v>291</v>
      </c>
      <c r="G1265" s="20" t="s">
        <v>234</v>
      </c>
      <c r="H1265" s="23">
        <v>4954.87</v>
      </c>
      <c r="I1265" s="23">
        <v>0</v>
      </c>
      <c r="J1265" s="23">
        <v>780.4</v>
      </c>
      <c r="K1265" s="23">
        <v>0</v>
      </c>
      <c r="L1265" s="23">
        <v>-3053.66</v>
      </c>
      <c r="M1265" s="23">
        <v>-50</v>
      </c>
      <c r="N1265" s="23">
        <v>0</v>
      </c>
      <c r="O1265" s="23">
        <f t="shared" si="140"/>
        <v>2631.6099999999997</v>
      </c>
      <c r="P1265" s="23">
        <v>-2500</v>
      </c>
      <c r="Q1265" s="23">
        <v>0</v>
      </c>
      <c r="R1265" s="23">
        <v>-500</v>
      </c>
      <c r="S1265" s="23">
        <v>0</v>
      </c>
      <c r="T1265" s="23">
        <v>0</v>
      </c>
      <c r="U1265" s="23">
        <v>0</v>
      </c>
      <c r="V1265" s="23">
        <v>0</v>
      </c>
      <c r="W1265" s="23">
        <f t="shared" si="141"/>
        <v>-368.39000000000033</v>
      </c>
      <c r="X1265" s="23">
        <f t="shared" si="142"/>
        <v>0</v>
      </c>
      <c r="Y1265" s="23">
        <f t="shared" si="143"/>
        <v>-368.39000000000033</v>
      </c>
      <c r="Z1265" s="23">
        <v>0</v>
      </c>
      <c r="AA1265" s="23">
        <f t="shared" si="137"/>
        <v>-368.39000000000033</v>
      </c>
      <c r="AB1265" s="23">
        <f t="shared" si="138"/>
        <v>2263.2199999999993</v>
      </c>
      <c r="AC1265" s="23"/>
      <c r="AD1265" s="20" t="str">
        <f>VLOOKUP($C1265,'[1]CTRL AUTOS'!$E:$AH,2,0)</f>
        <v>R51BKD</v>
      </c>
      <c r="AE1265" s="11" t="str">
        <f t="shared" si="139"/>
        <v>R51BKD51</v>
      </c>
    </row>
    <row r="1266" spans="1:31" ht="14.4" hidden="1" x14ac:dyDescent="0.3">
      <c r="A1266" s="8">
        <v>51</v>
      </c>
      <c r="B1266" s="20" t="s">
        <v>39</v>
      </c>
      <c r="C1266" s="20" t="s">
        <v>40</v>
      </c>
      <c r="D1266" s="20" t="s">
        <v>315</v>
      </c>
      <c r="E1266" s="20" t="s">
        <v>232</v>
      </c>
      <c r="F1266" s="20" t="s">
        <v>232</v>
      </c>
      <c r="G1266" s="20" t="s">
        <v>234</v>
      </c>
      <c r="H1266" s="23">
        <v>4014.85</v>
      </c>
      <c r="I1266" s="23">
        <v>-23.22</v>
      </c>
      <c r="J1266" s="23">
        <v>0</v>
      </c>
      <c r="K1266" s="23">
        <v>0</v>
      </c>
      <c r="L1266" s="23">
        <v>-1830.4</v>
      </c>
      <c r="M1266" s="23">
        <v>-40</v>
      </c>
      <c r="N1266" s="23">
        <v>-194.17</v>
      </c>
      <c r="O1266" s="23">
        <f t="shared" si="140"/>
        <v>1927.06</v>
      </c>
      <c r="P1266" s="23">
        <v>-1785.71</v>
      </c>
      <c r="Q1266" s="23">
        <v>0</v>
      </c>
      <c r="R1266" s="23">
        <v>-357.14</v>
      </c>
      <c r="S1266" s="23">
        <v>0</v>
      </c>
      <c r="T1266" s="23">
        <v>0</v>
      </c>
      <c r="U1266" s="23">
        <v>0</v>
      </c>
      <c r="V1266" s="23">
        <v>0</v>
      </c>
      <c r="W1266" s="23">
        <f t="shared" si="141"/>
        <v>-215.78999999999996</v>
      </c>
      <c r="X1266" s="23">
        <f t="shared" si="142"/>
        <v>0</v>
      </c>
      <c r="Y1266" s="23">
        <f t="shared" si="143"/>
        <v>-215.78999999999996</v>
      </c>
      <c r="Z1266" s="23">
        <v>216</v>
      </c>
      <c r="AA1266" s="23">
        <f t="shared" si="137"/>
        <v>0.21000000000003638</v>
      </c>
      <c r="AB1266" s="23">
        <f t="shared" si="138"/>
        <v>2143.27</v>
      </c>
      <c r="AC1266" s="23" t="s">
        <v>546</v>
      </c>
      <c r="AD1266" s="20" t="str">
        <f>VLOOKUP($C1266,'[1]CTRL AUTOS'!$E:$AH,2,0)</f>
        <v>NEL860A</v>
      </c>
      <c r="AE1266" s="11" t="str">
        <f t="shared" si="139"/>
        <v>NEL860A51</v>
      </c>
    </row>
    <row r="1267" spans="1:31" ht="15" hidden="1" customHeight="1" x14ac:dyDescent="0.3">
      <c r="A1267" s="8">
        <v>51</v>
      </c>
      <c r="B1267" s="20" t="s">
        <v>49</v>
      </c>
      <c r="C1267" s="20" t="s">
        <v>50</v>
      </c>
      <c r="D1267" s="20" t="s">
        <v>480</v>
      </c>
      <c r="E1267" s="20" t="s">
        <v>232</v>
      </c>
      <c r="F1267" s="20" t="s">
        <v>232</v>
      </c>
      <c r="G1267" s="20" t="s">
        <v>234</v>
      </c>
      <c r="H1267" s="23">
        <v>8606.2099999999991</v>
      </c>
      <c r="I1267" s="23">
        <v>-94.85</v>
      </c>
      <c r="J1267" s="23">
        <v>166.49</v>
      </c>
      <c r="K1267" s="23">
        <v>0</v>
      </c>
      <c r="L1267" s="28">
        <v>-469.78999999999996</v>
      </c>
      <c r="M1267" s="23">
        <v>-20</v>
      </c>
      <c r="N1267" s="23">
        <v>0</v>
      </c>
      <c r="O1267" s="23">
        <f t="shared" si="140"/>
        <v>8188.0599999999977</v>
      </c>
      <c r="P1267" s="23">
        <v>-2500</v>
      </c>
      <c r="Q1267" s="23">
        <v>0</v>
      </c>
      <c r="R1267" s="23">
        <v>0</v>
      </c>
      <c r="S1267" s="23">
        <v>0</v>
      </c>
      <c r="T1267" s="23">
        <v>-700</v>
      </c>
      <c r="U1267" s="23">
        <v>0</v>
      </c>
      <c r="V1267" s="23">
        <v>0</v>
      </c>
      <c r="W1267" s="23">
        <f t="shared" si="141"/>
        <v>4988.0599999999977</v>
      </c>
      <c r="X1267" s="47">
        <f t="shared" si="142"/>
        <v>4988.0599999999977</v>
      </c>
      <c r="Y1267" s="23">
        <f t="shared" si="143"/>
        <v>0</v>
      </c>
      <c r="Z1267" s="23">
        <v>0</v>
      </c>
      <c r="AA1267" s="23">
        <f t="shared" si="137"/>
        <v>0</v>
      </c>
      <c r="AB1267" s="23">
        <f t="shared" si="138"/>
        <v>3200</v>
      </c>
      <c r="AC1267" s="46" t="s">
        <v>482</v>
      </c>
      <c r="AD1267" s="20" t="str">
        <f>VLOOKUP($C1267,'[1]CTRL AUTOS'!$E:$AH,2,0)</f>
        <v>NBS225A</v>
      </c>
      <c r="AE1267" s="11" t="str">
        <f t="shared" si="139"/>
        <v>NBS225A51</v>
      </c>
    </row>
    <row r="1268" spans="1:31" ht="15" hidden="1" customHeight="1" x14ac:dyDescent="0.3">
      <c r="A1268" s="8">
        <v>51</v>
      </c>
      <c r="B1268" s="20" t="s">
        <v>3</v>
      </c>
      <c r="C1268" s="20" t="s">
        <v>4</v>
      </c>
      <c r="D1268" s="20" t="s">
        <v>245</v>
      </c>
      <c r="E1268" s="20" t="s">
        <v>547</v>
      </c>
      <c r="F1268" s="20" t="s">
        <v>232</v>
      </c>
      <c r="G1268" s="20" t="s">
        <v>425</v>
      </c>
      <c r="H1268" s="23">
        <v>16831.96</v>
      </c>
      <c r="I1268" s="23">
        <v>-1638.7</v>
      </c>
      <c r="J1268" s="23">
        <v>0</v>
      </c>
      <c r="K1268" s="23">
        <v>0</v>
      </c>
      <c r="L1268" s="23">
        <v>-16387.39</v>
      </c>
      <c r="M1268" s="23">
        <v>-200</v>
      </c>
      <c r="N1268" s="23">
        <v>0</v>
      </c>
      <c r="O1268" s="23">
        <f t="shared" si="140"/>
        <v>-1394.130000000001</v>
      </c>
      <c r="P1268" s="23">
        <v>-2600</v>
      </c>
      <c r="Q1268" s="23">
        <v>-193.63999999999942</v>
      </c>
      <c r="R1268" s="23">
        <v>0</v>
      </c>
      <c r="S1268" s="23">
        <v>0</v>
      </c>
      <c r="T1268" s="23">
        <v>0</v>
      </c>
      <c r="U1268" s="23">
        <v>0</v>
      </c>
      <c r="V1268" s="23">
        <v>0</v>
      </c>
      <c r="W1268" s="23">
        <f t="shared" si="141"/>
        <v>-4187.7700000000004</v>
      </c>
      <c r="X1268" s="23">
        <f t="shared" si="142"/>
        <v>0</v>
      </c>
      <c r="Y1268" s="23">
        <f t="shared" si="143"/>
        <v>-4187.7700000000004</v>
      </c>
      <c r="Z1268" s="23">
        <f>700+3100</f>
        <v>3800</v>
      </c>
      <c r="AA1268" s="23">
        <f t="shared" si="137"/>
        <v>-387.77000000000044</v>
      </c>
      <c r="AB1268" s="23">
        <f t="shared" si="138"/>
        <v>2018.0999999999985</v>
      </c>
      <c r="AC1268" s="23" t="s">
        <v>548</v>
      </c>
      <c r="AD1268" s="20" t="str">
        <f>VLOOKUP($C1268,'[1]CTRL AUTOS'!$E:$AH,2,0)</f>
        <v>N15BKD</v>
      </c>
      <c r="AE1268" s="11" t="str">
        <f t="shared" si="139"/>
        <v>N15BKD51</v>
      </c>
    </row>
    <row r="1269" spans="1:31" ht="15" hidden="1" customHeight="1" x14ac:dyDescent="0.3">
      <c r="A1269" s="8">
        <v>51</v>
      </c>
      <c r="B1269" s="20" t="s">
        <v>66</v>
      </c>
      <c r="C1269" s="20" t="s">
        <v>56</v>
      </c>
      <c r="D1269" s="20" t="s">
        <v>336</v>
      </c>
      <c r="E1269" s="22" t="s">
        <v>241</v>
      </c>
      <c r="F1269" s="20" t="s">
        <v>291</v>
      </c>
      <c r="G1269" s="20" t="s">
        <v>234</v>
      </c>
      <c r="H1269" s="23">
        <v>4292.7299999999996</v>
      </c>
      <c r="I1269" s="23">
        <v>-41.6</v>
      </c>
      <c r="J1269" s="23">
        <v>0</v>
      </c>
      <c r="K1269" s="23">
        <v>-34.35</v>
      </c>
      <c r="L1269" s="23">
        <v>-3914.85</v>
      </c>
      <c r="M1269" s="23">
        <v>-70</v>
      </c>
      <c r="N1269" s="23">
        <v>-254.24000000000004</v>
      </c>
      <c r="O1269" s="23">
        <f t="shared" si="140"/>
        <v>-22.310000000001111</v>
      </c>
      <c r="P1269" s="23">
        <v>-892</v>
      </c>
      <c r="Q1269" s="23">
        <v>0</v>
      </c>
      <c r="R1269" s="23">
        <v>-178.57</v>
      </c>
      <c r="S1269" s="23">
        <v>0</v>
      </c>
      <c r="T1269" s="23">
        <v>0</v>
      </c>
      <c r="U1269" s="23">
        <v>0</v>
      </c>
      <c r="V1269" s="23">
        <v>0</v>
      </c>
      <c r="W1269" s="23">
        <f t="shared" si="141"/>
        <v>-1092.880000000001</v>
      </c>
      <c r="X1269" s="23">
        <f t="shared" si="142"/>
        <v>0</v>
      </c>
      <c r="Y1269" s="23">
        <f t="shared" si="143"/>
        <v>-1092.880000000001</v>
      </c>
      <c r="Z1269" s="23">
        <v>1100</v>
      </c>
      <c r="AA1269" s="23">
        <f t="shared" si="137"/>
        <v>7.1199999999989814</v>
      </c>
      <c r="AB1269" s="23">
        <f t="shared" si="138"/>
        <v>1084.8099999999979</v>
      </c>
      <c r="AC1269" s="23" t="s">
        <v>549</v>
      </c>
      <c r="AD1269" s="20" t="str">
        <f>VLOOKUP($C1269,'[1]CTRL AUTOS'!$E:$AH,2,0)</f>
        <v>MYE912A</v>
      </c>
      <c r="AE1269" s="11" t="str">
        <f t="shared" si="139"/>
        <v>MYE912A51</v>
      </c>
    </row>
    <row r="1270" spans="1:31" ht="15" hidden="1" customHeight="1" x14ac:dyDescent="0.3">
      <c r="A1270" s="8">
        <v>51</v>
      </c>
      <c r="B1270" s="20" t="s">
        <v>33</v>
      </c>
      <c r="C1270" s="20" t="s">
        <v>34</v>
      </c>
      <c r="D1270" s="20" t="s">
        <v>285</v>
      </c>
      <c r="E1270" s="20" t="s">
        <v>232</v>
      </c>
      <c r="F1270" s="20" t="s">
        <v>232</v>
      </c>
      <c r="G1270" s="20" t="s">
        <v>234</v>
      </c>
      <c r="H1270" s="23">
        <v>5190.83</v>
      </c>
      <c r="I1270" s="23">
        <v>-72.87</v>
      </c>
      <c r="J1270" s="23">
        <v>0</v>
      </c>
      <c r="K1270" s="23">
        <v>-37.6</v>
      </c>
      <c r="L1270" s="23">
        <v>-1264.19</v>
      </c>
      <c r="M1270" s="23">
        <v>-20</v>
      </c>
      <c r="N1270" s="23">
        <v>0</v>
      </c>
      <c r="O1270" s="23">
        <f t="shared" si="140"/>
        <v>3796.1699999999996</v>
      </c>
      <c r="P1270" s="23">
        <v>-1964.28</v>
      </c>
      <c r="Q1270" s="23">
        <v>29</v>
      </c>
      <c r="R1270" s="23">
        <v>-393</v>
      </c>
      <c r="S1270" s="23">
        <v>0</v>
      </c>
      <c r="T1270" s="23">
        <v>-700</v>
      </c>
      <c r="U1270" s="23">
        <v>0</v>
      </c>
      <c r="V1270" s="23">
        <v>0</v>
      </c>
      <c r="W1270" s="23">
        <f t="shared" si="141"/>
        <v>767.88999999999987</v>
      </c>
      <c r="X1270" s="47">
        <f t="shared" si="142"/>
        <v>767.88999999999987</v>
      </c>
      <c r="Y1270" s="23">
        <f t="shared" si="143"/>
        <v>0</v>
      </c>
      <c r="Z1270" s="23">
        <v>0</v>
      </c>
      <c r="AA1270" s="23">
        <f t="shared" si="137"/>
        <v>0</v>
      </c>
      <c r="AB1270" s="23">
        <f t="shared" si="138"/>
        <v>3028.2799999999997</v>
      </c>
      <c r="AC1270" s="46" t="s">
        <v>482</v>
      </c>
      <c r="AD1270" s="20" t="str">
        <f>VLOOKUP($C1270,'[1]CTRL AUTOS'!$E:$AH,2,0)</f>
        <v>X59AWG</v>
      </c>
      <c r="AE1270" s="11" t="str">
        <f t="shared" si="139"/>
        <v>X59AWG51</v>
      </c>
    </row>
    <row r="1271" spans="1:31" ht="15" hidden="1" customHeight="1" x14ac:dyDescent="0.3">
      <c r="A1271" s="8">
        <v>51</v>
      </c>
      <c r="B1271" s="20" t="s">
        <v>74</v>
      </c>
      <c r="C1271" s="20" t="s">
        <v>75</v>
      </c>
      <c r="D1271" s="20" t="s">
        <v>333</v>
      </c>
      <c r="E1271" s="22" t="s">
        <v>241</v>
      </c>
      <c r="F1271" s="20" t="s">
        <v>291</v>
      </c>
      <c r="G1271" s="20" t="s">
        <v>234</v>
      </c>
      <c r="H1271" s="23">
        <v>5993.21</v>
      </c>
      <c r="I1271" s="23">
        <v>-11.37</v>
      </c>
      <c r="J1271" s="23">
        <v>0</v>
      </c>
      <c r="K1271" s="23">
        <v>0</v>
      </c>
      <c r="L1271" s="23">
        <v>-675.14</v>
      </c>
      <c r="M1271" s="23">
        <v>-20</v>
      </c>
      <c r="N1271" s="23">
        <v>0</v>
      </c>
      <c r="O1271" s="23">
        <f t="shared" si="140"/>
        <v>5286.7</v>
      </c>
      <c r="P1271" s="23">
        <v>-2500</v>
      </c>
      <c r="Q1271" s="23">
        <v>-4879.84</v>
      </c>
      <c r="R1271" s="23">
        <v>0</v>
      </c>
      <c r="S1271" s="23">
        <v>0</v>
      </c>
      <c r="T1271" s="23">
        <v>-500</v>
      </c>
      <c r="U1271" s="23">
        <v>0</v>
      </c>
      <c r="V1271" s="23">
        <v>0</v>
      </c>
      <c r="W1271" s="23">
        <f t="shared" si="141"/>
        <v>-2593.1400000000003</v>
      </c>
      <c r="X1271" s="23">
        <f t="shared" si="142"/>
        <v>0</v>
      </c>
      <c r="Y1271" s="23">
        <f t="shared" si="143"/>
        <v>-2593.1400000000003</v>
      </c>
      <c r="Z1271" s="23">
        <v>0</v>
      </c>
      <c r="AA1271" s="23">
        <f t="shared" si="137"/>
        <v>-2593.1400000000003</v>
      </c>
      <c r="AB1271" s="23">
        <f t="shared" si="138"/>
        <v>2693.5599999999995</v>
      </c>
      <c r="AC1271" s="23" t="s">
        <v>536</v>
      </c>
      <c r="AD1271" s="20" t="str">
        <f>VLOOKUP($C1271,'[1]CTRL AUTOS'!$E:$AH,2,0)</f>
        <v>NFN014B</v>
      </c>
      <c r="AE1271" s="11" t="str">
        <f t="shared" si="139"/>
        <v>NFN014B51</v>
      </c>
    </row>
    <row r="1272" spans="1:31" ht="15" hidden="1" customHeight="1" x14ac:dyDescent="0.3">
      <c r="A1272" s="8">
        <v>51</v>
      </c>
      <c r="B1272" s="20" t="s">
        <v>41</v>
      </c>
      <c r="C1272" s="20" t="s">
        <v>42</v>
      </c>
      <c r="D1272" s="20" t="s">
        <v>250</v>
      </c>
      <c r="E1272" s="20" t="s">
        <v>232</v>
      </c>
      <c r="F1272" s="20" t="s">
        <v>232</v>
      </c>
      <c r="G1272" s="20" t="s">
        <v>234</v>
      </c>
      <c r="H1272" s="23">
        <v>2433.46</v>
      </c>
      <c r="I1272" s="23">
        <v>0</v>
      </c>
      <c r="J1272" s="23">
        <v>0</v>
      </c>
      <c r="K1272" s="23">
        <v>0</v>
      </c>
      <c r="L1272" s="23">
        <v>-737.18</v>
      </c>
      <c r="M1272" s="23">
        <v>-30</v>
      </c>
      <c r="N1272" s="23">
        <v>0</v>
      </c>
      <c r="O1272" s="23">
        <f t="shared" si="140"/>
        <v>1666.2800000000002</v>
      </c>
      <c r="P1272" s="23">
        <v>-714.82</v>
      </c>
      <c r="Q1272" s="23">
        <v>0</v>
      </c>
      <c r="R1272" s="23">
        <v>-143</v>
      </c>
      <c r="S1272" s="23">
        <v>0</v>
      </c>
      <c r="T1272" s="23">
        <v>0</v>
      </c>
      <c r="U1272" s="23">
        <v>0</v>
      </c>
      <c r="V1272" s="23">
        <v>0</v>
      </c>
      <c r="W1272" s="23">
        <f t="shared" si="141"/>
        <v>808.46000000000015</v>
      </c>
      <c r="X1272" s="47">
        <f t="shared" si="142"/>
        <v>808.46000000000015</v>
      </c>
      <c r="Y1272" s="23">
        <f t="shared" si="143"/>
        <v>0</v>
      </c>
      <c r="Z1272" s="23">
        <v>0</v>
      </c>
      <c r="AA1272" s="23">
        <f t="shared" si="137"/>
        <v>0</v>
      </c>
      <c r="AB1272" s="23">
        <f t="shared" si="138"/>
        <v>857.82</v>
      </c>
      <c r="AC1272" s="46" t="s">
        <v>482</v>
      </c>
      <c r="AD1272" s="20" t="str">
        <f>VLOOKUP($C1272,'[1]CTRL AUTOS'!$E:$AH,2,0)</f>
        <v>MMA672C</v>
      </c>
      <c r="AE1272" s="11" t="str">
        <f t="shared" si="139"/>
        <v>MMA672C51</v>
      </c>
    </row>
    <row r="1273" spans="1:31" ht="15" hidden="1" customHeight="1" x14ac:dyDescent="0.3">
      <c r="A1273" s="8">
        <v>51</v>
      </c>
      <c r="B1273" s="20" t="s">
        <v>27</v>
      </c>
      <c r="C1273" s="20" t="s">
        <v>28</v>
      </c>
      <c r="D1273" s="20" t="s">
        <v>274</v>
      </c>
      <c r="E1273" s="20" t="s">
        <v>232</v>
      </c>
      <c r="F1273" s="20" t="s">
        <v>232</v>
      </c>
      <c r="G1273" s="20" t="s">
        <v>234</v>
      </c>
      <c r="H1273" s="23">
        <v>1016.93</v>
      </c>
      <c r="I1273" s="23">
        <v>0</v>
      </c>
      <c r="J1273" s="23">
        <v>0</v>
      </c>
      <c r="K1273" s="23">
        <v>0</v>
      </c>
      <c r="L1273" s="28">
        <v>-269.08</v>
      </c>
      <c r="M1273" s="23">
        <v>-35</v>
      </c>
      <c r="N1273" s="23">
        <v>0</v>
      </c>
      <c r="O1273" s="23">
        <f t="shared" si="140"/>
        <v>712.84999999999991</v>
      </c>
      <c r="P1273" s="23">
        <v>-2500</v>
      </c>
      <c r="Q1273" s="23">
        <v>0</v>
      </c>
      <c r="R1273" s="23">
        <v>-500</v>
      </c>
      <c r="S1273" s="23">
        <v>0</v>
      </c>
      <c r="T1273" s="23">
        <v>0</v>
      </c>
      <c r="U1273" s="23">
        <v>0</v>
      </c>
      <c r="V1273" s="23">
        <v>0</v>
      </c>
      <c r="W1273" s="23">
        <f t="shared" si="141"/>
        <v>-2287.15</v>
      </c>
      <c r="X1273" s="23">
        <f t="shared" si="142"/>
        <v>0</v>
      </c>
      <c r="Y1273" s="23">
        <f t="shared" si="143"/>
        <v>-2287.15</v>
      </c>
      <c r="Z1273" s="23">
        <v>2287</v>
      </c>
      <c r="AA1273" s="23">
        <f t="shared" si="137"/>
        <v>-0.15000000000009095</v>
      </c>
      <c r="AB1273" s="23">
        <f t="shared" si="138"/>
        <v>2999.7</v>
      </c>
      <c r="AC1273" s="23" t="s">
        <v>550</v>
      </c>
      <c r="AD1273" s="20" t="str">
        <f>VLOOKUP($C1273,'[1]CTRL AUTOS'!$E:$AH,2,0)</f>
        <v>NCT814A</v>
      </c>
      <c r="AE1273" s="11" t="str">
        <f t="shared" si="139"/>
        <v>NCT814A51</v>
      </c>
    </row>
    <row r="1274" spans="1:31" ht="15" hidden="1" customHeight="1" x14ac:dyDescent="0.3">
      <c r="A1274" s="8">
        <v>51</v>
      </c>
      <c r="B1274" s="20" t="s">
        <v>19</v>
      </c>
      <c r="C1274" s="20" t="s">
        <v>20</v>
      </c>
      <c r="D1274" s="20" t="s">
        <v>239</v>
      </c>
      <c r="E1274" s="20" t="s">
        <v>232</v>
      </c>
      <c r="F1274" s="20" t="s">
        <v>232</v>
      </c>
      <c r="G1274" s="20" t="s">
        <v>234</v>
      </c>
      <c r="H1274" s="23">
        <v>11450.25</v>
      </c>
      <c r="I1274" s="23">
        <v>-79.2</v>
      </c>
      <c r="J1274" s="23">
        <v>9.7899999999999991</v>
      </c>
      <c r="K1274" s="23">
        <v>-73.209999999999994</v>
      </c>
      <c r="L1274" s="23">
        <v>0</v>
      </c>
      <c r="M1274" s="23">
        <v>-20</v>
      </c>
      <c r="N1274" s="23">
        <v>0</v>
      </c>
      <c r="O1274" s="23">
        <f t="shared" si="140"/>
        <v>11287.630000000001</v>
      </c>
      <c r="P1274" s="23">
        <v>-2500</v>
      </c>
      <c r="Q1274" s="23">
        <v>0</v>
      </c>
      <c r="R1274" s="23">
        <v>0</v>
      </c>
      <c r="S1274" s="23">
        <v>0</v>
      </c>
      <c r="T1274" s="23">
        <v>0</v>
      </c>
      <c r="U1274" s="23">
        <v>-880</v>
      </c>
      <c r="V1274" s="23">
        <v>0</v>
      </c>
      <c r="W1274" s="23">
        <f t="shared" si="141"/>
        <v>7907.630000000001</v>
      </c>
      <c r="X1274" s="47">
        <f t="shared" si="142"/>
        <v>7907.630000000001</v>
      </c>
      <c r="Y1274" s="23">
        <f t="shared" si="143"/>
        <v>0</v>
      </c>
      <c r="Z1274" s="23">
        <v>0</v>
      </c>
      <c r="AA1274" s="23">
        <f t="shared" si="137"/>
        <v>0</v>
      </c>
      <c r="AB1274" s="23">
        <f t="shared" si="138"/>
        <v>3380</v>
      </c>
      <c r="AC1274" s="46" t="s">
        <v>482</v>
      </c>
      <c r="AD1274" s="20" t="str">
        <f>VLOOKUP($C1274,'[1]CTRL AUTOS'!$E:$AH,2,0)</f>
        <v>D40BKD</v>
      </c>
      <c r="AE1274" s="11" t="str">
        <f t="shared" si="139"/>
        <v>D40BKD51</v>
      </c>
    </row>
    <row r="1275" spans="1:31" ht="15" hidden="1" customHeight="1" x14ac:dyDescent="0.3">
      <c r="A1275" s="8">
        <v>51</v>
      </c>
      <c r="B1275" s="20" t="s">
        <v>21</v>
      </c>
      <c r="C1275" s="20" t="s">
        <v>22</v>
      </c>
      <c r="D1275" s="20" t="s">
        <v>319</v>
      </c>
      <c r="E1275" s="20" t="s">
        <v>232</v>
      </c>
      <c r="F1275" s="20" t="s">
        <v>232</v>
      </c>
      <c r="G1275" s="20" t="s">
        <v>234</v>
      </c>
      <c r="H1275" s="23">
        <v>2014.16</v>
      </c>
      <c r="I1275" s="23">
        <v>-37.68</v>
      </c>
      <c r="J1275" s="23">
        <v>0</v>
      </c>
      <c r="K1275" s="23">
        <v>0</v>
      </c>
      <c r="L1275" s="23">
        <v>-232.09</v>
      </c>
      <c r="M1275" s="23">
        <v>-40</v>
      </c>
      <c r="N1275" s="23">
        <v>-120</v>
      </c>
      <c r="O1275" s="23">
        <f t="shared" si="140"/>
        <v>1584.39</v>
      </c>
      <c r="P1275" s="23">
        <v>-2500</v>
      </c>
      <c r="Q1275" s="23">
        <v>-44.8</v>
      </c>
      <c r="R1275" s="23">
        <v>-500</v>
      </c>
      <c r="S1275" s="23">
        <v>0</v>
      </c>
      <c r="T1275" s="23">
        <v>0</v>
      </c>
      <c r="U1275" s="23">
        <v>0</v>
      </c>
      <c r="V1275" s="23">
        <v>0</v>
      </c>
      <c r="W1275" s="23">
        <f t="shared" si="141"/>
        <v>-1460.41</v>
      </c>
      <c r="X1275" s="23">
        <f t="shared" si="142"/>
        <v>0</v>
      </c>
      <c r="Y1275" s="23">
        <f t="shared" si="143"/>
        <v>-1460.41</v>
      </c>
      <c r="Z1275" s="23">
        <v>1500</v>
      </c>
      <c r="AA1275" s="23">
        <f t="shared" si="137"/>
        <v>39.589999999999918</v>
      </c>
      <c r="AB1275" s="23">
        <f t="shared" si="138"/>
        <v>3123.9800000000005</v>
      </c>
      <c r="AC1275" s="23" t="s">
        <v>551</v>
      </c>
      <c r="AD1275" s="20" t="str">
        <f>VLOOKUP($C1275,'[1]CTRL AUTOS'!$E:$AH,2,0)</f>
        <v>NCK475B</v>
      </c>
      <c r="AE1275" s="11" t="str">
        <f t="shared" si="139"/>
        <v>NCK475B51</v>
      </c>
    </row>
    <row r="1276" spans="1:31" ht="15" hidden="1" customHeight="1" x14ac:dyDescent="0.3">
      <c r="A1276" s="8">
        <v>51</v>
      </c>
      <c r="B1276" s="20" t="s">
        <v>506</v>
      </c>
      <c r="C1276" s="20" t="s">
        <v>54</v>
      </c>
      <c r="D1276" s="20" t="s">
        <v>318</v>
      </c>
      <c r="E1276" s="20" t="s">
        <v>232</v>
      </c>
      <c r="F1276" s="20" t="s">
        <v>232</v>
      </c>
      <c r="G1276" s="20" t="s">
        <v>234</v>
      </c>
      <c r="H1276" s="23">
        <v>3916.63</v>
      </c>
      <c r="I1276" s="23">
        <v>0</v>
      </c>
      <c r="J1276" s="23">
        <v>0</v>
      </c>
      <c r="K1276" s="23">
        <v>0</v>
      </c>
      <c r="L1276" s="23">
        <v>-1451.98</v>
      </c>
      <c r="M1276" s="23">
        <v>-45</v>
      </c>
      <c r="N1276" s="23">
        <v>0</v>
      </c>
      <c r="O1276" s="23">
        <f t="shared" si="140"/>
        <v>2419.65</v>
      </c>
      <c r="P1276" s="23">
        <v>-2500</v>
      </c>
      <c r="Q1276" s="23">
        <v>0</v>
      </c>
      <c r="R1276" s="23">
        <v>-500</v>
      </c>
      <c r="S1276" s="23">
        <v>0</v>
      </c>
      <c r="T1276" s="23">
        <v>0</v>
      </c>
      <c r="U1276" s="23">
        <v>0</v>
      </c>
      <c r="V1276" s="23">
        <v>0</v>
      </c>
      <c r="W1276" s="23">
        <f t="shared" si="141"/>
        <v>-580.34999999999991</v>
      </c>
      <c r="X1276" s="23">
        <f t="shared" si="142"/>
        <v>0</v>
      </c>
      <c r="Y1276" s="23">
        <f t="shared" si="143"/>
        <v>-580.34999999999991</v>
      </c>
      <c r="Z1276" s="23">
        <v>580</v>
      </c>
      <c r="AA1276" s="23">
        <f t="shared" si="137"/>
        <v>-0.34999999999990905</v>
      </c>
      <c r="AB1276" s="23">
        <f t="shared" si="138"/>
        <v>2999.3</v>
      </c>
      <c r="AC1276" s="23" t="s">
        <v>552</v>
      </c>
      <c r="AD1276" s="20" t="str">
        <f>VLOOKUP($C1276,'[1]CTRL AUTOS'!$E:$AH,2,0)</f>
        <v>NZY685B</v>
      </c>
      <c r="AE1276" s="11" t="str">
        <f t="shared" si="139"/>
        <v>NZY685B51</v>
      </c>
    </row>
    <row r="1277" spans="1:31" ht="15" hidden="1" customHeight="1" x14ac:dyDescent="0.3">
      <c r="A1277" s="8">
        <v>51</v>
      </c>
      <c r="B1277" s="20" t="s">
        <v>98</v>
      </c>
      <c r="C1277" s="20" t="s">
        <v>168</v>
      </c>
      <c r="D1277" s="20" t="s">
        <v>265</v>
      </c>
      <c r="E1277" s="20" t="s">
        <v>232</v>
      </c>
      <c r="F1277" s="20" t="s">
        <v>232</v>
      </c>
      <c r="G1277" s="20" t="s">
        <v>234</v>
      </c>
      <c r="H1277" s="23">
        <v>1033.6500000000001</v>
      </c>
      <c r="I1277" s="23">
        <v>0</v>
      </c>
      <c r="J1277" s="23">
        <v>326.83999999999997</v>
      </c>
      <c r="K1277" s="23">
        <v>0</v>
      </c>
      <c r="L1277" s="23">
        <v>0</v>
      </c>
      <c r="M1277" s="23">
        <v>-30</v>
      </c>
      <c r="N1277" s="23">
        <v>-87.36</v>
      </c>
      <c r="O1277" s="23">
        <f t="shared" si="140"/>
        <v>1243.1300000000001</v>
      </c>
      <c r="P1277" s="23">
        <v>-2500</v>
      </c>
      <c r="Q1277" s="23">
        <v>0</v>
      </c>
      <c r="R1277" s="23">
        <v>0</v>
      </c>
      <c r="S1277" s="23">
        <v>0</v>
      </c>
      <c r="T1277" s="23">
        <v>0</v>
      </c>
      <c r="U1277" s="23">
        <v>0</v>
      </c>
      <c r="V1277" s="23">
        <v>0</v>
      </c>
      <c r="W1277" s="23">
        <f t="shared" si="141"/>
        <v>-1256.8699999999999</v>
      </c>
      <c r="X1277" s="23">
        <f t="shared" si="142"/>
        <v>0</v>
      </c>
      <c r="Y1277" s="23">
        <f t="shared" si="143"/>
        <v>-1256.8699999999999</v>
      </c>
      <c r="Z1277" s="23">
        <f>1250+7</f>
        <v>1257</v>
      </c>
      <c r="AA1277" s="23">
        <f t="shared" si="137"/>
        <v>0.13000000000010914</v>
      </c>
      <c r="AB1277" s="23">
        <f t="shared" si="138"/>
        <v>2500.2600000000002</v>
      </c>
      <c r="AC1277" s="23" t="s">
        <v>553</v>
      </c>
      <c r="AD1277" s="20" t="e">
        <f>VLOOKUP($C1277,'[1]CTRL AUTOS'!$E:$AH,2,0)</f>
        <v>#N/A</v>
      </c>
      <c r="AE1277" s="11" t="e">
        <f t="shared" si="139"/>
        <v>#N/A</v>
      </c>
    </row>
    <row r="1278" spans="1:31" ht="15" hidden="1" customHeight="1" x14ac:dyDescent="0.3">
      <c r="A1278" s="8">
        <v>51</v>
      </c>
      <c r="B1278" s="20" t="s">
        <v>80</v>
      </c>
      <c r="C1278" s="20" t="s">
        <v>81</v>
      </c>
      <c r="D1278" s="20" t="s">
        <v>317</v>
      </c>
      <c r="E1278" s="20" t="s">
        <v>232</v>
      </c>
      <c r="F1278" s="20" t="s">
        <v>232</v>
      </c>
      <c r="G1278" s="20" t="s">
        <v>234</v>
      </c>
      <c r="H1278" s="23">
        <v>0</v>
      </c>
      <c r="I1278" s="23">
        <v>0</v>
      </c>
      <c r="J1278" s="23">
        <v>0</v>
      </c>
      <c r="K1278" s="23">
        <v>0</v>
      </c>
      <c r="L1278" s="23">
        <v>0</v>
      </c>
      <c r="M1278" s="23">
        <v>0</v>
      </c>
      <c r="N1278" s="23">
        <v>0</v>
      </c>
      <c r="O1278" s="23">
        <f t="shared" si="140"/>
        <v>0</v>
      </c>
      <c r="P1278" s="23">
        <v>-1071.42</v>
      </c>
      <c r="Q1278" s="23">
        <v>0</v>
      </c>
      <c r="R1278" s="23">
        <v>0</v>
      </c>
      <c r="S1278" s="23">
        <v>0</v>
      </c>
      <c r="T1278" s="23">
        <v>0</v>
      </c>
      <c r="U1278" s="23">
        <v>0</v>
      </c>
      <c r="V1278" s="23">
        <v>0</v>
      </c>
      <c r="W1278" s="23">
        <f t="shared" si="141"/>
        <v>-1071.42</v>
      </c>
      <c r="X1278" s="23">
        <f t="shared" si="142"/>
        <v>0</v>
      </c>
      <c r="Y1278" s="23">
        <f t="shared" si="143"/>
        <v>-1071.42</v>
      </c>
      <c r="Z1278" s="23">
        <v>1071</v>
      </c>
      <c r="AA1278" s="23">
        <f t="shared" si="137"/>
        <v>-0.42000000000007276</v>
      </c>
      <c r="AB1278" s="23">
        <f t="shared" si="138"/>
        <v>1070.58</v>
      </c>
      <c r="AC1278" s="23" t="s">
        <v>554</v>
      </c>
      <c r="AD1278" s="20" t="str">
        <f>VLOOKUP($C1278,'[1]CTRL AUTOS'!$E:$AH,2,0)</f>
        <v>NLP172B</v>
      </c>
      <c r="AE1278" s="11" t="str">
        <f t="shared" si="139"/>
        <v>NLP172B51</v>
      </c>
    </row>
    <row r="1279" spans="1:31" ht="15" hidden="1" customHeight="1" x14ac:dyDescent="0.3">
      <c r="A1279" s="8">
        <v>51</v>
      </c>
      <c r="B1279" s="20" t="s">
        <v>9</v>
      </c>
      <c r="C1279" s="20" t="s">
        <v>10</v>
      </c>
      <c r="D1279" s="20" t="s">
        <v>343</v>
      </c>
      <c r="E1279" s="20" t="s">
        <v>547</v>
      </c>
      <c r="F1279" s="20" t="s">
        <v>232</v>
      </c>
      <c r="G1279" s="20" t="s">
        <v>425</v>
      </c>
      <c r="H1279" s="23">
        <v>6153.94</v>
      </c>
      <c r="I1279" s="23">
        <v>-530.79999999999995</v>
      </c>
      <c r="J1279" s="23">
        <v>0</v>
      </c>
      <c r="K1279" s="23">
        <v>0</v>
      </c>
      <c r="L1279" s="23">
        <v>-5307.83</v>
      </c>
      <c r="M1279" s="23">
        <v>-50</v>
      </c>
      <c r="N1279" s="23">
        <v>0</v>
      </c>
      <c r="O1279" s="23">
        <f t="shared" si="140"/>
        <v>265.30999999999949</v>
      </c>
      <c r="P1279" s="23">
        <v>-314</v>
      </c>
      <c r="Q1279" s="23">
        <v>0</v>
      </c>
      <c r="R1279" s="23">
        <v>0</v>
      </c>
      <c r="S1279" s="23">
        <v>0</v>
      </c>
      <c r="T1279" s="23">
        <v>0</v>
      </c>
      <c r="U1279" s="23">
        <v>0</v>
      </c>
      <c r="V1279" s="23">
        <v>0</v>
      </c>
      <c r="W1279" s="23">
        <f t="shared" si="141"/>
        <v>-48.690000000000509</v>
      </c>
      <c r="X1279" s="23">
        <f t="shared" si="142"/>
        <v>0</v>
      </c>
      <c r="Y1279" s="23">
        <f t="shared" si="143"/>
        <v>-48.690000000000509</v>
      </c>
      <c r="Z1279" s="23">
        <v>49</v>
      </c>
      <c r="AA1279" s="23">
        <f t="shared" si="137"/>
        <v>0.30999999999949068</v>
      </c>
      <c r="AB1279" s="23">
        <f t="shared" si="138"/>
        <v>314.61999999999898</v>
      </c>
      <c r="AC1279" s="23" t="s">
        <v>555</v>
      </c>
      <c r="AD1279" s="20" t="str">
        <f>VLOOKUP($C1279,'[1]CTRL AUTOS'!$E:$AH,2,0)</f>
        <v>LRL009C</v>
      </c>
      <c r="AE1279" s="11" t="str">
        <f t="shared" si="139"/>
        <v>LRL009C51</v>
      </c>
    </row>
    <row r="1280" spans="1:31" ht="15" hidden="1" customHeight="1" x14ac:dyDescent="0.3">
      <c r="A1280" s="8">
        <v>51</v>
      </c>
      <c r="B1280" s="20" t="s">
        <v>9</v>
      </c>
      <c r="C1280" s="20" t="s">
        <v>10</v>
      </c>
      <c r="D1280" s="20" t="s">
        <v>343</v>
      </c>
      <c r="E1280" s="20" t="s">
        <v>232</v>
      </c>
      <c r="F1280" s="20" t="s">
        <v>232</v>
      </c>
      <c r="G1280" s="20" t="s">
        <v>234</v>
      </c>
      <c r="H1280" s="23">
        <v>1647.01</v>
      </c>
      <c r="I1280" s="23">
        <v>0</v>
      </c>
      <c r="J1280" s="23">
        <v>0</v>
      </c>
      <c r="K1280" s="23">
        <v>0</v>
      </c>
      <c r="L1280" s="23">
        <v>-772.53</v>
      </c>
      <c r="M1280" s="23">
        <v>-15</v>
      </c>
      <c r="N1280" s="23">
        <v>0</v>
      </c>
      <c r="O1280" s="23">
        <f t="shared" si="140"/>
        <v>859.48</v>
      </c>
      <c r="P1280" s="23">
        <v>-2186</v>
      </c>
      <c r="Q1280" s="23">
        <v>1</v>
      </c>
      <c r="R1280" s="23">
        <v>0</v>
      </c>
      <c r="S1280" s="23">
        <v>0</v>
      </c>
      <c r="T1280" s="23">
        <v>0</v>
      </c>
      <c r="U1280" s="23">
        <v>0</v>
      </c>
      <c r="V1280" s="23">
        <v>0</v>
      </c>
      <c r="W1280" s="23">
        <f t="shared" si="141"/>
        <v>-1325.52</v>
      </c>
      <c r="X1280" s="23">
        <f t="shared" si="142"/>
        <v>0</v>
      </c>
      <c r="Y1280" s="23">
        <f t="shared" si="143"/>
        <v>-1325.52</v>
      </c>
      <c r="Z1280" s="23">
        <f>951+375</f>
        <v>1326</v>
      </c>
      <c r="AA1280" s="23">
        <f t="shared" si="137"/>
        <v>0.48000000000001819</v>
      </c>
      <c r="AB1280" s="23">
        <f t="shared" si="138"/>
        <v>2185.96</v>
      </c>
      <c r="AC1280" s="23" t="s">
        <v>556</v>
      </c>
      <c r="AD1280" s="20" t="str">
        <f>VLOOKUP($C1280,'[1]CTRL AUTOS'!$E:$AH,2,0)</f>
        <v>LRL009C</v>
      </c>
      <c r="AE1280" s="11" t="str">
        <f t="shared" si="139"/>
        <v>LRL009C51</v>
      </c>
    </row>
    <row r="1281" spans="1:31" ht="15" hidden="1" customHeight="1" x14ac:dyDescent="0.3">
      <c r="A1281" s="8">
        <v>51</v>
      </c>
      <c r="B1281" s="20" t="s">
        <v>111</v>
      </c>
      <c r="C1281" s="20" t="s">
        <v>63</v>
      </c>
      <c r="D1281" s="20" t="s">
        <v>374</v>
      </c>
      <c r="E1281" s="20" t="s">
        <v>291</v>
      </c>
      <c r="F1281" s="20" t="s">
        <v>291</v>
      </c>
      <c r="G1281" s="20" t="s">
        <v>234</v>
      </c>
      <c r="H1281" s="23">
        <v>5843.04</v>
      </c>
      <c r="I1281" s="23">
        <v>-21</v>
      </c>
      <c r="J1281" s="23">
        <v>0</v>
      </c>
      <c r="K1281" s="23">
        <v>0</v>
      </c>
      <c r="L1281" s="23">
        <v>-2155.7800000000002</v>
      </c>
      <c r="M1281" s="23">
        <v>-40</v>
      </c>
      <c r="N1281" s="23">
        <v>0</v>
      </c>
      <c r="O1281" s="23">
        <f t="shared" si="140"/>
        <v>3626.2599999999998</v>
      </c>
      <c r="P1281" s="23">
        <v>-1428.57</v>
      </c>
      <c r="Q1281" s="23">
        <v>0</v>
      </c>
      <c r="R1281" s="23">
        <v>0</v>
      </c>
      <c r="S1281" s="23">
        <v>0</v>
      </c>
      <c r="T1281" s="23">
        <v>-700</v>
      </c>
      <c r="U1281" s="23">
        <v>0</v>
      </c>
      <c r="V1281" s="23">
        <v>0</v>
      </c>
      <c r="W1281" s="23">
        <f t="shared" si="141"/>
        <v>1497.69</v>
      </c>
      <c r="X1281" s="47">
        <f t="shared" si="142"/>
        <v>1497.69</v>
      </c>
      <c r="Y1281" s="23">
        <f t="shared" si="143"/>
        <v>0</v>
      </c>
      <c r="Z1281" s="23">
        <v>0</v>
      </c>
      <c r="AA1281" s="23">
        <f t="shared" si="137"/>
        <v>0</v>
      </c>
      <c r="AB1281" s="23">
        <f t="shared" si="138"/>
        <v>2128.5699999999997</v>
      </c>
      <c r="AC1281" s="23" t="s">
        <v>405</v>
      </c>
      <c r="AD1281" s="20" t="str">
        <f>VLOOKUP($C1281,'[1]CTRL AUTOS'!$E:$AH,2,0)</f>
        <v>X89ALV</v>
      </c>
      <c r="AE1281" s="11" t="str">
        <f t="shared" si="139"/>
        <v>X89ALV51</v>
      </c>
    </row>
    <row r="1282" spans="1:31" ht="15" hidden="1" customHeight="1" x14ac:dyDescent="0.3">
      <c r="A1282" s="8">
        <v>51</v>
      </c>
      <c r="B1282" s="20" t="s">
        <v>51</v>
      </c>
      <c r="C1282" s="20" t="s">
        <v>52</v>
      </c>
      <c r="D1282" s="20" t="s">
        <v>313</v>
      </c>
      <c r="E1282" s="20" t="s">
        <v>232</v>
      </c>
      <c r="F1282" s="20" t="s">
        <v>232</v>
      </c>
      <c r="G1282" s="20" t="s">
        <v>234</v>
      </c>
      <c r="H1282" s="23">
        <v>5412.1</v>
      </c>
      <c r="I1282" s="23">
        <v>-48</v>
      </c>
      <c r="J1282" s="23">
        <v>0</v>
      </c>
      <c r="K1282" s="23">
        <v>-30.14</v>
      </c>
      <c r="L1282" s="23">
        <v>0</v>
      </c>
      <c r="M1282" s="23">
        <v>-50</v>
      </c>
      <c r="N1282" s="23">
        <v>0</v>
      </c>
      <c r="O1282" s="23">
        <f t="shared" si="140"/>
        <v>5283.96</v>
      </c>
      <c r="P1282" s="23">
        <v>-2500</v>
      </c>
      <c r="Q1282" s="23">
        <v>0</v>
      </c>
      <c r="R1282" s="23">
        <v>0</v>
      </c>
      <c r="S1282" s="23">
        <v>0</v>
      </c>
      <c r="T1282" s="23">
        <v>0</v>
      </c>
      <c r="U1282" s="23">
        <v>0</v>
      </c>
      <c r="V1282" s="23">
        <v>0</v>
      </c>
      <c r="W1282" s="23">
        <f t="shared" si="141"/>
        <v>2783.96</v>
      </c>
      <c r="X1282" s="47">
        <f t="shared" si="142"/>
        <v>2783.96</v>
      </c>
      <c r="Y1282" s="23">
        <f t="shared" si="143"/>
        <v>0</v>
      </c>
      <c r="Z1282" s="23">
        <v>0</v>
      </c>
      <c r="AA1282" s="23">
        <f t="shared" si="137"/>
        <v>0</v>
      </c>
      <c r="AB1282" s="23">
        <f t="shared" si="138"/>
        <v>2500</v>
      </c>
      <c r="AC1282" s="46" t="s">
        <v>482</v>
      </c>
      <c r="AD1282" s="20" t="str">
        <f>VLOOKUP($C1282,'[1]CTRL AUTOS'!$E:$AH,2,0)</f>
        <v>A35BHD</v>
      </c>
      <c r="AE1282" s="11" t="str">
        <f t="shared" si="139"/>
        <v>A35BHD51</v>
      </c>
    </row>
    <row r="1283" spans="1:31" ht="15" hidden="1" customHeight="1" x14ac:dyDescent="0.3">
      <c r="A1283" s="8">
        <v>51</v>
      </c>
      <c r="B1283" s="20" t="s">
        <v>15</v>
      </c>
      <c r="C1283" s="20" t="s">
        <v>16</v>
      </c>
      <c r="D1283" s="20" t="s">
        <v>314</v>
      </c>
      <c r="E1283" s="20" t="s">
        <v>232</v>
      </c>
      <c r="F1283" s="20" t="s">
        <v>232</v>
      </c>
      <c r="G1283" s="20" t="s">
        <v>234</v>
      </c>
      <c r="H1283" s="23">
        <v>2670.54</v>
      </c>
      <c r="I1283" s="23">
        <v>-17.54</v>
      </c>
      <c r="J1283" s="23">
        <v>0</v>
      </c>
      <c r="K1283" s="23">
        <v>0</v>
      </c>
      <c r="L1283" s="23">
        <v>-258.48</v>
      </c>
      <c r="M1283" s="23">
        <v>-40</v>
      </c>
      <c r="N1283" s="23">
        <v>0</v>
      </c>
      <c r="O1283" s="23">
        <f t="shared" si="140"/>
        <v>2354.52</v>
      </c>
      <c r="P1283" s="23">
        <v>-2500</v>
      </c>
      <c r="Q1283" s="23">
        <v>0</v>
      </c>
      <c r="R1283" s="23">
        <v>-500</v>
      </c>
      <c r="S1283" s="23">
        <v>0</v>
      </c>
      <c r="T1283" s="23">
        <v>0</v>
      </c>
      <c r="U1283" s="23">
        <v>0</v>
      </c>
      <c r="V1283" s="23">
        <v>0</v>
      </c>
      <c r="W1283" s="23">
        <f t="shared" si="141"/>
        <v>-645.48</v>
      </c>
      <c r="X1283" s="23">
        <f t="shared" si="142"/>
        <v>0</v>
      </c>
      <c r="Y1283" s="23">
        <f t="shared" si="143"/>
        <v>-645.48</v>
      </c>
      <c r="Z1283" s="23">
        <v>645</v>
      </c>
      <c r="AA1283" s="23">
        <f t="shared" ref="AA1283:AA1346" si="144">+Y1283+Z1283</f>
        <v>-0.48000000000001819</v>
      </c>
      <c r="AB1283" s="23">
        <f t="shared" ref="AB1283:AB1346" si="145">+O1283-X1283+Z1283+AA1283</f>
        <v>2999.04</v>
      </c>
      <c r="AC1283" s="23" t="s">
        <v>557</v>
      </c>
      <c r="AD1283" s="20" t="str">
        <f>VLOOKUP($C1283,'[1]CTRL AUTOS'!$E:$AH,2,0)</f>
        <v>D28BET</v>
      </c>
      <c r="AE1283" s="11" t="str">
        <f t="shared" si="139"/>
        <v>D28BET51</v>
      </c>
    </row>
    <row r="1284" spans="1:31" ht="15" hidden="1" customHeight="1" x14ac:dyDescent="0.3">
      <c r="A1284" s="8">
        <v>51</v>
      </c>
      <c r="B1284" s="20" t="s">
        <v>47</v>
      </c>
      <c r="C1284" s="20" t="s">
        <v>106</v>
      </c>
      <c r="D1284" s="20" t="s">
        <v>322</v>
      </c>
      <c r="E1284" s="20" t="s">
        <v>232</v>
      </c>
      <c r="F1284" s="20" t="s">
        <v>232</v>
      </c>
      <c r="G1284" s="20" t="s">
        <v>234</v>
      </c>
      <c r="H1284" s="23">
        <v>7124.64</v>
      </c>
      <c r="I1284" s="23">
        <v>0</v>
      </c>
      <c r="J1284" s="23">
        <v>393.91</v>
      </c>
      <c r="K1284" s="23">
        <v>-76.92</v>
      </c>
      <c r="L1284" s="23">
        <v>-3251.77</v>
      </c>
      <c r="M1284" s="23">
        <v>-40</v>
      </c>
      <c r="N1284" s="23">
        <v>0</v>
      </c>
      <c r="O1284" s="23">
        <f t="shared" si="140"/>
        <v>4149.8600000000006</v>
      </c>
      <c r="P1284" s="23">
        <v>-2500</v>
      </c>
      <c r="Q1284" s="23">
        <v>0</v>
      </c>
      <c r="R1284" s="23">
        <v>-500</v>
      </c>
      <c r="S1284" s="23">
        <v>0</v>
      </c>
      <c r="T1284" s="23">
        <v>0</v>
      </c>
      <c r="U1284" s="23">
        <v>0</v>
      </c>
      <c r="V1284" s="23">
        <v>0</v>
      </c>
      <c r="W1284" s="23">
        <f t="shared" si="141"/>
        <v>1149.8600000000006</v>
      </c>
      <c r="X1284" s="47">
        <f t="shared" si="142"/>
        <v>1149.8600000000006</v>
      </c>
      <c r="Y1284" s="23">
        <f t="shared" si="143"/>
        <v>0</v>
      </c>
      <c r="Z1284" s="23">
        <v>0</v>
      </c>
      <c r="AA1284" s="23">
        <f t="shared" si="144"/>
        <v>0</v>
      </c>
      <c r="AB1284" s="23">
        <f t="shared" si="145"/>
        <v>3000</v>
      </c>
      <c r="AC1284" s="46" t="s">
        <v>482</v>
      </c>
      <c r="AD1284" s="20" t="str">
        <f>VLOOKUP($C1284,'[1]CTRL AUTOS'!$E:$AH,2,0)</f>
        <v>NZU5163</v>
      </c>
      <c r="AE1284" s="11" t="str">
        <f t="shared" ref="AE1284:AE1347" si="146">AD1284&amp;A1284</f>
        <v>NZU516351</v>
      </c>
    </row>
    <row r="1285" spans="1:31" ht="15" hidden="1" customHeight="1" x14ac:dyDescent="0.3">
      <c r="A1285" s="8">
        <v>51</v>
      </c>
      <c r="B1285" s="20" t="s">
        <v>72</v>
      </c>
      <c r="C1285" s="20" t="s">
        <v>73</v>
      </c>
      <c r="D1285" s="20" t="s">
        <v>368</v>
      </c>
      <c r="E1285" s="22" t="s">
        <v>241</v>
      </c>
      <c r="F1285" s="20" t="s">
        <v>291</v>
      </c>
      <c r="G1285" s="20" t="s">
        <v>234</v>
      </c>
      <c r="H1285" s="23">
        <v>11063.48</v>
      </c>
      <c r="I1285" s="23">
        <v>-111.2</v>
      </c>
      <c r="J1285" s="23">
        <v>0</v>
      </c>
      <c r="K1285" s="23">
        <v>-79.22</v>
      </c>
      <c r="L1285" s="23">
        <v>-4365.6400000000003</v>
      </c>
      <c r="M1285" s="23">
        <v>-60</v>
      </c>
      <c r="N1285" s="23">
        <v>-125</v>
      </c>
      <c r="O1285" s="23">
        <f t="shared" si="140"/>
        <v>6322.4199999999992</v>
      </c>
      <c r="P1285" s="23">
        <v>-2500</v>
      </c>
      <c r="Q1285" s="23">
        <v>0</v>
      </c>
      <c r="R1285" s="23">
        <v>0</v>
      </c>
      <c r="S1285" s="23">
        <v>0</v>
      </c>
      <c r="T1285" s="23">
        <v>0</v>
      </c>
      <c r="U1285" s="23">
        <v>0</v>
      </c>
      <c r="V1285" s="23">
        <v>0</v>
      </c>
      <c r="W1285" s="23">
        <f t="shared" si="141"/>
        <v>3822.4199999999992</v>
      </c>
      <c r="X1285" s="47">
        <f t="shared" si="142"/>
        <v>3822.4199999999992</v>
      </c>
      <c r="Y1285" s="23">
        <f t="shared" si="143"/>
        <v>0</v>
      </c>
      <c r="Z1285" s="23">
        <v>0</v>
      </c>
      <c r="AA1285" s="23">
        <f t="shared" si="144"/>
        <v>0</v>
      </c>
      <c r="AB1285" s="23">
        <f t="shared" si="145"/>
        <v>2500</v>
      </c>
      <c r="AC1285" s="23" t="s">
        <v>405</v>
      </c>
      <c r="AD1285" s="20" t="str">
        <f>VLOOKUP($C1285,'[1]CTRL AUTOS'!$E:$AH,2,0)</f>
        <v>H99BLC</v>
      </c>
      <c r="AE1285" s="11" t="str">
        <f t="shared" si="146"/>
        <v>H99BLC51</v>
      </c>
    </row>
    <row r="1286" spans="1:31" ht="15" hidden="1" customHeight="1" x14ac:dyDescent="0.3">
      <c r="A1286" s="8">
        <v>51</v>
      </c>
      <c r="B1286" s="20" t="s">
        <v>43</v>
      </c>
      <c r="C1286" s="20" t="s">
        <v>44</v>
      </c>
      <c r="D1286" s="20" t="s">
        <v>467</v>
      </c>
      <c r="E1286" s="22" t="s">
        <v>232</v>
      </c>
      <c r="F1286" s="20" t="s">
        <v>232</v>
      </c>
      <c r="G1286" s="20" t="s">
        <v>234</v>
      </c>
      <c r="H1286" s="23">
        <v>2514.67</v>
      </c>
      <c r="I1286" s="23">
        <v>-18.97</v>
      </c>
      <c r="J1286" s="23">
        <v>0</v>
      </c>
      <c r="K1286" s="23">
        <v>0</v>
      </c>
      <c r="L1286" s="23">
        <v>0</v>
      </c>
      <c r="M1286" s="23">
        <v>-41</v>
      </c>
      <c r="N1286" s="23">
        <v>-114</v>
      </c>
      <c r="O1286" s="23">
        <f t="shared" si="140"/>
        <v>2340.7000000000003</v>
      </c>
      <c r="P1286" s="23">
        <v>-2500</v>
      </c>
      <c r="Q1286" s="23">
        <v>0</v>
      </c>
      <c r="R1286" s="23">
        <v>-500</v>
      </c>
      <c r="S1286" s="23">
        <v>0</v>
      </c>
      <c r="T1286" s="23">
        <v>0</v>
      </c>
      <c r="U1286" s="23">
        <v>0</v>
      </c>
      <c r="V1286" s="23">
        <v>0</v>
      </c>
      <c r="W1286" s="23">
        <f t="shared" si="141"/>
        <v>-659.29999999999973</v>
      </c>
      <c r="X1286" s="23">
        <f t="shared" si="142"/>
        <v>0</v>
      </c>
      <c r="Y1286" s="23">
        <f t="shared" si="143"/>
        <v>-659.29999999999973</v>
      </c>
      <c r="Z1286" s="23">
        <v>545</v>
      </c>
      <c r="AA1286" s="23">
        <f t="shared" si="144"/>
        <v>-114.29999999999973</v>
      </c>
      <c r="AB1286" s="23">
        <f t="shared" si="145"/>
        <v>2771.4000000000005</v>
      </c>
      <c r="AC1286" s="23" t="s">
        <v>558</v>
      </c>
      <c r="AD1286" s="20" t="str">
        <f>VLOOKUP($C1286,'[1]CTRL AUTOS'!$E:$AH,2,0)</f>
        <v>MAY730C</v>
      </c>
      <c r="AE1286" s="11" t="str">
        <f t="shared" si="146"/>
        <v>MAY730C51</v>
      </c>
    </row>
    <row r="1287" spans="1:31" ht="15" hidden="1" customHeight="1" x14ac:dyDescent="0.3">
      <c r="A1287" s="8">
        <v>51</v>
      </c>
      <c r="B1287" s="20" t="s">
        <v>78</v>
      </c>
      <c r="C1287" s="20" t="s">
        <v>79</v>
      </c>
      <c r="D1287" s="20" t="s">
        <v>475</v>
      </c>
      <c r="E1287" s="20" t="s">
        <v>291</v>
      </c>
      <c r="F1287" s="20" t="s">
        <v>291</v>
      </c>
      <c r="G1287" s="20" t="s">
        <v>234</v>
      </c>
      <c r="H1287" s="23">
        <v>4134.6099999999997</v>
      </c>
      <c r="I1287" s="23">
        <v>0</v>
      </c>
      <c r="J1287" s="23">
        <v>27.61</v>
      </c>
      <c r="K1287" s="23">
        <v>-26.48</v>
      </c>
      <c r="L1287" s="23">
        <v>-339.79</v>
      </c>
      <c r="M1287" s="23">
        <v>-30</v>
      </c>
      <c r="N1287" s="23">
        <v>0</v>
      </c>
      <c r="O1287" s="23">
        <f t="shared" si="140"/>
        <v>3765.95</v>
      </c>
      <c r="P1287" s="23">
        <v>-2500</v>
      </c>
      <c r="Q1287" s="23">
        <v>0</v>
      </c>
      <c r="R1287" s="23">
        <v>-178</v>
      </c>
      <c r="S1287" s="23">
        <v>0</v>
      </c>
      <c r="T1287" s="23">
        <v>0</v>
      </c>
      <c r="U1287" s="23">
        <v>0</v>
      </c>
      <c r="V1287" s="23">
        <v>0</v>
      </c>
      <c r="W1287" s="23">
        <f t="shared" si="141"/>
        <v>1087.9499999999998</v>
      </c>
      <c r="X1287" s="47">
        <f t="shared" si="142"/>
        <v>1087.9499999999998</v>
      </c>
      <c r="Y1287" s="23">
        <f t="shared" si="143"/>
        <v>0</v>
      </c>
      <c r="Z1287" s="23">
        <v>0</v>
      </c>
      <c r="AA1287" s="23">
        <f t="shared" si="144"/>
        <v>0</v>
      </c>
      <c r="AB1287" s="23">
        <f t="shared" si="145"/>
        <v>2678</v>
      </c>
      <c r="AC1287" s="23" t="s">
        <v>405</v>
      </c>
      <c r="AD1287" s="20" t="str">
        <f>VLOOKUP($C1287,'[1]CTRL AUTOS'!$E:$AH,2,0)</f>
        <v>MAY737C</v>
      </c>
      <c r="AE1287" s="11" t="str">
        <f t="shared" si="146"/>
        <v>MAY737C51</v>
      </c>
    </row>
    <row r="1288" spans="1:31" ht="15" hidden="1" customHeight="1" x14ac:dyDescent="0.3">
      <c r="A1288" s="8">
        <v>51</v>
      </c>
      <c r="B1288" s="20" t="s">
        <v>61</v>
      </c>
      <c r="C1288" s="20" t="s">
        <v>34</v>
      </c>
      <c r="D1288" s="20" t="s">
        <v>285</v>
      </c>
      <c r="E1288" s="20" t="s">
        <v>232</v>
      </c>
      <c r="F1288" s="20" t="s">
        <v>232</v>
      </c>
      <c r="G1288" s="20" t="s">
        <v>234</v>
      </c>
      <c r="H1288" s="23">
        <v>0</v>
      </c>
      <c r="I1288" s="23">
        <v>0</v>
      </c>
      <c r="J1288" s="23">
        <v>0</v>
      </c>
      <c r="K1288" s="23">
        <v>0</v>
      </c>
      <c r="L1288" s="23">
        <v>0</v>
      </c>
      <c r="M1288" s="23">
        <v>0</v>
      </c>
      <c r="N1288" s="23">
        <v>0</v>
      </c>
      <c r="O1288" s="23">
        <f t="shared" si="140"/>
        <v>0</v>
      </c>
      <c r="P1288" s="23">
        <v>0</v>
      </c>
      <c r="Q1288" s="23">
        <v>0</v>
      </c>
      <c r="R1288" s="23">
        <v>0</v>
      </c>
      <c r="S1288" s="23">
        <v>0</v>
      </c>
      <c r="T1288" s="23">
        <v>-700</v>
      </c>
      <c r="U1288" s="23">
        <v>0</v>
      </c>
      <c r="V1288" s="23">
        <v>0</v>
      </c>
      <c r="W1288" s="23">
        <f t="shared" si="141"/>
        <v>-700</v>
      </c>
      <c r="X1288" s="23">
        <f t="shared" si="142"/>
        <v>0</v>
      </c>
      <c r="Y1288" s="23">
        <f t="shared" si="143"/>
        <v>-700</v>
      </c>
      <c r="Z1288" s="23">
        <v>700</v>
      </c>
      <c r="AA1288" s="23">
        <f t="shared" si="144"/>
        <v>0</v>
      </c>
      <c r="AB1288" s="23">
        <f t="shared" si="145"/>
        <v>700</v>
      </c>
      <c r="AC1288" s="23" t="s">
        <v>559</v>
      </c>
      <c r="AD1288" s="20" t="str">
        <f>VLOOKUP($C1288,'[1]CTRL AUTOS'!$E:$AH,2,0)</f>
        <v>X59AWG</v>
      </c>
      <c r="AE1288" s="11" t="str">
        <f t="shared" si="146"/>
        <v>X59AWG51</v>
      </c>
    </row>
    <row r="1289" spans="1:31" ht="15" hidden="1" customHeight="1" x14ac:dyDescent="0.3">
      <c r="A1289" s="8">
        <v>51</v>
      </c>
      <c r="B1289" s="20" t="s">
        <v>61</v>
      </c>
      <c r="C1289" s="20" t="s">
        <v>104</v>
      </c>
      <c r="D1289" s="20" t="s">
        <v>367</v>
      </c>
      <c r="E1289" s="20" t="s">
        <v>364</v>
      </c>
      <c r="F1289" s="20" t="s">
        <v>364</v>
      </c>
      <c r="G1289" s="20" t="s">
        <v>234</v>
      </c>
      <c r="H1289" s="23">
        <v>5090.2299999999996</v>
      </c>
      <c r="I1289" s="23">
        <v>-39.54</v>
      </c>
      <c r="J1289" s="23">
        <v>90.22</v>
      </c>
      <c r="K1289" s="23">
        <v>0</v>
      </c>
      <c r="L1289" s="23">
        <v>-1236.21</v>
      </c>
      <c r="M1289" s="23">
        <v>-30</v>
      </c>
      <c r="N1289" s="23">
        <v>0</v>
      </c>
      <c r="O1289" s="23">
        <f t="shared" si="140"/>
        <v>3874.7</v>
      </c>
      <c r="P1289" s="23">
        <v>-2500</v>
      </c>
      <c r="Q1289" s="23">
        <v>0</v>
      </c>
      <c r="R1289" s="23">
        <v>0</v>
      </c>
      <c r="S1289" s="23">
        <v>0</v>
      </c>
      <c r="T1289" s="23">
        <v>0</v>
      </c>
      <c r="U1289" s="23">
        <v>0</v>
      </c>
      <c r="V1289" s="23">
        <v>0</v>
      </c>
      <c r="W1289" s="23">
        <f t="shared" si="141"/>
        <v>1374.6999999999998</v>
      </c>
      <c r="X1289" s="47">
        <f t="shared" si="142"/>
        <v>1374.6999999999998</v>
      </c>
      <c r="Y1289" s="23">
        <f t="shared" si="143"/>
        <v>0</v>
      </c>
      <c r="Z1289" s="23">
        <v>0</v>
      </c>
      <c r="AA1289" s="23">
        <f t="shared" si="144"/>
        <v>0</v>
      </c>
      <c r="AB1289" s="23">
        <f t="shared" si="145"/>
        <v>2500</v>
      </c>
      <c r="AC1289" s="23" t="s">
        <v>526</v>
      </c>
      <c r="AD1289" s="20" t="e">
        <f>VLOOKUP($C1289,'[1]CTRL AUTOS'!$E:$AH,2,0)</f>
        <v>#N/A</v>
      </c>
      <c r="AE1289" s="11" t="e">
        <f t="shared" si="146"/>
        <v>#N/A</v>
      </c>
    </row>
    <row r="1290" spans="1:31" ht="15" hidden="1" customHeight="1" x14ac:dyDescent="0.3">
      <c r="A1290" s="8">
        <v>51</v>
      </c>
      <c r="B1290" s="20" t="s">
        <v>7</v>
      </c>
      <c r="C1290" s="20" t="s">
        <v>8</v>
      </c>
      <c r="D1290" s="20" t="s">
        <v>516</v>
      </c>
      <c r="E1290" s="20" t="s">
        <v>364</v>
      </c>
      <c r="F1290" s="20" t="s">
        <v>364</v>
      </c>
      <c r="G1290" s="20" t="s">
        <v>425</v>
      </c>
      <c r="H1290" s="23">
        <v>11338.24</v>
      </c>
      <c r="I1290" s="23">
        <v>-850.9</v>
      </c>
      <c r="J1290" s="23">
        <v>0</v>
      </c>
      <c r="K1290" s="23">
        <v>0</v>
      </c>
      <c r="L1290" s="23">
        <v>-8508.64</v>
      </c>
      <c r="M1290" s="23">
        <v>-100</v>
      </c>
      <c r="N1290" s="23">
        <v>0</v>
      </c>
      <c r="O1290" s="23">
        <f t="shared" si="140"/>
        <v>1878.7000000000007</v>
      </c>
      <c r="P1290" s="23">
        <v>-2600</v>
      </c>
      <c r="Q1290" s="23">
        <v>0</v>
      </c>
      <c r="R1290" s="23">
        <v>0</v>
      </c>
      <c r="S1290" s="23">
        <v>0</v>
      </c>
      <c r="T1290" s="23">
        <v>0</v>
      </c>
      <c r="U1290" s="23">
        <v>0</v>
      </c>
      <c r="V1290" s="23">
        <v>0</v>
      </c>
      <c r="W1290" s="23">
        <f t="shared" si="141"/>
        <v>-721.29999999999927</v>
      </c>
      <c r="X1290" s="23">
        <f t="shared" si="142"/>
        <v>0</v>
      </c>
      <c r="Y1290" s="23">
        <f t="shared" si="143"/>
        <v>-721.29999999999927</v>
      </c>
      <c r="Z1290" s="23">
        <v>0</v>
      </c>
      <c r="AA1290" s="23">
        <f t="shared" si="144"/>
        <v>-721.29999999999927</v>
      </c>
      <c r="AB1290" s="23">
        <f t="shared" si="145"/>
        <v>1157.4000000000015</v>
      </c>
      <c r="AC1290" s="23" t="s">
        <v>560</v>
      </c>
      <c r="AD1290" s="20" t="e">
        <f>VLOOKUP($C1290,'[1]CTRL AUTOS'!$E:$AH,2,0)</f>
        <v>#N/A</v>
      </c>
      <c r="AE1290" s="11" t="e">
        <f t="shared" si="146"/>
        <v>#N/A</v>
      </c>
    </row>
    <row r="1291" spans="1:31" ht="15" hidden="1" customHeight="1" x14ac:dyDescent="0.3">
      <c r="A1291" s="8">
        <v>51</v>
      </c>
      <c r="B1291" s="20" t="s">
        <v>417</v>
      </c>
      <c r="C1291" s="20" t="s">
        <v>428</v>
      </c>
      <c r="D1291" s="8" t="s">
        <v>283</v>
      </c>
      <c r="E1291" s="20" t="s">
        <v>364</v>
      </c>
      <c r="F1291" s="20" t="s">
        <v>364</v>
      </c>
      <c r="G1291" s="20" t="s">
        <v>234</v>
      </c>
      <c r="H1291" s="23">
        <v>5213.6400000000003</v>
      </c>
      <c r="I1291" s="23">
        <v>0</v>
      </c>
      <c r="J1291" s="23">
        <v>0</v>
      </c>
      <c r="K1291" s="23">
        <v>0</v>
      </c>
      <c r="L1291" s="23">
        <v>-2489.67</v>
      </c>
      <c r="M1291" s="23">
        <v>-40</v>
      </c>
      <c r="N1291" s="23">
        <v>0</v>
      </c>
      <c r="O1291" s="23">
        <f t="shared" si="140"/>
        <v>2683.9700000000003</v>
      </c>
      <c r="P1291" s="23">
        <v>-2500</v>
      </c>
      <c r="Q1291" s="23">
        <v>0</v>
      </c>
      <c r="R1291" s="23">
        <v>0</v>
      </c>
      <c r="S1291" s="23">
        <v>0</v>
      </c>
      <c r="T1291" s="23">
        <v>0</v>
      </c>
      <c r="U1291" s="23">
        <v>0</v>
      </c>
      <c r="V1291" s="23">
        <v>0</v>
      </c>
      <c r="W1291" s="23">
        <f t="shared" si="141"/>
        <v>183.97000000000025</v>
      </c>
      <c r="X1291" s="47">
        <f t="shared" si="142"/>
        <v>183.97000000000025</v>
      </c>
      <c r="Y1291" s="23">
        <f t="shared" si="143"/>
        <v>0</v>
      </c>
      <c r="Z1291" s="23">
        <v>0</v>
      </c>
      <c r="AA1291" s="23">
        <f t="shared" si="144"/>
        <v>0</v>
      </c>
      <c r="AB1291" s="23">
        <f t="shared" si="145"/>
        <v>2500</v>
      </c>
      <c r="AC1291" s="23" t="s">
        <v>526</v>
      </c>
      <c r="AD1291" s="20" t="e">
        <f>VLOOKUP($C1291,'[1]CTRL AUTOS'!$E:$AH,2,0)</f>
        <v>#N/A</v>
      </c>
      <c r="AE1291" s="11" t="e">
        <f t="shared" si="146"/>
        <v>#N/A</v>
      </c>
    </row>
    <row r="1292" spans="1:31" ht="15" hidden="1" customHeight="1" x14ac:dyDescent="0.3">
      <c r="A1292" s="8">
        <v>51</v>
      </c>
      <c r="B1292" s="20" t="s">
        <v>29</v>
      </c>
      <c r="C1292" s="20" t="s">
        <v>30</v>
      </c>
      <c r="D1292" s="20" t="s">
        <v>521</v>
      </c>
      <c r="E1292" s="20" t="s">
        <v>232</v>
      </c>
      <c r="F1292" s="20" t="s">
        <v>232</v>
      </c>
      <c r="G1292" s="20" t="s">
        <v>234</v>
      </c>
      <c r="H1292" s="23">
        <v>3454.67</v>
      </c>
      <c r="I1292" s="23">
        <v>-25.68</v>
      </c>
      <c r="J1292" s="23">
        <v>0</v>
      </c>
      <c r="K1292" s="23">
        <v>0</v>
      </c>
      <c r="L1292" s="23">
        <v>-389.91</v>
      </c>
      <c r="M1292" s="23">
        <v>-30</v>
      </c>
      <c r="N1292" s="23">
        <v>-190.42240000000004</v>
      </c>
      <c r="O1292" s="23">
        <f t="shared" si="140"/>
        <v>2818.6576000000005</v>
      </c>
      <c r="P1292" s="23">
        <v>-2500</v>
      </c>
      <c r="Q1292" s="23">
        <v>0</v>
      </c>
      <c r="R1292" s="23">
        <v>-500</v>
      </c>
      <c r="S1292" s="23">
        <v>0</v>
      </c>
      <c r="T1292" s="23">
        <v>0</v>
      </c>
      <c r="U1292" s="23">
        <v>0</v>
      </c>
      <c r="V1292" s="23">
        <v>0</v>
      </c>
      <c r="W1292" s="23">
        <f t="shared" si="141"/>
        <v>-181.34239999999954</v>
      </c>
      <c r="X1292" s="23">
        <f t="shared" si="142"/>
        <v>0</v>
      </c>
      <c r="Y1292" s="23">
        <f t="shared" si="143"/>
        <v>-181.34239999999954</v>
      </c>
      <c r="Z1292" s="23">
        <v>181</v>
      </c>
      <c r="AA1292" s="23">
        <f t="shared" si="144"/>
        <v>-0.34239999999954307</v>
      </c>
      <c r="AB1292" s="23">
        <f t="shared" si="145"/>
        <v>2999.3152000000009</v>
      </c>
      <c r="AC1292" s="23" t="s">
        <v>561</v>
      </c>
      <c r="AD1292" s="20" t="str">
        <f>VLOOKUP($C1292,'[1]CTRL AUTOS'!$E:$AH,2,0)</f>
        <v>D51BHV</v>
      </c>
      <c r="AE1292" s="11" t="str">
        <f t="shared" si="146"/>
        <v>D51BHV51</v>
      </c>
    </row>
    <row r="1293" spans="1:31" ht="15" hidden="1" customHeight="1" x14ac:dyDescent="0.3">
      <c r="A1293" s="8">
        <v>51</v>
      </c>
      <c r="B1293" s="20" t="s">
        <v>76</v>
      </c>
      <c r="C1293" s="20" t="s">
        <v>77</v>
      </c>
      <c r="D1293" s="20" t="s">
        <v>474</v>
      </c>
      <c r="E1293" s="20" t="s">
        <v>232</v>
      </c>
      <c r="F1293" s="20" t="s">
        <v>291</v>
      </c>
      <c r="G1293" s="20" t="s">
        <v>234</v>
      </c>
      <c r="H1293" s="23">
        <v>2424.75</v>
      </c>
      <c r="I1293" s="23">
        <v>-26.94</v>
      </c>
      <c r="J1293" s="23">
        <v>0</v>
      </c>
      <c r="K1293" s="23">
        <v>-26.939999999999998</v>
      </c>
      <c r="L1293" s="23">
        <v>-2032.52</v>
      </c>
      <c r="M1293" s="23">
        <v>-30</v>
      </c>
      <c r="N1293" s="23">
        <v>0</v>
      </c>
      <c r="O1293" s="23">
        <f t="shared" si="140"/>
        <v>308.34999999999991</v>
      </c>
      <c r="P1293" s="23">
        <v>-2500</v>
      </c>
      <c r="Q1293" s="23">
        <v>-112</v>
      </c>
      <c r="R1293" s="23">
        <v>0</v>
      </c>
      <c r="S1293" s="23">
        <v>0</v>
      </c>
      <c r="T1293" s="23">
        <v>0</v>
      </c>
      <c r="U1293" s="23">
        <v>0</v>
      </c>
      <c r="V1293" s="23">
        <v>0</v>
      </c>
      <c r="W1293" s="23">
        <f t="shared" si="141"/>
        <v>-2303.65</v>
      </c>
      <c r="X1293" s="23">
        <f t="shared" si="142"/>
        <v>0</v>
      </c>
      <c r="Y1293" s="23">
        <f t="shared" si="143"/>
        <v>-2303.65</v>
      </c>
      <c r="Z1293" s="23">
        <v>0</v>
      </c>
      <c r="AA1293" s="23">
        <f t="shared" si="144"/>
        <v>-2303.65</v>
      </c>
      <c r="AB1293" s="23">
        <f t="shared" si="145"/>
        <v>-1995.3000000000002</v>
      </c>
      <c r="AC1293" s="23" t="s">
        <v>562</v>
      </c>
      <c r="AD1293" s="20" t="str">
        <f>VLOOKUP($C1293,'[1]CTRL AUTOS'!$E:$AH,2,0)</f>
        <v>MEE228C</v>
      </c>
      <c r="AE1293" s="11" t="str">
        <f t="shared" si="146"/>
        <v>MEE228C51</v>
      </c>
    </row>
    <row r="1294" spans="1:31" ht="15" hidden="1" customHeight="1" x14ac:dyDescent="0.3">
      <c r="A1294" s="8">
        <v>51</v>
      </c>
      <c r="B1294" s="20" t="s">
        <v>53</v>
      </c>
      <c r="C1294" s="20" t="s">
        <v>86</v>
      </c>
      <c r="D1294" s="20" t="s">
        <v>519</v>
      </c>
      <c r="E1294" s="20" t="s">
        <v>232</v>
      </c>
      <c r="F1294" s="20" t="s">
        <v>232</v>
      </c>
      <c r="G1294" s="20" t="s">
        <v>234</v>
      </c>
      <c r="H1294" s="23">
        <v>4236.03</v>
      </c>
      <c r="I1294" s="23">
        <v>-5.95</v>
      </c>
      <c r="J1294" s="23">
        <v>0</v>
      </c>
      <c r="K1294" s="23">
        <v>0</v>
      </c>
      <c r="L1294" s="23">
        <v>-1209.8</v>
      </c>
      <c r="M1294" s="23">
        <v>-50</v>
      </c>
      <c r="N1294" s="23">
        <v>0</v>
      </c>
      <c r="O1294" s="23">
        <f t="shared" si="140"/>
        <v>2970.2799999999997</v>
      </c>
      <c r="P1294" s="23">
        <v>-2142.85</v>
      </c>
      <c r="Q1294" s="23">
        <v>-2608.48</v>
      </c>
      <c r="R1294" s="23">
        <v>-500</v>
      </c>
      <c r="S1294" s="23">
        <v>0</v>
      </c>
      <c r="T1294" s="23">
        <v>0</v>
      </c>
      <c r="U1294" s="23">
        <v>0</v>
      </c>
      <c r="V1294" s="23">
        <v>0</v>
      </c>
      <c r="W1294" s="23">
        <f t="shared" si="141"/>
        <v>-2281.0500000000002</v>
      </c>
      <c r="X1294" s="23">
        <f t="shared" si="142"/>
        <v>0</v>
      </c>
      <c r="Y1294" s="23">
        <f t="shared" si="143"/>
        <v>-2281.0500000000002</v>
      </c>
      <c r="Z1294" s="23">
        <v>281</v>
      </c>
      <c r="AA1294" s="23">
        <f t="shared" si="144"/>
        <v>-2000.0500000000002</v>
      </c>
      <c r="AB1294" s="23">
        <f t="shared" si="145"/>
        <v>1251.2299999999996</v>
      </c>
      <c r="AC1294" s="23" t="s">
        <v>563</v>
      </c>
      <c r="AD1294" s="20" t="str">
        <f>VLOOKUP($C1294,'[1]CTRL AUTOS'!$E:$AH,2,0)</f>
        <v>R22BMR</v>
      </c>
      <c r="AE1294" s="11" t="str">
        <f t="shared" si="146"/>
        <v>R22BMR51</v>
      </c>
    </row>
    <row r="1295" spans="1:31" ht="15" hidden="1" customHeight="1" x14ac:dyDescent="0.3">
      <c r="A1295" s="8">
        <v>51</v>
      </c>
      <c r="B1295" s="20" t="s">
        <v>64</v>
      </c>
      <c r="C1295" s="20" t="s">
        <v>59</v>
      </c>
      <c r="D1295" s="20" t="s">
        <v>520</v>
      </c>
      <c r="E1295" s="20" t="s">
        <v>232</v>
      </c>
      <c r="F1295" s="20" t="s">
        <v>291</v>
      </c>
      <c r="G1295" s="20" t="s">
        <v>234</v>
      </c>
      <c r="H1295" s="23">
        <v>5586.75</v>
      </c>
      <c r="I1295" s="23">
        <v>-66.56</v>
      </c>
      <c r="J1295" s="23">
        <v>0</v>
      </c>
      <c r="K1295" s="23">
        <v>0</v>
      </c>
      <c r="L1295" s="23">
        <v>0</v>
      </c>
      <c r="M1295" s="23">
        <v>-30</v>
      </c>
      <c r="N1295" s="23">
        <v>-69.72</v>
      </c>
      <c r="O1295" s="23">
        <f t="shared" si="140"/>
        <v>5420.4699999999993</v>
      </c>
      <c r="P1295" s="23">
        <v>-1429</v>
      </c>
      <c r="Q1295" s="23">
        <v>0</v>
      </c>
      <c r="R1295" s="23">
        <v>-286</v>
      </c>
      <c r="S1295" s="23">
        <v>0</v>
      </c>
      <c r="T1295" s="23">
        <v>0</v>
      </c>
      <c r="U1295" s="23">
        <v>0</v>
      </c>
      <c r="V1295" s="23">
        <v>0</v>
      </c>
      <c r="W1295" s="23">
        <f t="shared" si="141"/>
        <v>3705.4699999999993</v>
      </c>
      <c r="X1295" s="47">
        <f t="shared" si="142"/>
        <v>3705.4699999999993</v>
      </c>
      <c r="Y1295" s="23">
        <f t="shared" si="143"/>
        <v>0</v>
      </c>
      <c r="Z1295" s="23">
        <v>0</v>
      </c>
      <c r="AA1295" s="23">
        <f t="shared" si="144"/>
        <v>0</v>
      </c>
      <c r="AB1295" s="23">
        <f t="shared" si="145"/>
        <v>1715</v>
      </c>
      <c r="AC1295" s="46" t="s">
        <v>482</v>
      </c>
      <c r="AD1295" s="20" t="str">
        <f>VLOOKUP($C1295,'[1]CTRL AUTOS'!$E:$AH,2,0)</f>
        <v>P62BHW</v>
      </c>
      <c r="AE1295" s="11" t="str">
        <f t="shared" si="146"/>
        <v>P62BHW51</v>
      </c>
    </row>
    <row r="1296" spans="1:31" ht="15" hidden="1" customHeight="1" x14ac:dyDescent="0.3">
      <c r="A1296" s="8">
        <v>51</v>
      </c>
      <c r="B1296" s="20" t="s">
        <v>64</v>
      </c>
      <c r="C1296" s="20" t="s">
        <v>59</v>
      </c>
      <c r="D1296" s="20" t="s">
        <v>520</v>
      </c>
      <c r="E1296" s="20" t="s">
        <v>232</v>
      </c>
      <c r="F1296" s="20" t="s">
        <v>232</v>
      </c>
      <c r="G1296" s="20" t="s">
        <v>234</v>
      </c>
      <c r="H1296" s="23">
        <v>2364.6799999999998</v>
      </c>
      <c r="I1296" s="23">
        <v>-24</v>
      </c>
      <c r="J1296" s="23">
        <v>263.63</v>
      </c>
      <c r="K1296" s="23">
        <v>0</v>
      </c>
      <c r="L1296" s="23">
        <v>0</v>
      </c>
      <c r="M1296" s="23">
        <v>-10</v>
      </c>
      <c r="N1296" s="23">
        <v>0</v>
      </c>
      <c r="O1296" s="23">
        <f t="shared" si="140"/>
        <v>2594.31</v>
      </c>
      <c r="P1296" s="23">
        <v>-1071.42</v>
      </c>
      <c r="Q1296" s="23">
        <v>0</v>
      </c>
      <c r="R1296" s="23">
        <v>-214</v>
      </c>
      <c r="S1296" s="23">
        <v>0</v>
      </c>
      <c r="T1296" s="23">
        <v>0</v>
      </c>
      <c r="U1296" s="23">
        <v>0</v>
      </c>
      <c r="V1296" s="23">
        <v>0</v>
      </c>
      <c r="W1296" s="23">
        <f t="shared" si="141"/>
        <v>1308.8899999999999</v>
      </c>
      <c r="X1296" s="47">
        <f t="shared" si="142"/>
        <v>1308.8899999999999</v>
      </c>
      <c r="Y1296" s="23">
        <f t="shared" si="143"/>
        <v>0</v>
      </c>
      <c r="Z1296" s="23">
        <v>0</v>
      </c>
      <c r="AA1296" s="23">
        <f t="shared" si="144"/>
        <v>0</v>
      </c>
      <c r="AB1296" s="23">
        <f t="shared" si="145"/>
        <v>1285.42</v>
      </c>
      <c r="AC1296" s="46" t="s">
        <v>482</v>
      </c>
      <c r="AD1296" s="20" t="str">
        <f>VLOOKUP($C1296,'[1]CTRL AUTOS'!$E:$AH,2,0)</f>
        <v>P62BHW</v>
      </c>
      <c r="AE1296" s="11" t="str">
        <f t="shared" si="146"/>
        <v>P62BHW51</v>
      </c>
    </row>
    <row r="1297" spans="1:31" ht="15" hidden="1" customHeight="1" x14ac:dyDescent="0.3">
      <c r="A1297" s="8">
        <v>51</v>
      </c>
      <c r="B1297" s="20" t="s">
        <v>35</v>
      </c>
      <c r="C1297" s="20" t="s">
        <v>36</v>
      </c>
      <c r="D1297" s="20" t="s">
        <v>510</v>
      </c>
      <c r="E1297" s="20" t="s">
        <v>232</v>
      </c>
      <c r="F1297" s="20" t="s">
        <v>232</v>
      </c>
      <c r="G1297" s="20" t="s">
        <v>234</v>
      </c>
      <c r="H1297" s="23">
        <v>9750.65</v>
      </c>
      <c r="I1297" s="23">
        <v>-217.6</v>
      </c>
      <c r="J1297" s="23">
        <v>0</v>
      </c>
      <c r="K1297" s="23">
        <v>0</v>
      </c>
      <c r="L1297" s="23">
        <v>-5629.84</v>
      </c>
      <c r="M1297" s="23">
        <v>-67</v>
      </c>
      <c r="N1297" s="23">
        <v>0</v>
      </c>
      <c r="O1297" s="23">
        <f t="shared" si="140"/>
        <v>3836.2099999999991</v>
      </c>
      <c r="P1297" s="23">
        <v>-2500</v>
      </c>
      <c r="Q1297" s="23">
        <v>31</v>
      </c>
      <c r="R1297" s="23">
        <v>0</v>
      </c>
      <c r="S1297" s="23">
        <v>0</v>
      </c>
      <c r="T1297" s="23">
        <v>-500</v>
      </c>
      <c r="U1297" s="23">
        <v>0</v>
      </c>
      <c r="V1297" s="23">
        <v>0</v>
      </c>
      <c r="W1297" s="23">
        <f t="shared" si="141"/>
        <v>867.20999999999913</v>
      </c>
      <c r="X1297" s="47">
        <f t="shared" si="142"/>
        <v>867.20999999999913</v>
      </c>
      <c r="Y1297" s="23">
        <f t="shared" si="143"/>
        <v>0</v>
      </c>
      <c r="Z1297" s="23">
        <v>0</v>
      </c>
      <c r="AA1297" s="23">
        <f t="shared" si="144"/>
        <v>0</v>
      </c>
      <c r="AB1297" s="23">
        <f t="shared" si="145"/>
        <v>2969</v>
      </c>
      <c r="AC1297" s="46" t="s">
        <v>564</v>
      </c>
      <c r="AD1297" s="20" t="str">
        <f>VLOOKUP($C1297,'[1]CTRL AUTOS'!$E:$AH,2,0)</f>
        <v>MLC126A</v>
      </c>
      <c r="AE1297" s="11" t="str">
        <f t="shared" si="146"/>
        <v>MLC126A51</v>
      </c>
    </row>
    <row r="1298" spans="1:31" ht="15" hidden="1" customHeight="1" x14ac:dyDescent="0.3">
      <c r="A1298" s="8">
        <v>51</v>
      </c>
      <c r="B1298" s="20" t="s">
        <v>13</v>
      </c>
      <c r="C1298" s="20" t="s">
        <v>14</v>
      </c>
      <c r="D1298" s="20" t="s">
        <v>505</v>
      </c>
      <c r="E1298" s="20" t="s">
        <v>232</v>
      </c>
      <c r="F1298" s="20" t="s">
        <v>232</v>
      </c>
      <c r="G1298" s="20" t="s">
        <v>234</v>
      </c>
      <c r="H1298" s="23">
        <v>6451.76</v>
      </c>
      <c r="I1298" s="23">
        <v>0</v>
      </c>
      <c r="J1298" s="23">
        <v>9.7899999999999991</v>
      </c>
      <c r="K1298" s="23">
        <v>0</v>
      </c>
      <c r="L1298" s="23">
        <v>0</v>
      </c>
      <c r="M1298" s="23">
        <v>-15</v>
      </c>
      <c r="N1298" s="23">
        <v>-61.6</v>
      </c>
      <c r="O1298" s="23">
        <f t="shared" si="140"/>
        <v>6384.95</v>
      </c>
      <c r="P1298" s="23">
        <v>-2700</v>
      </c>
      <c r="Q1298" s="23">
        <v>0</v>
      </c>
      <c r="R1298" s="23">
        <v>0</v>
      </c>
      <c r="S1298" s="23">
        <v>0</v>
      </c>
      <c r="T1298" s="23">
        <v>0</v>
      </c>
      <c r="U1298" s="23">
        <v>0</v>
      </c>
      <c r="V1298" s="23">
        <v>0</v>
      </c>
      <c r="W1298" s="23">
        <f t="shared" si="141"/>
        <v>3684.95</v>
      </c>
      <c r="X1298" s="47">
        <f t="shared" si="142"/>
        <v>3684.95</v>
      </c>
      <c r="Y1298" s="23">
        <f t="shared" si="143"/>
        <v>0</v>
      </c>
      <c r="Z1298" s="23">
        <v>0</v>
      </c>
      <c r="AA1298" s="23">
        <f t="shared" si="144"/>
        <v>0</v>
      </c>
      <c r="AB1298" s="23">
        <f t="shared" si="145"/>
        <v>2700</v>
      </c>
      <c r="AC1298" s="46" t="s">
        <v>482</v>
      </c>
      <c r="AD1298" s="20" t="str">
        <f>VLOOKUP($C1298,'[1]CTRL AUTOS'!$E:$AH,2,0)</f>
        <v>MXM503C</v>
      </c>
      <c r="AE1298" s="11" t="str">
        <f t="shared" si="146"/>
        <v>MXM503C51</v>
      </c>
    </row>
    <row r="1299" spans="1:31" ht="15" hidden="1" customHeight="1" x14ac:dyDescent="0.3">
      <c r="A1299" s="8">
        <v>51</v>
      </c>
      <c r="B1299" s="20" t="s">
        <v>11</v>
      </c>
      <c r="C1299" s="20" t="s">
        <v>12</v>
      </c>
      <c r="D1299" s="20" t="s">
        <v>509</v>
      </c>
      <c r="E1299" s="20" t="s">
        <v>232</v>
      </c>
      <c r="F1299" s="20" t="s">
        <v>232</v>
      </c>
      <c r="G1299" s="20" t="s">
        <v>234</v>
      </c>
      <c r="H1299" s="23">
        <v>9821.16</v>
      </c>
      <c r="I1299" s="23">
        <v>-74.59</v>
      </c>
      <c r="J1299" s="23">
        <v>9.7899999999999991</v>
      </c>
      <c r="K1299" s="23">
        <v>0</v>
      </c>
      <c r="L1299" s="23">
        <v>-4130.1400000000003</v>
      </c>
      <c r="M1299" s="23">
        <v>-67</v>
      </c>
      <c r="N1299" s="23">
        <v>0</v>
      </c>
      <c r="O1299" s="23">
        <f t="shared" si="140"/>
        <v>5559.22</v>
      </c>
      <c r="P1299" s="23">
        <v>-2700</v>
      </c>
      <c r="Q1299" s="23">
        <v>0</v>
      </c>
      <c r="R1299" s="23">
        <v>0</v>
      </c>
      <c r="S1299" s="23">
        <v>0</v>
      </c>
      <c r="T1299" s="23">
        <v>0</v>
      </c>
      <c r="U1299" s="23">
        <v>0</v>
      </c>
      <c r="V1299" s="23">
        <v>0</v>
      </c>
      <c r="W1299" s="23">
        <f t="shared" si="141"/>
        <v>2859.2200000000003</v>
      </c>
      <c r="X1299" s="47">
        <f t="shared" si="142"/>
        <v>2859.2200000000003</v>
      </c>
      <c r="Y1299" s="23">
        <f t="shared" si="143"/>
        <v>0</v>
      </c>
      <c r="Z1299" s="23">
        <v>0</v>
      </c>
      <c r="AA1299" s="23">
        <f t="shared" si="144"/>
        <v>0</v>
      </c>
      <c r="AB1299" s="23">
        <f t="shared" si="145"/>
        <v>2700</v>
      </c>
      <c r="AC1299" s="46" t="s">
        <v>482</v>
      </c>
      <c r="AD1299" s="20" t="str">
        <f>VLOOKUP($C1299,'[1]CTRL AUTOS'!$E:$AH,2,0)</f>
        <v>MXM510C</v>
      </c>
      <c r="AE1299" s="11" t="str">
        <f t="shared" si="146"/>
        <v>MXM510C51</v>
      </c>
    </row>
    <row r="1300" spans="1:31" ht="15" hidden="1" customHeight="1" x14ac:dyDescent="0.3">
      <c r="A1300" s="8">
        <v>51</v>
      </c>
      <c r="B1300" s="20" t="s">
        <v>23</v>
      </c>
      <c r="C1300" s="20" t="s">
        <v>24</v>
      </c>
      <c r="D1300" s="20" t="s">
        <v>515</v>
      </c>
      <c r="E1300" s="20" t="s">
        <v>232</v>
      </c>
      <c r="F1300" s="20" t="s">
        <v>232</v>
      </c>
      <c r="G1300" s="20" t="s">
        <v>234</v>
      </c>
      <c r="H1300" s="23">
        <v>5697.55</v>
      </c>
      <c r="I1300" s="23">
        <v>0</v>
      </c>
      <c r="J1300" s="23">
        <v>-15.42</v>
      </c>
      <c r="K1300" s="23">
        <v>0</v>
      </c>
      <c r="L1300" s="23">
        <v>-4868.0600000000004</v>
      </c>
      <c r="M1300" s="23">
        <v>-67</v>
      </c>
      <c r="N1300" s="23">
        <v>-342.79</v>
      </c>
      <c r="O1300" s="23">
        <f t="shared" si="140"/>
        <v>404.27999999999969</v>
      </c>
      <c r="P1300" s="23">
        <v>-2700</v>
      </c>
      <c r="Q1300" s="23">
        <v>-218.4</v>
      </c>
      <c r="R1300" s="23">
        <v>0</v>
      </c>
      <c r="S1300" s="23">
        <v>0</v>
      </c>
      <c r="T1300" s="23">
        <v>-700</v>
      </c>
      <c r="U1300" s="23">
        <v>0</v>
      </c>
      <c r="V1300" s="23">
        <v>0</v>
      </c>
      <c r="W1300" s="23">
        <f t="shared" si="141"/>
        <v>-3214.1200000000003</v>
      </c>
      <c r="X1300" s="23">
        <f t="shared" si="142"/>
        <v>0</v>
      </c>
      <c r="Y1300" s="23">
        <f t="shared" si="143"/>
        <v>-3214.1200000000003</v>
      </c>
      <c r="Z1300" s="23">
        <f>2500+600</f>
        <v>3100</v>
      </c>
      <c r="AA1300" s="23">
        <f t="shared" si="144"/>
        <v>-114.12000000000035</v>
      </c>
      <c r="AB1300" s="23">
        <f t="shared" si="145"/>
        <v>3390.1599999999994</v>
      </c>
      <c r="AC1300" s="23" t="s">
        <v>565</v>
      </c>
      <c r="AD1300" s="20" t="str">
        <f>VLOOKUP($C1300,'[1]CTRL AUTOS'!$E:$AH,2,0)</f>
        <v>MXM502C</v>
      </c>
      <c r="AE1300" s="11" t="str">
        <f t="shared" si="146"/>
        <v>MXM502C51</v>
      </c>
    </row>
    <row r="1301" spans="1:31" ht="15" hidden="1" customHeight="1" x14ac:dyDescent="0.3">
      <c r="A1301" s="8">
        <v>51</v>
      </c>
      <c r="B1301" s="20" t="s">
        <v>17</v>
      </c>
      <c r="C1301" s="20" t="s">
        <v>18</v>
      </c>
      <c r="D1301" s="48" t="s">
        <v>283</v>
      </c>
      <c r="E1301" s="20" t="s">
        <v>232</v>
      </c>
      <c r="F1301" s="20" t="s">
        <v>232</v>
      </c>
      <c r="G1301" s="20" t="s">
        <v>234</v>
      </c>
      <c r="H1301" s="23">
        <v>3933.76</v>
      </c>
      <c r="I1301" s="23">
        <v>0</v>
      </c>
      <c r="J1301" s="23">
        <v>0</v>
      </c>
      <c r="K1301" s="23">
        <v>0</v>
      </c>
      <c r="L1301" s="23">
        <v>-1352.69</v>
      </c>
      <c r="M1301" s="23">
        <v>-30</v>
      </c>
      <c r="N1301" s="23">
        <v>0</v>
      </c>
      <c r="O1301" s="23">
        <f t="shared" si="140"/>
        <v>2551.0700000000002</v>
      </c>
      <c r="P1301" s="23">
        <v>-2700</v>
      </c>
      <c r="Q1301" s="23">
        <v>0</v>
      </c>
      <c r="R1301" s="23">
        <v>0</v>
      </c>
      <c r="S1301" s="23">
        <v>0</v>
      </c>
      <c r="T1301" s="23">
        <v>0</v>
      </c>
      <c r="U1301" s="23">
        <v>0</v>
      </c>
      <c r="V1301" s="23">
        <v>0</v>
      </c>
      <c r="W1301" s="23">
        <f t="shared" si="141"/>
        <v>-148.92999999999984</v>
      </c>
      <c r="X1301" s="23">
        <f t="shared" si="142"/>
        <v>0</v>
      </c>
      <c r="Y1301" s="23">
        <f t="shared" si="143"/>
        <v>-148.92999999999984</v>
      </c>
      <c r="Z1301" s="23">
        <v>149</v>
      </c>
      <c r="AA1301" s="23">
        <f t="shared" si="144"/>
        <v>7.0000000000163709E-2</v>
      </c>
      <c r="AB1301" s="23">
        <f t="shared" si="145"/>
        <v>2700.1400000000003</v>
      </c>
      <c r="AC1301" s="23" t="s">
        <v>566</v>
      </c>
      <c r="AD1301" s="20" t="str">
        <f>VLOOKUP($C1301,'[1]CTRL AUTOS'!$E:$AH,2,0)</f>
        <v>MZN091C</v>
      </c>
      <c r="AE1301" s="11" t="str">
        <f t="shared" si="146"/>
        <v>MZN091C51</v>
      </c>
    </row>
    <row r="1302" spans="1:31" ht="15" hidden="1" customHeight="1" x14ac:dyDescent="0.3">
      <c r="A1302" s="8">
        <v>51</v>
      </c>
      <c r="B1302" s="20" t="s">
        <v>82</v>
      </c>
      <c r="C1302" s="20" t="s">
        <v>83</v>
      </c>
      <c r="D1302" s="48" t="s">
        <v>283</v>
      </c>
      <c r="E1302" s="20" t="s">
        <v>232</v>
      </c>
      <c r="F1302" s="20" t="s">
        <v>232</v>
      </c>
      <c r="G1302" s="20" t="s">
        <v>234</v>
      </c>
      <c r="H1302" s="23">
        <v>0</v>
      </c>
      <c r="I1302" s="23">
        <v>0</v>
      </c>
      <c r="J1302" s="23">
        <v>0</v>
      </c>
      <c r="K1302" s="23">
        <v>0</v>
      </c>
      <c r="L1302" s="23">
        <v>0</v>
      </c>
      <c r="M1302" s="23">
        <v>0</v>
      </c>
      <c r="N1302" s="23">
        <v>0</v>
      </c>
      <c r="O1302" s="23">
        <f t="shared" si="140"/>
        <v>0</v>
      </c>
      <c r="P1302" s="23">
        <v>-2000</v>
      </c>
      <c r="Q1302" s="23">
        <v>0</v>
      </c>
      <c r="R1302" s="23">
        <v>0</v>
      </c>
      <c r="S1302" s="23">
        <v>0</v>
      </c>
      <c r="T1302" s="23">
        <v>0</v>
      </c>
      <c r="U1302" s="23">
        <v>0</v>
      </c>
      <c r="V1302" s="23">
        <v>0</v>
      </c>
      <c r="W1302" s="23">
        <f t="shared" si="141"/>
        <v>-2000</v>
      </c>
      <c r="X1302" s="23">
        <f t="shared" si="142"/>
        <v>0</v>
      </c>
      <c r="Y1302" s="23">
        <f t="shared" si="143"/>
        <v>-2000</v>
      </c>
      <c r="Z1302" s="23">
        <v>2000</v>
      </c>
      <c r="AA1302" s="23">
        <f t="shared" si="144"/>
        <v>0</v>
      </c>
      <c r="AB1302" s="23">
        <f t="shared" si="145"/>
        <v>2000</v>
      </c>
      <c r="AC1302" s="23" t="s">
        <v>567</v>
      </c>
      <c r="AD1302" s="20" t="str">
        <f>VLOOKUP($C1302,'[1]CTRL AUTOS'!$E:$AH,2,0)</f>
        <v>MZN057C</v>
      </c>
      <c r="AE1302" s="11" t="str">
        <f t="shared" si="146"/>
        <v>MZN057C51</v>
      </c>
    </row>
    <row r="1303" spans="1:31" ht="15" hidden="1" customHeight="1" x14ac:dyDescent="0.3">
      <c r="A1303" s="8">
        <v>51</v>
      </c>
      <c r="B1303" s="20" t="s">
        <v>25</v>
      </c>
      <c r="C1303" s="20" t="s">
        <v>26</v>
      </c>
      <c r="D1303" s="48" t="s">
        <v>283</v>
      </c>
      <c r="E1303" s="20" t="s">
        <v>232</v>
      </c>
      <c r="F1303" s="20" t="s">
        <v>291</v>
      </c>
      <c r="G1303" s="20" t="s">
        <v>234</v>
      </c>
      <c r="H1303" s="23">
        <v>971.64</v>
      </c>
      <c r="I1303" s="23">
        <v>0</v>
      </c>
      <c r="J1303" s="23">
        <v>0</v>
      </c>
      <c r="K1303" s="23">
        <v>0</v>
      </c>
      <c r="L1303" s="23">
        <v>-490.86</v>
      </c>
      <c r="M1303" s="23">
        <v>0</v>
      </c>
      <c r="N1303" s="23">
        <v>0</v>
      </c>
      <c r="O1303" s="23">
        <f t="shared" ref="O1303:O1355" si="147">SUM(H1303:N1303)</f>
        <v>480.78</v>
      </c>
      <c r="P1303" s="23">
        <v>-481</v>
      </c>
      <c r="Q1303" s="23">
        <v>0</v>
      </c>
      <c r="R1303" s="23">
        <v>0</v>
      </c>
      <c r="S1303" s="23">
        <v>0</v>
      </c>
      <c r="T1303" s="23">
        <v>0</v>
      </c>
      <c r="U1303" s="23">
        <v>0</v>
      </c>
      <c r="V1303" s="23">
        <v>0</v>
      </c>
      <c r="W1303" s="23">
        <f t="shared" ref="W1303:W1355" si="148">+O1303+SUM(P1303:V1303)</f>
        <v>-0.22000000000002728</v>
      </c>
      <c r="X1303" s="23">
        <f t="shared" ref="X1303:X1355" si="149">IF(W1303&gt;=0,W1303,0)</f>
        <v>0</v>
      </c>
      <c r="Y1303" s="23">
        <f t="shared" ref="Y1303:Y1355" si="150">IF(W1303&lt;=0,W1303,0)</f>
        <v>-0.22000000000002728</v>
      </c>
      <c r="Z1303" s="23">
        <v>0</v>
      </c>
      <c r="AA1303" s="23">
        <f t="shared" si="144"/>
        <v>-0.22000000000002728</v>
      </c>
      <c r="AB1303" s="23">
        <f t="shared" si="145"/>
        <v>480.55999999999995</v>
      </c>
      <c r="AD1303" s="20" t="str">
        <f>VLOOKUP($C1303,'[1]CTRL AUTOS'!$E:$AH,2,0)</f>
        <v>MWV156C</v>
      </c>
      <c r="AE1303" s="11" t="str">
        <f t="shared" si="146"/>
        <v>MWV156C51</v>
      </c>
    </row>
    <row r="1304" spans="1:31" ht="15" hidden="1" customHeight="1" x14ac:dyDescent="0.3">
      <c r="A1304" s="8">
        <v>51</v>
      </c>
      <c r="B1304" s="20" t="s">
        <v>25</v>
      </c>
      <c r="C1304" s="20" t="s">
        <v>26</v>
      </c>
      <c r="D1304" s="48" t="s">
        <v>283</v>
      </c>
      <c r="E1304" s="20" t="s">
        <v>232</v>
      </c>
      <c r="F1304" s="20" t="s">
        <v>232</v>
      </c>
      <c r="G1304" s="20" t="s">
        <v>234</v>
      </c>
      <c r="H1304" s="23">
        <v>3321.61</v>
      </c>
      <c r="I1304" s="23">
        <v>0</v>
      </c>
      <c r="J1304" s="23">
        <v>0</v>
      </c>
      <c r="K1304" s="23">
        <v>0</v>
      </c>
      <c r="L1304" s="23">
        <v>-1344.99</v>
      </c>
      <c r="M1304" s="23">
        <v>-35</v>
      </c>
      <c r="N1304" s="23">
        <v>0</v>
      </c>
      <c r="O1304" s="23">
        <f t="shared" si="147"/>
        <v>1941.6200000000001</v>
      </c>
      <c r="P1304" s="23">
        <v>-2119</v>
      </c>
      <c r="Q1304" s="23">
        <v>700</v>
      </c>
      <c r="R1304" s="23">
        <v>0</v>
      </c>
      <c r="S1304" s="23">
        <v>0</v>
      </c>
      <c r="T1304" s="23">
        <v>0</v>
      </c>
      <c r="U1304" s="23">
        <v>0</v>
      </c>
      <c r="V1304" s="23">
        <v>0</v>
      </c>
      <c r="W1304" s="23">
        <f t="shared" si="148"/>
        <v>522.62000000000012</v>
      </c>
      <c r="X1304" s="47">
        <f t="shared" si="149"/>
        <v>522.62000000000012</v>
      </c>
      <c r="Y1304" s="23">
        <f t="shared" si="150"/>
        <v>0</v>
      </c>
      <c r="Z1304" s="23">
        <v>0</v>
      </c>
      <c r="AA1304" s="23">
        <f t="shared" si="144"/>
        <v>0</v>
      </c>
      <c r="AB1304" s="23">
        <f t="shared" si="145"/>
        <v>1419</v>
      </c>
      <c r="AC1304" s="46" t="s">
        <v>482</v>
      </c>
      <c r="AD1304" s="20" t="str">
        <f>VLOOKUP($C1304,'[1]CTRL AUTOS'!$E:$AH,2,0)</f>
        <v>MWV156C</v>
      </c>
      <c r="AE1304" s="11" t="str">
        <f t="shared" si="146"/>
        <v>MWV156C51</v>
      </c>
    </row>
    <row r="1305" spans="1:31" ht="15" hidden="1" customHeight="1" x14ac:dyDescent="0.3">
      <c r="A1305" s="8">
        <v>51</v>
      </c>
      <c r="B1305" s="20" t="s">
        <v>37</v>
      </c>
      <c r="C1305" s="20" t="s">
        <v>38</v>
      </c>
      <c r="D1305" s="48" t="s">
        <v>283</v>
      </c>
      <c r="E1305" s="20" t="s">
        <v>232</v>
      </c>
      <c r="F1305" s="20" t="s">
        <v>232</v>
      </c>
      <c r="G1305" s="20" t="s">
        <v>234</v>
      </c>
      <c r="H1305" s="23">
        <v>6080.81</v>
      </c>
      <c r="I1305" s="23">
        <v>-16</v>
      </c>
      <c r="J1305" s="23">
        <v>0</v>
      </c>
      <c r="K1305" s="23">
        <v>0</v>
      </c>
      <c r="L1305" s="23">
        <v>-1967.97</v>
      </c>
      <c r="M1305" s="23">
        <v>-30</v>
      </c>
      <c r="N1305" s="23">
        <v>0</v>
      </c>
      <c r="O1305" s="23">
        <f t="shared" si="147"/>
        <v>4066.84</v>
      </c>
      <c r="P1305" s="23">
        <v>-2500</v>
      </c>
      <c r="Q1305" s="23">
        <v>0</v>
      </c>
      <c r="R1305" s="23">
        <v>0</v>
      </c>
      <c r="S1305" s="23">
        <v>0</v>
      </c>
      <c r="T1305" s="23">
        <v>0</v>
      </c>
      <c r="U1305" s="23">
        <v>0</v>
      </c>
      <c r="V1305" s="23">
        <v>0</v>
      </c>
      <c r="W1305" s="23">
        <f t="shared" si="148"/>
        <v>1566.8400000000001</v>
      </c>
      <c r="X1305" s="47">
        <f t="shared" si="149"/>
        <v>1566.8400000000001</v>
      </c>
      <c r="Y1305" s="23">
        <f t="shared" si="150"/>
        <v>0</v>
      </c>
      <c r="Z1305" s="23">
        <v>0</v>
      </c>
      <c r="AA1305" s="23">
        <f t="shared" si="144"/>
        <v>0</v>
      </c>
      <c r="AB1305" s="23">
        <f t="shared" si="145"/>
        <v>2500</v>
      </c>
      <c r="AC1305" s="46" t="s">
        <v>482</v>
      </c>
      <c r="AD1305" s="20" t="str">
        <f>VLOOKUP($C1305,'[1]CTRL AUTOS'!$E:$AH,2,0)</f>
        <v>A19BDY</v>
      </c>
      <c r="AE1305" s="11" t="str">
        <f t="shared" si="146"/>
        <v>A19BDY51</v>
      </c>
    </row>
    <row r="1306" spans="1:31" ht="15" hidden="1" customHeight="1" x14ac:dyDescent="0.3">
      <c r="A1306" s="8">
        <v>51</v>
      </c>
      <c r="B1306" s="20" t="s">
        <v>5</v>
      </c>
      <c r="C1306" s="20" t="s">
        <v>6</v>
      </c>
      <c r="D1306" s="48" t="s">
        <v>283</v>
      </c>
      <c r="E1306" s="20" t="s">
        <v>547</v>
      </c>
      <c r="F1306" s="20" t="s">
        <v>232</v>
      </c>
      <c r="G1306" s="20" t="s">
        <v>425</v>
      </c>
      <c r="H1306" s="23">
        <v>4705.84</v>
      </c>
      <c r="I1306" s="23">
        <v>-261.2</v>
      </c>
      <c r="J1306" s="23">
        <v>0</v>
      </c>
      <c r="K1306" s="23">
        <v>0</v>
      </c>
      <c r="L1306" s="23">
        <v>-2611.85</v>
      </c>
      <c r="M1306" s="23">
        <v>-30</v>
      </c>
      <c r="N1306" s="23">
        <v>0</v>
      </c>
      <c r="O1306" s="23">
        <f t="shared" si="147"/>
        <v>1802.7900000000004</v>
      </c>
      <c r="P1306" s="23">
        <v>-2500</v>
      </c>
      <c r="Q1306" s="23">
        <v>-929</v>
      </c>
      <c r="R1306" s="23">
        <v>0</v>
      </c>
      <c r="S1306" s="23">
        <v>0</v>
      </c>
      <c r="T1306" s="23">
        <v>-500</v>
      </c>
      <c r="U1306" s="23">
        <v>0</v>
      </c>
      <c r="V1306" s="23">
        <v>0</v>
      </c>
      <c r="W1306" s="23">
        <f t="shared" si="148"/>
        <v>-2126.2099999999996</v>
      </c>
      <c r="X1306" s="23">
        <f t="shared" si="149"/>
        <v>0</v>
      </c>
      <c r="Y1306" s="23">
        <f t="shared" si="150"/>
        <v>-2126.2099999999996</v>
      </c>
      <c r="Z1306" s="23">
        <v>0</v>
      </c>
      <c r="AA1306" s="23">
        <f t="shared" si="144"/>
        <v>-2126.2099999999996</v>
      </c>
      <c r="AB1306" s="23">
        <f t="shared" si="145"/>
        <v>-323.41999999999916</v>
      </c>
      <c r="AC1306" s="23" t="s">
        <v>568</v>
      </c>
      <c r="AD1306" s="20" t="str">
        <f>VLOOKUP($C1306,'[1]CTRL AUTOS'!$E:$AH,2,0)</f>
        <v>MXW453C</v>
      </c>
      <c r="AE1306" s="11" t="str">
        <f t="shared" si="146"/>
        <v>MXW453C51</v>
      </c>
    </row>
    <row r="1307" spans="1:31" ht="15" hidden="1" customHeight="1" x14ac:dyDescent="0.3">
      <c r="A1307" s="8">
        <v>51</v>
      </c>
      <c r="B1307" s="20" t="s">
        <v>543</v>
      </c>
      <c r="C1307" s="20" t="s">
        <v>6</v>
      </c>
      <c r="D1307" s="48" t="s">
        <v>283</v>
      </c>
      <c r="E1307" s="20" t="s">
        <v>547</v>
      </c>
      <c r="F1307" s="20" t="s">
        <v>232</v>
      </c>
      <c r="G1307" s="20" t="s">
        <v>425</v>
      </c>
      <c r="H1307" s="23">
        <v>793.74</v>
      </c>
      <c r="I1307" s="23">
        <v>0</v>
      </c>
      <c r="J1307" s="23">
        <v>0</v>
      </c>
      <c r="K1307" s="23">
        <v>0</v>
      </c>
      <c r="L1307" s="23">
        <v>0</v>
      </c>
      <c r="M1307" s="23">
        <v>0</v>
      </c>
      <c r="N1307" s="23">
        <v>0</v>
      </c>
      <c r="O1307" s="23">
        <f t="shared" si="147"/>
        <v>793.74</v>
      </c>
      <c r="P1307" s="23">
        <v>-794</v>
      </c>
      <c r="Q1307" s="23">
        <v>0</v>
      </c>
      <c r="R1307" s="23">
        <v>0</v>
      </c>
      <c r="S1307" s="23">
        <v>0</v>
      </c>
      <c r="T1307" s="23">
        <v>0</v>
      </c>
      <c r="U1307" s="23">
        <v>0</v>
      </c>
      <c r="V1307" s="23">
        <v>0</v>
      </c>
      <c r="W1307" s="23">
        <f t="shared" si="148"/>
        <v>-0.25999999999999091</v>
      </c>
      <c r="X1307" s="23">
        <f t="shared" si="149"/>
        <v>0</v>
      </c>
      <c r="Y1307" s="23">
        <f t="shared" si="150"/>
        <v>-0.25999999999999091</v>
      </c>
      <c r="Z1307" s="23">
        <v>0</v>
      </c>
      <c r="AA1307" s="23">
        <f t="shared" si="144"/>
        <v>-0.25999999999999091</v>
      </c>
      <c r="AB1307" s="23">
        <f t="shared" si="145"/>
        <v>793.48</v>
      </c>
      <c r="AC1307" s="46"/>
      <c r="AD1307" s="20" t="str">
        <f>VLOOKUP($C1307,'[1]CTRL AUTOS'!$E:$AH,2,0)</f>
        <v>MXW453C</v>
      </c>
      <c r="AE1307" s="11" t="str">
        <f t="shared" si="146"/>
        <v>MXW453C51</v>
      </c>
    </row>
    <row r="1308" spans="1:31" ht="15" hidden="1" customHeight="1" x14ac:dyDescent="0.3">
      <c r="A1308" s="8">
        <v>51</v>
      </c>
      <c r="B1308" s="20" t="s">
        <v>57</v>
      </c>
      <c r="C1308" s="20" t="s">
        <v>16</v>
      </c>
      <c r="D1308" s="20" t="s">
        <v>314</v>
      </c>
      <c r="E1308" s="20" t="s">
        <v>232</v>
      </c>
      <c r="F1308" s="20" t="s">
        <v>232</v>
      </c>
      <c r="G1308" s="20" t="s">
        <v>234</v>
      </c>
      <c r="H1308" s="23">
        <v>0</v>
      </c>
      <c r="I1308" s="23">
        <v>0</v>
      </c>
      <c r="J1308" s="23">
        <v>0</v>
      </c>
      <c r="K1308" s="23">
        <v>0</v>
      </c>
      <c r="L1308" s="23">
        <v>0</v>
      </c>
      <c r="M1308" s="23">
        <v>0</v>
      </c>
      <c r="N1308" s="23">
        <v>0</v>
      </c>
      <c r="O1308" s="23">
        <f t="shared" si="147"/>
        <v>0</v>
      </c>
      <c r="P1308" s="23">
        <v>0</v>
      </c>
      <c r="Q1308" s="23">
        <v>0</v>
      </c>
      <c r="R1308" s="23">
        <v>500</v>
      </c>
      <c r="S1308" s="23">
        <v>0</v>
      </c>
      <c r="T1308" s="23">
        <v>0</v>
      </c>
      <c r="U1308" s="23">
        <v>0</v>
      </c>
      <c r="V1308" s="23">
        <v>0</v>
      </c>
      <c r="W1308" s="23">
        <f t="shared" si="148"/>
        <v>500</v>
      </c>
      <c r="X1308" s="47">
        <f t="shared" si="149"/>
        <v>500</v>
      </c>
      <c r="Y1308" s="23">
        <f t="shared" si="150"/>
        <v>0</v>
      </c>
      <c r="Z1308" s="23">
        <v>0</v>
      </c>
      <c r="AA1308" s="23">
        <f t="shared" si="144"/>
        <v>0</v>
      </c>
      <c r="AB1308" s="23">
        <f t="shared" si="145"/>
        <v>-500</v>
      </c>
      <c r="AC1308" s="46" t="s">
        <v>482</v>
      </c>
      <c r="AD1308" s="20" t="str">
        <f>VLOOKUP($C1308,'[1]CTRL AUTOS'!$E:$AH,2,0)</f>
        <v>D28BET</v>
      </c>
      <c r="AE1308" s="11" t="str">
        <f t="shared" si="146"/>
        <v>D28BET51</v>
      </c>
    </row>
    <row r="1309" spans="1:31" ht="15" hidden="1" customHeight="1" x14ac:dyDescent="0.3">
      <c r="A1309" s="8">
        <v>51</v>
      </c>
      <c r="B1309" s="20" t="s">
        <v>414</v>
      </c>
      <c r="C1309" s="20" t="s">
        <v>59</v>
      </c>
      <c r="D1309" s="20" t="s">
        <v>520</v>
      </c>
      <c r="E1309" s="20" t="s">
        <v>232</v>
      </c>
      <c r="F1309" s="20" t="s">
        <v>232</v>
      </c>
      <c r="G1309" s="20" t="s">
        <v>234</v>
      </c>
      <c r="H1309" s="23">
        <v>0</v>
      </c>
      <c r="I1309" s="23">
        <v>0</v>
      </c>
      <c r="J1309" s="23">
        <v>0</v>
      </c>
      <c r="K1309" s="23">
        <v>0</v>
      </c>
      <c r="L1309" s="23">
        <v>0</v>
      </c>
      <c r="M1309" s="23">
        <v>0</v>
      </c>
      <c r="N1309" s="23">
        <v>0</v>
      </c>
      <c r="O1309" s="23">
        <f t="shared" si="147"/>
        <v>0</v>
      </c>
      <c r="P1309" s="23">
        <v>0</v>
      </c>
      <c r="Q1309" s="23">
        <v>0</v>
      </c>
      <c r="R1309" s="23">
        <v>500</v>
      </c>
      <c r="S1309" s="23">
        <v>0</v>
      </c>
      <c r="T1309" s="23">
        <v>0</v>
      </c>
      <c r="U1309" s="23">
        <v>0</v>
      </c>
      <c r="V1309" s="23">
        <v>0</v>
      </c>
      <c r="W1309" s="23">
        <f t="shared" si="148"/>
        <v>500</v>
      </c>
      <c r="X1309" s="47">
        <f t="shared" si="149"/>
        <v>500</v>
      </c>
      <c r="Y1309" s="23">
        <f t="shared" si="150"/>
        <v>0</v>
      </c>
      <c r="Z1309" s="23">
        <v>0</v>
      </c>
      <c r="AA1309" s="23">
        <f t="shared" si="144"/>
        <v>0</v>
      </c>
      <c r="AB1309" s="23">
        <f t="shared" si="145"/>
        <v>-500</v>
      </c>
      <c r="AC1309" s="46" t="s">
        <v>482</v>
      </c>
      <c r="AD1309" s="20" t="str">
        <f>VLOOKUP($C1309,'[1]CTRL AUTOS'!$E:$AH,2,0)</f>
        <v>P62BHW</v>
      </c>
      <c r="AE1309" s="11" t="str">
        <f t="shared" si="146"/>
        <v>P62BHW51</v>
      </c>
    </row>
    <row r="1310" spans="1:31" ht="15" hidden="1" customHeight="1" x14ac:dyDescent="0.3">
      <c r="A1310" s="8">
        <v>51</v>
      </c>
      <c r="B1310" s="20" t="s">
        <v>444</v>
      </c>
      <c r="C1310" s="20" t="s">
        <v>44</v>
      </c>
      <c r="D1310" s="20" t="s">
        <v>467</v>
      </c>
      <c r="E1310" s="22" t="s">
        <v>232</v>
      </c>
      <c r="F1310" s="20" t="s">
        <v>232</v>
      </c>
      <c r="G1310" s="20" t="s">
        <v>234</v>
      </c>
      <c r="H1310" s="23">
        <v>0</v>
      </c>
      <c r="I1310" s="23">
        <v>0</v>
      </c>
      <c r="J1310" s="23">
        <v>0</v>
      </c>
      <c r="K1310" s="23">
        <v>0</v>
      </c>
      <c r="L1310" s="23">
        <v>0</v>
      </c>
      <c r="M1310" s="23">
        <v>0</v>
      </c>
      <c r="N1310" s="23">
        <v>0</v>
      </c>
      <c r="O1310" s="23">
        <f t="shared" si="147"/>
        <v>0</v>
      </c>
      <c r="P1310" s="23">
        <v>0</v>
      </c>
      <c r="Q1310" s="23">
        <v>0</v>
      </c>
      <c r="R1310" s="23">
        <v>500</v>
      </c>
      <c r="S1310" s="23">
        <v>0</v>
      </c>
      <c r="T1310" s="23">
        <v>0</v>
      </c>
      <c r="U1310" s="23">
        <v>0</v>
      </c>
      <c r="V1310" s="23">
        <v>0</v>
      </c>
      <c r="W1310" s="23">
        <f t="shared" si="148"/>
        <v>500</v>
      </c>
      <c r="X1310" s="47">
        <f t="shared" si="149"/>
        <v>500</v>
      </c>
      <c r="Y1310" s="23">
        <f t="shared" si="150"/>
        <v>0</v>
      </c>
      <c r="Z1310" s="23">
        <v>0</v>
      </c>
      <c r="AA1310" s="23">
        <f t="shared" si="144"/>
        <v>0</v>
      </c>
      <c r="AB1310" s="23">
        <f t="shared" si="145"/>
        <v>-500</v>
      </c>
      <c r="AC1310" s="46" t="s">
        <v>482</v>
      </c>
      <c r="AD1310" s="20" t="str">
        <f>VLOOKUP($C1310,'[1]CTRL AUTOS'!$E:$AH,2,0)</f>
        <v>MAY730C</v>
      </c>
      <c r="AE1310" s="11" t="str">
        <f t="shared" si="146"/>
        <v>MAY730C51</v>
      </c>
    </row>
    <row r="1311" spans="1:31" ht="15" hidden="1" customHeight="1" x14ac:dyDescent="0.3">
      <c r="A1311" s="8">
        <v>51</v>
      </c>
      <c r="B1311" s="20" t="s">
        <v>60</v>
      </c>
      <c r="C1311" s="41" t="s">
        <v>42</v>
      </c>
      <c r="D1311" s="20" t="s">
        <v>490</v>
      </c>
      <c r="E1311" s="20" t="s">
        <v>232</v>
      </c>
      <c r="F1311" s="20" t="s">
        <v>232</v>
      </c>
      <c r="G1311" s="20" t="s">
        <v>234</v>
      </c>
      <c r="H1311" s="23">
        <v>0</v>
      </c>
      <c r="I1311" s="23">
        <v>0</v>
      </c>
      <c r="J1311" s="23">
        <v>0</v>
      </c>
      <c r="K1311" s="23">
        <v>0</v>
      </c>
      <c r="L1311" s="23">
        <v>0</v>
      </c>
      <c r="M1311" s="23">
        <v>0</v>
      </c>
      <c r="N1311" s="23">
        <v>0</v>
      </c>
      <c r="O1311" s="23">
        <f t="shared" si="147"/>
        <v>0</v>
      </c>
      <c r="P1311" s="23">
        <v>0</v>
      </c>
      <c r="Q1311" s="23">
        <v>0</v>
      </c>
      <c r="R1311" s="23">
        <v>0</v>
      </c>
      <c r="S1311" s="23">
        <v>0</v>
      </c>
      <c r="T1311" s="23">
        <v>0</v>
      </c>
      <c r="U1311" s="23">
        <v>0</v>
      </c>
      <c r="V1311" s="23">
        <v>0</v>
      </c>
      <c r="W1311" s="23">
        <f t="shared" si="148"/>
        <v>0</v>
      </c>
      <c r="X1311" s="23">
        <f t="shared" si="149"/>
        <v>0</v>
      </c>
      <c r="Y1311" s="23">
        <f t="shared" si="150"/>
        <v>0</v>
      </c>
      <c r="Z1311" s="23">
        <v>0</v>
      </c>
      <c r="AA1311" s="23">
        <f t="shared" si="144"/>
        <v>0</v>
      </c>
      <c r="AB1311" s="23">
        <f t="shared" si="145"/>
        <v>0</v>
      </c>
      <c r="AC1311" s="46"/>
      <c r="AD1311" s="20" t="str">
        <f>VLOOKUP($C1311,'[1]CTRL AUTOS'!$E:$AH,2,0)</f>
        <v>MMA672C</v>
      </c>
      <c r="AE1311" s="11" t="str">
        <f t="shared" si="146"/>
        <v>MMA672C51</v>
      </c>
    </row>
    <row r="1312" spans="1:31" s="51" customFormat="1" ht="15" hidden="1" customHeight="1" x14ac:dyDescent="0.3">
      <c r="A1312" s="49">
        <v>52</v>
      </c>
      <c r="B1312" s="20" t="s">
        <v>3</v>
      </c>
      <c r="C1312" s="50" t="str">
        <f>VLOOKUP($B1312,$B$1263:$AB$1311,2,0)</f>
        <v>MARCH|2020|TURQ|N15BKD</v>
      </c>
      <c r="D1312" s="50" t="str">
        <f>VLOOKUP($B1312,$B$1263:$AB$1311,3,0)</f>
        <v>OHLM031409071</v>
      </c>
      <c r="E1312" s="50" t="s">
        <v>232</v>
      </c>
      <c r="F1312" s="50" t="s">
        <v>232</v>
      </c>
      <c r="G1312" s="50" t="s">
        <v>425</v>
      </c>
      <c r="H1312" s="23">
        <v>10938.61</v>
      </c>
      <c r="I1312" s="23">
        <v>-1179</v>
      </c>
      <c r="J1312" s="23">
        <v>0</v>
      </c>
      <c r="K1312" s="23">
        <v>0</v>
      </c>
      <c r="L1312" s="23">
        <v>-11793.81</v>
      </c>
      <c r="M1312" s="23">
        <v>-200</v>
      </c>
      <c r="N1312" s="23">
        <v>0</v>
      </c>
      <c r="O1312" s="23">
        <f t="shared" si="147"/>
        <v>-2234.1999999999989</v>
      </c>
      <c r="P1312" s="23">
        <v>-2600</v>
      </c>
      <c r="Q1312" s="23">
        <v>-387.77000000000044</v>
      </c>
      <c r="R1312" s="23">
        <v>0</v>
      </c>
      <c r="S1312" s="23">
        <v>0</v>
      </c>
      <c r="T1312" s="23">
        <v>0</v>
      </c>
      <c r="U1312" s="23">
        <v>200</v>
      </c>
      <c r="V1312" s="23">
        <v>0</v>
      </c>
      <c r="W1312" s="23">
        <f>+O1312+SUM(P1312:V1312)</f>
        <v>-5021.9699999999993</v>
      </c>
      <c r="X1312" s="23">
        <f t="shared" si="149"/>
        <v>0</v>
      </c>
      <c r="Y1312" s="23">
        <f t="shared" si="150"/>
        <v>-5021.9699999999993</v>
      </c>
      <c r="Z1312" s="23">
        <f>1400+850</f>
        <v>2250</v>
      </c>
      <c r="AA1312" s="23">
        <f>+Y1312+Z1312</f>
        <v>-2771.9699999999993</v>
      </c>
      <c r="AB1312" s="23">
        <f t="shared" si="145"/>
        <v>-2756.1699999999983</v>
      </c>
      <c r="AC1312" s="50" t="s">
        <v>569</v>
      </c>
      <c r="AD1312" s="20" t="str">
        <f>VLOOKUP($C1312,'[1]CTRL AUTOS'!$E:$AH,2,0)</f>
        <v>N15BKD</v>
      </c>
      <c r="AE1312" s="11" t="str">
        <f t="shared" si="146"/>
        <v>N15BKD52</v>
      </c>
    </row>
    <row r="1313" spans="1:31" s="51" customFormat="1" ht="15" hidden="1" customHeight="1" x14ac:dyDescent="0.3">
      <c r="A1313" s="49">
        <v>52</v>
      </c>
      <c r="B1313" s="50" t="s">
        <v>5</v>
      </c>
      <c r="C1313" s="50" t="str">
        <f>VLOOKUP($B1313,$B$1263:$AB$1311,2,0)</f>
        <v>V DRIVE|2023|GRIS|MXW453C</v>
      </c>
      <c r="D1313" s="50" t="s">
        <v>570</v>
      </c>
      <c r="E1313" s="50" t="s">
        <v>232</v>
      </c>
      <c r="F1313" s="50" t="s">
        <v>232</v>
      </c>
      <c r="G1313" s="50" t="s">
        <v>425</v>
      </c>
      <c r="H1313" s="23">
        <v>13502.01</v>
      </c>
      <c r="I1313" s="23">
        <v>-736</v>
      </c>
      <c r="J1313" s="23">
        <v>0</v>
      </c>
      <c r="K1313" s="23">
        <v>0</v>
      </c>
      <c r="L1313" s="23">
        <v>-7358.53</v>
      </c>
      <c r="M1313" s="23">
        <v>-120</v>
      </c>
      <c r="N1313" s="23">
        <v>0</v>
      </c>
      <c r="O1313" s="23">
        <f t="shared" si="147"/>
        <v>5287.4800000000005</v>
      </c>
      <c r="P1313" s="23">
        <v>-2500</v>
      </c>
      <c r="Q1313" s="23">
        <v>-2381.3552</v>
      </c>
      <c r="R1313" s="23">
        <v>0</v>
      </c>
      <c r="S1313" s="23">
        <v>0</v>
      </c>
      <c r="T1313" s="23">
        <v>-500</v>
      </c>
      <c r="U1313" s="23">
        <v>0</v>
      </c>
      <c r="V1313" s="23">
        <v>0</v>
      </c>
      <c r="W1313" s="23">
        <f t="shared" si="148"/>
        <v>-93.875199999999495</v>
      </c>
      <c r="X1313" s="23">
        <f t="shared" si="149"/>
        <v>0</v>
      </c>
      <c r="Y1313" s="23">
        <f t="shared" si="150"/>
        <v>-93.875199999999495</v>
      </c>
      <c r="Z1313" s="23">
        <v>0</v>
      </c>
      <c r="AA1313" s="23">
        <f t="shared" si="144"/>
        <v>-93.875199999999495</v>
      </c>
      <c r="AB1313" s="23">
        <f t="shared" si="145"/>
        <v>5193.604800000001</v>
      </c>
      <c r="AC1313" s="50"/>
      <c r="AD1313" s="20" t="str">
        <f>VLOOKUP($C1313,'[1]CTRL AUTOS'!$E:$AH,2,0)</f>
        <v>MXW453C</v>
      </c>
      <c r="AE1313" s="11" t="str">
        <f t="shared" si="146"/>
        <v>MXW453C52</v>
      </c>
    </row>
    <row r="1314" spans="1:31" s="51" customFormat="1" ht="15" hidden="1" customHeight="1" x14ac:dyDescent="0.3">
      <c r="A1314" s="49">
        <v>52</v>
      </c>
      <c r="B1314" s="20" t="s">
        <v>7</v>
      </c>
      <c r="C1314" s="20" t="s">
        <v>8</v>
      </c>
      <c r="D1314" s="20" t="s">
        <v>516</v>
      </c>
      <c r="E1314" s="20" t="s">
        <v>364</v>
      </c>
      <c r="F1314" s="20" t="s">
        <v>364</v>
      </c>
      <c r="G1314" s="20" t="s">
        <v>425</v>
      </c>
      <c r="H1314" s="23">
        <v>11171.68</v>
      </c>
      <c r="I1314" s="23">
        <v>-887</v>
      </c>
      <c r="J1314" s="23">
        <v>0</v>
      </c>
      <c r="K1314" s="23">
        <v>0</v>
      </c>
      <c r="L1314" s="23">
        <v>-8865.39</v>
      </c>
      <c r="M1314" s="23">
        <v>-125</v>
      </c>
      <c r="N1314" s="23">
        <v>0</v>
      </c>
      <c r="O1314" s="23">
        <f t="shared" si="147"/>
        <v>1294.2900000000009</v>
      </c>
      <c r="P1314" s="23">
        <v>-2600</v>
      </c>
      <c r="Q1314" s="23">
        <v>0</v>
      </c>
      <c r="R1314" s="23">
        <v>0</v>
      </c>
      <c r="S1314" s="23">
        <v>0</v>
      </c>
      <c r="T1314" s="23">
        <v>0</v>
      </c>
      <c r="U1314" s="23">
        <v>0</v>
      </c>
      <c r="V1314" s="23">
        <v>0</v>
      </c>
      <c r="W1314" s="23">
        <f t="shared" si="148"/>
        <v>-1305.7099999999991</v>
      </c>
      <c r="X1314" s="23">
        <f t="shared" si="149"/>
        <v>0</v>
      </c>
      <c r="Y1314" s="23">
        <f t="shared" si="150"/>
        <v>-1305.7099999999991</v>
      </c>
      <c r="Z1314" s="23">
        <v>1306</v>
      </c>
      <c r="AA1314" s="23">
        <f t="shared" si="144"/>
        <v>0.29000000000087311</v>
      </c>
      <c r="AB1314" s="23">
        <f t="shared" si="145"/>
        <v>2600.5800000000017</v>
      </c>
      <c r="AC1314" s="50"/>
      <c r="AD1314" s="20" t="e">
        <f>VLOOKUP($C1314,'[1]CTRL AUTOS'!$E:$AH,2,0)</f>
        <v>#N/A</v>
      </c>
      <c r="AE1314" s="11" t="e">
        <f t="shared" si="146"/>
        <v>#N/A</v>
      </c>
    </row>
    <row r="1315" spans="1:31" s="51" customFormat="1" ht="15" hidden="1" customHeight="1" x14ac:dyDescent="0.3">
      <c r="A1315" s="49">
        <v>52</v>
      </c>
      <c r="B1315" s="50" t="s">
        <v>11</v>
      </c>
      <c r="C1315" s="50" t="str">
        <f t="shared" ref="C1315:C1347" si="151">VLOOKUP($B1315,$B$1263:$AB$1311,2,0)</f>
        <v>AVEO|2025|PERSUASION|MXM510C</v>
      </c>
      <c r="D1315" s="50" t="str">
        <f>VLOOKUP($B1315,$B$1263:$AB$1311,3,0)</f>
        <v>OHLM038285821</v>
      </c>
      <c r="E1315" s="50" t="s">
        <v>232</v>
      </c>
      <c r="F1315" s="50" t="s">
        <v>232</v>
      </c>
      <c r="G1315" s="50" t="s">
        <v>234</v>
      </c>
      <c r="H1315" s="23">
        <v>12947.51</v>
      </c>
      <c r="I1315" s="23">
        <v>-65.69</v>
      </c>
      <c r="J1315" s="23">
        <v>0</v>
      </c>
      <c r="K1315" s="23">
        <v>0</v>
      </c>
      <c r="L1315" s="23">
        <v>-5487.38</v>
      </c>
      <c r="M1315" s="23">
        <v>-100</v>
      </c>
      <c r="N1315" s="23">
        <v>0</v>
      </c>
      <c r="O1315" s="23">
        <f t="shared" si="147"/>
        <v>7294.44</v>
      </c>
      <c r="P1315" s="23">
        <v>-2700</v>
      </c>
      <c r="Q1315" s="23">
        <v>0</v>
      </c>
      <c r="R1315" s="23">
        <v>0</v>
      </c>
      <c r="S1315" s="23">
        <v>0</v>
      </c>
      <c r="T1315" s="23">
        <v>0</v>
      </c>
      <c r="U1315" s="23">
        <v>0</v>
      </c>
      <c r="V1315" s="23">
        <v>0</v>
      </c>
      <c r="W1315" s="23">
        <f t="shared" si="148"/>
        <v>4594.4399999999996</v>
      </c>
      <c r="X1315" s="23">
        <f t="shared" si="149"/>
        <v>4594.4399999999996</v>
      </c>
      <c r="Y1315" s="23">
        <f t="shared" si="150"/>
        <v>0</v>
      </c>
      <c r="Z1315" s="23">
        <v>0</v>
      </c>
      <c r="AA1315" s="23">
        <f t="shared" si="144"/>
        <v>0</v>
      </c>
      <c r="AB1315" s="23">
        <f t="shared" si="145"/>
        <v>2700</v>
      </c>
      <c r="AC1315" s="50"/>
      <c r="AD1315" s="20" t="str">
        <f>VLOOKUP($C1315,'[1]CTRL AUTOS'!$E:$AH,2,0)</f>
        <v>MXM510C</v>
      </c>
      <c r="AE1315" s="11" t="str">
        <f t="shared" si="146"/>
        <v>MXM510C52</v>
      </c>
    </row>
    <row r="1316" spans="1:31" s="51" customFormat="1" ht="15" hidden="1" customHeight="1" x14ac:dyDescent="0.3">
      <c r="A1316" s="49">
        <v>52</v>
      </c>
      <c r="B1316" s="50" t="s">
        <v>13</v>
      </c>
      <c r="C1316" s="50" t="str">
        <f t="shared" si="151"/>
        <v>AVEO|2025|PERSUASION|MXM503C</v>
      </c>
      <c r="D1316" s="50" t="str">
        <f>VLOOKUP($B1316,$B$1263:$AB$1311,3,0)</f>
        <v>OHLM038285813</v>
      </c>
      <c r="E1316" s="50" t="s">
        <v>232</v>
      </c>
      <c r="F1316" s="50" t="s">
        <v>232</v>
      </c>
      <c r="G1316" s="50" t="s">
        <v>234</v>
      </c>
      <c r="H1316" s="23">
        <v>13299.34</v>
      </c>
      <c r="I1316" s="23">
        <v>-258.88</v>
      </c>
      <c r="J1316" s="23">
        <v>0</v>
      </c>
      <c r="K1316" s="23">
        <v>0</v>
      </c>
      <c r="L1316" s="23">
        <v>0</v>
      </c>
      <c r="M1316" s="23">
        <v>-32</v>
      </c>
      <c r="N1316" s="23">
        <v>0</v>
      </c>
      <c r="O1316" s="23">
        <f t="shared" si="147"/>
        <v>13008.460000000001</v>
      </c>
      <c r="P1316" s="23">
        <v>-2700</v>
      </c>
      <c r="Q1316" s="23">
        <v>0</v>
      </c>
      <c r="R1316" s="23">
        <v>0</v>
      </c>
      <c r="S1316" s="23">
        <v>0</v>
      </c>
      <c r="T1316" s="23">
        <v>0</v>
      </c>
      <c r="U1316" s="23">
        <v>0</v>
      </c>
      <c r="V1316" s="23">
        <v>0</v>
      </c>
      <c r="W1316" s="23">
        <f t="shared" si="148"/>
        <v>10308.460000000001</v>
      </c>
      <c r="X1316" s="23">
        <f t="shared" si="149"/>
        <v>10308.460000000001</v>
      </c>
      <c r="Y1316" s="23">
        <f t="shared" si="150"/>
        <v>0</v>
      </c>
      <c r="Z1316" s="23">
        <v>0</v>
      </c>
      <c r="AA1316" s="23">
        <f t="shared" si="144"/>
        <v>0</v>
      </c>
      <c r="AB1316" s="23">
        <f t="shared" si="145"/>
        <v>2700</v>
      </c>
      <c r="AC1316" s="50"/>
      <c r="AD1316" s="20" t="str">
        <f>VLOOKUP($C1316,'[1]CTRL AUTOS'!$E:$AH,2,0)</f>
        <v>MXM503C</v>
      </c>
      <c r="AE1316" s="11" t="str">
        <f t="shared" si="146"/>
        <v>MXM503C52</v>
      </c>
    </row>
    <row r="1317" spans="1:31" s="51" customFormat="1" ht="15" hidden="1" customHeight="1" x14ac:dyDescent="0.3">
      <c r="A1317" s="49">
        <v>52</v>
      </c>
      <c r="B1317" s="50" t="s">
        <v>15</v>
      </c>
      <c r="C1317" s="50" t="str">
        <f t="shared" si="151"/>
        <v>AVEO|2020|AZUL|D28BET</v>
      </c>
      <c r="D1317" s="50" t="str">
        <f>VLOOKUP($B1317,$B$1263:$AB$1311,3,0)</f>
        <v>OHLM032370140</v>
      </c>
      <c r="E1317" s="50" t="s">
        <v>232</v>
      </c>
      <c r="F1317" s="50" t="s">
        <v>232</v>
      </c>
      <c r="G1317" s="50" t="s">
        <v>234</v>
      </c>
      <c r="H1317" s="23">
        <v>3115.99</v>
      </c>
      <c r="I1317" s="23">
        <v>-16.48</v>
      </c>
      <c r="J1317" s="23">
        <v>0</v>
      </c>
      <c r="K1317" s="23">
        <v>0</v>
      </c>
      <c r="L1317" s="23">
        <v>-1198.67</v>
      </c>
      <c r="M1317" s="23">
        <v>-44.786464063695249</v>
      </c>
      <c r="N1317" s="23">
        <v>0</v>
      </c>
      <c r="O1317" s="23">
        <f t="shared" si="147"/>
        <v>1856.0535359363043</v>
      </c>
      <c r="P1317" s="23">
        <v>-2500</v>
      </c>
      <c r="Q1317" s="23">
        <v>0</v>
      </c>
      <c r="R1317" s="23">
        <v>-500</v>
      </c>
      <c r="S1317" s="23">
        <v>0</v>
      </c>
      <c r="T1317" s="23">
        <v>0</v>
      </c>
      <c r="U1317" s="23">
        <v>0</v>
      </c>
      <c r="V1317" s="23">
        <v>0</v>
      </c>
      <c r="W1317" s="23">
        <f t="shared" si="148"/>
        <v>-1143.9464640636957</v>
      </c>
      <c r="X1317" s="23">
        <f t="shared" si="149"/>
        <v>0</v>
      </c>
      <c r="Y1317" s="23">
        <f t="shared" si="150"/>
        <v>-1143.9464640636957</v>
      </c>
      <c r="Z1317" s="23">
        <v>1144</v>
      </c>
      <c r="AA1317" s="23">
        <f t="shared" si="144"/>
        <v>5.3535936304342613E-2</v>
      </c>
      <c r="AB1317" s="23">
        <f t="shared" si="145"/>
        <v>3000.1070718726087</v>
      </c>
      <c r="AC1317" s="50" t="s">
        <v>571</v>
      </c>
      <c r="AD1317" s="20" t="str">
        <f>VLOOKUP($C1317,'[1]CTRL AUTOS'!$E:$AH,2,0)</f>
        <v>D28BET</v>
      </c>
      <c r="AE1317" s="11" t="str">
        <f t="shared" si="146"/>
        <v>D28BET52</v>
      </c>
    </row>
    <row r="1318" spans="1:31" s="51" customFormat="1" ht="15" hidden="1" customHeight="1" x14ac:dyDescent="0.3">
      <c r="A1318" s="49">
        <v>52</v>
      </c>
      <c r="B1318" s="50" t="s">
        <v>17</v>
      </c>
      <c r="C1318" s="50" t="str">
        <f t="shared" si="151"/>
        <v>AVEO|2025|PERSUASION|MZN091C</v>
      </c>
      <c r="D1318" s="50" t="s">
        <v>572</v>
      </c>
      <c r="E1318" s="50" t="s">
        <v>232</v>
      </c>
      <c r="F1318" s="50" t="s">
        <v>232</v>
      </c>
      <c r="G1318" s="50" t="s">
        <v>234</v>
      </c>
      <c r="H1318" s="23">
        <v>3189.3</v>
      </c>
      <c r="I1318" s="23">
        <v>-19.2</v>
      </c>
      <c r="J1318" s="23">
        <v>0</v>
      </c>
      <c r="K1318" s="23">
        <v>0</v>
      </c>
      <c r="L1318" s="23">
        <v>-1087.1399999999999</v>
      </c>
      <c r="M1318" s="23">
        <v>-40.619316861359373</v>
      </c>
      <c r="N1318" s="23">
        <v>0</v>
      </c>
      <c r="O1318" s="23">
        <f t="shared" si="147"/>
        <v>2042.3406831386412</v>
      </c>
      <c r="P1318" s="23">
        <v>-2700</v>
      </c>
      <c r="Q1318" s="23">
        <v>7.0000000000163709E-2</v>
      </c>
      <c r="R1318" s="23">
        <v>0</v>
      </c>
      <c r="S1318" s="23">
        <v>0</v>
      </c>
      <c r="T1318" s="23">
        <v>0</v>
      </c>
      <c r="U1318" s="23">
        <v>0</v>
      </c>
      <c r="V1318" s="23">
        <v>0</v>
      </c>
      <c r="W1318" s="23">
        <f t="shared" si="148"/>
        <v>-657.58931686135861</v>
      </c>
      <c r="X1318" s="23">
        <f t="shared" si="149"/>
        <v>0</v>
      </c>
      <c r="Y1318" s="23">
        <f t="shared" si="150"/>
        <v>-657.58931686135861</v>
      </c>
      <c r="Z1318" s="23">
        <v>0</v>
      </c>
      <c r="AA1318" s="23">
        <f t="shared" si="144"/>
        <v>-657.58931686135861</v>
      </c>
      <c r="AB1318" s="23">
        <f t="shared" si="145"/>
        <v>1384.7513662772826</v>
      </c>
      <c r="AC1318" s="50" t="s">
        <v>573</v>
      </c>
      <c r="AD1318" s="20" t="str">
        <f>VLOOKUP($C1318,'[1]CTRL AUTOS'!$E:$AH,2,0)</f>
        <v>MZN091C</v>
      </c>
      <c r="AE1318" s="11" t="str">
        <f t="shared" si="146"/>
        <v>MZN091C52</v>
      </c>
    </row>
    <row r="1319" spans="1:31" s="51" customFormat="1" ht="15" hidden="1" customHeight="1" x14ac:dyDescent="0.3">
      <c r="A1319" s="49">
        <v>52</v>
      </c>
      <c r="B1319" s="50" t="s">
        <v>19</v>
      </c>
      <c r="C1319" s="50" t="str">
        <f t="shared" si="151"/>
        <v>HYUNDAI|2022|PLATA|D40BKD</v>
      </c>
      <c r="D1319" s="50" t="str">
        <f>VLOOKUP($B1319,$B$1263:$AB$1311,3,0)</f>
        <v>OHLM023658024</v>
      </c>
      <c r="E1319" s="50" t="s">
        <v>232</v>
      </c>
      <c r="F1319" s="50" t="s">
        <v>232</v>
      </c>
      <c r="G1319" s="50" t="s">
        <v>234</v>
      </c>
      <c r="H1319" s="23">
        <v>5375</v>
      </c>
      <c r="I1319" s="23">
        <v>-25.599999999999998</v>
      </c>
      <c r="J1319" s="23">
        <v>0</v>
      </c>
      <c r="K1319" s="23">
        <v>-41.759999999999991</v>
      </c>
      <c r="L1319" s="23">
        <v>0</v>
      </c>
      <c r="M1319" s="23">
        <v>0</v>
      </c>
      <c r="N1319" s="23">
        <v>0</v>
      </c>
      <c r="O1319" s="23">
        <f t="shared" si="147"/>
        <v>5307.6399999999994</v>
      </c>
      <c r="P1319" s="23">
        <v>-2500</v>
      </c>
      <c r="Q1319" s="23">
        <v>0</v>
      </c>
      <c r="R1319" s="23">
        <v>0</v>
      </c>
      <c r="S1319" s="23">
        <v>0</v>
      </c>
      <c r="T1319" s="23">
        <v>-600</v>
      </c>
      <c r="U1319" s="23">
        <v>0</v>
      </c>
      <c r="V1319" s="23">
        <v>0</v>
      </c>
      <c r="W1319" s="23">
        <f t="shared" si="148"/>
        <v>2207.6399999999994</v>
      </c>
      <c r="X1319" s="23">
        <f t="shared" si="149"/>
        <v>2207.6399999999994</v>
      </c>
      <c r="Y1319" s="23">
        <f t="shared" si="150"/>
        <v>0</v>
      </c>
      <c r="Z1319" s="23">
        <v>0</v>
      </c>
      <c r="AA1319" s="23">
        <f t="shared" si="144"/>
        <v>0</v>
      </c>
      <c r="AB1319" s="23">
        <f t="shared" si="145"/>
        <v>3100</v>
      </c>
      <c r="AC1319" s="50"/>
      <c r="AD1319" s="20" t="str">
        <f>VLOOKUP($C1319,'[1]CTRL AUTOS'!$E:$AH,2,0)</f>
        <v>D40BKD</v>
      </c>
      <c r="AE1319" s="11" t="str">
        <f t="shared" si="146"/>
        <v>D40BKD52</v>
      </c>
    </row>
    <row r="1320" spans="1:31" s="51" customFormat="1" ht="15" hidden="1" customHeight="1" x14ac:dyDescent="0.3">
      <c r="A1320" s="49">
        <v>52</v>
      </c>
      <c r="B1320" s="50" t="s">
        <v>21</v>
      </c>
      <c r="C1320" s="50" t="str">
        <f t="shared" si="151"/>
        <v>KIA RIO|2020|GRIS|NCK475B</v>
      </c>
      <c r="D1320" s="50" t="str">
        <f>VLOOKUP($B1320,$B$1263:$AB$1311,3,0)</f>
        <v>OHLM032370124</v>
      </c>
      <c r="E1320" s="50" t="s">
        <v>232</v>
      </c>
      <c r="F1320" s="50" t="s">
        <v>232</v>
      </c>
      <c r="G1320" s="50" t="s">
        <v>234</v>
      </c>
      <c r="H1320" s="23">
        <v>1936.9</v>
      </c>
      <c r="I1320" s="23">
        <v>-22.25</v>
      </c>
      <c r="J1320" s="23">
        <v>0</v>
      </c>
      <c r="K1320" s="23">
        <v>0</v>
      </c>
      <c r="L1320" s="23">
        <v>-836.46</v>
      </c>
      <c r="M1320" s="23">
        <v>-31.253043565550591</v>
      </c>
      <c r="N1320" s="23">
        <v>0</v>
      </c>
      <c r="O1320" s="23">
        <f t="shared" si="147"/>
        <v>1046.9369564344495</v>
      </c>
      <c r="P1320" s="23">
        <v>-2500</v>
      </c>
      <c r="Q1320" s="23">
        <v>39.589999999999918</v>
      </c>
      <c r="R1320" s="23">
        <v>-500</v>
      </c>
      <c r="S1320" s="23">
        <v>0</v>
      </c>
      <c r="T1320" s="23">
        <v>0</v>
      </c>
      <c r="U1320" s="23">
        <v>0</v>
      </c>
      <c r="V1320" s="23">
        <v>0</v>
      </c>
      <c r="W1320" s="23">
        <f t="shared" si="148"/>
        <v>-1913.4730435655504</v>
      </c>
      <c r="X1320" s="23">
        <f t="shared" si="149"/>
        <v>0</v>
      </c>
      <c r="Y1320" s="23">
        <f t="shared" si="150"/>
        <v>-1913.4730435655504</v>
      </c>
      <c r="Z1320" s="23">
        <v>1913</v>
      </c>
      <c r="AA1320" s="23">
        <f t="shared" si="144"/>
        <v>-0.47304356555036975</v>
      </c>
      <c r="AB1320" s="23">
        <f t="shared" si="145"/>
        <v>2959.4639128688996</v>
      </c>
      <c r="AC1320" s="50" t="s">
        <v>574</v>
      </c>
      <c r="AD1320" s="20" t="str">
        <f>VLOOKUP($C1320,'[1]CTRL AUTOS'!$E:$AH,2,0)</f>
        <v>NCK475B</v>
      </c>
      <c r="AE1320" s="11" t="str">
        <f t="shared" si="146"/>
        <v>NCK475B52</v>
      </c>
    </row>
    <row r="1321" spans="1:31" s="51" customFormat="1" ht="15" hidden="1" customHeight="1" x14ac:dyDescent="0.3">
      <c r="A1321" s="49">
        <v>52</v>
      </c>
      <c r="B1321" s="50" t="s">
        <v>23</v>
      </c>
      <c r="C1321" s="50" t="str">
        <f t="shared" si="151"/>
        <v>AVEO|2025|PERSUASION|MXM502C</v>
      </c>
      <c r="D1321" s="50" t="str">
        <f>VLOOKUP($B1321,$B$1263:$AB$1311,3,0)</f>
        <v>OHLM038285805</v>
      </c>
      <c r="E1321" s="50" t="s">
        <v>232</v>
      </c>
      <c r="F1321" s="50" t="s">
        <v>232</v>
      </c>
      <c r="G1321" s="50" t="s">
        <v>234</v>
      </c>
      <c r="H1321" s="23">
        <v>6829.61</v>
      </c>
      <c r="I1321" s="23">
        <v>-41.12</v>
      </c>
      <c r="J1321" s="23">
        <v>-37.53</v>
      </c>
      <c r="K1321" s="23">
        <v>0</v>
      </c>
      <c r="L1321" s="23">
        <v>-6933.7999999999993</v>
      </c>
      <c r="M1321" s="23">
        <v>-259.07079056358299</v>
      </c>
      <c r="N1321" s="23">
        <v>-673.45600000000002</v>
      </c>
      <c r="O1321" s="23">
        <f t="shared" si="147"/>
        <v>-1115.3667905635823</v>
      </c>
      <c r="P1321" s="23">
        <v>-2700</v>
      </c>
      <c r="Q1321" s="23">
        <v>-127.8144000000004</v>
      </c>
      <c r="R1321" s="23">
        <v>0</v>
      </c>
      <c r="S1321" s="23">
        <v>0</v>
      </c>
      <c r="T1321" s="23">
        <v>-500</v>
      </c>
      <c r="U1321" s="23">
        <v>0</v>
      </c>
      <c r="V1321" s="23">
        <v>0</v>
      </c>
      <c r="W1321" s="23">
        <f t="shared" si="148"/>
        <v>-4443.1811905635823</v>
      </c>
      <c r="X1321" s="23">
        <f t="shared" si="149"/>
        <v>0</v>
      </c>
      <c r="Y1321" s="23">
        <f t="shared" si="150"/>
        <v>-4443.1811905635823</v>
      </c>
      <c r="Z1321" s="23">
        <v>0</v>
      </c>
      <c r="AA1321" s="23">
        <f t="shared" si="144"/>
        <v>-4443.1811905635823</v>
      </c>
      <c r="AB1321" s="23">
        <f t="shared" si="145"/>
        <v>-5558.5479811271643</v>
      </c>
      <c r="AC1321" s="50" t="s">
        <v>573</v>
      </c>
      <c r="AD1321" s="20" t="str">
        <f>VLOOKUP($C1321,'[1]CTRL AUTOS'!$E:$AH,2,0)</f>
        <v>MXM502C</v>
      </c>
      <c r="AE1321" s="11" t="str">
        <f t="shared" si="146"/>
        <v>MXM502C52</v>
      </c>
    </row>
    <row r="1322" spans="1:31" s="51" customFormat="1" ht="15" hidden="1" customHeight="1" x14ac:dyDescent="0.3">
      <c r="A1322" s="49">
        <v>52</v>
      </c>
      <c r="B1322" s="50" t="s">
        <v>25</v>
      </c>
      <c r="C1322" s="50" t="str">
        <f t="shared" si="151"/>
        <v>AVEOH|2024|BLANCO|MWV156C</v>
      </c>
      <c r="D1322" s="50" t="s">
        <v>575</v>
      </c>
      <c r="E1322" s="50" t="s">
        <v>232</v>
      </c>
      <c r="F1322" s="50" t="s">
        <v>232</v>
      </c>
      <c r="G1322" s="50" t="s">
        <v>234</v>
      </c>
      <c r="H1322" s="23">
        <v>2600.83</v>
      </c>
      <c r="I1322" s="23">
        <v>-14.4</v>
      </c>
      <c r="J1322" s="23">
        <v>0</v>
      </c>
      <c r="K1322" s="23">
        <v>0</v>
      </c>
      <c r="L1322" s="23">
        <v>-1050.48</v>
      </c>
      <c r="M1322" s="23">
        <v>-39.249572250603237</v>
      </c>
      <c r="N1322" s="23">
        <v>0</v>
      </c>
      <c r="O1322" s="23">
        <f t="shared" si="147"/>
        <v>1496.7004277493966</v>
      </c>
      <c r="P1322" s="23">
        <v>-2500</v>
      </c>
      <c r="Q1322" s="23">
        <v>0</v>
      </c>
      <c r="R1322" s="23">
        <v>0</v>
      </c>
      <c r="S1322" s="23">
        <v>0</v>
      </c>
      <c r="T1322" s="23">
        <v>0</v>
      </c>
      <c r="U1322" s="23">
        <v>100</v>
      </c>
      <c r="V1322" s="23">
        <v>0</v>
      </c>
      <c r="W1322" s="23">
        <f t="shared" si="148"/>
        <v>-903.29957225060343</v>
      </c>
      <c r="X1322" s="23">
        <f t="shared" si="149"/>
        <v>0</v>
      </c>
      <c r="Y1322" s="23">
        <f t="shared" si="150"/>
        <v>-903.29957225060343</v>
      </c>
      <c r="Z1322" s="23">
        <v>680</v>
      </c>
      <c r="AA1322" s="23">
        <f t="shared" si="144"/>
        <v>-223.29957225060343</v>
      </c>
      <c r="AB1322" s="23">
        <f t="shared" si="145"/>
        <v>1953.4008554987931</v>
      </c>
      <c r="AC1322" s="50" t="s">
        <v>573</v>
      </c>
      <c r="AD1322" s="20" t="str">
        <f>VLOOKUP($C1322,'[1]CTRL AUTOS'!$E:$AH,2,0)</f>
        <v>MWV156C</v>
      </c>
      <c r="AE1322" s="11" t="str">
        <f t="shared" si="146"/>
        <v>MWV156C52</v>
      </c>
    </row>
    <row r="1323" spans="1:31" s="51" customFormat="1" ht="15" hidden="1" customHeight="1" x14ac:dyDescent="0.3">
      <c r="A1323" s="49">
        <v>52</v>
      </c>
      <c r="B1323" s="50" t="s">
        <v>27</v>
      </c>
      <c r="C1323" s="50" t="str">
        <f t="shared" si="151"/>
        <v>VERSA|2023|PLATA|NCT814A</v>
      </c>
      <c r="D1323" s="50" t="str">
        <f t="shared" ref="D1323:D1328" si="152">VLOOKUP($B1323,$B$1263:$AB$1311,3,0)</f>
        <v>OHLM031491780</v>
      </c>
      <c r="E1323" s="50" t="s">
        <v>232</v>
      </c>
      <c r="F1323" s="50" t="s">
        <v>232</v>
      </c>
      <c r="G1323" s="50" t="s">
        <v>234</v>
      </c>
      <c r="H1323" s="23">
        <v>2976.78</v>
      </c>
      <c r="I1323" s="23">
        <v>-14.72</v>
      </c>
      <c r="J1323" s="23">
        <v>0</v>
      </c>
      <c r="K1323" s="23">
        <v>0</v>
      </c>
      <c r="L1323" s="23">
        <v>-865.79000000000008</v>
      </c>
      <c r="M1323" s="23">
        <v>-32.348913981084628</v>
      </c>
      <c r="N1323" s="23">
        <v>0</v>
      </c>
      <c r="O1323" s="23">
        <f t="shared" si="147"/>
        <v>2063.921086018916</v>
      </c>
      <c r="P1323" s="23">
        <v>-2500</v>
      </c>
      <c r="Q1323" s="23">
        <v>0</v>
      </c>
      <c r="R1323" s="23">
        <v>-500</v>
      </c>
      <c r="S1323" s="23">
        <v>0</v>
      </c>
      <c r="T1323" s="23">
        <v>0</v>
      </c>
      <c r="U1323" s="23">
        <v>0</v>
      </c>
      <c r="V1323" s="23">
        <v>0</v>
      </c>
      <c r="W1323" s="23">
        <f t="shared" si="148"/>
        <v>-936.07891398108404</v>
      </c>
      <c r="X1323" s="23">
        <f t="shared" si="149"/>
        <v>0</v>
      </c>
      <c r="Y1323" s="23">
        <f t="shared" si="150"/>
        <v>-936.07891398108404</v>
      </c>
      <c r="Z1323" s="23">
        <v>936</v>
      </c>
      <c r="AA1323" s="23">
        <f t="shared" si="144"/>
        <v>-7.8913981084042462E-2</v>
      </c>
      <c r="AB1323" s="23">
        <f t="shared" si="145"/>
        <v>2999.8421720378319</v>
      </c>
      <c r="AC1323" s="50" t="s">
        <v>576</v>
      </c>
      <c r="AD1323" s="20" t="str">
        <f>VLOOKUP($C1323,'[1]CTRL AUTOS'!$E:$AH,2,0)</f>
        <v>NCT814A</v>
      </c>
      <c r="AE1323" s="11" t="str">
        <f t="shared" si="146"/>
        <v>NCT814A52</v>
      </c>
    </row>
    <row r="1324" spans="1:31" s="51" customFormat="1" ht="15" hidden="1" customHeight="1" x14ac:dyDescent="0.3">
      <c r="A1324" s="49">
        <v>52</v>
      </c>
      <c r="B1324" s="50" t="s">
        <v>9</v>
      </c>
      <c r="C1324" s="50" t="str">
        <f t="shared" si="151"/>
        <v>AVEO|2024|GRIS|LRL009C</v>
      </c>
      <c r="D1324" s="50" t="str">
        <f t="shared" si="152"/>
        <v>OHLM032762171</v>
      </c>
      <c r="E1324" s="50" t="s">
        <v>232</v>
      </c>
      <c r="F1324" s="50" t="s">
        <v>232</v>
      </c>
      <c r="G1324" s="50" t="s">
        <v>234</v>
      </c>
      <c r="H1324" s="23">
        <v>4032.03</v>
      </c>
      <c r="I1324" s="23">
        <f>-H1324*0.1</f>
        <v>-403.20300000000003</v>
      </c>
      <c r="J1324" s="23">
        <v>0</v>
      </c>
      <c r="K1324" s="23">
        <v>0</v>
      </c>
      <c r="L1324" s="23">
        <v>-3971.36</v>
      </c>
      <c r="M1324" s="23">
        <f>L1324*0.05</f>
        <v>-198.56800000000001</v>
      </c>
      <c r="N1324" s="23">
        <v>0</v>
      </c>
      <c r="O1324" s="23">
        <f t="shared" si="147"/>
        <v>-541.10099999999989</v>
      </c>
      <c r="P1324" s="23">
        <v>-2600</v>
      </c>
      <c r="Q1324" s="23">
        <v>0.30999999999949068</v>
      </c>
      <c r="R1324" s="23">
        <v>0</v>
      </c>
      <c r="S1324" s="23">
        <v>0</v>
      </c>
      <c r="T1324" s="23">
        <v>0</v>
      </c>
      <c r="U1324" s="23">
        <v>0</v>
      </c>
      <c r="V1324" s="23">
        <v>0</v>
      </c>
      <c r="W1324" s="23">
        <f t="shared" si="148"/>
        <v>-3140.7910000000002</v>
      </c>
      <c r="X1324" s="23">
        <f t="shared" si="149"/>
        <v>0</v>
      </c>
      <c r="Y1324" s="23">
        <f t="shared" si="150"/>
        <v>-3140.7910000000002</v>
      </c>
      <c r="Z1324" s="23">
        <f>1200+1600+341</f>
        <v>3141</v>
      </c>
      <c r="AA1324" s="23">
        <f t="shared" si="144"/>
        <v>0.20899999999983265</v>
      </c>
      <c r="AB1324" s="23">
        <f t="shared" si="145"/>
        <v>2600.1080000000002</v>
      </c>
      <c r="AC1324" s="50" t="s">
        <v>577</v>
      </c>
      <c r="AD1324" s="20" t="str">
        <f>VLOOKUP($C1324,'[1]CTRL AUTOS'!$E:$AH,2,0)</f>
        <v>LRL009C</v>
      </c>
      <c r="AE1324" s="11" t="str">
        <f t="shared" si="146"/>
        <v>LRL009C52</v>
      </c>
    </row>
    <row r="1325" spans="1:31" s="51" customFormat="1" ht="15" hidden="1" customHeight="1" x14ac:dyDescent="0.3">
      <c r="A1325" s="49">
        <v>52</v>
      </c>
      <c r="B1325" s="50" t="s">
        <v>29</v>
      </c>
      <c r="C1325" s="50" t="str">
        <f t="shared" si="151"/>
        <v>AVEO|2021|GRIS|D51BHV</v>
      </c>
      <c r="D1325" s="50" t="str">
        <f t="shared" si="152"/>
        <v>OHLM037480324</v>
      </c>
      <c r="E1325" s="50" t="s">
        <v>232</v>
      </c>
      <c r="F1325" s="50" t="s">
        <v>232</v>
      </c>
      <c r="G1325" s="50" t="s">
        <v>234</v>
      </c>
      <c r="H1325" s="23">
        <v>7338.5</v>
      </c>
      <c r="I1325" s="23">
        <v>-44.32</v>
      </c>
      <c r="J1325" s="23">
        <v>0</v>
      </c>
      <c r="K1325" s="23">
        <v>0</v>
      </c>
      <c r="L1325" s="23">
        <v>-1671.74</v>
      </c>
      <c r="M1325" s="23">
        <v>-62.461998242920814</v>
      </c>
      <c r="N1325" s="23">
        <v>0</v>
      </c>
      <c r="O1325" s="23">
        <f t="shared" si="147"/>
        <v>5559.9780017570793</v>
      </c>
      <c r="P1325" s="23">
        <v>-2500</v>
      </c>
      <c r="Q1325" s="23">
        <v>0</v>
      </c>
      <c r="R1325" s="23">
        <v>-500</v>
      </c>
      <c r="S1325" s="23">
        <v>0</v>
      </c>
      <c r="T1325" s="23">
        <v>0</v>
      </c>
      <c r="U1325" s="23">
        <v>0</v>
      </c>
      <c r="V1325" s="23">
        <v>0</v>
      </c>
      <c r="W1325" s="23">
        <f t="shared" si="148"/>
        <v>2559.9780017570793</v>
      </c>
      <c r="X1325" s="23">
        <f t="shared" si="149"/>
        <v>2559.9780017570793</v>
      </c>
      <c r="Y1325" s="23">
        <f t="shared" si="150"/>
        <v>0</v>
      </c>
      <c r="Z1325" s="23">
        <v>0</v>
      </c>
      <c r="AA1325" s="23">
        <f t="shared" si="144"/>
        <v>0</v>
      </c>
      <c r="AB1325" s="23">
        <f t="shared" si="145"/>
        <v>3000</v>
      </c>
      <c r="AC1325" s="50"/>
      <c r="AD1325" s="20" t="str">
        <f>VLOOKUP($C1325,'[1]CTRL AUTOS'!$E:$AH,2,0)</f>
        <v>D51BHV</v>
      </c>
      <c r="AE1325" s="11" t="str">
        <f t="shared" si="146"/>
        <v>D51BHV52</v>
      </c>
    </row>
    <row r="1326" spans="1:31" s="51" customFormat="1" ht="15" hidden="1" customHeight="1" x14ac:dyDescent="0.3">
      <c r="A1326" s="49">
        <v>52</v>
      </c>
      <c r="B1326" s="50" t="s">
        <v>31</v>
      </c>
      <c r="C1326" s="50" t="str">
        <f t="shared" si="151"/>
        <v>AVEO|2022|AZUL|MUF515A</v>
      </c>
      <c r="D1326" s="50" t="str">
        <f t="shared" si="152"/>
        <v>OHLM031491772</v>
      </c>
      <c r="E1326" s="50" t="s">
        <v>232</v>
      </c>
      <c r="F1326" s="50" t="s">
        <v>232</v>
      </c>
      <c r="G1326" s="50" t="s">
        <v>234</v>
      </c>
      <c r="H1326" s="23">
        <v>10328.879999999999</v>
      </c>
      <c r="I1326" s="23">
        <v>-70.88</v>
      </c>
      <c r="J1326" s="23">
        <v>0</v>
      </c>
      <c r="K1326" s="23">
        <v>0</v>
      </c>
      <c r="L1326" s="23">
        <v>-4510.1099999999997</v>
      </c>
      <c r="M1326" s="23">
        <v>-168.5133351450462</v>
      </c>
      <c r="N1326" s="23">
        <v>0</v>
      </c>
      <c r="O1326" s="23">
        <f t="shared" si="147"/>
        <v>5579.3766648549545</v>
      </c>
      <c r="P1326" s="23">
        <v>-2500</v>
      </c>
      <c r="Q1326" s="23">
        <v>0</v>
      </c>
      <c r="R1326" s="23">
        <v>-500</v>
      </c>
      <c r="S1326" s="23">
        <v>0</v>
      </c>
      <c r="T1326" s="23">
        <v>0</v>
      </c>
      <c r="U1326" s="23">
        <v>0</v>
      </c>
      <c r="V1326" s="23">
        <v>0</v>
      </c>
      <c r="W1326" s="23">
        <f t="shared" si="148"/>
        <v>2579.3766648549545</v>
      </c>
      <c r="X1326" s="23">
        <f t="shared" si="149"/>
        <v>2579.3766648549545</v>
      </c>
      <c r="Y1326" s="23">
        <f t="shared" si="150"/>
        <v>0</v>
      </c>
      <c r="Z1326" s="23">
        <v>0</v>
      </c>
      <c r="AA1326" s="23">
        <f t="shared" si="144"/>
        <v>0</v>
      </c>
      <c r="AB1326" s="23">
        <f t="shared" si="145"/>
        <v>3000</v>
      </c>
      <c r="AC1326" s="50"/>
      <c r="AD1326" s="20" t="str">
        <f>VLOOKUP($C1326,'[1]CTRL AUTOS'!$E:$AH,2,0)</f>
        <v>MUF515A</v>
      </c>
      <c r="AE1326" s="11" t="str">
        <f t="shared" si="146"/>
        <v>MUF515A52</v>
      </c>
    </row>
    <row r="1327" spans="1:31" s="51" customFormat="1" ht="15" hidden="1" customHeight="1" x14ac:dyDescent="0.3">
      <c r="A1327" s="49">
        <v>52</v>
      </c>
      <c r="B1327" s="20" t="s">
        <v>33</v>
      </c>
      <c r="C1327" s="50" t="str">
        <f t="shared" si="151"/>
        <v>AVEO|2018|GRIS|X59AWG</v>
      </c>
      <c r="D1327" s="50" t="str">
        <f t="shared" si="152"/>
        <v>OHLM031409063</v>
      </c>
      <c r="E1327" s="50" t="s">
        <v>232</v>
      </c>
      <c r="F1327" s="50" t="s">
        <v>232</v>
      </c>
      <c r="G1327" s="50" t="s">
        <v>234</v>
      </c>
      <c r="H1327" s="23">
        <v>3478.35</v>
      </c>
      <c r="I1327" s="23">
        <v>-38.08</v>
      </c>
      <c r="J1327" s="23">
        <v>0</v>
      </c>
      <c r="K1327" s="23">
        <v>-34.199999999999996</v>
      </c>
      <c r="L1327" s="23">
        <v>-516.65</v>
      </c>
      <c r="M1327" s="23">
        <v>-19.30383396473437</v>
      </c>
      <c r="N1327" s="23">
        <v>-29.713600000000003</v>
      </c>
      <c r="O1327" s="23">
        <f t="shared" si="147"/>
        <v>2840.4025660352659</v>
      </c>
      <c r="P1327" s="23">
        <v>-2500</v>
      </c>
      <c r="Q1327" s="23">
        <v>0</v>
      </c>
      <c r="R1327" s="23">
        <v>-500</v>
      </c>
      <c r="S1327" s="23">
        <v>0</v>
      </c>
      <c r="T1327" s="23">
        <v>-700</v>
      </c>
      <c r="U1327" s="23">
        <v>0</v>
      </c>
      <c r="V1327" s="23">
        <v>0</v>
      </c>
      <c r="W1327" s="23">
        <f t="shared" si="148"/>
        <v>-859.59743396473414</v>
      </c>
      <c r="X1327" s="23">
        <f t="shared" si="149"/>
        <v>0</v>
      </c>
      <c r="Y1327" s="23">
        <f t="shared" si="150"/>
        <v>-859.59743396473414</v>
      </c>
      <c r="Z1327" s="23">
        <v>300</v>
      </c>
      <c r="AA1327" s="23">
        <f t="shared" si="144"/>
        <v>-559.59743396473414</v>
      </c>
      <c r="AB1327" s="23">
        <f t="shared" si="145"/>
        <v>2580.8051320705317</v>
      </c>
      <c r="AC1327" s="50" t="s">
        <v>578</v>
      </c>
      <c r="AD1327" s="20" t="str">
        <f>VLOOKUP($C1327,'[1]CTRL AUTOS'!$E:$AH,2,0)</f>
        <v>X59AWG</v>
      </c>
      <c r="AE1327" s="11" t="str">
        <f t="shared" si="146"/>
        <v>X59AWG52</v>
      </c>
    </row>
    <row r="1328" spans="1:31" s="51" customFormat="1" ht="15" hidden="1" customHeight="1" x14ac:dyDescent="0.3">
      <c r="A1328" s="49">
        <v>52</v>
      </c>
      <c r="B1328" s="50" t="s">
        <v>35</v>
      </c>
      <c r="C1328" s="50" t="str">
        <f t="shared" si="151"/>
        <v>AVEO|2023|GRIS|MLC126A</v>
      </c>
      <c r="D1328" s="50" t="str">
        <f t="shared" si="152"/>
        <v>OHLM037480332</v>
      </c>
      <c r="E1328" s="50" t="s">
        <v>232</v>
      </c>
      <c r="F1328" s="50" t="s">
        <v>232</v>
      </c>
      <c r="G1328" s="50" t="s">
        <v>234</v>
      </c>
      <c r="H1328" s="23">
        <v>8232.76</v>
      </c>
      <c r="I1328" s="23">
        <v>-70.88</v>
      </c>
      <c r="J1328" s="23">
        <v>0</v>
      </c>
      <c r="K1328" s="23">
        <v>0</v>
      </c>
      <c r="L1328" s="23">
        <v>-5349.74</v>
      </c>
      <c r="M1328" s="23">
        <v>-199.88482089325086</v>
      </c>
      <c r="N1328" s="23">
        <v>0</v>
      </c>
      <c r="O1328" s="23">
        <f t="shared" si="147"/>
        <v>2612.2551791067494</v>
      </c>
      <c r="P1328" s="23">
        <v>-2500</v>
      </c>
      <c r="Q1328" s="23">
        <v>-33</v>
      </c>
      <c r="R1328" s="23">
        <v>0</v>
      </c>
      <c r="S1328" s="23">
        <v>0</v>
      </c>
      <c r="T1328" s="23">
        <v>-400</v>
      </c>
      <c r="U1328" s="23">
        <v>0</v>
      </c>
      <c r="V1328" s="23">
        <v>0</v>
      </c>
      <c r="W1328" s="23">
        <f t="shared" si="148"/>
        <v>-320.74482089325056</v>
      </c>
      <c r="X1328" s="23">
        <f t="shared" si="149"/>
        <v>0</v>
      </c>
      <c r="Y1328" s="23">
        <f t="shared" si="150"/>
        <v>-320.74482089325056</v>
      </c>
      <c r="Z1328" s="23">
        <v>0</v>
      </c>
      <c r="AA1328" s="23">
        <f t="shared" si="144"/>
        <v>-320.74482089325056</v>
      </c>
      <c r="AB1328" s="23">
        <f t="shared" si="145"/>
        <v>2291.5103582134989</v>
      </c>
      <c r="AC1328" s="50" t="s">
        <v>573</v>
      </c>
      <c r="AD1328" s="20" t="str">
        <f>VLOOKUP($C1328,'[1]CTRL AUTOS'!$E:$AH,2,0)</f>
        <v>MLC126A</v>
      </c>
      <c r="AE1328" s="11" t="str">
        <f t="shared" si="146"/>
        <v>MLC126A52</v>
      </c>
    </row>
    <row r="1329" spans="1:31" s="51" customFormat="1" ht="15" hidden="1" customHeight="1" x14ac:dyDescent="0.3">
      <c r="A1329" s="49">
        <v>52</v>
      </c>
      <c r="B1329" s="50" t="s">
        <v>37</v>
      </c>
      <c r="C1329" s="50" t="str">
        <f t="shared" si="151"/>
        <v>VENTO|2020|GRIS|A19BDY</v>
      </c>
      <c r="D1329" s="50" t="s">
        <v>579</v>
      </c>
      <c r="E1329" s="50" t="s">
        <v>232</v>
      </c>
      <c r="F1329" s="50" t="s">
        <v>232</v>
      </c>
      <c r="G1329" s="50" t="s">
        <v>234</v>
      </c>
      <c r="H1329" s="23">
        <v>4778.24</v>
      </c>
      <c r="I1329" s="23">
        <v>-44.480000000000004</v>
      </c>
      <c r="J1329" s="23">
        <v>0</v>
      </c>
      <c r="K1329" s="23">
        <v>0</v>
      </c>
      <c r="L1329" s="23">
        <v>-2333.8599999999997</v>
      </c>
      <c r="M1329" s="23">
        <v>-87.201095397144968</v>
      </c>
      <c r="N1329" s="23">
        <v>0</v>
      </c>
      <c r="O1329" s="23">
        <f t="shared" si="147"/>
        <v>2312.6989046028557</v>
      </c>
      <c r="P1329" s="23">
        <v>-2500</v>
      </c>
      <c r="Q1329" s="23">
        <v>0</v>
      </c>
      <c r="R1329" s="23">
        <v>0</v>
      </c>
      <c r="S1329" s="23">
        <v>0</v>
      </c>
      <c r="T1329" s="23">
        <v>0</v>
      </c>
      <c r="U1329" s="23">
        <v>0</v>
      </c>
      <c r="V1329" s="23">
        <v>0</v>
      </c>
      <c r="W1329" s="23">
        <f t="shared" si="148"/>
        <v>-187.30109539714431</v>
      </c>
      <c r="X1329" s="23">
        <f t="shared" si="149"/>
        <v>0</v>
      </c>
      <c r="Y1329" s="23">
        <f t="shared" si="150"/>
        <v>-187.30109539714431</v>
      </c>
      <c r="Z1329" s="23">
        <v>0</v>
      </c>
      <c r="AA1329" s="23">
        <f t="shared" si="144"/>
        <v>-187.30109539714431</v>
      </c>
      <c r="AB1329" s="23">
        <f t="shared" si="145"/>
        <v>2125.3978092057114</v>
      </c>
      <c r="AC1329" s="50" t="s">
        <v>573</v>
      </c>
      <c r="AD1329" s="20" t="str">
        <f>VLOOKUP($C1329,'[1]CTRL AUTOS'!$E:$AH,2,0)</f>
        <v>A19BDY</v>
      </c>
      <c r="AE1329" s="11" t="str">
        <f t="shared" si="146"/>
        <v>A19BDY52</v>
      </c>
    </row>
    <row r="1330" spans="1:31" s="51" customFormat="1" ht="15" hidden="1" customHeight="1" x14ac:dyDescent="0.3">
      <c r="A1330" s="49">
        <v>52</v>
      </c>
      <c r="B1330" s="50" t="s">
        <v>39</v>
      </c>
      <c r="C1330" s="50" t="str">
        <f t="shared" si="151"/>
        <v>AVEO|2019|PLATA|NEL860A</v>
      </c>
      <c r="D1330" s="50" t="str">
        <f t="shared" ref="D1330:D1347" si="153">VLOOKUP($B1330,$B$1263:$AB$1311,3,0)</f>
        <v>OHLM032370132</v>
      </c>
      <c r="E1330" s="50" t="s">
        <v>232</v>
      </c>
      <c r="F1330" s="50" t="s">
        <v>232</v>
      </c>
      <c r="G1330" s="50" t="s">
        <v>234</v>
      </c>
      <c r="H1330" s="23">
        <v>1183.49</v>
      </c>
      <c r="I1330" s="23">
        <v>0</v>
      </c>
      <c r="J1330" s="23">
        <v>0</v>
      </c>
      <c r="K1330" s="23">
        <v>0</v>
      </c>
      <c r="L1330" s="23">
        <v>-279.88</v>
      </c>
      <c r="M1330" s="23">
        <v>-10.457286460950073</v>
      </c>
      <c r="N1330" s="23">
        <v>-53.760000000000005</v>
      </c>
      <c r="O1330" s="23">
        <f t="shared" si="147"/>
        <v>839.39271353904996</v>
      </c>
      <c r="P1330" s="23">
        <v>-2500</v>
      </c>
      <c r="Q1330" s="23">
        <v>0.21000000000003638</v>
      </c>
      <c r="R1330" s="23">
        <v>-500</v>
      </c>
      <c r="S1330" s="23">
        <v>0</v>
      </c>
      <c r="T1330" s="23">
        <v>0</v>
      </c>
      <c r="U1330" s="23">
        <v>0</v>
      </c>
      <c r="V1330" s="23">
        <v>0</v>
      </c>
      <c r="W1330" s="23">
        <f t="shared" si="148"/>
        <v>-2160.39728646095</v>
      </c>
      <c r="X1330" s="23">
        <f t="shared" si="149"/>
        <v>0</v>
      </c>
      <c r="Y1330" s="23">
        <f t="shared" si="150"/>
        <v>-2160.39728646095</v>
      </c>
      <c r="Z1330" s="23">
        <f>1500+660</f>
        <v>2160</v>
      </c>
      <c r="AA1330" s="23">
        <f t="shared" si="144"/>
        <v>-0.39728646094999931</v>
      </c>
      <c r="AB1330" s="23">
        <f t="shared" si="145"/>
        <v>2998.9954270781</v>
      </c>
      <c r="AC1330" s="50" t="s">
        <v>580</v>
      </c>
      <c r="AD1330" s="20" t="str">
        <f>VLOOKUP($C1330,'[1]CTRL AUTOS'!$E:$AH,2,0)</f>
        <v>NEL860A</v>
      </c>
      <c r="AE1330" s="11" t="str">
        <f t="shared" si="146"/>
        <v>NEL860A52</v>
      </c>
    </row>
    <row r="1331" spans="1:31" s="51" customFormat="1" ht="15" hidden="1" customHeight="1" x14ac:dyDescent="0.3">
      <c r="A1331" s="49">
        <v>52</v>
      </c>
      <c r="B1331" s="50" t="s">
        <v>41</v>
      </c>
      <c r="C1331" s="50" t="str">
        <f t="shared" si="151"/>
        <v>VENTO|2017|GRIS|MMA672C</v>
      </c>
      <c r="D1331" s="50" t="str">
        <f t="shared" si="153"/>
        <v>OHLM023720279</v>
      </c>
      <c r="E1331" s="50" t="s">
        <v>232</v>
      </c>
      <c r="F1331" s="50" t="s">
        <v>232</v>
      </c>
      <c r="G1331" s="50" t="s">
        <v>234</v>
      </c>
      <c r="H1331" s="23">
        <v>8062.14</v>
      </c>
      <c r="I1331" s="23">
        <v>-246.4</v>
      </c>
      <c r="J1331" s="23">
        <v>0</v>
      </c>
      <c r="K1331" s="23">
        <v>0</v>
      </c>
      <c r="L1331" s="23">
        <v>-162.68</v>
      </c>
      <c r="M1331" s="23">
        <v>-6.0782884145610909</v>
      </c>
      <c r="N1331" s="23">
        <v>0</v>
      </c>
      <c r="O1331" s="23">
        <f t="shared" si="147"/>
        <v>7646.9817115854394</v>
      </c>
      <c r="P1331" s="23">
        <f>-357.142857142857*5.5</f>
        <v>-1964.2857142857135</v>
      </c>
      <c r="Q1331" s="23">
        <v>0</v>
      </c>
      <c r="R1331" s="23">
        <f>-71.4285714285714*5.5</f>
        <v>-392.85714285714272</v>
      </c>
      <c r="S1331" s="23">
        <v>0</v>
      </c>
      <c r="T1331" s="23">
        <v>0</v>
      </c>
      <c r="U1331" s="23">
        <v>0</v>
      </c>
      <c r="V1331" s="23">
        <v>0</v>
      </c>
      <c r="W1331" s="23">
        <f t="shared" si="148"/>
        <v>5289.8388544425834</v>
      </c>
      <c r="X1331" s="23">
        <f t="shared" si="149"/>
        <v>5289.8388544425834</v>
      </c>
      <c r="Y1331" s="23">
        <f t="shared" si="150"/>
        <v>0</v>
      </c>
      <c r="Z1331" s="23">
        <v>0</v>
      </c>
      <c r="AA1331" s="23">
        <f t="shared" si="144"/>
        <v>0</v>
      </c>
      <c r="AB1331" s="23">
        <f t="shared" si="145"/>
        <v>2357.142857142856</v>
      </c>
      <c r="AC1331" s="50" t="s">
        <v>581</v>
      </c>
      <c r="AD1331" s="20" t="str">
        <f>VLOOKUP($C1331,'[1]CTRL AUTOS'!$E:$AH,2,0)</f>
        <v>MMA672C</v>
      </c>
      <c r="AE1331" s="11" t="str">
        <f t="shared" si="146"/>
        <v>MMA672C52</v>
      </c>
    </row>
    <row r="1332" spans="1:31" s="51" customFormat="1" ht="15" hidden="1" customHeight="1" x14ac:dyDescent="0.3">
      <c r="A1332" s="49">
        <v>52</v>
      </c>
      <c r="B1332" s="50" t="s">
        <v>43</v>
      </c>
      <c r="C1332" s="50" t="str">
        <f t="shared" si="151"/>
        <v>BEAT|2019|OCRE|MAY730C</v>
      </c>
      <c r="D1332" s="50" t="str">
        <f t="shared" si="153"/>
        <v>OHLM036759058</v>
      </c>
      <c r="E1332" s="22" t="s">
        <v>232</v>
      </c>
      <c r="F1332" s="50" t="s">
        <v>232</v>
      </c>
      <c r="G1332" s="50" t="s">
        <v>234</v>
      </c>
      <c r="H1332" s="23">
        <v>1671.43</v>
      </c>
      <c r="I1332" s="23">
        <v>-11.17</v>
      </c>
      <c r="J1332" s="23">
        <v>0</v>
      </c>
      <c r="K1332" s="23">
        <v>0</v>
      </c>
      <c r="L1332" s="23">
        <v>0</v>
      </c>
      <c r="M1332" s="23">
        <v>0</v>
      </c>
      <c r="N1332" s="23">
        <v>0</v>
      </c>
      <c r="O1332" s="23">
        <f t="shared" si="147"/>
        <v>1660.26</v>
      </c>
      <c r="P1332" s="23">
        <v>-2500</v>
      </c>
      <c r="Q1332" s="23">
        <v>-128.01599999999971</v>
      </c>
      <c r="R1332" s="23">
        <v>-500</v>
      </c>
      <c r="S1332" s="23">
        <v>0</v>
      </c>
      <c r="T1332" s="23">
        <v>0</v>
      </c>
      <c r="U1332" s="23">
        <v>0</v>
      </c>
      <c r="V1332" s="23">
        <v>0</v>
      </c>
      <c r="W1332" s="23">
        <f t="shared" si="148"/>
        <v>-1467.7559999999996</v>
      </c>
      <c r="X1332" s="23">
        <f t="shared" si="149"/>
        <v>0</v>
      </c>
      <c r="Y1332" s="23">
        <f t="shared" si="150"/>
        <v>-1467.7559999999996</v>
      </c>
      <c r="Z1332" s="23">
        <f>1100+300</f>
        <v>1400</v>
      </c>
      <c r="AA1332" s="23">
        <f t="shared" si="144"/>
        <v>-67.755999999999631</v>
      </c>
      <c r="AB1332" s="23">
        <f t="shared" si="145"/>
        <v>2992.5040000000008</v>
      </c>
      <c r="AC1332" s="50" t="s">
        <v>582</v>
      </c>
      <c r="AD1332" s="20" t="str">
        <f>VLOOKUP($C1332,'[1]CTRL AUTOS'!$E:$AH,2,0)</f>
        <v>MAY730C</v>
      </c>
      <c r="AE1332" s="11" t="str">
        <f t="shared" si="146"/>
        <v>MAY730C52</v>
      </c>
    </row>
    <row r="1333" spans="1:31" s="51" customFormat="1" ht="15" customHeight="1" x14ac:dyDescent="0.3">
      <c r="A1333" s="49">
        <v>52</v>
      </c>
      <c r="B1333" s="50" t="s">
        <v>45</v>
      </c>
      <c r="C1333" s="50" t="str">
        <f t="shared" si="151"/>
        <v>VENTO|2020|GRIS|R66BER</v>
      </c>
      <c r="D1333" s="50" t="str">
        <f t="shared" si="153"/>
        <v>OHLM023720329</v>
      </c>
      <c r="E1333" s="50" t="s">
        <v>232</v>
      </c>
      <c r="F1333" s="50" t="s">
        <v>232</v>
      </c>
      <c r="G1333" s="50" t="s">
        <v>234</v>
      </c>
      <c r="H1333" s="23">
        <v>7617</v>
      </c>
      <c r="I1333" s="23">
        <v>-30.88</v>
      </c>
      <c r="J1333" s="23">
        <v>0</v>
      </c>
      <c r="K1333" s="23">
        <v>0</v>
      </c>
      <c r="L1333" s="23">
        <v>-1806.3300000000004</v>
      </c>
      <c r="M1333" s="23">
        <v>-67.49074693800182</v>
      </c>
      <c r="N1333" s="23">
        <v>-309.12</v>
      </c>
      <c r="O1333" s="23">
        <f t="shared" si="147"/>
        <v>5403.1792530619978</v>
      </c>
      <c r="P1333" s="23">
        <v>-2500</v>
      </c>
      <c r="Q1333" s="23">
        <v>0</v>
      </c>
      <c r="R1333" s="23">
        <v>0</v>
      </c>
      <c r="S1333" s="23">
        <v>0</v>
      </c>
      <c r="T1333" s="23">
        <v>0</v>
      </c>
      <c r="U1333" s="23">
        <v>0</v>
      </c>
      <c r="V1333" s="23">
        <v>0</v>
      </c>
      <c r="W1333" s="23">
        <f t="shared" si="148"/>
        <v>2903.1792530619978</v>
      </c>
      <c r="X1333" s="23">
        <f t="shared" si="149"/>
        <v>2903.1792530619978</v>
      </c>
      <c r="Y1333" s="23">
        <f t="shared" si="150"/>
        <v>0</v>
      </c>
      <c r="Z1333" s="23">
        <v>0</v>
      </c>
      <c r="AA1333" s="23">
        <f t="shared" si="144"/>
        <v>0</v>
      </c>
      <c r="AB1333" s="23">
        <f t="shared" si="145"/>
        <v>2500</v>
      </c>
      <c r="AC1333" s="50"/>
      <c r="AD1333" s="20" t="str">
        <f>VLOOKUP($C1333,'[1]CTRL AUTOS'!$E:$AH,2,0)</f>
        <v>R66BER</v>
      </c>
      <c r="AE1333" s="11" t="str">
        <f t="shared" si="146"/>
        <v>R66BER52</v>
      </c>
    </row>
    <row r="1334" spans="1:31" s="51" customFormat="1" ht="15" hidden="1" customHeight="1" x14ac:dyDescent="0.3">
      <c r="A1334" s="49">
        <v>52</v>
      </c>
      <c r="B1334" s="50" t="s">
        <v>47</v>
      </c>
      <c r="C1334" s="50" t="str">
        <f t="shared" si="151"/>
        <v>MARCH|2021|ROJO|NZU5163</v>
      </c>
      <c r="D1334" s="50" t="str">
        <f t="shared" si="153"/>
        <v>OHLM032370157</v>
      </c>
      <c r="E1334" s="50" t="s">
        <v>232</v>
      </c>
      <c r="F1334" s="50" t="s">
        <v>232</v>
      </c>
      <c r="G1334" s="50" t="s">
        <v>234</v>
      </c>
      <c r="H1334" s="23">
        <v>6528.91</v>
      </c>
      <c r="I1334" s="23">
        <v>-57.599999999999994</v>
      </c>
      <c r="J1334" s="23">
        <v>0</v>
      </c>
      <c r="K1334" s="23">
        <v>-68.970000000000013</v>
      </c>
      <c r="L1334" s="23">
        <v>-3307.8799999999997</v>
      </c>
      <c r="M1334" s="23">
        <v>-123.59385714751868</v>
      </c>
      <c r="N1334" s="23">
        <v>0</v>
      </c>
      <c r="O1334" s="23">
        <f t="shared" si="147"/>
        <v>2970.8661428524811</v>
      </c>
      <c r="P1334" s="23">
        <v>-2500</v>
      </c>
      <c r="Q1334" s="23">
        <v>0</v>
      </c>
      <c r="R1334" s="23">
        <v>-500</v>
      </c>
      <c r="S1334" s="23">
        <v>0</v>
      </c>
      <c r="T1334" s="23">
        <v>0</v>
      </c>
      <c r="U1334" s="23">
        <v>0</v>
      </c>
      <c r="V1334" s="23">
        <v>0</v>
      </c>
      <c r="W1334" s="23">
        <f t="shared" si="148"/>
        <v>-29.133857147518938</v>
      </c>
      <c r="X1334" s="23">
        <f t="shared" si="149"/>
        <v>0</v>
      </c>
      <c r="Y1334" s="23">
        <f t="shared" si="150"/>
        <v>-29.133857147518938</v>
      </c>
      <c r="Z1334" s="23">
        <v>29</v>
      </c>
      <c r="AA1334" s="23">
        <f t="shared" si="144"/>
        <v>-0.13385714751893829</v>
      </c>
      <c r="AB1334" s="23">
        <f t="shared" si="145"/>
        <v>2999.7322857049621</v>
      </c>
      <c r="AC1334" s="50" t="s">
        <v>583</v>
      </c>
      <c r="AD1334" s="20" t="str">
        <f>VLOOKUP($C1334,'[1]CTRL AUTOS'!$E:$AH,2,0)</f>
        <v>NZU5163</v>
      </c>
      <c r="AE1334" s="11" t="str">
        <f t="shared" si="146"/>
        <v>NZU516352</v>
      </c>
    </row>
    <row r="1335" spans="1:31" s="51" customFormat="1" ht="15" hidden="1" customHeight="1" x14ac:dyDescent="0.3">
      <c r="A1335" s="49">
        <v>52</v>
      </c>
      <c r="B1335" s="50" t="s">
        <v>49</v>
      </c>
      <c r="C1335" s="50" t="str">
        <f t="shared" si="151"/>
        <v>AVEO|2019|BLANCO|NBS225A</v>
      </c>
      <c r="D1335" s="50" t="str">
        <f t="shared" si="153"/>
        <v>OHLM038285797</v>
      </c>
      <c r="E1335" s="50" t="s">
        <v>232</v>
      </c>
      <c r="F1335" s="50" t="s">
        <v>232</v>
      </c>
      <c r="G1335" s="50" t="s">
        <v>234</v>
      </c>
      <c r="H1335" s="23">
        <v>8396.17</v>
      </c>
      <c r="I1335" s="23">
        <v>-97.789999999999992</v>
      </c>
      <c r="J1335" s="23">
        <v>0</v>
      </c>
      <c r="K1335" s="23">
        <v>0</v>
      </c>
      <c r="L1335" s="23">
        <v>-390</v>
      </c>
      <c r="M1335" s="23">
        <v>-14.571751178256855</v>
      </c>
      <c r="N1335" s="23">
        <v>0</v>
      </c>
      <c r="O1335" s="23">
        <f t="shared" si="147"/>
        <v>7893.8082488217424</v>
      </c>
      <c r="P1335" s="23">
        <v>-2500</v>
      </c>
      <c r="Q1335" s="23">
        <v>0</v>
      </c>
      <c r="R1335" s="23">
        <v>0</v>
      </c>
      <c r="S1335" s="23">
        <v>0</v>
      </c>
      <c r="T1335" s="23">
        <v>-700</v>
      </c>
      <c r="U1335" s="23">
        <v>0</v>
      </c>
      <c r="V1335" s="23">
        <v>0</v>
      </c>
      <c r="W1335" s="23">
        <f t="shared" si="148"/>
        <v>4693.8082488217424</v>
      </c>
      <c r="X1335" s="23">
        <f t="shared" si="149"/>
        <v>4693.8082488217424</v>
      </c>
      <c r="Y1335" s="23">
        <f t="shared" si="150"/>
        <v>0</v>
      </c>
      <c r="Z1335" s="23">
        <v>0</v>
      </c>
      <c r="AA1335" s="23">
        <f t="shared" si="144"/>
        <v>0</v>
      </c>
      <c r="AB1335" s="23">
        <f t="shared" si="145"/>
        <v>3200</v>
      </c>
      <c r="AC1335" s="50"/>
      <c r="AD1335" s="20" t="str">
        <f>VLOOKUP($C1335,'[1]CTRL AUTOS'!$E:$AH,2,0)</f>
        <v>NBS225A</v>
      </c>
      <c r="AE1335" s="11" t="str">
        <f t="shared" si="146"/>
        <v>NBS225A52</v>
      </c>
    </row>
    <row r="1336" spans="1:31" s="51" customFormat="1" ht="15" hidden="1" customHeight="1" x14ac:dyDescent="0.3">
      <c r="A1336" s="49">
        <v>52</v>
      </c>
      <c r="B1336" s="50" t="s">
        <v>51</v>
      </c>
      <c r="C1336" s="50" t="str">
        <f t="shared" si="151"/>
        <v>VERSA|2020|BLANCO|A35BHD</v>
      </c>
      <c r="D1336" s="50" t="str">
        <f t="shared" si="153"/>
        <v>OHLM032370082</v>
      </c>
      <c r="E1336" s="50" t="s">
        <v>232</v>
      </c>
      <c r="F1336" s="50" t="s">
        <v>232</v>
      </c>
      <c r="G1336" s="50" t="s">
        <v>234</v>
      </c>
      <c r="H1336" s="23">
        <v>3116.46</v>
      </c>
      <c r="I1336" s="23">
        <v>-72.33</v>
      </c>
      <c r="J1336" s="23">
        <v>0</v>
      </c>
      <c r="K1336" s="23">
        <v>-20.84</v>
      </c>
      <c r="L1336" s="23">
        <v>0</v>
      </c>
      <c r="M1336" s="23">
        <v>0</v>
      </c>
      <c r="N1336" s="23">
        <v>0</v>
      </c>
      <c r="O1336" s="23">
        <f t="shared" si="147"/>
        <v>3023.29</v>
      </c>
      <c r="P1336" s="23">
        <v>-2500</v>
      </c>
      <c r="Q1336" s="23">
        <v>0</v>
      </c>
      <c r="R1336" s="23">
        <v>0</v>
      </c>
      <c r="S1336" s="23">
        <v>0</v>
      </c>
      <c r="T1336" s="23">
        <v>0</v>
      </c>
      <c r="U1336" s="23">
        <v>0</v>
      </c>
      <c r="V1336" s="23">
        <v>0</v>
      </c>
      <c r="W1336" s="23">
        <f t="shared" si="148"/>
        <v>523.29</v>
      </c>
      <c r="X1336" s="23">
        <f t="shared" si="149"/>
        <v>523.29</v>
      </c>
      <c r="Y1336" s="23">
        <f t="shared" si="150"/>
        <v>0</v>
      </c>
      <c r="Z1336" s="23">
        <v>0</v>
      </c>
      <c r="AA1336" s="23">
        <f t="shared" si="144"/>
        <v>0</v>
      </c>
      <c r="AB1336" s="23">
        <f t="shared" si="145"/>
        <v>2500</v>
      </c>
      <c r="AC1336" s="50"/>
      <c r="AD1336" s="20" t="str">
        <f>VLOOKUP($C1336,'[1]CTRL AUTOS'!$E:$AH,2,0)</f>
        <v>A35BHD</v>
      </c>
      <c r="AE1336" s="11" t="str">
        <f t="shared" si="146"/>
        <v>A35BHD52</v>
      </c>
    </row>
    <row r="1337" spans="1:31" s="51" customFormat="1" ht="15" hidden="1" customHeight="1" x14ac:dyDescent="0.3">
      <c r="A1337" s="49">
        <v>52</v>
      </c>
      <c r="B1337" s="20" t="s">
        <v>53</v>
      </c>
      <c r="C1337" s="50" t="str">
        <f t="shared" si="151"/>
        <v>AVEO|2023|VINO|R22BMR</v>
      </c>
      <c r="D1337" s="50" t="str">
        <f t="shared" si="153"/>
        <v>OHML037480316</v>
      </c>
      <c r="E1337" s="50" t="s">
        <v>232</v>
      </c>
      <c r="F1337" s="50" t="s">
        <v>232</v>
      </c>
      <c r="G1337" s="50" t="s">
        <v>234</v>
      </c>
      <c r="H1337" s="23">
        <v>5840.54</v>
      </c>
      <c r="I1337" s="23">
        <v>-25.12</v>
      </c>
      <c r="J1337" s="23">
        <v>800</v>
      </c>
      <c r="K1337" s="23">
        <v>0</v>
      </c>
      <c r="L1337" s="23">
        <v>-2267.63</v>
      </c>
      <c r="M1337" s="23">
        <v>-100</v>
      </c>
      <c r="N1337" s="23">
        <v>0</v>
      </c>
      <c r="O1337" s="23">
        <f t="shared" si="147"/>
        <v>4247.79</v>
      </c>
      <c r="P1337" s="23">
        <v>-2500</v>
      </c>
      <c r="Q1337" s="23">
        <v>-1000</v>
      </c>
      <c r="R1337" s="23">
        <v>-500</v>
      </c>
      <c r="S1337" s="23">
        <v>0</v>
      </c>
      <c r="T1337" s="23">
        <v>0</v>
      </c>
      <c r="U1337" s="23">
        <v>0</v>
      </c>
      <c r="V1337" s="23">
        <v>0</v>
      </c>
      <c r="W1337" s="23">
        <f t="shared" si="148"/>
        <v>247.78999999999996</v>
      </c>
      <c r="X1337" s="23">
        <f t="shared" si="149"/>
        <v>247.78999999999996</v>
      </c>
      <c r="Y1337" s="23">
        <f t="shared" si="150"/>
        <v>0</v>
      </c>
      <c r="Z1337" s="23">
        <v>0</v>
      </c>
      <c r="AA1337" s="23">
        <f t="shared" si="144"/>
        <v>0</v>
      </c>
      <c r="AB1337" s="23">
        <f t="shared" si="145"/>
        <v>4000</v>
      </c>
      <c r="AC1337" s="50"/>
      <c r="AD1337" s="20" t="str">
        <f>VLOOKUP($C1337,'[1]CTRL AUTOS'!$E:$AH,2,0)</f>
        <v>R22BMR</v>
      </c>
      <c r="AE1337" s="11" t="str">
        <f t="shared" si="146"/>
        <v>R22BMR52</v>
      </c>
    </row>
    <row r="1338" spans="1:31" s="51" customFormat="1" ht="15" hidden="1" customHeight="1" x14ac:dyDescent="0.3">
      <c r="A1338" s="49">
        <v>52</v>
      </c>
      <c r="B1338" s="20" t="s">
        <v>98</v>
      </c>
      <c r="C1338" s="50" t="str">
        <f t="shared" si="151"/>
        <v>VENTO|2018|AMARILLO|PED1652</v>
      </c>
      <c r="D1338" s="50" t="str">
        <f t="shared" si="153"/>
        <v>OHLM031409055</v>
      </c>
      <c r="E1338" s="50" t="s">
        <v>232</v>
      </c>
      <c r="F1338" s="50" t="s">
        <v>232</v>
      </c>
      <c r="G1338" s="50" t="s">
        <v>234</v>
      </c>
      <c r="H1338" s="23">
        <v>77.59</v>
      </c>
      <c r="I1338" s="23">
        <v>-0.77</v>
      </c>
      <c r="J1338" s="23">
        <v>0</v>
      </c>
      <c r="K1338" s="23">
        <v>0</v>
      </c>
      <c r="L1338" s="23">
        <v>0</v>
      </c>
      <c r="M1338" s="23">
        <v>0</v>
      </c>
      <c r="N1338" s="23">
        <f>-95-11</f>
        <v>-106</v>
      </c>
      <c r="O1338" s="23">
        <f t="shared" si="147"/>
        <v>-29.179999999999993</v>
      </c>
      <c r="P1338" s="23">
        <v>-2500</v>
      </c>
      <c r="Q1338" s="23">
        <v>0.13000000000010914</v>
      </c>
      <c r="R1338" s="23">
        <v>0</v>
      </c>
      <c r="S1338" s="23">
        <v>0</v>
      </c>
      <c r="T1338" s="23">
        <v>0</v>
      </c>
      <c r="U1338" s="23">
        <v>0</v>
      </c>
      <c r="V1338" s="23">
        <v>0</v>
      </c>
      <c r="W1338" s="23">
        <f t="shared" si="148"/>
        <v>-2529.0499999999997</v>
      </c>
      <c r="X1338" s="23">
        <f t="shared" si="149"/>
        <v>0</v>
      </c>
      <c r="Y1338" s="23">
        <f t="shared" si="150"/>
        <v>-2529.0499999999997</v>
      </c>
      <c r="Z1338" s="23">
        <v>3400</v>
      </c>
      <c r="AA1338" s="23">
        <f t="shared" si="144"/>
        <v>870.95000000000027</v>
      </c>
      <c r="AB1338" s="23">
        <f t="shared" si="145"/>
        <v>4241.7700000000004</v>
      </c>
      <c r="AC1338" s="50" t="s">
        <v>584</v>
      </c>
      <c r="AD1338" s="20" t="e">
        <f>VLOOKUP($C1338,'[1]CTRL AUTOS'!$E:$AH,2,0)</f>
        <v>#N/A</v>
      </c>
      <c r="AE1338" s="11" t="e">
        <f t="shared" si="146"/>
        <v>#N/A</v>
      </c>
    </row>
    <row r="1339" spans="1:31" s="51" customFormat="1" ht="15" hidden="1" customHeight="1" x14ac:dyDescent="0.3">
      <c r="A1339" s="49">
        <v>52</v>
      </c>
      <c r="B1339" s="50" t="s">
        <v>57</v>
      </c>
      <c r="C1339" s="50" t="str">
        <f t="shared" si="151"/>
        <v>AVEO|2020|AZUL|D28BET</v>
      </c>
      <c r="D1339" s="50" t="str">
        <f t="shared" si="153"/>
        <v>OHLM032370140</v>
      </c>
      <c r="E1339" s="50" t="s">
        <v>232</v>
      </c>
      <c r="F1339" s="50" t="s">
        <v>232</v>
      </c>
      <c r="G1339" s="50" t="s">
        <v>234</v>
      </c>
      <c r="H1339" s="23">
        <v>0</v>
      </c>
      <c r="I1339" s="23">
        <v>0</v>
      </c>
      <c r="J1339" s="23">
        <v>0</v>
      </c>
      <c r="K1339" s="23">
        <v>0</v>
      </c>
      <c r="L1339" s="23">
        <v>0</v>
      </c>
      <c r="M1339" s="23">
        <v>0</v>
      </c>
      <c r="N1339" s="23">
        <v>0</v>
      </c>
      <c r="O1339" s="23">
        <f t="shared" si="147"/>
        <v>0</v>
      </c>
      <c r="P1339" s="23">
        <v>0</v>
      </c>
      <c r="Q1339" s="23">
        <v>0</v>
      </c>
      <c r="R1339" s="23">
        <v>500</v>
      </c>
      <c r="S1339" s="23">
        <v>0</v>
      </c>
      <c r="T1339" s="23">
        <v>0</v>
      </c>
      <c r="U1339" s="23">
        <v>0</v>
      </c>
      <c r="V1339" s="23">
        <v>0</v>
      </c>
      <c r="W1339" s="23">
        <f t="shared" si="148"/>
        <v>500</v>
      </c>
      <c r="X1339" s="23">
        <f t="shared" si="149"/>
        <v>500</v>
      </c>
      <c r="Y1339" s="23">
        <f t="shared" si="150"/>
        <v>0</v>
      </c>
      <c r="Z1339" s="23">
        <v>0</v>
      </c>
      <c r="AA1339" s="23">
        <f t="shared" si="144"/>
        <v>0</v>
      </c>
      <c r="AB1339" s="23">
        <f t="shared" si="145"/>
        <v>-500</v>
      </c>
      <c r="AC1339" s="50"/>
      <c r="AD1339" s="20" t="str">
        <f>VLOOKUP($C1339,'[1]CTRL AUTOS'!$E:$AH,2,0)</f>
        <v>D28BET</v>
      </c>
      <c r="AE1339" s="11" t="str">
        <f t="shared" si="146"/>
        <v>D28BET52</v>
      </c>
    </row>
    <row r="1340" spans="1:31" s="51" customFormat="1" ht="15" hidden="1" customHeight="1" x14ac:dyDescent="0.3">
      <c r="A1340" s="49">
        <v>52</v>
      </c>
      <c r="B1340" s="20" t="s">
        <v>414</v>
      </c>
      <c r="C1340" s="50" t="str">
        <f t="shared" si="151"/>
        <v>AVEO|2022|VINO|P62BHW</v>
      </c>
      <c r="D1340" s="50" t="str">
        <f t="shared" si="153"/>
        <v>OHLM037480340</v>
      </c>
      <c r="E1340" s="50" t="s">
        <v>232</v>
      </c>
      <c r="F1340" s="50" t="s">
        <v>232</v>
      </c>
      <c r="G1340" s="50" t="s">
        <v>234</v>
      </c>
      <c r="H1340" s="23">
        <v>0</v>
      </c>
      <c r="I1340" s="23">
        <v>0</v>
      </c>
      <c r="J1340" s="23">
        <v>0</v>
      </c>
      <c r="K1340" s="23">
        <v>0</v>
      </c>
      <c r="L1340" s="23">
        <v>0</v>
      </c>
      <c r="M1340" s="23">
        <v>0</v>
      </c>
      <c r="N1340" s="23">
        <v>0</v>
      </c>
      <c r="O1340" s="23">
        <f t="shared" si="147"/>
        <v>0</v>
      </c>
      <c r="P1340" s="23">
        <v>0</v>
      </c>
      <c r="Q1340" s="23">
        <v>0</v>
      </c>
      <c r="R1340" s="23">
        <v>500</v>
      </c>
      <c r="S1340" s="23">
        <v>0</v>
      </c>
      <c r="T1340" s="23">
        <v>0</v>
      </c>
      <c r="U1340" s="23">
        <v>0</v>
      </c>
      <c r="V1340" s="23">
        <v>0</v>
      </c>
      <c r="W1340" s="23">
        <f t="shared" si="148"/>
        <v>500</v>
      </c>
      <c r="X1340" s="23">
        <f t="shared" si="149"/>
        <v>500</v>
      </c>
      <c r="Y1340" s="23">
        <f t="shared" si="150"/>
        <v>0</v>
      </c>
      <c r="Z1340" s="23">
        <v>0</v>
      </c>
      <c r="AA1340" s="23">
        <f t="shared" si="144"/>
        <v>0</v>
      </c>
      <c r="AB1340" s="23">
        <f t="shared" si="145"/>
        <v>-500</v>
      </c>
      <c r="AC1340" s="50"/>
      <c r="AD1340" s="20" t="str">
        <f>VLOOKUP($C1340,'[1]CTRL AUTOS'!$E:$AH,2,0)</f>
        <v>P62BHW</v>
      </c>
      <c r="AE1340" s="11" t="str">
        <f t="shared" si="146"/>
        <v>P62BHW52</v>
      </c>
    </row>
    <row r="1341" spans="1:31" s="51" customFormat="1" ht="15" hidden="1" customHeight="1" x14ac:dyDescent="0.3">
      <c r="A1341" s="49">
        <v>52</v>
      </c>
      <c r="B1341" s="50" t="s">
        <v>444</v>
      </c>
      <c r="C1341" s="50" t="str">
        <f t="shared" si="151"/>
        <v>BEAT|2019|OCRE|MAY730C</v>
      </c>
      <c r="D1341" s="50" t="str">
        <f t="shared" si="153"/>
        <v>OHLM036759058</v>
      </c>
      <c r="E1341" s="22" t="s">
        <v>232</v>
      </c>
      <c r="F1341" s="50" t="s">
        <v>232</v>
      </c>
      <c r="G1341" s="50" t="s">
        <v>234</v>
      </c>
      <c r="H1341" s="23">
        <v>0</v>
      </c>
      <c r="I1341" s="23">
        <v>0</v>
      </c>
      <c r="J1341" s="23">
        <v>0</v>
      </c>
      <c r="K1341" s="23">
        <v>0</v>
      </c>
      <c r="L1341" s="23">
        <v>0</v>
      </c>
      <c r="M1341" s="23">
        <v>0</v>
      </c>
      <c r="N1341" s="23">
        <v>0</v>
      </c>
      <c r="O1341" s="23">
        <f t="shared" si="147"/>
        <v>0</v>
      </c>
      <c r="P1341" s="23">
        <v>0</v>
      </c>
      <c r="Q1341" s="23">
        <v>0</v>
      </c>
      <c r="R1341" s="23">
        <v>321</v>
      </c>
      <c r="S1341" s="23">
        <v>0</v>
      </c>
      <c r="T1341" s="23">
        <v>0</v>
      </c>
      <c r="U1341" s="23">
        <v>0</v>
      </c>
      <c r="V1341" s="23">
        <v>0</v>
      </c>
      <c r="W1341" s="23">
        <f t="shared" si="148"/>
        <v>321</v>
      </c>
      <c r="X1341" s="23">
        <f t="shared" si="149"/>
        <v>321</v>
      </c>
      <c r="Y1341" s="23">
        <f t="shared" si="150"/>
        <v>0</v>
      </c>
      <c r="Z1341" s="23">
        <v>0</v>
      </c>
      <c r="AA1341" s="23">
        <f t="shared" si="144"/>
        <v>0</v>
      </c>
      <c r="AB1341" s="23">
        <f t="shared" si="145"/>
        <v>-321</v>
      </c>
      <c r="AC1341" s="50" t="s">
        <v>585</v>
      </c>
      <c r="AD1341" s="20" t="str">
        <f>VLOOKUP($C1341,'[1]CTRL AUTOS'!$E:$AH,2,0)</f>
        <v>MAY730C</v>
      </c>
      <c r="AE1341" s="11" t="str">
        <f t="shared" si="146"/>
        <v>MAY730C52</v>
      </c>
    </row>
    <row r="1342" spans="1:31" s="51" customFormat="1" ht="15" hidden="1" customHeight="1" x14ac:dyDescent="0.3">
      <c r="A1342" s="49">
        <v>52</v>
      </c>
      <c r="B1342" s="50" t="s">
        <v>60</v>
      </c>
      <c r="C1342" s="50" t="str">
        <f t="shared" si="151"/>
        <v>VENTO|2017|GRIS|MMA672C</v>
      </c>
      <c r="D1342" s="50" t="str">
        <f t="shared" si="153"/>
        <v>OHLM03149178</v>
      </c>
      <c r="E1342" s="50" t="s">
        <v>232</v>
      </c>
      <c r="F1342" s="50" t="s">
        <v>232</v>
      </c>
      <c r="G1342" s="50" t="s">
        <v>234</v>
      </c>
      <c r="H1342" s="23">
        <v>0</v>
      </c>
      <c r="I1342" s="23">
        <v>0</v>
      </c>
      <c r="J1342" s="23">
        <v>0</v>
      </c>
      <c r="K1342" s="23">
        <v>0</v>
      </c>
      <c r="L1342" s="23">
        <v>0</v>
      </c>
      <c r="M1342" s="23">
        <v>0</v>
      </c>
      <c r="N1342" s="23">
        <v>0</v>
      </c>
      <c r="O1342" s="23">
        <f t="shared" si="147"/>
        <v>0</v>
      </c>
      <c r="P1342" s="23">
        <v>0</v>
      </c>
      <c r="Q1342" s="23">
        <v>0</v>
      </c>
      <c r="R1342" s="23">
        <v>500</v>
      </c>
      <c r="S1342" s="23">
        <v>0</v>
      </c>
      <c r="T1342" s="23">
        <v>0</v>
      </c>
      <c r="U1342" s="23">
        <v>0</v>
      </c>
      <c r="V1342" s="23">
        <v>0</v>
      </c>
      <c r="W1342" s="23">
        <f t="shared" si="148"/>
        <v>500</v>
      </c>
      <c r="X1342" s="23">
        <f t="shared" si="149"/>
        <v>500</v>
      </c>
      <c r="Y1342" s="23">
        <f t="shared" si="150"/>
        <v>0</v>
      </c>
      <c r="Z1342" s="23">
        <v>0</v>
      </c>
      <c r="AA1342" s="23">
        <f t="shared" si="144"/>
        <v>0</v>
      </c>
      <c r="AB1342" s="23">
        <f t="shared" si="145"/>
        <v>-500</v>
      </c>
      <c r="AC1342" s="50"/>
      <c r="AD1342" s="20" t="str">
        <f>VLOOKUP($C1342,'[1]CTRL AUTOS'!$E:$AH,2,0)</f>
        <v>MMA672C</v>
      </c>
      <c r="AE1342" s="11" t="str">
        <f t="shared" si="146"/>
        <v>MMA672C52</v>
      </c>
    </row>
    <row r="1343" spans="1:31" s="51" customFormat="1" ht="15" hidden="1" customHeight="1" x14ac:dyDescent="0.3">
      <c r="A1343" s="49">
        <v>52</v>
      </c>
      <c r="B1343" s="50" t="s">
        <v>61</v>
      </c>
      <c r="C1343" s="50" t="str">
        <f t="shared" si="151"/>
        <v>AVEO|2018|GRIS|X59AWG</v>
      </c>
      <c r="D1343" s="50" t="str">
        <f t="shared" si="153"/>
        <v>OHLM031409063</v>
      </c>
      <c r="E1343" s="50" t="s">
        <v>232</v>
      </c>
      <c r="F1343" s="50" t="s">
        <v>232</v>
      </c>
      <c r="G1343" s="50" t="s">
        <v>234</v>
      </c>
      <c r="H1343" s="23">
        <v>0</v>
      </c>
      <c r="I1343" s="23">
        <v>0</v>
      </c>
      <c r="J1343" s="23">
        <v>0</v>
      </c>
      <c r="K1343" s="23">
        <v>0</v>
      </c>
      <c r="L1343" s="23">
        <v>0</v>
      </c>
      <c r="M1343" s="23">
        <v>0</v>
      </c>
      <c r="N1343" s="23">
        <v>0</v>
      </c>
      <c r="O1343" s="23">
        <f t="shared" si="147"/>
        <v>0</v>
      </c>
      <c r="P1343" s="23">
        <v>0</v>
      </c>
      <c r="Q1343" s="23">
        <v>0</v>
      </c>
      <c r="R1343" s="23">
        <v>0</v>
      </c>
      <c r="S1343" s="23">
        <v>0</v>
      </c>
      <c r="T1343" s="23">
        <v>-700</v>
      </c>
      <c r="U1343" s="23">
        <v>0</v>
      </c>
      <c r="V1343" s="23">
        <v>0</v>
      </c>
      <c r="W1343" s="23">
        <f t="shared" si="148"/>
        <v>-700</v>
      </c>
      <c r="X1343" s="23">
        <f t="shared" si="149"/>
        <v>0</v>
      </c>
      <c r="Y1343" s="23">
        <f t="shared" si="150"/>
        <v>-700</v>
      </c>
      <c r="Z1343" s="23">
        <v>700</v>
      </c>
      <c r="AA1343" s="23">
        <f t="shared" si="144"/>
        <v>0</v>
      </c>
      <c r="AB1343" s="23">
        <f t="shared" si="145"/>
        <v>700</v>
      </c>
      <c r="AC1343" s="50" t="s">
        <v>586</v>
      </c>
      <c r="AD1343" s="20" t="str">
        <f>VLOOKUP($C1343,'[1]CTRL AUTOS'!$E:$AH,2,0)</f>
        <v>X59AWG</v>
      </c>
      <c r="AE1343" s="11" t="str">
        <f t="shared" si="146"/>
        <v>X59AWG52</v>
      </c>
    </row>
    <row r="1344" spans="1:31" s="51" customFormat="1" ht="15" hidden="1" customHeight="1" x14ac:dyDescent="0.3">
      <c r="A1344" s="49">
        <v>52</v>
      </c>
      <c r="B1344" s="20" t="s">
        <v>111</v>
      </c>
      <c r="C1344" s="50" t="str">
        <f t="shared" si="151"/>
        <v>SWIFT|2017|ROJO|X89ALV</v>
      </c>
      <c r="D1344" s="50" t="str">
        <f t="shared" si="153"/>
        <v>OHLM032370090</v>
      </c>
      <c r="E1344" s="50" t="s">
        <v>291</v>
      </c>
      <c r="F1344" s="50" t="s">
        <v>291</v>
      </c>
      <c r="G1344" s="50" t="s">
        <v>234</v>
      </c>
      <c r="H1344" s="23">
        <v>4966.0200000000004</v>
      </c>
      <c r="I1344" s="23">
        <v>-76.959999999999994</v>
      </c>
      <c r="J1344" s="23">
        <v>0</v>
      </c>
      <c r="K1344" s="23">
        <v>0</v>
      </c>
      <c r="L1344" s="23">
        <v>-2119.0400000000004</v>
      </c>
      <c r="M1344" s="23">
        <v>-105.95200000000003</v>
      </c>
      <c r="N1344" s="23">
        <v>0</v>
      </c>
      <c r="O1344" s="23">
        <f t="shared" si="147"/>
        <v>2664.0679999999998</v>
      </c>
      <c r="P1344" s="23">
        <v>-2500</v>
      </c>
      <c r="Q1344" s="23">
        <v>0</v>
      </c>
      <c r="R1344" s="23">
        <v>0</v>
      </c>
      <c r="S1344" s="23">
        <v>0</v>
      </c>
      <c r="T1344" s="23">
        <v>-700</v>
      </c>
      <c r="U1344" s="23">
        <v>0</v>
      </c>
      <c r="V1344" s="23">
        <v>0</v>
      </c>
      <c r="W1344" s="23">
        <f t="shared" si="148"/>
        <v>-535.93200000000024</v>
      </c>
      <c r="X1344" s="23">
        <f t="shared" si="149"/>
        <v>0</v>
      </c>
      <c r="Y1344" s="23">
        <f t="shared" si="150"/>
        <v>-535.93200000000024</v>
      </c>
      <c r="Z1344" s="23">
        <v>0</v>
      </c>
      <c r="AA1344" s="23">
        <f t="shared" si="144"/>
        <v>-535.93200000000024</v>
      </c>
      <c r="AB1344" s="23">
        <f t="shared" si="145"/>
        <v>2128.1359999999995</v>
      </c>
      <c r="AC1344" s="50" t="s">
        <v>573</v>
      </c>
      <c r="AD1344" s="20" t="str">
        <f>VLOOKUP($C1344,'[1]CTRL AUTOS'!$E:$AH,2,0)</f>
        <v>X89ALV</v>
      </c>
      <c r="AE1344" s="11" t="str">
        <f t="shared" si="146"/>
        <v>X89ALV52</v>
      </c>
    </row>
    <row r="1345" spans="1:31" s="51" customFormat="1" ht="15" hidden="1" customHeight="1" x14ac:dyDescent="0.3">
      <c r="A1345" s="49">
        <v>52</v>
      </c>
      <c r="B1345" s="50" t="s">
        <v>64</v>
      </c>
      <c r="C1345" s="50" t="str">
        <f t="shared" si="151"/>
        <v>AVEO|2022|VINO|P62BHW</v>
      </c>
      <c r="D1345" s="50" t="str">
        <f t="shared" si="153"/>
        <v>OHLM037480340</v>
      </c>
      <c r="E1345" s="50" t="s">
        <v>232</v>
      </c>
      <c r="F1345" s="50" t="s">
        <v>291</v>
      </c>
      <c r="G1345" s="50" t="s">
        <v>234</v>
      </c>
      <c r="H1345" s="23">
        <v>6422.38</v>
      </c>
      <c r="I1345" s="23">
        <v>-122.69</v>
      </c>
      <c r="J1345" s="23">
        <v>0</v>
      </c>
      <c r="K1345" s="23">
        <v>0</v>
      </c>
      <c r="L1345" s="23">
        <v>-29.97</v>
      </c>
      <c r="M1345" s="23">
        <v>0</v>
      </c>
      <c r="N1345" s="23">
        <v>0</v>
      </c>
      <c r="O1345" s="23">
        <f t="shared" si="147"/>
        <v>6269.72</v>
      </c>
      <c r="P1345" s="23">
        <v>-2500</v>
      </c>
      <c r="Q1345" s="23">
        <v>0</v>
      </c>
      <c r="R1345" s="23">
        <v>-500</v>
      </c>
      <c r="S1345" s="23">
        <v>0</v>
      </c>
      <c r="T1345" s="23">
        <v>0</v>
      </c>
      <c r="U1345" s="23">
        <v>0</v>
      </c>
      <c r="V1345" s="23">
        <v>0</v>
      </c>
      <c r="W1345" s="23">
        <f t="shared" si="148"/>
        <v>3269.7200000000003</v>
      </c>
      <c r="X1345" s="23">
        <f t="shared" si="149"/>
        <v>3269.7200000000003</v>
      </c>
      <c r="Y1345" s="23">
        <f t="shared" si="150"/>
        <v>0</v>
      </c>
      <c r="Z1345" s="23">
        <v>0</v>
      </c>
      <c r="AA1345" s="23">
        <f t="shared" si="144"/>
        <v>0</v>
      </c>
      <c r="AB1345" s="23">
        <f t="shared" si="145"/>
        <v>3000</v>
      </c>
      <c r="AC1345" s="50"/>
      <c r="AD1345" s="20" t="str">
        <f>VLOOKUP($C1345,'[1]CTRL AUTOS'!$E:$AH,2,0)</f>
        <v>P62BHW</v>
      </c>
      <c r="AE1345" s="11" t="str">
        <f t="shared" si="146"/>
        <v>P62BHW52</v>
      </c>
    </row>
    <row r="1346" spans="1:31" s="51" customFormat="1" ht="15" hidden="1" customHeight="1" x14ac:dyDescent="0.3">
      <c r="A1346" s="49">
        <v>52</v>
      </c>
      <c r="B1346" s="50" t="s">
        <v>66</v>
      </c>
      <c r="C1346" s="50" t="str">
        <f t="shared" si="151"/>
        <v>KIA RIO|2017|ROJO|MYE912A</v>
      </c>
      <c r="D1346" s="50" t="str">
        <f t="shared" si="153"/>
        <v>OHLM032762130</v>
      </c>
      <c r="E1346" s="22" t="s">
        <v>241</v>
      </c>
      <c r="F1346" s="50" t="s">
        <v>291</v>
      </c>
      <c r="G1346" s="50" t="s">
        <v>234</v>
      </c>
      <c r="H1346" s="23">
        <v>5460.61</v>
      </c>
      <c r="I1346" s="23">
        <v>-99.679999999999993</v>
      </c>
      <c r="J1346" s="23">
        <v>0</v>
      </c>
      <c r="K1346" s="23">
        <v>-54.64</v>
      </c>
      <c r="L1346" s="23">
        <v>-2664.4899999999993</v>
      </c>
      <c r="M1346" s="23">
        <v>-133.22449999999998</v>
      </c>
      <c r="N1346" s="23">
        <v>0</v>
      </c>
      <c r="O1346" s="23">
        <f t="shared" si="147"/>
        <v>2508.5754999999999</v>
      </c>
      <c r="P1346" s="23">
        <v>-2500</v>
      </c>
      <c r="Q1346" s="23">
        <v>7.1199999999989814</v>
      </c>
      <c r="R1346" s="23">
        <v>-500</v>
      </c>
      <c r="S1346" s="23">
        <v>0</v>
      </c>
      <c r="T1346" s="23">
        <v>0</v>
      </c>
      <c r="U1346" s="23">
        <v>200</v>
      </c>
      <c r="V1346" s="23">
        <v>0</v>
      </c>
      <c r="W1346" s="23">
        <f t="shared" si="148"/>
        <v>-284.3045000000011</v>
      </c>
      <c r="X1346" s="23">
        <f t="shared" si="149"/>
        <v>0</v>
      </c>
      <c r="Y1346" s="23">
        <f t="shared" si="150"/>
        <v>-284.3045000000011</v>
      </c>
      <c r="Z1346" s="23">
        <v>290</v>
      </c>
      <c r="AA1346" s="23">
        <f t="shared" si="144"/>
        <v>5.6954999999989013</v>
      </c>
      <c r="AB1346" s="23">
        <f t="shared" si="145"/>
        <v>2804.2709999999988</v>
      </c>
      <c r="AC1346" s="50" t="s">
        <v>587</v>
      </c>
      <c r="AD1346" s="20" t="str">
        <f>VLOOKUP($C1346,'[1]CTRL AUTOS'!$E:$AH,2,0)</f>
        <v>MYE912A</v>
      </c>
      <c r="AE1346" s="11" t="str">
        <f t="shared" si="146"/>
        <v>MYE912A52</v>
      </c>
    </row>
    <row r="1347" spans="1:31" s="51" customFormat="1" ht="15" hidden="1" customHeight="1" x14ac:dyDescent="0.3">
      <c r="A1347" s="49">
        <v>52</v>
      </c>
      <c r="B1347" s="50" t="s">
        <v>68</v>
      </c>
      <c r="C1347" s="50" t="str">
        <f t="shared" si="151"/>
        <v>AVEO|2018|ROJO|R51BKD</v>
      </c>
      <c r="D1347" s="50" t="str">
        <f t="shared" si="153"/>
        <v>OHLM032762106</v>
      </c>
      <c r="E1347" s="22" t="s">
        <v>241</v>
      </c>
      <c r="F1347" s="50" t="s">
        <v>291</v>
      </c>
      <c r="G1347" s="50" t="s">
        <v>234</v>
      </c>
      <c r="H1347" s="23">
        <v>7180.05</v>
      </c>
      <c r="I1347" s="23">
        <v>-38.880000000000003</v>
      </c>
      <c r="J1347" s="23">
        <v>0</v>
      </c>
      <c r="K1347" s="23">
        <v>0</v>
      </c>
      <c r="L1347" s="23">
        <v>-1992.98</v>
      </c>
      <c r="M1347" s="23">
        <v>-99.649000000000001</v>
      </c>
      <c r="N1347" s="23">
        <v>0</v>
      </c>
      <c r="O1347" s="23">
        <f t="shared" si="147"/>
        <v>5048.5410000000002</v>
      </c>
      <c r="P1347" s="23">
        <v>-2500</v>
      </c>
      <c r="Q1347" s="23">
        <v>-412.59680000000043</v>
      </c>
      <c r="R1347" s="23">
        <v>-500</v>
      </c>
      <c r="S1347" s="23">
        <v>0</v>
      </c>
      <c r="T1347" s="23">
        <v>0</v>
      </c>
      <c r="U1347" s="23">
        <v>0</v>
      </c>
      <c r="V1347" s="23">
        <v>0</v>
      </c>
      <c r="W1347" s="23">
        <f t="shared" si="148"/>
        <v>1635.9441999999999</v>
      </c>
      <c r="X1347" s="23">
        <f t="shared" si="149"/>
        <v>1635.9441999999999</v>
      </c>
      <c r="Y1347" s="23">
        <f t="shared" si="150"/>
        <v>0</v>
      </c>
      <c r="Z1347" s="23">
        <v>0</v>
      </c>
      <c r="AA1347" s="23">
        <f t="shared" ref="AA1347:AA1355" si="154">+Y1347+Z1347</f>
        <v>0</v>
      </c>
      <c r="AB1347" s="23">
        <f t="shared" ref="AB1347:AB1355" si="155">+O1347-X1347+Z1347+AA1347</f>
        <v>3412.5968000000003</v>
      </c>
      <c r="AC1347" s="50"/>
      <c r="AD1347" s="20" t="str">
        <f>VLOOKUP($C1347,'[1]CTRL AUTOS'!$E:$AH,2,0)</f>
        <v>R51BKD</v>
      </c>
      <c r="AE1347" s="11" t="str">
        <f t="shared" si="146"/>
        <v>R51BKD52</v>
      </c>
    </row>
    <row r="1348" spans="1:31" s="51" customFormat="1" ht="15" hidden="1" customHeight="1" x14ac:dyDescent="0.3">
      <c r="A1348" s="49">
        <v>52</v>
      </c>
      <c r="B1348" s="50" t="s">
        <v>70</v>
      </c>
      <c r="C1348" s="50" t="s">
        <v>71</v>
      </c>
      <c r="D1348" s="50" t="s">
        <v>588</v>
      </c>
      <c r="E1348" s="50" t="s">
        <v>232</v>
      </c>
      <c r="F1348" s="50" t="s">
        <v>291</v>
      </c>
      <c r="G1348" s="50" t="s">
        <v>234</v>
      </c>
      <c r="H1348" s="23">
        <v>3325.18</v>
      </c>
      <c r="I1348" s="23">
        <v>-14.879999999999999</v>
      </c>
      <c r="J1348" s="23">
        <v>0</v>
      </c>
      <c r="K1348" s="23">
        <v>0</v>
      </c>
      <c r="L1348" s="23">
        <v>-98.93</v>
      </c>
      <c r="M1348" s="23">
        <v>0</v>
      </c>
      <c r="N1348" s="23">
        <v>0</v>
      </c>
      <c r="O1348" s="23">
        <f t="shared" si="147"/>
        <v>3211.37</v>
      </c>
      <c r="P1348" s="23">
        <v>0</v>
      </c>
      <c r="Q1348" s="23">
        <v>0</v>
      </c>
      <c r="R1348" s="23">
        <v>0</v>
      </c>
      <c r="S1348" s="23">
        <v>0</v>
      </c>
      <c r="T1348" s="23">
        <v>0</v>
      </c>
      <c r="U1348" s="23">
        <v>0</v>
      </c>
      <c r="V1348" s="23">
        <v>0</v>
      </c>
      <c r="W1348" s="23">
        <f t="shared" si="148"/>
        <v>3211.37</v>
      </c>
      <c r="X1348" s="23">
        <f t="shared" si="149"/>
        <v>3211.37</v>
      </c>
      <c r="Y1348" s="23">
        <f t="shared" si="150"/>
        <v>0</v>
      </c>
      <c r="Z1348" s="23">
        <v>0</v>
      </c>
      <c r="AA1348" s="23">
        <f t="shared" si="154"/>
        <v>0</v>
      </c>
      <c r="AB1348" s="23">
        <f t="shared" si="155"/>
        <v>0</v>
      </c>
      <c r="AC1348" s="50"/>
      <c r="AD1348" s="20" t="str">
        <f>VLOOKUP($C1348,'[1]CTRL AUTOS'!$E:$AH,2,0)</f>
        <v>78F032</v>
      </c>
      <c r="AE1348" s="11" t="str">
        <f t="shared" ref="AE1348:AE1355" si="156">AD1348&amp;A1348</f>
        <v>78F03252</v>
      </c>
    </row>
    <row r="1349" spans="1:31" s="51" customFormat="1" ht="15" hidden="1" customHeight="1" x14ac:dyDescent="0.3">
      <c r="A1349" s="49">
        <v>52</v>
      </c>
      <c r="B1349" s="50" t="s">
        <v>72</v>
      </c>
      <c r="C1349" s="50" t="str">
        <f>VLOOKUP($B1349,$B$1263:$AB$1311,2,0)</f>
        <v>KIA RIO|2023|ROJO|H99BLC</v>
      </c>
      <c r="D1349" s="50" t="str">
        <f>VLOOKUP($B1349,$B$1263:$AB$1311,3,0)</f>
        <v>OHLM035993526</v>
      </c>
      <c r="E1349" s="22" t="s">
        <v>241</v>
      </c>
      <c r="F1349" s="50" t="s">
        <v>291</v>
      </c>
      <c r="G1349" s="50" t="s">
        <v>234</v>
      </c>
      <c r="H1349" s="23">
        <v>8316.09</v>
      </c>
      <c r="I1349" s="23">
        <v>-72.819999999999993</v>
      </c>
      <c r="J1349" s="23">
        <v>0</v>
      </c>
      <c r="K1349" s="23">
        <v>-88</v>
      </c>
      <c r="L1349" s="23">
        <v>-4635.2699999999986</v>
      </c>
      <c r="M1349" s="23">
        <v>-150</v>
      </c>
      <c r="N1349" s="23">
        <v>-100</v>
      </c>
      <c r="O1349" s="23">
        <f t="shared" si="147"/>
        <v>3270.0000000000018</v>
      </c>
      <c r="P1349" s="23">
        <v>-2500</v>
      </c>
      <c r="Q1349" s="23">
        <v>0</v>
      </c>
      <c r="R1349" s="23">
        <v>0</v>
      </c>
      <c r="S1349" s="23">
        <v>0</v>
      </c>
      <c r="T1349" s="23">
        <v>0</v>
      </c>
      <c r="U1349" s="23">
        <v>0</v>
      </c>
      <c r="V1349" s="23">
        <v>0</v>
      </c>
      <c r="W1349" s="23">
        <f t="shared" si="148"/>
        <v>770.00000000000182</v>
      </c>
      <c r="X1349" s="23">
        <f t="shared" si="149"/>
        <v>770.00000000000182</v>
      </c>
      <c r="Y1349" s="23">
        <f t="shared" si="150"/>
        <v>0</v>
      </c>
      <c r="Z1349" s="23">
        <v>0</v>
      </c>
      <c r="AA1349" s="23">
        <f t="shared" si="154"/>
        <v>0</v>
      </c>
      <c r="AB1349" s="23">
        <f t="shared" si="155"/>
        <v>2500</v>
      </c>
      <c r="AC1349" s="50"/>
      <c r="AD1349" s="20" t="str">
        <f>VLOOKUP($C1349,'[1]CTRL AUTOS'!$E:$AH,2,0)</f>
        <v>H99BLC</v>
      </c>
      <c r="AE1349" s="11" t="str">
        <f t="shared" si="156"/>
        <v>H99BLC52</v>
      </c>
    </row>
    <row r="1350" spans="1:31" s="51" customFormat="1" ht="15" hidden="1" customHeight="1" x14ac:dyDescent="0.3">
      <c r="A1350" s="49">
        <v>52</v>
      </c>
      <c r="B1350" s="50" t="s">
        <v>74</v>
      </c>
      <c r="C1350" s="50" t="str">
        <f>VLOOKUP($B1350,$B$1263:$AB$1311,2,0)</f>
        <v>BEAT|2020|GRIS|NFN014B</v>
      </c>
      <c r="D1350" s="50" t="str">
        <f>VLOOKUP($B1350,$B$1263:$AB$1311,3,0)</f>
        <v>OHLM032762148</v>
      </c>
      <c r="E1350" s="22" t="s">
        <v>241</v>
      </c>
      <c r="F1350" s="50" t="s">
        <v>291</v>
      </c>
      <c r="G1350" s="50" t="s">
        <v>234</v>
      </c>
      <c r="H1350" s="23">
        <v>6327.04</v>
      </c>
      <c r="I1350" s="23">
        <v>-29.28</v>
      </c>
      <c r="J1350" s="23">
        <v>0</v>
      </c>
      <c r="K1350" s="23">
        <v>0</v>
      </c>
      <c r="L1350" s="23">
        <v>-2911.95</v>
      </c>
      <c r="M1350" s="23">
        <v>-145.5975</v>
      </c>
      <c r="N1350" s="23">
        <v>0</v>
      </c>
      <c r="O1350" s="23">
        <f t="shared" si="147"/>
        <v>3240.2125000000005</v>
      </c>
      <c r="P1350" s="23">
        <v>-2500</v>
      </c>
      <c r="Q1350" s="23">
        <v>-2904.3168000000005</v>
      </c>
      <c r="R1350" s="23">
        <v>0</v>
      </c>
      <c r="S1350" s="23">
        <v>0</v>
      </c>
      <c r="T1350" s="23">
        <v>-500</v>
      </c>
      <c r="U1350" s="23">
        <v>58</v>
      </c>
      <c r="V1350" s="23">
        <v>0</v>
      </c>
      <c r="W1350" s="23">
        <f t="shared" si="148"/>
        <v>-2606.1043</v>
      </c>
      <c r="X1350" s="23">
        <f t="shared" si="149"/>
        <v>0</v>
      </c>
      <c r="Y1350" s="23">
        <f t="shared" si="150"/>
        <v>-2606.1043</v>
      </c>
      <c r="Z1350" s="23">
        <v>2000</v>
      </c>
      <c r="AA1350" s="23">
        <f t="shared" si="154"/>
        <v>-606.10429999999997</v>
      </c>
      <c r="AB1350" s="23">
        <f t="shared" si="155"/>
        <v>4634.1082000000006</v>
      </c>
      <c r="AC1350" s="50" t="s">
        <v>589</v>
      </c>
      <c r="AD1350" s="20" t="str">
        <f>VLOOKUP($C1350,'[1]CTRL AUTOS'!$E:$AH,2,0)</f>
        <v>NFN014B</v>
      </c>
      <c r="AE1350" s="11" t="str">
        <f t="shared" si="156"/>
        <v>NFN014B52</v>
      </c>
    </row>
    <row r="1351" spans="1:31" s="51" customFormat="1" ht="15" hidden="1" customHeight="1" x14ac:dyDescent="0.3">
      <c r="A1351" s="49">
        <v>52</v>
      </c>
      <c r="B1351" s="50" t="s">
        <v>76</v>
      </c>
      <c r="C1351" s="50" t="str">
        <f>VLOOKUP($B1351,$B$1263:$AB$1311,2,0)</f>
        <v>VERSA|2021|BLANCO|MEE228C</v>
      </c>
      <c r="D1351" s="50" t="str">
        <f>VLOOKUP($B1351,$B$1263:$AB$1311,3,0)</f>
        <v>OHLM036759082</v>
      </c>
      <c r="E1351" s="50" t="s">
        <v>232</v>
      </c>
      <c r="F1351" s="50" t="s">
        <v>291</v>
      </c>
      <c r="G1351" s="50" t="s">
        <v>234</v>
      </c>
      <c r="H1351" s="23">
        <v>3161.13</v>
      </c>
      <c r="I1351" s="23">
        <v>-16.48</v>
      </c>
      <c r="J1351" s="23">
        <v>0</v>
      </c>
      <c r="K1351" s="23">
        <v>-32.21</v>
      </c>
      <c r="L1351" s="23">
        <v>-1152.52</v>
      </c>
      <c r="M1351" s="23">
        <v>-57.626000000000005</v>
      </c>
      <c r="N1351" s="23">
        <v>0</v>
      </c>
      <c r="O1351" s="23">
        <f t="shared" si="147"/>
        <v>1902.2940000000001</v>
      </c>
      <c r="P1351" s="23">
        <v>-2500</v>
      </c>
      <c r="Q1351" s="23">
        <v>-2580.0880000000002</v>
      </c>
      <c r="R1351" s="23">
        <v>0</v>
      </c>
      <c r="S1351" s="23">
        <v>0</v>
      </c>
      <c r="T1351" s="23">
        <v>0</v>
      </c>
      <c r="U1351" s="23">
        <v>0</v>
      </c>
      <c r="V1351" s="23">
        <v>0</v>
      </c>
      <c r="W1351" s="23">
        <f t="shared" si="148"/>
        <v>-3177.7939999999999</v>
      </c>
      <c r="X1351" s="23">
        <f t="shared" si="149"/>
        <v>0</v>
      </c>
      <c r="Y1351" s="23">
        <f t="shared" si="150"/>
        <v>-3177.7939999999999</v>
      </c>
      <c r="Z1351" s="23">
        <f>2000+1100</f>
        <v>3100</v>
      </c>
      <c r="AA1351" s="23">
        <f t="shared" si="154"/>
        <v>-77.793999999999869</v>
      </c>
      <c r="AB1351" s="23">
        <f t="shared" si="155"/>
        <v>4924.5</v>
      </c>
      <c r="AC1351" s="52" t="s">
        <v>590</v>
      </c>
      <c r="AD1351" s="20" t="str">
        <f>VLOOKUP($C1351,'[1]CTRL AUTOS'!$E:$AH,2,0)</f>
        <v>MEE228C</v>
      </c>
      <c r="AE1351" s="11" t="str">
        <f t="shared" si="156"/>
        <v>MEE228C52</v>
      </c>
    </row>
    <row r="1352" spans="1:31" ht="15" hidden="1" customHeight="1" x14ac:dyDescent="0.3">
      <c r="A1352" s="49">
        <v>52</v>
      </c>
      <c r="B1352" s="50" t="s">
        <v>78</v>
      </c>
      <c r="C1352" s="50" t="str">
        <f>VLOOKUP($B1352,$B$1263:$AB$1311,2,0)</f>
        <v>MARCH|2019|TURQ|MAY737C</v>
      </c>
      <c r="D1352" s="50" t="str">
        <f>VLOOKUP($B1352,$B$1263:$AB$1311,3,0)</f>
        <v>OHLM0367590666</v>
      </c>
      <c r="E1352" s="50" t="s">
        <v>291</v>
      </c>
      <c r="F1352" s="50" t="s">
        <v>291</v>
      </c>
      <c r="G1352" s="50" t="s">
        <v>234</v>
      </c>
      <c r="H1352" s="23">
        <v>0</v>
      </c>
      <c r="I1352" s="23">
        <v>0</v>
      </c>
      <c r="J1352" s="23">
        <v>0</v>
      </c>
      <c r="K1352" s="23">
        <v>0</v>
      </c>
      <c r="L1352" s="23">
        <v>0</v>
      </c>
      <c r="M1352" s="23">
        <v>0</v>
      </c>
      <c r="N1352" s="23">
        <v>0</v>
      </c>
      <c r="O1352" s="23">
        <f t="shared" si="147"/>
        <v>0</v>
      </c>
      <c r="P1352" s="23">
        <v>-2500</v>
      </c>
      <c r="Q1352" s="23">
        <v>0</v>
      </c>
      <c r="R1352" s="23">
        <v>0</v>
      </c>
      <c r="S1352" s="23">
        <v>0</v>
      </c>
      <c r="T1352" s="23">
        <v>0</v>
      </c>
      <c r="U1352" s="23">
        <v>0</v>
      </c>
      <c r="V1352" s="23">
        <v>0</v>
      </c>
      <c r="W1352" s="23">
        <f t="shared" si="148"/>
        <v>-2500</v>
      </c>
      <c r="X1352" s="23">
        <f t="shared" si="149"/>
        <v>0</v>
      </c>
      <c r="Y1352" s="23">
        <f t="shared" si="150"/>
        <v>-2500</v>
      </c>
      <c r="Z1352" s="23">
        <v>0</v>
      </c>
      <c r="AA1352" s="23">
        <f t="shared" si="154"/>
        <v>-2500</v>
      </c>
      <c r="AB1352" s="23">
        <f t="shared" si="155"/>
        <v>-2500</v>
      </c>
      <c r="AC1352" s="50" t="s">
        <v>591</v>
      </c>
      <c r="AD1352" s="20" t="str">
        <f>VLOOKUP($C1352,'[1]CTRL AUTOS'!$E:$AH,2,0)</f>
        <v>MAY737C</v>
      </c>
      <c r="AE1352" s="11" t="str">
        <f t="shared" si="156"/>
        <v>MAY737C52</v>
      </c>
    </row>
    <row r="1353" spans="1:31" ht="15" hidden="1" customHeight="1" x14ac:dyDescent="0.3">
      <c r="A1353" s="49">
        <v>52</v>
      </c>
      <c r="B1353" s="20" t="s">
        <v>80</v>
      </c>
      <c r="C1353" s="20" t="s">
        <v>81</v>
      </c>
      <c r="D1353" s="20" t="s">
        <v>317</v>
      </c>
      <c r="E1353" s="50" t="s">
        <v>232</v>
      </c>
      <c r="F1353" s="20" t="s">
        <v>232</v>
      </c>
      <c r="G1353" s="20" t="s">
        <v>234</v>
      </c>
      <c r="H1353" s="23">
        <v>0</v>
      </c>
      <c r="I1353" s="23">
        <v>0</v>
      </c>
      <c r="J1353" s="23">
        <v>0</v>
      </c>
      <c r="K1353" s="23">
        <v>0</v>
      </c>
      <c r="L1353" s="23">
        <v>0</v>
      </c>
      <c r="M1353" s="23">
        <v>0</v>
      </c>
      <c r="N1353" s="23">
        <v>0</v>
      </c>
      <c r="O1353" s="23">
        <f t="shared" si="147"/>
        <v>0</v>
      </c>
      <c r="P1353" s="23">
        <v>-2500</v>
      </c>
      <c r="Q1353" s="23">
        <v>0</v>
      </c>
      <c r="R1353" s="23">
        <v>0</v>
      </c>
      <c r="S1353" s="23">
        <v>0</v>
      </c>
      <c r="T1353" s="23">
        <v>0</v>
      </c>
      <c r="U1353" s="23">
        <v>0</v>
      </c>
      <c r="V1353" s="23">
        <v>0</v>
      </c>
      <c r="W1353" s="23">
        <f t="shared" si="148"/>
        <v>-2500</v>
      </c>
      <c r="X1353" s="23">
        <f t="shared" si="149"/>
        <v>0</v>
      </c>
      <c r="Y1353" s="23">
        <f t="shared" si="150"/>
        <v>-2500</v>
      </c>
      <c r="Z1353" s="23">
        <v>2500</v>
      </c>
      <c r="AA1353" s="23">
        <f t="shared" si="154"/>
        <v>0</v>
      </c>
      <c r="AB1353" s="23">
        <f t="shared" si="155"/>
        <v>2500</v>
      </c>
      <c r="AC1353" s="50"/>
      <c r="AD1353" s="20" t="str">
        <f>VLOOKUP($C1353,'[1]CTRL AUTOS'!$E:$AH,2,0)</f>
        <v>NLP172B</v>
      </c>
      <c r="AE1353" s="11" t="str">
        <f t="shared" si="156"/>
        <v>NLP172B52</v>
      </c>
    </row>
    <row r="1354" spans="1:31" ht="15" hidden="1" customHeight="1" x14ac:dyDescent="0.3">
      <c r="A1354" s="49">
        <v>52</v>
      </c>
      <c r="B1354" s="20" t="s">
        <v>82</v>
      </c>
      <c r="C1354" s="20" t="s">
        <v>83</v>
      </c>
      <c r="D1354" s="20" t="s">
        <v>592</v>
      </c>
      <c r="E1354" s="50" t="s">
        <v>232</v>
      </c>
      <c r="F1354" s="20" t="s">
        <v>232</v>
      </c>
      <c r="G1354" s="20" t="s">
        <v>234</v>
      </c>
      <c r="H1354" s="20">
        <v>0</v>
      </c>
      <c r="I1354" s="20">
        <v>0</v>
      </c>
      <c r="J1354" s="20">
        <v>0</v>
      </c>
      <c r="K1354" s="20">
        <v>0</v>
      </c>
      <c r="L1354" s="23">
        <v>0</v>
      </c>
      <c r="M1354" s="23">
        <v>0</v>
      </c>
      <c r="N1354" s="23">
        <v>0</v>
      </c>
      <c r="O1354" s="23">
        <f t="shared" si="147"/>
        <v>0</v>
      </c>
      <c r="P1354" s="23">
        <v>-2000</v>
      </c>
      <c r="Q1354" s="23">
        <v>0</v>
      </c>
      <c r="R1354" s="23">
        <v>0</v>
      </c>
      <c r="S1354" s="23">
        <v>0</v>
      </c>
      <c r="T1354" s="23">
        <v>0</v>
      </c>
      <c r="U1354" s="23">
        <v>0</v>
      </c>
      <c r="V1354" s="23">
        <v>0</v>
      </c>
      <c r="W1354" s="23">
        <f t="shared" si="148"/>
        <v>-2000</v>
      </c>
      <c r="X1354" s="23">
        <f t="shared" si="149"/>
        <v>0</v>
      </c>
      <c r="Y1354" s="23">
        <f t="shared" si="150"/>
        <v>-2000</v>
      </c>
      <c r="Z1354" s="23">
        <v>2000</v>
      </c>
      <c r="AA1354" s="23">
        <f t="shared" si="154"/>
        <v>0</v>
      </c>
      <c r="AB1354" s="23">
        <f t="shared" si="155"/>
        <v>2000</v>
      </c>
      <c r="AC1354" s="50"/>
      <c r="AD1354" s="20" t="str">
        <f>VLOOKUP($C1354,'[1]CTRL AUTOS'!$E:$AH,2,0)</f>
        <v>MZN057C</v>
      </c>
      <c r="AE1354" s="11" t="str">
        <f t="shared" si="156"/>
        <v>MZN057C52</v>
      </c>
    </row>
    <row r="1355" spans="1:31" ht="15" hidden="1" customHeight="1" x14ac:dyDescent="0.3">
      <c r="A1355" s="49">
        <v>52</v>
      </c>
      <c r="B1355" s="50" t="s">
        <v>84</v>
      </c>
      <c r="C1355" s="50" t="s">
        <v>59</v>
      </c>
      <c r="D1355" s="50" t="s">
        <v>520</v>
      </c>
      <c r="E1355" s="50" t="s">
        <v>232</v>
      </c>
      <c r="F1355" s="50" t="s">
        <v>291</v>
      </c>
      <c r="G1355" s="50" t="s">
        <v>234</v>
      </c>
      <c r="H1355" s="20">
        <v>0</v>
      </c>
      <c r="I1355" s="20">
        <v>0</v>
      </c>
      <c r="J1355" s="20">
        <v>0</v>
      </c>
      <c r="K1355" s="20">
        <v>0</v>
      </c>
      <c r="L1355" s="23">
        <v>0</v>
      </c>
      <c r="M1355" s="23">
        <v>0</v>
      </c>
      <c r="N1355" s="23">
        <v>0</v>
      </c>
      <c r="O1355" s="23">
        <f t="shared" si="147"/>
        <v>0</v>
      </c>
      <c r="P1355" s="23">
        <v>0</v>
      </c>
      <c r="Q1355" s="23">
        <v>0</v>
      </c>
      <c r="R1355" s="23">
        <v>-1000</v>
      </c>
      <c r="S1355" s="23">
        <v>0</v>
      </c>
      <c r="T1355" s="23">
        <v>0</v>
      </c>
      <c r="U1355" s="23">
        <v>0</v>
      </c>
      <c r="V1355" s="23">
        <v>0</v>
      </c>
      <c r="W1355" s="23">
        <f t="shared" si="148"/>
        <v>-1000</v>
      </c>
      <c r="X1355" s="23">
        <f t="shared" si="149"/>
        <v>0</v>
      </c>
      <c r="Y1355" s="23">
        <f t="shared" si="150"/>
        <v>-1000</v>
      </c>
      <c r="Z1355" s="23">
        <v>1000</v>
      </c>
      <c r="AA1355" s="23">
        <f t="shared" si="154"/>
        <v>0</v>
      </c>
      <c r="AB1355" s="23">
        <f t="shared" si="155"/>
        <v>1000</v>
      </c>
      <c r="AC1355" s="50" t="s">
        <v>593</v>
      </c>
      <c r="AD1355" s="20" t="str">
        <f>VLOOKUP($C1355,'[1]CTRL AUTOS'!$E:$AH,2,0)</f>
        <v>P62BHW</v>
      </c>
      <c r="AE1355" s="11" t="str">
        <f t="shared" si="156"/>
        <v>P62BHW52</v>
      </c>
    </row>
  </sheetData>
  <autoFilter ref="A2:AD1355" xr:uid="{00000000-0001-0000-0100-000000000000}">
    <filterColumn colId="0">
      <filters>
        <filter val="52"/>
      </filters>
    </filterColumn>
    <filterColumn colId="1">
      <filters>
        <filter val="OSCAR BLANCAS NORIEGA"/>
      </filters>
    </filterColumn>
  </autoFilter>
  <pageMargins left="0.23622047244094491" right="0.23622047244094491" top="0.74803149606299213" bottom="0.74803149606299213" header="0" footer="0"/>
  <pageSetup scale="87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7A07-75A4-4245-BA6B-D34241892B59}">
  <sheetPr filterMode="1">
    <tabColor rgb="FF002060"/>
  </sheetPr>
  <dimension ref="A1:AP750"/>
  <sheetViews>
    <sheetView workbookViewId="0">
      <selection activeCell="C738" sqref="C738"/>
    </sheetView>
  </sheetViews>
  <sheetFormatPr baseColWidth="10" defaultColWidth="8.88671875" defaultRowHeight="13.8" outlineLevelCol="1" x14ac:dyDescent="0.3"/>
  <cols>
    <col min="1" max="1" width="4.109375" style="49" bestFit="1" customWidth="1"/>
    <col min="2" max="2" width="40.6640625" style="50" bestFit="1" customWidth="1"/>
    <col min="3" max="3" width="33.33203125" style="50" customWidth="1"/>
    <col min="4" max="4" width="17.6640625" style="50" customWidth="1" outlineLevel="1"/>
    <col min="5" max="5" width="10.5546875" style="50" customWidth="1" outlineLevel="1"/>
    <col min="6" max="6" width="15.88671875" style="50" customWidth="1" outlineLevel="1"/>
    <col min="7" max="7" width="7" style="50" customWidth="1" outlineLevel="1"/>
    <col min="8" max="8" width="13.5546875" style="50" customWidth="1" outlineLevel="1" collapsed="1"/>
    <col min="9" max="9" width="12.88671875" style="50" customWidth="1" outlineLevel="1"/>
    <col min="10" max="10" width="14.5546875" style="50" customWidth="1" outlineLevel="1"/>
    <col min="11" max="12" width="11.88671875" style="50" customWidth="1" outlineLevel="1"/>
    <col min="13" max="13" width="7.88671875" style="50" customWidth="1" outlineLevel="1"/>
    <col min="14" max="14" width="8.5546875" style="50" customWidth="1" outlineLevel="1"/>
    <col min="15" max="15" width="12.109375" style="50" customWidth="1" outlineLevel="1"/>
    <col min="16" max="16" width="8.88671875" style="54" customWidth="1"/>
    <col min="17" max="17" width="15.109375" style="54" customWidth="1"/>
    <col min="18" max="18" width="8.88671875" style="54" customWidth="1"/>
    <col min="19" max="19" width="10.88671875" style="54" customWidth="1"/>
    <col min="20" max="20" width="15.109375" style="54" customWidth="1"/>
    <col min="21" max="21" width="15.5546875" style="54" customWidth="1"/>
    <col min="22" max="22" width="10.109375" style="54" customWidth="1"/>
    <col min="23" max="23" width="12.109375" style="50" customWidth="1"/>
    <col min="24" max="24" width="8.5546875" style="50" customWidth="1"/>
    <col min="25" max="26" width="12.109375" style="50" customWidth="1"/>
    <col min="27" max="28" width="12.44140625" style="50" customWidth="1"/>
    <col min="29" max="30" width="42.88671875" style="50" customWidth="1"/>
    <col min="31" max="31" width="51.5546875" style="50" customWidth="1"/>
    <col min="32" max="16384" width="8.88671875" style="50"/>
  </cols>
  <sheetData>
    <row r="1" spans="1:30" s="53" customFormat="1" ht="27.6" x14ac:dyDescent="0.3">
      <c r="A1" s="1" t="s">
        <v>0</v>
      </c>
      <c r="B1" s="1" t="s">
        <v>1</v>
      </c>
      <c r="C1" s="1" t="s">
        <v>594</v>
      </c>
      <c r="D1" s="1" t="s">
        <v>205</v>
      </c>
      <c r="E1" s="1" t="s">
        <v>206</v>
      </c>
      <c r="F1" s="1" t="s">
        <v>207</v>
      </c>
      <c r="G1" s="1" t="s">
        <v>208</v>
      </c>
      <c r="H1" s="55" t="s">
        <v>209</v>
      </c>
      <c r="I1" s="55" t="s">
        <v>213</v>
      </c>
      <c r="J1" s="55" t="s">
        <v>210</v>
      </c>
      <c r="K1" s="55" t="s">
        <v>595</v>
      </c>
      <c r="L1" s="55" t="s">
        <v>212</v>
      </c>
      <c r="M1" s="55" t="s">
        <v>596</v>
      </c>
      <c r="N1" s="55" t="s">
        <v>205</v>
      </c>
      <c r="O1" s="56" t="s">
        <v>597</v>
      </c>
      <c r="P1" s="55" t="s">
        <v>216</v>
      </c>
      <c r="Q1" s="55" t="s">
        <v>217</v>
      </c>
      <c r="R1" s="55" t="s">
        <v>218</v>
      </c>
      <c r="S1" s="55" t="s">
        <v>219</v>
      </c>
      <c r="T1" s="55" t="s">
        <v>220</v>
      </c>
      <c r="U1" s="55" t="s">
        <v>221</v>
      </c>
      <c r="V1" s="55" t="s">
        <v>1078</v>
      </c>
      <c r="W1" s="55" t="s">
        <v>223</v>
      </c>
      <c r="X1" s="55" t="s">
        <v>598</v>
      </c>
      <c r="Y1" s="57" t="s">
        <v>599</v>
      </c>
      <c r="Z1" s="57" t="s">
        <v>226</v>
      </c>
      <c r="AA1" s="57" t="s">
        <v>227</v>
      </c>
      <c r="AB1" s="58" t="s">
        <v>600</v>
      </c>
      <c r="AC1" s="59" t="s">
        <v>601</v>
      </c>
      <c r="AD1" s="60" t="s">
        <v>229</v>
      </c>
    </row>
    <row r="2" spans="1:30" hidden="1" x14ac:dyDescent="0.3">
      <c r="A2" s="2">
        <v>1</v>
      </c>
      <c r="B2" s="3" t="s">
        <v>3</v>
      </c>
      <c r="C2" s="4" t="s">
        <v>4</v>
      </c>
      <c r="D2" s="4" t="s">
        <v>602</v>
      </c>
      <c r="E2" s="4" t="str">
        <f>VLOOKUP(C2,'[2]CTRL AUTOS'!$E$2:$L$58,8,FALSE)</f>
        <v>ASHC</v>
      </c>
      <c r="F2" s="61" t="str">
        <f>VLOOKUP(C2,'[2]CTRL AUTOS'!$E$2:$K$58,7,FALSE)</f>
        <v>ASHC</v>
      </c>
      <c r="G2" s="4" t="s">
        <v>425</v>
      </c>
      <c r="H2" s="62">
        <v>4784.74</v>
      </c>
      <c r="I2" s="62">
        <v>-6209.03</v>
      </c>
      <c r="J2" s="62">
        <v>-620</v>
      </c>
      <c r="K2" s="62">
        <v>0</v>
      </c>
      <c r="L2" s="62">
        <v>0</v>
      </c>
      <c r="M2" s="62">
        <v>-95</v>
      </c>
      <c r="N2" s="62">
        <v>0</v>
      </c>
      <c r="O2" s="62">
        <f>IF(H2+I2&lt;0,SUM(J2:N2),SUM(H2:N2))</f>
        <v>-715</v>
      </c>
      <c r="P2" s="62">
        <v>-2600</v>
      </c>
      <c r="Q2" s="62">
        <v>-2771.9699999999993</v>
      </c>
      <c r="R2" s="62">
        <v>0</v>
      </c>
      <c r="S2" s="62">
        <v>0</v>
      </c>
      <c r="T2" s="62">
        <v>0</v>
      </c>
      <c r="U2" s="62">
        <v>0</v>
      </c>
      <c r="V2" s="62">
        <v>0</v>
      </c>
      <c r="W2" s="62">
        <f t="shared" ref="W2:W65" si="0">SUM(O2:V2)</f>
        <v>-6086.9699999999993</v>
      </c>
      <c r="X2" s="62">
        <f t="shared" ref="X2:X65" si="1">IF(W2&gt;=0,W2,0)</f>
        <v>0</v>
      </c>
      <c r="Y2" s="62">
        <f t="shared" ref="Y2:Y65" si="2">IF(W2&lt;=0,W2,0)</f>
        <v>-6086.9699999999993</v>
      </c>
      <c r="Z2" s="62">
        <f>800+2357</f>
        <v>3157</v>
      </c>
      <c r="AA2" s="62">
        <f t="shared" ref="AA2:AA65" si="3">+Y2+Z2</f>
        <v>-2929.9699999999993</v>
      </c>
      <c r="AB2" s="62">
        <f t="shared" ref="AB2:AB65" si="4">+O2-X2+Z2+AA2</f>
        <v>-487.96999999999935</v>
      </c>
      <c r="AC2" s="62"/>
      <c r="AD2" s="63" t="s">
        <v>603</v>
      </c>
    </row>
    <row r="3" spans="1:30" hidden="1" x14ac:dyDescent="0.3">
      <c r="A3" s="2">
        <v>1</v>
      </c>
      <c r="B3" s="3" t="s">
        <v>5</v>
      </c>
      <c r="C3" s="4" t="s">
        <v>6</v>
      </c>
      <c r="D3" s="4" t="s">
        <v>570</v>
      </c>
      <c r="E3" s="4" t="str">
        <f>VLOOKUP(C3,'[2]CTRL AUTOS'!$E$2:$L$58,8,FALSE)</f>
        <v>ASHC</v>
      </c>
      <c r="F3" s="61" t="str">
        <f>VLOOKUP(C3,'[2]CTRL AUTOS'!$E$2:$K$58,7,FALSE)</f>
        <v>ASHC</v>
      </c>
      <c r="G3" s="4" t="s">
        <v>425</v>
      </c>
      <c r="H3" s="62">
        <v>176.49</v>
      </c>
      <c r="I3" s="62">
        <v>-130.25</v>
      </c>
      <c r="J3" s="62">
        <v>-13</v>
      </c>
      <c r="K3" s="62">
        <v>0</v>
      </c>
      <c r="L3" s="62">
        <v>0</v>
      </c>
      <c r="M3" s="62">
        <v>-65</v>
      </c>
      <c r="N3" s="62">
        <v>0</v>
      </c>
      <c r="O3" s="62">
        <f>IF(H3+I3&lt;0,SUM(J3:N3),SUM(H3:N3))</f>
        <v>-31.759999999999991</v>
      </c>
      <c r="P3" s="62">
        <v>-2500</v>
      </c>
      <c r="Q3" s="62">
        <v>-94</v>
      </c>
      <c r="R3" s="62">
        <v>0</v>
      </c>
      <c r="S3" s="62">
        <v>0</v>
      </c>
      <c r="T3" s="62">
        <v>-500</v>
      </c>
      <c r="U3" s="62">
        <v>0</v>
      </c>
      <c r="V3" s="62">
        <v>0</v>
      </c>
      <c r="W3" s="62">
        <f t="shared" si="0"/>
        <v>-3125.76</v>
      </c>
      <c r="X3" s="62">
        <f t="shared" si="1"/>
        <v>0</v>
      </c>
      <c r="Y3" s="62">
        <f t="shared" si="2"/>
        <v>-3125.76</v>
      </c>
      <c r="Z3" s="62">
        <v>2800</v>
      </c>
      <c r="AA3" s="62">
        <f t="shared" si="3"/>
        <v>-325.76000000000022</v>
      </c>
      <c r="AB3" s="62">
        <f t="shared" si="4"/>
        <v>2442.4799999999996</v>
      </c>
      <c r="AC3" s="62"/>
      <c r="AD3" s="64" t="s">
        <v>604</v>
      </c>
    </row>
    <row r="4" spans="1:30" hidden="1" x14ac:dyDescent="0.3">
      <c r="A4" s="2">
        <v>1</v>
      </c>
      <c r="B4" s="3" t="s">
        <v>7</v>
      </c>
      <c r="C4" s="4" t="s">
        <v>8</v>
      </c>
      <c r="D4" s="4" t="s">
        <v>516</v>
      </c>
      <c r="E4" s="4" t="s">
        <v>232</v>
      </c>
      <c r="F4" s="4" t="s">
        <v>232</v>
      </c>
      <c r="G4" s="4" t="s">
        <v>425</v>
      </c>
      <c r="H4" s="62">
        <v>2721.77</v>
      </c>
      <c r="I4" s="62">
        <v>-2373.6</v>
      </c>
      <c r="J4" s="62">
        <v>-237</v>
      </c>
      <c r="K4" s="62">
        <v>0</v>
      </c>
      <c r="L4" s="62">
        <v>0</v>
      </c>
      <c r="M4" s="62">
        <v>-95</v>
      </c>
      <c r="N4" s="62">
        <v>0</v>
      </c>
      <c r="O4" s="62">
        <f>IF(H4+I4&lt;0,SUM(J4:N4),SUM(H4:N4))</f>
        <v>16.170000000000073</v>
      </c>
      <c r="P4" s="62">
        <v>-2600</v>
      </c>
      <c r="Q4" s="62">
        <v>0</v>
      </c>
      <c r="R4" s="62">
        <v>0</v>
      </c>
      <c r="S4" s="62">
        <v>0</v>
      </c>
      <c r="T4" s="62">
        <v>0</v>
      </c>
      <c r="U4" s="62">
        <v>0</v>
      </c>
      <c r="V4" s="62">
        <v>0</v>
      </c>
      <c r="W4" s="62">
        <f t="shared" si="0"/>
        <v>-2583.83</v>
      </c>
      <c r="X4" s="62">
        <f t="shared" si="1"/>
        <v>0</v>
      </c>
      <c r="Y4" s="62">
        <f t="shared" si="2"/>
        <v>-2583.83</v>
      </c>
      <c r="Z4" s="62">
        <v>2857</v>
      </c>
      <c r="AA4" s="62">
        <f t="shared" si="3"/>
        <v>273.17000000000007</v>
      </c>
      <c r="AB4" s="62">
        <f t="shared" si="4"/>
        <v>3146.34</v>
      </c>
      <c r="AC4" s="62"/>
      <c r="AD4" s="64" t="s">
        <v>605</v>
      </c>
    </row>
    <row r="5" spans="1:30" hidden="1" x14ac:dyDescent="0.3">
      <c r="A5" s="2">
        <v>1</v>
      </c>
      <c r="B5" s="3" t="s">
        <v>9</v>
      </c>
      <c r="C5" s="4" t="s">
        <v>10</v>
      </c>
      <c r="D5" s="4" t="s">
        <v>343</v>
      </c>
      <c r="E5" s="4" t="str">
        <f>VLOOKUP(C5,'[2]CTRL AUTOS'!$E$2:$L$58,8,FALSE)</f>
        <v>ASHC</v>
      </c>
      <c r="F5" s="61" t="str">
        <f>VLOOKUP(C5,'[2]CTRL AUTOS'!$E$2:$K$58,7,FALSE)</f>
        <v>ASHC</v>
      </c>
      <c r="G5" s="4" t="s">
        <v>425</v>
      </c>
      <c r="H5" s="62">
        <v>5249.01</v>
      </c>
      <c r="I5" s="62">
        <v>-6142.27</v>
      </c>
      <c r="J5" s="62">
        <v>-614</v>
      </c>
      <c r="K5" s="62">
        <v>0</v>
      </c>
      <c r="L5" s="62">
        <v>0</v>
      </c>
      <c r="M5" s="62">
        <v>-95</v>
      </c>
      <c r="N5" s="62">
        <v>0</v>
      </c>
      <c r="O5" s="62">
        <f>IF(H5+I5&lt;0,SUM(J5:N5),SUM(H5:N5))</f>
        <v>-709</v>
      </c>
      <c r="P5" s="62">
        <v>-2600</v>
      </c>
      <c r="Q5" s="62">
        <v>0</v>
      </c>
      <c r="R5" s="62">
        <v>0</v>
      </c>
      <c r="S5" s="62">
        <v>0</v>
      </c>
      <c r="T5" s="62">
        <v>0</v>
      </c>
      <c r="U5" s="62">
        <v>0</v>
      </c>
      <c r="V5" s="62">
        <v>0</v>
      </c>
      <c r="W5" s="62">
        <f t="shared" si="0"/>
        <v>-3309</v>
      </c>
      <c r="X5" s="62">
        <f t="shared" si="1"/>
        <v>0</v>
      </c>
      <c r="Y5" s="62">
        <f t="shared" si="2"/>
        <v>-3309</v>
      </c>
      <c r="Z5" s="62">
        <f>1200+1000</f>
        <v>2200</v>
      </c>
      <c r="AA5" s="62">
        <f t="shared" si="3"/>
        <v>-1109</v>
      </c>
      <c r="AB5" s="62">
        <f t="shared" si="4"/>
        <v>382</v>
      </c>
      <c r="AC5" s="62"/>
      <c r="AD5" s="65" t="s">
        <v>606</v>
      </c>
    </row>
    <row r="6" spans="1:30" hidden="1" x14ac:dyDescent="0.3">
      <c r="A6" s="2">
        <v>1</v>
      </c>
      <c r="B6" s="3" t="s">
        <v>11</v>
      </c>
      <c r="C6" s="4" t="s">
        <v>12</v>
      </c>
      <c r="D6" s="4" t="s">
        <v>509</v>
      </c>
      <c r="E6" s="4" t="str">
        <f>VLOOKUP(C6,'[2]CTRL AUTOS'!$E$2:$L$58,8,FALSE)</f>
        <v>ASHC</v>
      </c>
      <c r="F6" s="61" t="str">
        <f>VLOOKUP(C6,'[2]CTRL AUTOS'!$E$2:$K$58,7,FALSE)</f>
        <v>ASHC</v>
      </c>
      <c r="G6" s="4" t="s">
        <v>234</v>
      </c>
      <c r="H6" s="62">
        <v>8443.1299999999992</v>
      </c>
      <c r="I6" s="62">
        <v>-5565.59</v>
      </c>
      <c r="J6" s="62">
        <v>-20.8</v>
      </c>
      <c r="K6" s="62">
        <v>0</v>
      </c>
      <c r="L6" s="62">
        <v>0</v>
      </c>
      <c r="M6" s="62">
        <v>-60</v>
      </c>
      <c r="N6" s="62">
        <v>0</v>
      </c>
      <c r="O6" s="62">
        <f>IF(H6+I6&lt;0,SUM(J6:N6),SUM(H6:N6))</f>
        <v>2796.7399999999989</v>
      </c>
      <c r="P6" s="62">
        <v>-2700</v>
      </c>
      <c r="Q6" s="62">
        <v>0</v>
      </c>
      <c r="R6" s="62">
        <v>0</v>
      </c>
      <c r="S6" s="62">
        <v>0</v>
      </c>
      <c r="T6" s="62">
        <v>0</v>
      </c>
      <c r="U6" s="62">
        <v>0</v>
      </c>
      <c r="V6" s="62">
        <v>0</v>
      </c>
      <c r="W6" s="62">
        <f t="shared" si="0"/>
        <v>96.739999999998872</v>
      </c>
      <c r="X6" s="62">
        <f t="shared" si="1"/>
        <v>96.739999999998872</v>
      </c>
      <c r="Y6" s="62">
        <f t="shared" si="2"/>
        <v>0</v>
      </c>
      <c r="Z6" s="62">
        <v>0</v>
      </c>
      <c r="AA6" s="62">
        <f t="shared" si="3"/>
        <v>0</v>
      </c>
      <c r="AB6" s="62">
        <f t="shared" si="4"/>
        <v>2700</v>
      </c>
      <c r="AC6" s="62"/>
      <c r="AD6" s="62"/>
    </row>
    <row r="7" spans="1:30" hidden="1" x14ac:dyDescent="0.3">
      <c r="A7" s="2">
        <v>1</v>
      </c>
      <c r="B7" s="3" t="s">
        <v>13</v>
      </c>
      <c r="C7" s="4" t="s">
        <v>14</v>
      </c>
      <c r="D7" s="4" t="s">
        <v>505</v>
      </c>
      <c r="E7" s="4" t="str">
        <f>VLOOKUP(C7,'[2]CTRL AUTOS'!$E$2:$L$58,8,FALSE)</f>
        <v>ASHC</v>
      </c>
      <c r="F7" s="61" t="str">
        <f>VLOOKUP(C7,'[2]CTRL AUTOS'!$E$2:$K$58,7,FALSE)</f>
        <v>ASHC</v>
      </c>
      <c r="G7" s="4" t="s">
        <v>234</v>
      </c>
      <c r="H7" s="62">
        <v>6903.68</v>
      </c>
      <c r="I7" s="62">
        <v>0</v>
      </c>
      <c r="J7" s="62">
        <v>-66.72</v>
      </c>
      <c r="K7" s="62">
        <v>19.579999999999998</v>
      </c>
      <c r="L7" s="62">
        <v>0</v>
      </c>
      <c r="M7" s="62">
        <v>-77</v>
      </c>
      <c r="N7" s="62">
        <v>-89</v>
      </c>
      <c r="O7" s="62">
        <f t="shared" ref="O7:O70" si="5">IF(H7+I7&lt;0,SUM(J7:N7),SUM(H7:N7))</f>
        <v>6690.54</v>
      </c>
      <c r="P7" s="62">
        <v>-2700</v>
      </c>
      <c r="Q7" s="62">
        <v>0</v>
      </c>
      <c r="R7" s="62">
        <v>0</v>
      </c>
      <c r="S7" s="62">
        <v>0</v>
      </c>
      <c r="T7" s="62">
        <v>0</v>
      </c>
      <c r="U7" s="62">
        <v>0</v>
      </c>
      <c r="V7" s="62">
        <v>0</v>
      </c>
      <c r="W7" s="62">
        <f t="shared" si="0"/>
        <v>3990.54</v>
      </c>
      <c r="X7" s="62">
        <f t="shared" si="1"/>
        <v>3990.54</v>
      </c>
      <c r="Y7" s="62">
        <f t="shared" si="2"/>
        <v>0</v>
      </c>
      <c r="Z7" s="62">
        <v>0</v>
      </c>
      <c r="AA7" s="62">
        <f t="shared" si="3"/>
        <v>0</v>
      </c>
      <c r="AB7" s="62">
        <f t="shared" si="4"/>
        <v>2700</v>
      </c>
      <c r="AC7" s="62"/>
      <c r="AD7" s="62"/>
    </row>
    <row r="8" spans="1:30" hidden="1" x14ac:dyDescent="0.3">
      <c r="A8" s="2">
        <v>1</v>
      </c>
      <c r="B8" s="3" t="s">
        <v>15</v>
      </c>
      <c r="C8" s="4" t="s">
        <v>16</v>
      </c>
      <c r="D8" s="4" t="s">
        <v>314</v>
      </c>
      <c r="E8" s="4" t="str">
        <f>VLOOKUP(C8,'[2]CTRL AUTOS'!$E$2:$L$58,8,FALSE)</f>
        <v>ASHC</v>
      </c>
      <c r="F8" s="61" t="str">
        <f>VLOOKUP(C8,'[2]CTRL AUTOS'!$E$2:$K$58,7,FALSE)</f>
        <v>ASHC</v>
      </c>
      <c r="G8" s="4" t="s">
        <v>234</v>
      </c>
      <c r="H8" s="62">
        <v>1020.36</v>
      </c>
      <c r="I8" s="62">
        <v>-59.93</v>
      </c>
      <c r="J8" s="62">
        <v>-11.2</v>
      </c>
      <c r="K8" s="62">
        <v>0</v>
      </c>
      <c r="L8" s="62">
        <v>0</v>
      </c>
      <c r="M8" s="62">
        <v>-63</v>
      </c>
      <c r="N8" s="62">
        <v>-71</v>
      </c>
      <c r="O8" s="62">
        <f t="shared" si="5"/>
        <v>815.23</v>
      </c>
      <c r="P8" s="62">
        <v>-2500</v>
      </c>
      <c r="Q8" s="62">
        <v>0</v>
      </c>
      <c r="R8" s="62">
        <v>-500</v>
      </c>
      <c r="S8" s="62">
        <v>0</v>
      </c>
      <c r="T8" s="62">
        <v>0</v>
      </c>
      <c r="U8" s="62">
        <v>0</v>
      </c>
      <c r="V8" s="62">
        <v>0</v>
      </c>
      <c r="W8" s="62">
        <f t="shared" si="0"/>
        <v>-2184.77</v>
      </c>
      <c r="X8" s="62">
        <f t="shared" si="1"/>
        <v>0</v>
      </c>
      <c r="Y8" s="62">
        <f t="shared" si="2"/>
        <v>-2184.77</v>
      </c>
      <c r="Z8" s="62">
        <f>1100+1085</f>
        <v>2185</v>
      </c>
      <c r="AA8" s="62">
        <f t="shared" si="3"/>
        <v>0.23000000000001819</v>
      </c>
      <c r="AB8" s="62">
        <f t="shared" si="4"/>
        <v>3000.46</v>
      </c>
      <c r="AC8" s="62"/>
      <c r="AD8" s="63" t="s">
        <v>607</v>
      </c>
    </row>
    <row r="9" spans="1:30" hidden="1" x14ac:dyDescent="0.3">
      <c r="A9" s="2">
        <v>1</v>
      </c>
      <c r="B9" s="3" t="s">
        <v>17</v>
      </c>
      <c r="C9" s="4" t="s">
        <v>18</v>
      </c>
      <c r="D9" s="4" t="s">
        <v>572</v>
      </c>
      <c r="E9" s="4" t="str">
        <f>VLOOKUP(C9,'[2]CTRL AUTOS'!$E$2:$L$58,8,FALSE)</f>
        <v>ASHC</v>
      </c>
      <c r="F9" s="61" t="str">
        <f>VLOOKUP(C9,'[2]CTRL AUTOS'!$E$2:$K$58,7,FALSE)</f>
        <v>ASHC</v>
      </c>
      <c r="G9" s="4" t="s">
        <v>234</v>
      </c>
      <c r="H9" s="62">
        <v>668.17</v>
      </c>
      <c r="I9" s="62">
        <v>-29.99</v>
      </c>
      <c r="J9" s="62">
        <v>-4.4800000000000004</v>
      </c>
      <c r="K9" s="62">
        <v>0</v>
      </c>
      <c r="L9" s="62">
        <v>0</v>
      </c>
      <c r="M9" s="62">
        <v>-60</v>
      </c>
      <c r="N9" s="62">
        <v>0</v>
      </c>
      <c r="O9" s="62">
        <f t="shared" si="5"/>
        <v>573.69999999999993</v>
      </c>
      <c r="P9" s="62">
        <v>0</v>
      </c>
      <c r="Q9" s="62">
        <v>-737</v>
      </c>
      <c r="R9" s="62">
        <v>0</v>
      </c>
      <c r="S9" s="62">
        <v>0</v>
      </c>
      <c r="T9" s="62">
        <v>0</v>
      </c>
      <c r="U9" s="62">
        <v>0</v>
      </c>
      <c r="V9" s="62">
        <v>0</v>
      </c>
      <c r="W9" s="62">
        <f t="shared" si="0"/>
        <v>-163.30000000000007</v>
      </c>
      <c r="X9" s="62">
        <f t="shared" si="1"/>
        <v>0</v>
      </c>
      <c r="Y9" s="62">
        <f t="shared" si="2"/>
        <v>-163.30000000000007</v>
      </c>
      <c r="Z9" s="62">
        <v>0</v>
      </c>
      <c r="AA9" s="62">
        <f t="shared" si="3"/>
        <v>-163.30000000000007</v>
      </c>
      <c r="AB9" s="62">
        <f t="shared" si="4"/>
        <v>410.39999999999986</v>
      </c>
      <c r="AC9" s="62"/>
      <c r="AD9" s="62" t="s">
        <v>608</v>
      </c>
    </row>
    <row r="10" spans="1:30" hidden="1" x14ac:dyDescent="0.3">
      <c r="A10" s="2">
        <v>1</v>
      </c>
      <c r="B10" s="3" t="s">
        <v>19</v>
      </c>
      <c r="C10" s="4" t="s">
        <v>20</v>
      </c>
      <c r="D10" s="4" t="s">
        <v>239</v>
      </c>
      <c r="E10" s="4" t="str">
        <f>VLOOKUP(C10,'[2]CTRL AUTOS'!$E$2:$L$58,8,FALSE)</f>
        <v>ASHC</v>
      </c>
      <c r="F10" s="61" t="str">
        <f>VLOOKUP(C10,'[2]CTRL AUTOS'!$E$2:$K$58,7,FALSE)</f>
        <v>ASHC</v>
      </c>
      <c r="G10" s="4" t="s">
        <v>234</v>
      </c>
      <c r="H10" s="62">
        <v>922.84</v>
      </c>
      <c r="I10" s="62">
        <v>0</v>
      </c>
      <c r="J10" s="62">
        <v>-4.4800000000000004</v>
      </c>
      <c r="K10" s="62">
        <v>0</v>
      </c>
      <c r="L10" s="62">
        <v>-8.49</v>
      </c>
      <c r="M10" s="62">
        <v>-60</v>
      </c>
      <c r="N10" s="62">
        <v>0</v>
      </c>
      <c r="O10" s="62">
        <f t="shared" si="5"/>
        <v>849.87</v>
      </c>
      <c r="P10" s="62">
        <v>-357.14285714285717</v>
      </c>
      <c r="Q10" s="62">
        <v>0</v>
      </c>
      <c r="R10" s="62">
        <v>0</v>
      </c>
      <c r="S10" s="62">
        <v>0</v>
      </c>
      <c r="T10" s="62">
        <v>-600</v>
      </c>
      <c r="U10" s="62">
        <v>0</v>
      </c>
      <c r="V10" s="62">
        <v>0</v>
      </c>
      <c r="W10" s="62">
        <f t="shared" si="0"/>
        <v>-107.27285714285716</v>
      </c>
      <c r="X10" s="62">
        <f t="shared" si="1"/>
        <v>0</v>
      </c>
      <c r="Y10" s="62">
        <f t="shared" si="2"/>
        <v>-107.27285714285716</v>
      </c>
      <c r="Z10" s="62">
        <v>0</v>
      </c>
      <c r="AA10" s="62">
        <f t="shared" si="3"/>
        <v>-107.27285714285716</v>
      </c>
      <c r="AB10" s="62">
        <f t="shared" si="4"/>
        <v>742.5971428571429</v>
      </c>
      <c r="AC10" s="62"/>
      <c r="AD10" s="62" t="s">
        <v>609</v>
      </c>
    </row>
    <row r="11" spans="1:30" hidden="1" x14ac:dyDescent="0.3">
      <c r="A11" s="2">
        <v>1</v>
      </c>
      <c r="B11" s="3" t="s">
        <v>21</v>
      </c>
      <c r="C11" s="4" t="s">
        <v>22</v>
      </c>
      <c r="D11" s="4" t="s">
        <v>319</v>
      </c>
      <c r="E11" s="4" t="str">
        <f>VLOOKUP(C11,'[2]CTRL AUTOS'!$E$2:$L$58,8,FALSE)</f>
        <v>ASHC</v>
      </c>
      <c r="F11" s="61" t="str">
        <f>VLOOKUP(C11,'[2]CTRL AUTOS'!$E$2:$K$58,7,FALSE)</f>
        <v>ASHC</v>
      </c>
      <c r="G11" s="4" t="s">
        <v>234</v>
      </c>
      <c r="H11" s="62">
        <v>2560.11</v>
      </c>
      <c r="I11" s="62">
        <v>-491.67</v>
      </c>
      <c r="J11" s="62">
        <v>-16.96</v>
      </c>
      <c r="K11" s="62">
        <v>106.1</v>
      </c>
      <c r="L11" s="62">
        <v>0</v>
      </c>
      <c r="M11" s="62">
        <v>-60</v>
      </c>
      <c r="N11" s="62">
        <v>0</v>
      </c>
      <c r="O11" s="62">
        <f t="shared" si="5"/>
        <v>2097.58</v>
      </c>
      <c r="P11" s="62">
        <v>-2500</v>
      </c>
      <c r="Q11" s="62">
        <v>0</v>
      </c>
      <c r="R11" s="62">
        <v>-500</v>
      </c>
      <c r="S11" s="62">
        <v>0</v>
      </c>
      <c r="T11" s="62">
        <v>0</v>
      </c>
      <c r="U11" s="62">
        <v>0</v>
      </c>
      <c r="V11" s="62">
        <v>0</v>
      </c>
      <c r="W11" s="62">
        <f t="shared" si="0"/>
        <v>-902.42000000000007</v>
      </c>
      <c r="X11" s="62">
        <f t="shared" si="1"/>
        <v>0</v>
      </c>
      <c r="Y11" s="62">
        <f t="shared" si="2"/>
        <v>-902.42000000000007</v>
      </c>
      <c r="Z11" s="62">
        <v>902</v>
      </c>
      <c r="AA11" s="62">
        <f t="shared" si="3"/>
        <v>-0.42000000000007276</v>
      </c>
      <c r="AB11" s="62">
        <f t="shared" si="4"/>
        <v>2999.16</v>
      </c>
      <c r="AC11" s="62"/>
      <c r="AD11" s="63" t="s">
        <v>610</v>
      </c>
    </row>
    <row r="12" spans="1:30" hidden="1" x14ac:dyDescent="0.3">
      <c r="A12" s="2">
        <v>1</v>
      </c>
      <c r="B12" s="3" t="s">
        <v>23</v>
      </c>
      <c r="C12" s="4" t="s">
        <v>24</v>
      </c>
      <c r="D12" s="4" t="s">
        <v>515</v>
      </c>
      <c r="E12" s="4" t="str">
        <f>VLOOKUP(C12,'[2]CTRL AUTOS'!$E$2:$L$58,8,FALSE)</f>
        <v>ASHC</v>
      </c>
      <c r="F12" s="61" t="str">
        <f>VLOOKUP(C12,'[2]CTRL AUTOS'!$E$2:$K$58,7,FALSE)</f>
        <v>ASHC</v>
      </c>
      <c r="G12" s="4" t="s">
        <v>234</v>
      </c>
      <c r="H12" s="62">
        <v>1605.6</v>
      </c>
      <c r="I12" s="62">
        <v>-1702.64</v>
      </c>
      <c r="J12" s="62">
        <v>-9.44</v>
      </c>
      <c r="K12" s="62">
        <v>0</v>
      </c>
      <c r="L12" s="62">
        <v>0</v>
      </c>
      <c r="M12" s="62">
        <v>-86</v>
      </c>
      <c r="N12" s="62">
        <v>-125.49</v>
      </c>
      <c r="O12" s="62">
        <f t="shared" si="5"/>
        <v>-220.93</v>
      </c>
      <c r="P12" s="62">
        <v>-771.42</v>
      </c>
      <c r="Q12" s="62">
        <v>-4976</v>
      </c>
      <c r="R12" s="62">
        <v>0</v>
      </c>
      <c r="S12" s="62">
        <v>0</v>
      </c>
      <c r="T12" s="62">
        <v>-700</v>
      </c>
      <c r="U12" s="62">
        <v>0</v>
      </c>
      <c r="V12" s="62">
        <v>0</v>
      </c>
      <c r="W12" s="62">
        <f t="shared" si="0"/>
        <v>-6668.35</v>
      </c>
      <c r="X12" s="62">
        <f t="shared" si="1"/>
        <v>0</v>
      </c>
      <c r="Y12" s="62">
        <f t="shared" si="2"/>
        <v>-6668.35</v>
      </c>
      <c r="Z12" s="62">
        <f>1000+1300+1000</f>
        <v>3300</v>
      </c>
      <c r="AA12" s="62">
        <f t="shared" si="3"/>
        <v>-3368.3500000000004</v>
      </c>
      <c r="AB12" s="62">
        <f t="shared" si="4"/>
        <v>-289.2800000000002</v>
      </c>
      <c r="AC12" s="62"/>
      <c r="AD12" s="64" t="s">
        <v>611</v>
      </c>
    </row>
    <row r="13" spans="1:30" hidden="1" x14ac:dyDescent="0.3">
      <c r="A13" s="2">
        <v>1</v>
      </c>
      <c r="B13" s="3" t="s">
        <v>25</v>
      </c>
      <c r="C13" s="4" t="s">
        <v>26</v>
      </c>
      <c r="D13" s="4" t="s">
        <v>575</v>
      </c>
      <c r="E13" s="4" t="str">
        <f>VLOOKUP(C13,'[2]CTRL AUTOS'!$E$2:$L$58,8,FALSE)</f>
        <v>ASHC</v>
      </c>
      <c r="F13" s="61" t="str">
        <f>VLOOKUP(C13,'[2]CTRL AUTOS'!$E$2:$K$58,7,FALSE)</f>
        <v>ASHC</v>
      </c>
      <c r="G13" s="4" t="s">
        <v>234</v>
      </c>
      <c r="H13" s="62">
        <v>309.82</v>
      </c>
      <c r="I13" s="62">
        <v>0</v>
      </c>
      <c r="J13" s="62">
        <v>0</v>
      </c>
      <c r="K13" s="62">
        <v>0</v>
      </c>
      <c r="L13" s="62">
        <v>0</v>
      </c>
      <c r="M13" s="62">
        <v>-60</v>
      </c>
      <c r="N13" s="62">
        <v>0</v>
      </c>
      <c r="O13" s="62">
        <f t="shared" si="5"/>
        <v>249.82</v>
      </c>
      <c r="P13" s="62">
        <v>-2500</v>
      </c>
      <c r="Q13" s="62">
        <v>-250</v>
      </c>
      <c r="R13" s="62">
        <v>0</v>
      </c>
      <c r="S13" s="62">
        <v>0</v>
      </c>
      <c r="T13" s="62">
        <v>0</v>
      </c>
      <c r="U13" s="62">
        <v>0</v>
      </c>
      <c r="V13" s="62">
        <v>0</v>
      </c>
      <c r="W13" s="62">
        <f t="shared" si="0"/>
        <v>-2500.1799999999998</v>
      </c>
      <c r="X13" s="62">
        <f t="shared" si="1"/>
        <v>0</v>
      </c>
      <c r="Y13" s="62">
        <f t="shared" si="2"/>
        <v>-2500.1799999999998</v>
      </c>
      <c r="Z13" s="62">
        <f>610+473+375+400+500+306</f>
        <v>2664</v>
      </c>
      <c r="AA13" s="62">
        <f t="shared" si="3"/>
        <v>163.82000000000016</v>
      </c>
      <c r="AB13" s="62">
        <f t="shared" si="4"/>
        <v>3077.6400000000003</v>
      </c>
      <c r="AC13" s="62"/>
      <c r="AD13" s="66" t="s">
        <v>612</v>
      </c>
    </row>
    <row r="14" spans="1:30" hidden="1" x14ac:dyDescent="0.3">
      <c r="A14" s="2">
        <v>1</v>
      </c>
      <c r="B14" s="3" t="s">
        <v>27</v>
      </c>
      <c r="C14" s="4" t="s">
        <v>28</v>
      </c>
      <c r="D14" s="4" t="s">
        <v>274</v>
      </c>
      <c r="E14" s="4" t="str">
        <f>VLOOKUP(C14,'[2]CTRL AUTOS'!$E$2:$L$58,8,FALSE)</f>
        <v>ASHC</v>
      </c>
      <c r="F14" s="61" t="str">
        <f>VLOOKUP(C14,'[2]CTRL AUTOS'!$E$2:$K$58,7,FALSE)</f>
        <v>ASHC</v>
      </c>
      <c r="G14" s="4" t="s">
        <v>234</v>
      </c>
      <c r="H14" s="62">
        <v>4543.72</v>
      </c>
      <c r="I14" s="62">
        <v>-2246.92</v>
      </c>
      <c r="J14" s="62">
        <v>-31.84</v>
      </c>
      <c r="K14" s="62">
        <v>0</v>
      </c>
      <c r="L14" s="62">
        <v>0</v>
      </c>
      <c r="M14" s="62">
        <v>-65</v>
      </c>
      <c r="N14" s="62">
        <v>0</v>
      </c>
      <c r="O14" s="62">
        <f t="shared" si="5"/>
        <v>2199.96</v>
      </c>
      <c r="P14" s="62">
        <v>-2500</v>
      </c>
      <c r="Q14" s="62">
        <v>0</v>
      </c>
      <c r="R14" s="62">
        <v>-500</v>
      </c>
      <c r="S14" s="62">
        <v>0</v>
      </c>
      <c r="T14" s="62">
        <v>0</v>
      </c>
      <c r="U14" s="62">
        <v>0</v>
      </c>
      <c r="V14" s="62">
        <v>0</v>
      </c>
      <c r="W14" s="62">
        <f t="shared" si="0"/>
        <v>-800.04</v>
      </c>
      <c r="X14" s="62">
        <f t="shared" si="1"/>
        <v>0</v>
      </c>
      <c r="Y14" s="62">
        <f t="shared" si="2"/>
        <v>-800.04</v>
      </c>
      <c r="Z14" s="62">
        <v>800</v>
      </c>
      <c r="AA14" s="62">
        <f t="shared" si="3"/>
        <v>-3.999999999996362E-2</v>
      </c>
      <c r="AB14" s="62">
        <f t="shared" si="4"/>
        <v>2999.92</v>
      </c>
      <c r="AC14" s="62"/>
      <c r="AD14" s="66" t="s">
        <v>613</v>
      </c>
    </row>
    <row r="15" spans="1:30" hidden="1" x14ac:dyDescent="0.3">
      <c r="A15" s="2">
        <v>1</v>
      </c>
      <c r="B15" s="3" t="s">
        <v>9</v>
      </c>
      <c r="C15" s="4" t="s">
        <v>10</v>
      </c>
      <c r="D15" s="4" t="s">
        <v>343</v>
      </c>
      <c r="E15" s="4" t="str">
        <f>VLOOKUP(C15,'[2]CTRL AUTOS'!$E$2:$L$58,8,FALSE)</f>
        <v>ASHC</v>
      </c>
      <c r="F15" s="61" t="str">
        <f>VLOOKUP(C15,'[2]CTRL AUTOS'!$E$2:$K$58,7,FALSE)</f>
        <v>ASHC</v>
      </c>
      <c r="G15" s="4" t="s">
        <v>234</v>
      </c>
      <c r="H15" s="62">
        <v>95.23</v>
      </c>
      <c r="I15" s="62">
        <v>-80.209999999999994</v>
      </c>
      <c r="J15" s="62">
        <v>0</v>
      </c>
      <c r="K15" s="62">
        <v>0</v>
      </c>
      <c r="L15" s="62">
        <v>0</v>
      </c>
      <c r="M15" s="62">
        <v>-15</v>
      </c>
      <c r="N15" s="62">
        <v>0</v>
      </c>
      <c r="O15" s="62">
        <f t="shared" si="5"/>
        <v>2.0000000000010232E-2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2">
        <v>0</v>
      </c>
      <c r="V15" s="62">
        <v>0</v>
      </c>
      <c r="W15" s="62">
        <f t="shared" si="0"/>
        <v>2.0000000000010232E-2</v>
      </c>
      <c r="X15" s="62">
        <f t="shared" si="1"/>
        <v>2.0000000000010232E-2</v>
      </c>
      <c r="Y15" s="62">
        <f t="shared" si="2"/>
        <v>0</v>
      </c>
      <c r="Z15" s="62">
        <v>0</v>
      </c>
      <c r="AA15" s="62">
        <f t="shared" si="3"/>
        <v>0</v>
      </c>
      <c r="AB15" s="62">
        <f t="shared" si="4"/>
        <v>0</v>
      </c>
      <c r="AC15" s="62"/>
      <c r="AD15" s="62" t="s">
        <v>614</v>
      </c>
    </row>
    <row r="16" spans="1:30" hidden="1" x14ac:dyDescent="0.3">
      <c r="A16" s="2">
        <v>1</v>
      </c>
      <c r="B16" s="3" t="s">
        <v>29</v>
      </c>
      <c r="C16" s="4" t="s">
        <v>30</v>
      </c>
      <c r="D16" s="4" t="s">
        <v>521</v>
      </c>
      <c r="E16" s="4" t="str">
        <f>VLOOKUP(C16,'[2]CTRL AUTOS'!$E$2:$L$58,8,FALSE)</f>
        <v>ASHC</v>
      </c>
      <c r="F16" s="61" t="str">
        <f>VLOOKUP(C16,'[2]CTRL AUTOS'!$E$2:$K$58,7,FALSE)</f>
        <v>ASHC</v>
      </c>
      <c r="G16" s="4" t="s">
        <v>234</v>
      </c>
      <c r="H16" s="62">
        <v>5101.6000000000004</v>
      </c>
      <c r="I16" s="62">
        <v>-1716.25</v>
      </c>
      <c r="J16" s="62">
        <v>-23.84</v>
      </c>
      <c r="K16" s="62">
        <v>311.99</v>
      </c>
      <c r="L16" s="62">
        <v>0</v>
      </c>
      <c r="M16" s="62">
        <v>-66.5</v>
      </c>
      <c r="N16" s="62">
        <v>-25.87</v>
      </c>
      <c r="O16" s="62">
        <f t="shared" si="5"/>
        <v>3581.13</v>
      </c>
      <c r="P16" s="62">
        <v>-2500</v>
      </c>
      <c r="Q16" s="62">
        <v>0</v>
      </c>
      <c r="R16" s="62">
        <v>-500</v>
      </c>
      <c r="S16" s="62">
        <v>0</v>
      </c>
      <c r="T16" s="62">
        <v>0</v>
      </c>
      <c r="U16" s="62">
        <v>0</v>
      </c>
      <c r="V16" s="62">
        <v>0</v>
      </c>
      <c r="W16" s="62">
        <f t="shared" si="0"/>
        <v>581.13000000000011</v>
      </c>
      <c r="X16" s="62">
        <f t="shared" si="1"/>
        <v>581.13000000000011</v>
      </c>
      <c r="Y16" s="62">
        <f t="shared" si="2"/>
        <v>0</v>
      </c>
      <c r="Z16" s="62">
        <v>0</v>
      </c>
      <c r="AA16" s="62">
        <f t="shared" si="3"/>
        <v>0</v>
      </c>
      <c r="AB16" s="62">
        <f t="shared" si="4"/>
        <v>3000</v>
      </c>
      <c r="AC16" s="62"/>
      <c r="AD16" s="62" t="s">
        <v>615</v>
      </c>
    </row>
    <row r="17" spans="1:30" hidden="1" x14ac:dyDescent="0.3">
      <c r="A17" s="2">
        <v>1</v>
      </c>
      <c r="B17" s="3" t="s">
        <v>31</v>
      </c>
      <c r="C17" s="4" t="s">
        <v>143</v>
      </c>
      <c r="D17" s="4" t="s">
        <v>283</v>
      </c>
      <c r="E17" s="4" t="str">
        <f>VLOOKUP(C17,'[2]CTRL AUTOS'!$E$2:$L$58,8,FALSE)</f>
        <v>ASHC</v>
      </c>
      <c r="F17" s="61" t="str">
        <f>VLOOKUP(C17,'[2]CTRL AUTOS'!$E$2:$K$58,7,FALSE)</f>
        <v>ASHC</v>
      </c>
      <c r="G17" s="4" t="s">
        <v>234</v>
      </c>
      <c r="H17" s="62">
        <v>10752.02</v>
      </c>
      <c r="I17" s="62">
        <v>-5054.1899999999996</v>
      </c>
      <c r="J17" s="62">
        <v>-36.479999999999997</v>
      </c>
      <c r="K17" s="62">
        <v>0</v>
      </c>
      <c r="L17" s="62">
        <v>0</v>
      </c>
      <c r="M17" s="62">
        <v>-65</v>
      </c>
      <c r="N17" s="62">
        <v>0</v>
      </c>
      <c r="O17" s="62">
        <f t="shared" si="5"/>
        <v>5596.3500000000013</v>
      </c>
      <c r="P17" s="62">
        <f>-357.14-2314.28</f>
        <v>-2671.42</v>
      </c>
      <c r="Q17" s="62">
        <v>0</v>
      </c>
      <c r="R17" s="62">
        <v>-500</v>
      </c>
      <c r="S17" s="62">
        <v>0</v>
      </c>
      <c r="T17" s="62">
        <v>0</v>
      </c>
      <c r="U17" s="62">
        <v>0</v>
      </c>
      <c r="V17" s="62">
        <v>0</v>
      </c>
      <c r="W17" s="62">
        <f t="shared" si="0"/>
        <v>2424.9300000000012</v>
      </c>
      <c r="X17" s="62">
        <f t="shared" si="1"/>
        <v>2424.9300000000012</v>
      </c>
      <c r="Y17" s="62">
        <f t="shared" si="2"/>
        <v>0</v>
      </c>
      <c r="Z17" s="62">
        <v>0</v>
      </c>
      <c r="AA17" s="62">
        <f t="shared" si="3"/>
        <v>0</v>
      </c>
      <c r="AB17" s="62">
        <f t="shared" si="4"/>
        <v>3171.42</v>
      </c>
      <c r="AC17" s="62"/>
      <c r="AD17" s="62" t="s">
        <v>616</v>
      </c>
    </row>
    <row r="18" spans="1:30" hidden="1" x14ac:dyDescent="0.3">
      <c r="A18" s="2">
        <v>1</v>
      </c>
      <c r="B18" s="3" t="s">
        <v>33</v>
      </c>
      <c r="C18" s="4" t="s">
        <v>34</v>
      </c>
      <c r="D18" s="4" t="s">
        <v>285</v>
      </c>
      <c r="E18" s="4" t="str">
        <f>VLOOKUP(C18,'[2]CTRL AUTOS'!$E$2:$L$58,8,FALSE)</f>
        <v>ASHC</v>
      </c>
      <c r="F18" s="61" t="str">
        <f>VLOOKUP(C18,'[2]CTRL AUTOS'!$E$2:$K$58,7,FALSE)</f>
        <v>ASHC</v>
      </c>
      <c r="G18" s="4" t="s">
        <v>234</v>
      </c>
      <c r="H18" s="62">
        <v>2245.2600000000002</v>
      </c>
      <c r="I18" s="62">
        <v>-363.75</v>
      </c>
      <c r="J18" s="62">
        <v>0</v>
      </c>
      <c r="K18" s="62">
        <v>0</v>
      </c>
      <c r="L18" s="62">
        <v>-24.09</v>
      </c>
      <c r="M18" s="62">
        <v>-140</v>
      </c>
      <c r="N18" s="62">
        <v>-378.18</v>
      </c>
      <c r="O18" s="62">
        <f t="shared" si="5"/>
        <v>1339.2400000000002</v>
      </c>
      <c r="P18" s="62">
        <v>-2500</v>
      </c>
      <c r="Q18" s="62">
        <v>-627</v>
      </c>
      <c r="R18" s="62">
        <v>-500</v>
      </c>
      <c r="S18" s="62">
        <v>0</v>
      </c>
      <c r="T18" s="62">
        <v>0</v>
      </c>
      <c r="U18" s="62">
        <v>0</v>
      </c>
      <c r="V18" s="62">
        <v>0</v>
      </c>
      <c r="W18" s="62">
        <f t="shared" si="0"/>
        <v>-2287.7599999999998</v>
      </c>
      <c r="X18" s="62">
        <f t="shared" si="1"/>
        <v>0</v>
      </c>
      <c r="Y18" s="62">
        <f t="shared" si="2"/>
        <v>-2287.7599999999998</v>
      </c>
      <c r="Z18" s="62">
        <v>1800</v>
      </c>
      <c r="AA18" s="62">
        <f t="shared" si="3"/>
        <v>-487.75999999999976</v>
      </c>
      <c r="AB18" s="62">
        <f t="shared" si="4"/>
        <v>2651.4800000000005</v>
      </c>
      <c r="AC18" s="62"/>
      <c r="AD18" s="63" t="s">
        <v>617</v>
      </c>
    </row>
    <row r="19" spans="1:30" hidden="1" x14ac:dyDescent="0.3">
      <c r="A19" s="2">
        <v>1</v>
      </c>
      <c r="B19" s="3" t="s">
        <v>35</v>
      </c>
      <c r="C19" s="4" t="s">
        <v>36</v>
      </c>
      <c r="D19" s="4" t="s">
        <v>510</v>
      </c>
      <c r="E19" s="4" t="str">
        <f>VLOOKUP(C19,'[2]CTRL AUTOS'!$E$2:$L$58,8,FALSE)</f>
        <v>ASHC</v>
      </c>
      <c r="F19" s="61" t="str">
        <f>VLOOKUP(C19,'[2]CTRL AUTOS'!$E$2:$K$58,7,FALSE)</f>
        <v>ASHC</v>
      </c>
      <c r="G19" s="4" t="s">
        <v>234</v>
      </c>
      <c r="H19" s="62">
        <v>7594.7</v>
      </c>
      <c r="I19" s="62">
        <v>-3449.65</v>
      </c>
      <c r="J19" s="62">
        <v>-36.479999999999997</v>
      </c>
      <c r="K19" s="62">
        <v>0</v>
      </c>
      <c r="L19" s="62">
        <v>0</v>
      </c>
      <c r="M19" s="62">
        <v>-65</v>
      </c>
      <c r="N19" s="62">
        <v>0</v>
      </c>
      <c r="O19" s="62">
        <f t="shared" si="5"/>
        <v>4043.5699999999997</v>
      </c>
      <c r="P19" s="62">
        <v>-1250</v>
      </c>
      <c r="Q19" s="62">
        <v>-360</v>
      </c>
      <c r="R19" s="62">
        <v>0</v>
      </c>
      <c r="S19" s="62">
        <v>0</v>
      </c>
      <c r="T19" s="62">
        <v>0</v>
      </c>
      <c r="U19" s="62">
        <v>0</v>
      </c>
      <c r="V19" s="62">
        <v>0</v>
      </c>
      <c r="W19" s="62">
        <f t="shared" si="0"/>
        <v>2433.5699999999997</v>
      </c>
      <c r="X19" s="62">
        <f t="shared" si="1"/>
        <v>2433.5699999999997</v>
      </c>
      <c r="Y19" s="62">
        <f t="shared" si="2"/>
        <v>0</v>
      </c>
      <c r="Z19" s="62">
        <v>0</v>
      </c>
      <c r="AA19" s="62">
        <f t="shared" si="3"/>
        <v>0</v>
      </c>
      <c r="AB19" s="62">
        <f t="shared" si="4"/>
        <v>1610</v>
      </c>
      <c r="AC19" s="62"/>
      <c r="AD19" s="62" t="s">
        <v>618</v>
      </c>
    </row>
    <row r="20" spans="1:30" hidden="1" x14ac:dyDescent="0.3">
      <c r="A20" s="2">
        <v>1</v>
      </c>
      <c r="B20" s="3" t="s">
        <v>37</v>
      </c>
      <c r="C20" s="4" t="s">
        <v>38</v>
      </c>
      <c r="D20" s="4" t="s">
        <v>579</v>
      </c>
      <c r="E20" s="4" t="str">
        <f>VLOOKUP(C20,'[2]CTRL AUTOS'!$E$2:$L$58,8,FALSE)</f>
        <v>ASHC</v>
      </c>
      <c r="F20" s="61" t="str">
        <f>VLOOKUP(C20,'[2]CTRL AUTOS'!$E$2:$K$58,7,FALSE)</f>
        <v>ASHC</v>
      </c>
      <c r="G20" s="4" t="s">
        <v>234</v>
      </c>
      <c r="H20" s="62">
        <v>7690.57</v>
      </c>
      <c r="I20" s="62">
        <v>-3610.68</v>
      </c>
      <c r="J20" s="62">
        <v>-76.959999999999994</v>
      </c>
      <c r="K20" s="62">
        <v>0</v>
      </c>
      <c r="L20" s="62">
        <v>0</v>
      </c>
      <c r="M20" s="62">
        <v>-65</v>
      </c>
      <c r="N20" s="62">
        <v>0</v>
      </c>
      <c r="O20" s="62">
        <f t="shared" si="5"/>
        <v>3937.93</v>
      </c>
      <c r="P20" s="62">
        <v>-2500</v>
      </c>
      <c r="Q20" s="62">
        <v>-210</v>
      </c>
      <c r="R20" s="62">
        <v>0</v>
      </c>
      <c r="S20" s="62">
        <v>0</v>
      </c>
      <c r="T20" s="62">
        <v>0</v>
      </c>
      <c r="U20" s="62">
        <v>0</v>
      </c>
      <c r="V20" s="62">
        <v>0</v>
      </c>
      <c r="W20" s="62">
        <f t="shared" si="0"/>
        <v>1227.9299999999998</v>
      </c>
      <c r="X20" s="62">
        <f t="shared" si="1"/>
        <v>1227.9299999999998</v>
      </c>
      <c r="Y20" s="62">
        <f t="shared" si="2"/>
        <v>0</v>
      </c>
      <c r="Z20" s="62">
        <v>0</v>
      </c>
      <c r="AA20" s="62">
        <f t="shared" si="3"/>
        <v>0</v>
      </c>
      <c r="AB20" s="62">
        <f t="shared" si="4"/>
        <v>2710</v>
      </c>
      <c r="AC20" s="62"/>
      <c r="AD20" s="62"/>
    </row>
    <row r="21" spans="1:30" hidden="1" x14ac:dyDescent="0.3">
      <c r="A21" s="2">
        <v>1</v>
      </c>
      <c r="B21" s="3" t="s">
        <v>39</v>
      </c>
      <c r="C21" s="4" t="s">
        <v>40</v>
      </c>
      <c r="D21" s="4" t="s">
        <v>315</v>
      </c>
      <c r="E21" s="4" t="str">
        <f>VLOOKUP(C21,'[2]CTRL AUTOS'!$E$2:$L$58,8,FALSE)</f>
        <v>ASHC</v>
      </c>
      <c r="F21" s="61" t="str">
        <f>VLOOKUP(C21,'[2]CTRL AUTOS'!$E$2:$K$58,7,FALSE)</f>
        <v>ASHC</v>
      </c>
      <c r="G21" s="4" t="s">
        <v>234</v>
      </c>
      <c r="H21" s="62">
        <v>2373.0100000000002</v>
      </c>
      <c r="I21" s="62">
        <v>-218.08</v>
      </c>
      <c r="J21" s="62">
        <v>0</v>
      </c>
      <c r="K21" s="62">
        <v>0</v>
      </c>
      <c r="L21" s="62">
        <v>0</v>
      </c>
      <c r="M21" s="62">
        <v>-60</v>
      </c>
      <c r="N21" s="62">
        <v>0</v>
      </c>
      <c r="O21" s="62">
        <f t="shared" si="5"/>
        <v>2094.9300000000003</v>
      </c>
      <c r="P21" s="62">
        <v>-2500</v>
      </c>
      <c r="Q21" s="62">
        <v>0</v>
      </c>
      <c r="R21" s="62">
        <v>-500</v>
      </c>
      <c r="S21" s="62">
        <v>0</v>
      </c>
      <c r="T21" s="62">
        <v>0</v>
      </c>
      <c r="U21" s="62">
        <v>0</v>
      </c>
      <c r="V21" s="62">
        <v>0</v>
      </c>
      <c r="W21" s="62">
        <f t="shared" si="0"/>
        <v>-905.06999999999971</v>
      </c>
      <c r="X21" s="62">
        <f t="shared" si="1"/>
        <v>0</v>
      </c>
      <c r="Y21" s="62">
        <f t="shared" si="2"/>
        <v>-905.06999999999971</v>
      </c>
      <c r="Z21" s="62">
        <v>605</v>
      </c>
      <c r="AA21" s="62">
        <f t="shared" si="3"/>
        <v>-300.06999999999971</v>
      </c>
      <c r="AB21" s="62">
        <f t="shared" si="4"/>
        <v>2399.8600000000006</v>
      </c>
      <c r="AC21" s="62"/>
      <c r="AD21" s="62" t="s">
        <v>619</v>
      </c>
    </row>
    <row r="22" spans="1:30" hidden="1" x14ac:dyDescent="0.3">
      <c r="A22" s="2">
        <v>1</v>
      </c>
      <c r="B22" s="3" t="s">
        <v>41</v>
      </c>
      <c r="C22" s="4" t="s">
        <v>42</v>
      </c>
      <c r="D22" s="4" t="s">
        <v>250</v>
      </c>
      <c r="E22" s="4" t="str">
        <f>VLOOKUP(C22,'[2]CTRL AUTOS'!$E$2:$L$58,8,FALSE)</f>
        <v>ASHC</v>
      </c>
      <c r="F22" s="61" t="str">
        <f>VLOOKUP(C22,'[2]CTRL AUTOS'!$E$2:$K$58,7,FALSE)</f>
        <v>ASHC</v>
      </c>
      <c r="G22" s="4" t="s">
        <v>234</v>
      </c>
      <c r="H22" s="62">
        <v>3703.3</v>
      </c>
      <c r="I22" s="62">
        <v>-2282.87</v>
      </c>
      <c r="J22" s="62">
        <v>0</v>
      </c>
      <c r="K22" s="62">
        <v>0</v>
      </c>
      <c r="L22" s="62">
        <v>0</v>
      </c>
      <c r="M22" s="62">
        <v>-60</v>
      </c>
      <c r="N22" s="62">
        <v>0</v>
      </c>
      <c r="O22" s="62">
        <f t="shared" si="5"/>
        <v>1360.4300000000003</v>
      </c>
      <c r="P22" s="62">
        <v>-1360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62">
        <v>0</v>
      </c>
      <c r="W22" s="62">
        <f t="shared" si="0"/>
        <v>0.43000000000029104</v>
      </c>
      <c r="X22" s="62">
        <f t="shared" si="1"/>
        <v>0.43000000000029104</v>
      </c>
      <c r="Y22" s="62">
        <f t="shared" si="2"/>
        <v>0</v>
      </c>
      <c r="Z22" s="62">
        <v>0</v>
      </c>
      <c r="AA22" s="62">
        <f t="shared" si="3"/>
        <v>0</v>
      </c>
      <c r="AB22" s="62">
        <f t="shared" si="4"/>
        <v>1360</v>
      </c>
      <c r="AC22" s="62"/>
      <c r="AD22" s="62" t="s">
        <v>620</v>
      </c>
    </row>
    <row r="23" spans="1:30" hidden="1" x14ac:dyDescent="0.3">
      <c r="A23" s="2">
        <v>1</v>
      </c>
      <c r="B23" s="3" t="s">
        <v>43</v>
      </c>
      <c r="C23" s="4" t="s">
        <v>44</v>
      </c>
      <c r="D23" s="4" t="s">
        <v>467</v>
      </c>
      <c r="E23" s="4" t="str">
        <f>VLOOKUP(C23,'[2]CTRL AUTOS'!$E$2:$L$58,8,FALSE)</f>
        <v>ASHC</v>
      </c>
      <c r="F23" s="61" t="str">
        <f>VLOOKUP(C23,'[2]CTRL AUTOS'!$E$2:$K$58,7,FALSE)</f>
        <v>ASHC</v>
      </c>
      <c r="G23" s="4" t="s">
        <v>234</v>
      </c>
      <c r="H23" s="62">
        <v>1577.88</v>
      </c>
      <c r="I23" s="62">
        <v>0</v>
      </c>
      <c r="J23" s="62">
        <v>-9.2799999999999994</v>
      </c>
      <c r="K23" s="62">
        <v>0</v>
      </c>
      <c r="L23" s="62">
        <v>0</v>
      </c>
      <c r="M23" s="62">
        <v>-65</v>
      </c>
      <c r="N23" s="62">
        <v>0</v>
      </c>
      <c r="O23" s="62">
        <f t="shared" si="5"/>
        <v>1503.6000000000001</v>
      </c>
      <c r="P23" s="62">
        <v>-2500</v>
      </c>
      <c r="Q23" s="62">
        <v>-76</v>
      </c>
      <c r="R23" s="62">
        <v>-500</v>
      </c>
      <c r="S23" s="62">
        <v>0</v>
      </c>
      <c r="T23" s="62">
        <v>0</v>
      </c>
      <c r="U23" s="62">
        <v>0</v>
      </c>
      <c r="V23" s="62">
        <v>0</v>
      </c>
      <c r="W23" s="62">
        <f t="shared" si="0"/>
        <v>-1572.3999999999999</v>
      </c>
      <c r="X23" s="62">
        <f t="shared" si="1"/>
        <v>0</v>
      </c>
      <c r="Y23" s="62">
        <f t="shared" si="2"/>
        <v>-1572.3999999999999</v>
      </c>
      <c r="Z23" s="62">
        <f>1000+500</f>
        <v>1500</v>
      </c>
      <c r="AA23" s="62">
        <f t="shared" si="3"/>
        <v>-72.399999999999864</v>
      </c>
      <c r="AB23" s="62">
        <f t="shared" si="4"/>
        <v>2931.2000000000007</v>
      </c>
      <c r="AC23" s="62"/>
      <c r="AD23" s="66" t="s">
        <v>621</v>
      </c>
    </row>
    <row r="24" spans="1:30" hidden="1" x14ac:dyDescent="0.3">
      <c r="A24" s="2">
        <v>1</v>
      </c>
      <c r="B24" s="3" t="s">
        <v>45</v>
      </c>
      <c r="C24" s="4" t="s">
        <v>46</v>
      </c>
      <c r="D24" s="4" t="s">
        <v>257</v>
      </c>
      <c r="E24" s="4" t="str">
        <f>VLOOKUP(C24,'[2]CTRL AUTOS'!$E$2:$L$58,8,FALSE)</f>
        <v>ASHC</v>
      </c>
      <c r="F24" s="61" t="str">
        <f>VLOOKUP(C24,'[2]CTRL AUTOS'!$E$2:$K$58,7,FALSE)</f>
        <v>ASHC</v>
      </c>
      <c r="G24" s="4" t="s">
        <v>234</v>
      </c>
      <c r="H24" s="62">
        <v>2073.67</v>
      </c>
      <c r="I24" s="62">
        <v>-619.58000000000004</v>
      </c>
      <c r="J24" s="62">
        <v>-14.4</v>
      </c>
      <c r="K24" s="62">
        <v>0</v>
      </c>
      <c r="L24" s="62">
        <v>0</v>
      </c>
      <c r="M24" s="62">
        <v>-11</v>
      </c>
      <c r="N24" s="62">
        <v>0</v>
      </c>
      <c r="O24" s="62">
        <f t="shared" si="5"/>
        <v>1428.69</v>
      </c>
      <c r="P24" s="62">
        <v>-1428.57</v>
      </c>
      <c r="Q24" s="62">
        <v>0</v>
      </c>
      <c r="R24" s="62">
        <v>0</v>
      </c>
      <c r="S24" s="62">
        <v>0</v>
      </c>
      <c r="T24" s="62">
        <v>0</v>
      </c>
      <c r="U24" s="62">
        <v>0</v>
      </c>
      <c r="V24" s="62">
        <v>0</v>
      </c>
      <c r="W24" s="62">
        <f t="shared" si="0"/>
        <v>0.12000000000011823</v>
      </c>
      <c r="X24" s="62">
        <f t="shared" si="1"/>
        <v>0.12000000000011823</v>
      </c>
      <c r="Y24" s="62">
        <f t="shared" si="2"/>
        <v>0</v>
      </c>
      <c r="Z24" s="62">
        <v>0</v>
      </c>
      <c r="AA24" s="62">
        <f t="shared" si="3"/>
        <v>0</v>
      </c>
      <c r="AB24" s="62">
        <f t="shared" si="4"/>
        <v>1428.57</v>
      </c>
      <c r="AC24" s="62"/>
      <c r="AD24" s="62" t="s">
        <v>622</v>
      </c>
    </row>
    <row r="25" spans="1:30" hidden="1" x14ac:dyDescent="0.3">
      <c r="A25" s="2">
        <v>1</v>
      </c>
      <c r="B25" s="3" t="s">
        <v>47</v>
      </c>
      <c r="C25" s="4" t="s">
        <v>147</v>
      </c>
      <c r="D25" s="4" t="s">
        <v>283</v>
      </c>
      <c r="E25" s="4" t="str">
        <f>VLOOKUP(C25,'[2]CTRL AUTOS'!$E$2:$L$58,8,FALSE)</f>
        <v>ASHC</v>
      </c>
      <c r="F25" s="61" t="str">
        <f>VLOOKUP(C25,'[2]CTRL AUTOS'!$E$2:$K$58,7,FALSE)</f>
        <v>ASHC</v>
      </c>
      <c r="G25" s="4" t="s">
        <v>234</v>
      </c>
      <c r="H25" s="62">
        <v>3451.27</v>
      </c>
      <c r="I25" s="62">
        <v>-1775.14</v>
      </c>
      <c r="J25" s="62">
        <v>-16.96</v>
      </c>
      <c r="K25" s="62">
        <v>127.04</v>
      </c>
      <c r="L25" s="62">
        <v>-42.97</v>
      </c>
      <c r="M25" s="62">
        <v>-65</v>
      </c>
      <c r="N25" s="62">
        <v>0</v>
      </c>
      <c r="O25" s="62">
        <f t="shared" si="5"/>
        <v>1678.2399999999998</v>
      </c>
      <c r="P25" s="62">
        <f>-357.14-2314.28</f>
        <v>-2671.42</v>
      </c>
      <c r="Q25" s="62">
        <v>0</v>
      </c>
      <c r="R25" s="62">
        <v>-500</v>
      </c>
      <c r="S25" s="62">
        <v>0</v>
      </c>
      <c r="T25" s="62">
        <v>0</v>
      </c>
      <c r="U25" s="62">
        <v>0</v>
      </c>
      <c r="V25" s="62">
        <v>0</v>
      </c>
      <c r="W25" s="62">
        <f t="shared" si="0"/>
        <v>-1493.1800000000003</v>
      </c>
      <c r="X25" s="62">
        <f t="shared" si="1"/>
        <v>0</v>
      </c>
      <c r="Y25" s="62">
        <f t="shared" si="2"/>
        <v>-1493.1800000000003</v>
      </c>
      <c r="Z25" s="62">
        <v>0</v>
      </c>
      <c r="AA25" s="62">
        <f t="shared" si="3"/>
        <v>-1493.1800000000003</v>
      </c>
      <c r="AB25" s="62">
        <f t="shared" si="4"/>
        <v>185.05999999999949</v>
      </c>
      <c r="AC25" s="62"/>
      <c r="AD25" s="62" t="s">
        <v>623</v>
      </c>
    </row>
    <row r="26" spans="1:30" hidden="1" x14ac:dyDescent="0.3">
      <c r="A26" s="2">
        <v>1</v>
      </c>
      <c r="B26" s="3" t="s">
        <v>49</v>
      </c>
      <c r="C26" s="4" t="s">
        <v>50</v>
      </c>
      <c r="D26" s="4" t="s">
        <v>480</v>
      </c>
      <c r="E26" s="4" t="str">
        <f>VLOOKUP(C26,'[2]CTRL AUTOS'!$E$2:$L$58,8,FALSE)</f>
        <v>ASHC</v>
      </c>
      <c r="F26" s="61" t="str">
        <f>VLOOKUP(C26,'[2]CTRL AUTOS'!$E$2:$K$58,7,FALSE)</f>
        <v>ASHC</v>
      </c>
      <c r="G26" s="4" t="s">
        <v>234</v>
      </c>
      <c r="H26" s="62">
        <v>7279.62</v>
      </c>
      <c r="I26" s="62">
        <v>-277.08</v>
      </c>
      <c r="J26" s="62">
        <v>-42.02</v>
      </c>
      <c r="K26" s="62">
        <v>-5.32</v>
      </c>
      <c r="L26" s="62">
        <v>0</v>
      </c>
      <c r="M26" s="62">
        <v>-65</v>
      </c>
      <c r="N26" s="62">
        <v>0</v>
      </c>
      <c r="O26" s="62">
        <f t="shared" si="5"/>
        <v>6890.2</v>
      </c>
      <c r="P26" s="62">
        <v>-2500</v>
      </c>
      <c r="Q26" s="62">
        <v>0</v>
      </c>
      <c r="R26" s="62">
        <v>0</v>
      </c>
      <c r="S26" s="62">
        <v>0</v>
      </c>
      <c r="T26" s="62">
        <v>-700</v>
      </c>
      <c r="U26" s="62">
        <v>0</v>
      </c>
      <c r="V26" s="62">
        <v>0</v>
      </c>
      <c r="W26" s="62">
        <f t="shared" si="0"/>
        <v>3690.2</v>
      </c>
      <c r="X26" s="62">
        <f t="shared" si="1"/>
        <v>3690.2</v>
      </c>
      <c r="Y26" s="62">
        <f t="shared" si="2"/>
        <v>0</v>
      </c>
      <c r="Z26" s="62">
        <v>0</v>
      </c>
      <c r="AA26" s="62">
        <f t="shared" si="3"/>
        <v>0</v>
      </c>
      <c r="AB26" s="62">
        <f t="shared" si="4"/>
        <v>3200</v>
      </c>
      <c r="AC26" s="62"/>
      <c r="AD26" s="62" t="s">
        <v>624</v>
      </c>
    </row>
    <row r="27" spans="1:30" hidden="1" x14ac:dyDescent="0.3">
      <c r="A27" s="2">
        <v>1</v>
      </c>
      <c r="B27" s="3" t="s">
        <v>51</v>
      </c>
      <c r="C27" s="4" t="s">
        <v>52</v>
      </c>
      <c r="D27" s="4" t="s">
        <v>313</v>
      </c>
      <c r="E27" s="4" t="str">
        <f>VLOOKUP(C27,'[2]CTRL AUTOS'!$E$2:$L$58,8,FALSE)</f>
        <v>ASHC</v>
      </c>
      <c r="F27" s="61" t="str">
        <f>VLOOKUP(C27,'[2]CTRL AUTOS'!$E$2:$K$58,7,FALSE)</f>
        <v>ASHC</v>
      </c>
      <c r="G27" s="4" t="s">
        <v>234</v>
      </c>
      <c r="H27" s="62">
        <v>2853.66</v>
      </c>
      <c r="I27" s="62">
        <v>-428.05</v>
      </c>
      <c r="J27" s="62">
        <v>-34.56</v>
      </c>
      <c r="K27" s="62">
        <v>0</v>
      </c>
      <c r="L27" s="62">
        <v>-23.35</v>
      </c>
      <c r="M27" s="62">
        <v>-60</v>
      </c>
      <c r="N27" s="62">
        <v>0</v>
      </c>
      <c r="O27" s="62">
        <f t="shared" si="5"/>
        <v>2307.6999999999998</v>
      </c>
      <c r="P27" s="62">
        <v>-2500</v>
      </c>
      <c r="Q27" s="62">
        <v>0</v>
      </c>
      <c r="R27" s="62">
        <v>0</v>
      </c>
      <c r="S27" s="62">
        <v>0</v>
      </c>
      <c r="T27" s="62">
        <v>0</v>
      </c>
      <c r="U27" s="62">
        <v>0</v>
      </c>
      <c r="V27" s="62">
        <v>0</v>
      </c>
      <c r="W27" s="62">
        <f t="shared" si="0"/>
        <v>-192.30000000000018</v>
      </c>
      <c r="X27" s="62">
        <f t="shared" si="1"/>
        <v>0</v>
      </c>
      <c r="Y27" s="62">
        <f t="shared" si="2"/>
        <v>-192.30000000000018</v>
      </c>
      <c r="Z27" s="62">
        <v>192</v>
      </c>
      <c r="AA27" s="62">
        <f t="shared" si="3"/>
        <v>-0.3000000000001819</v>
      </c>
      <c r="AB27" s="62">
        <f t="shared" si="4"/>
        <v>2499.3999999999996</v>
      </c>
      <c r="AC27" s="62"/>
      <c r="AD27" s="62" t="s">
        <v>625</v>
      </c>
    </row>
    <row r="28" spans="1:30" hidden="1" x14ac:dyDescent="0.3">
      <c r="A28" s="2">
        <v>1</v>
      </c>
      <c r="B28" s="3" t="s">
        <v>53</v>
      </c>
      <c r="C28" s="4" t="s">
        <v>54</v>
      </c>
      <c r="D28" s="4" t="s">
        <v>318</v>
      </c>
      <c r="E28" s="4" t="str">
        <f>VLOOKUP(C28,'[2]CTRL AUTOS'!$E$2:$L$58,8,FALSE)</f>
        <v>ASHC</v>
      </c>
      <c r="F28" s="61" t="str">
        <f>VLOOKUP(C28,'[2]CTRL AUTOS'!$E$2:$K$58,7,FALSE)</f>
        <v>ASHC</v>
      </c>
      <c r="G28" s="4" t="s">
        <v>234</v>
      </c>
      <c r="H28" s="62">
        <v>5549.21</v>
      </c>
      <c r="I28" s="62">
        <v>-1856.39</v>
      </c>
      <c r="J28" s="62">
        <v>-18.88</v>
      </c>
      <c r="K28" s="62">
        <v>0</v>
      </c>
      <c r="L28" s="62">
        <v>0</v>
      </c>
      <c r="M28" s="62">
        <v>-65</v>
      </c>
      <c r="N28" s="62">
        <v>0</v>
      </c>
      <c r="O28" s="62">
        <f t="shared" si="5"/>
        <v>3608.9399999999996</v>
      </c>
      <c r="P28" s="62">
        <v>-2500</v>
      </c>
      <c r="Q28" s="62">
        <v>0</v>
      </c>
      <c r="R28" s="62">
        <v>-500</v>
      </c>
      <c r="S28" s="62">
        <v>0</v>
      </c>
      <c r="T28" s="62">
        <v>0</v>
      </c>
      <c r="U28" s="62">
        <v>-1000</v>
      </c>
      <c r="V28" s="62">
        <v>0</v>
      </c>
      <c r="W28" s="62">
        <f t="shared" si="0"/>
        <v>-391.0600000000004</v>
      </c>
      <c r="X28" s="62">
        <f t="shared" si="1"/>
        <v>0</v>
      </c>
      <c r="Y28" s="62">
        <f t="shared" si="2"/>
        <v>-391.0600000000004</v>
      </c>
      <c r="Z28" s="62">
        <v>391</v>
      </c>
      <c r="AA28" s="62">
        <f t="shared" si="3"/>
        <v>-6.0000000000400178E-2</v>
      </c>
      <c r="AB28" s="62">
        <f t="shared" si="4"/>
        <v>3999.8799999999992</v>
      </c>
      <c r="AC28" s="62"/>
      <c r="AD28" s="62" t="s">
        <v>626</v>
      </c>
    </row>
    <row r="29" spans="1:30" hidden="1" x14ac:dyDescent="0.3">
      <c r="A29" s="2">
        <v>1</v>
      </c>
      <c r="B29" s="3" t="s">
        <v>98</v>
      </c>
      <c r="C29" s="4" t="s">
        <v>56</v>
      </c>
      <c r="D29" s="4" t="s">
        <v>336</v>
      </c>
      <c r="E29" s="4" t="str">
        <f>VLOOKUP(C29,'[2]CTRL AUTOS'!$E$2:$L$58,8,FALSE)</f>
        <v>U64</v>
      </c>
      <c r="F29" s="61" t="str">
        <f>VLOOKUP(C29,'[2]CTRL AUTOS'!$E$2:$K$58,7,FALSE)</f>
        <v>BYER</v>
      </c>
      <c r="G29" s="4" t="s">
        <v>234</v>
      </c>
      <c r="H29" s="62">
        <v>1169.28</v>
      </c>
      <c r="I29" s="62">
        <v>-370.52</v>
      </c>
      <c r="J29" s="62">
        <v>-4.4800000000000004</v>
      </c>
      <c r="K29" s="62">
        <v>0</v>
      </c>
      <c r="L29" s="62">
        <v>0</v>
      </c>
      <c r="M29" s="62">
        <v>-65</v>
      </c>
      <c r="N29" s="62">
        <v>0</v>
      </c>
      <c r="O29" s="62">
        <f t="shared" si="5"/>
        <v>729.28</v>
      </c>
      <c r="P29" s="62">
        <v>-2500</v>
      </c>
      <c r="Q29" s="62">
        <v>871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f t="shared" si="0"/>
        <v>-899.72</v>
      </c>
      <c r="X29" s="62">
        <f t="shared" si="1"/>
        <v>0</v>
      </c>
      <c r="Y29" s="62">
        <f t="shared" si="2"/>
        <v>-899.72</v>
      </c>
      <c r="Z29" s="62">
        <v>900</v>
      </c>
      <c r="AA29" s="62">
        <f t="shared" si="3"/>
        <v>0.27999999999997272</v>
      </c>
      <c r="AB29" s="62">
        <f t="shared" si="4"/>
        <v>1629.56</v>
      </c>
      <c r="AC29" s="62"/>
      <c r="AD29" s="62" t="s">
        <v>627</v>
      </c>
    </row>
    <row r="30" spans="1:30" hidden="1" x14ac:dyDescent="0.3">
      <c r="A30" s="2">
        <v>1</v>
      </c>
      <c r="B30" s="3" t="s">
        <v>57</v>
      </c>
      <c r="C30" s="4" t="s">
        <v>16</v>
      </c>
      <c r="D30" s="4" t="s">
        <v>314</v>
      </c>
      <c r="E30" s="4" t="str">
        <f>VLOOKUP(C30,'[2]CTRL AUTOS'!$E$2:$L$58,8,FALSE)</f>
        <v>ASHC</v>
      </c>
      <c r="F30" s="61" t="str">
        <f>VLOOKUP(C30,'[2]CTRL AUTOS'!$E$2:$K$58,7,FALSE)</f>
        <v>ASHC</v>
      </c>
      <c r="G30" s="4" t="s">
        <v>234</v>
      </c>
      <c r="H30" s="62">
        <v>0</v>
      </c>
      <c r="I30" s="62">
        <v>0</v>
      </c>
      <c r="J30" s="62">
        <v>0</v>
      </c>
      <c r="K30" s="62">
        <v>0</v>
      </c>
      <c r="L30" s="62">
        <v>0</v>
      </c>
      <c r="M30" s="62">
        <v>0</v>
      </c>
      <c r="N30" s="62">
        <v>0</v>
      </c>
      <c r="O30" s="62">
        <f t="shared" si="5"/>
        <v>0</v>
      </c>
      <c r="P30" s="62">
        <v>0</v>
      </c>
      <c r="Q30" s="62">
        <v>0</v>
      </c>
      <c r="R30" s="62">
        <v>500</v>
      </c>
      <c r="S30" s="62">
        <v>0</v>
      </c>
      <c r="T30" s="62">
        <v>0</v>
      </c>
      <c r="U30" s="62">
        <v>0</v>
      </c>
      <c r="V30" s="62">
        <v>0</v>
      </c>
      <c r="W30" s="62">
        <f t="shared" si="0"/>
        <v>500</v>
      </c>
      <c r="X30" s="62">
        <f t="shared" si="1"/>
        <v>500</v>
      </c>
      <c r="Y30" s="62">
        <f t="shared" si="2"/>
        <v>0</v>
      </c>
      <c r="Z30" s="62">
        <v>0</v>
      </c>
      <c r="AA30" s="62">
        <f t="shared" si="3"/>
        <v>0</v>
      </c>
      <c r="AB30" s="62">
        <f t="shared" si="4"/>
        <v>-500</v>
      </c>
      <c r="AC30" s="62"/>
      <c r="AD30" s="62" t="s">
        <v>628</v>
      </c>
    </row>
    <row r="31" spans="1:30" hidden="1" x14ac:dyDescent="0.3">
      <c r="A31" s="2">
        <v>1</v>
      </c>
      <c r="B31" s="3" t="s">
        <v>58</v>
      </c>
      <c r="C31" s="4" t="s">
        <v>59</v>
      </c>
      <c r="D31" s="4" t="s">
        <v>520</v>
      </c>
      <c r="E31" s="4" t="str">
        <f>VLOOKUP(C31,'[2]CTRL AUTOS'!$E$2:$L$58,8,FALSE)</f>
        <v>ASHC</v>
      </c>
      <c r="F31" s="67" t="s">
        <v>291</v>
      </c>
      <c r="G31" s="4" t="s">
        <v>234</v>
      </c>
      <c r="H31" s="62">
        <v>0</v>
      </c>
      <c r="I31" s="62">
        <v>0</v>
      </c>
      <c r="J31" s="62">
        <v>0</v>
      </c>
      <c r="K31" s="62">
        <v>0</v>
      </c>
      <c r="L31" s="62">
        <v>0</v>
      </c>
      <c r="M31" s="62">
        <v>0</v>
      </c>
      <c r="N31" s="62">
        <v>0</v>
      </c>
      <c r="O31" s="62">
        <f t="shared" si="5"/>
        <v>0</v>
      </c>
      <c r="P31" s="62">
        <v>0</v>
      </c>
      <c r="Q31" s="62">
        <v>0</v>
      </c>
      <c r="R31" s="62">
        <v>500</v>
      </c>
      <c r="S31" s="62">
        <v>0</v>
      </c>
      <c r="T31" s="62">
        <v>0</v>
      </c>
      <c r="U31" s="62">
        <v>0</v>
      </c>
      <c r="V31" s="62">
        <v>0</v>
      </c>
      <c r="W31" s="62">
        <f t="shared" si="0"/>
        <v>500</v>
      </c>
      <c r="X31" s="62">
        <f t="shared" si="1"/>
        <v>500</v>
      </c>
      <c r="Y31" s="62">
        <f t="shared" si="2"/>
        <v>0</v>
      </c>
      <c r="Z31" s="62">
        <v>0</v>
      </c>
      <c r="AA31" s="62">
        <f t="shared" si="3"/>
        <v>0</v>
      </c>
      <c r="AB31" s="62">
        <f t="shared" si="4"/>
        <v>-500</v>
      </c>
      <c r="AC31" s="62"/>
      <c r="AD31" s="62" t="s">
        <v>629</v>
      </c>
    </row>
    <row r="32" spans="1:30" hidden="1" x14ac:dyDescent="0.3">
      <c r="A32" s="2">
        <v>1</v>
      </c>
      <c r="B32" s="3" t="s">
        <v>60</v>
      </c>
      <c r="C32" s="4" t="s">
        <v>28</v>
      </c>
      <c r="D32" s="4" t="s">
        <v>274</v>
      </c>
      <c r="E32" s="4" t="str">
        <f>VLOOKUP(C32,'[2]CTRL AUTOS'!$E$2:$L$58,8,FALSE)</f>
        <v>ASHC</v>
      </c>
      <c r="F32" s="61" t="str">
        <f>VLOOKUP(C32,'[2]CTRL AUTOS'!$E$2:$K$58,7,FALSE)</f>
        <v>ASHC</v>
      </c>
      <c r="G32" s="4" t="s">
        <v>234</v>
      </c>
      <c r="H32" s="62">
        <v>0</v>
      </c>
      <c r="I32" s="62">
        <v>0</v>
      </c>
      <c r="J32" s="62">
        <v>0</v>
      </c>
      <c r="K32" s="62">
        <v>0</v>
      </c>
      <c r="L32" s="62">
        <v>0</v>
      </c>
      <c r="M32" s="62">
        <v>0</v>
      </c>
      <c r="N32" s="62">
        <v>0</v>
      </c>
      <c r="O32" s="62">
        <f t="shared" si="5"/>
        <v>0</v>
      </c>
      <c r="P32" s="62">
        <v>0</v>
      </c>
      <c r="Q32" s="62">
        <v>0</v>
      </c>
      <c r="R32" s="62">
        <v>500</v>
      </c>
      <c r="S32" s="62">
        <v>0</v>
      </c>
      <c r="T32" s="62">
        <v>0</v>
      </c>
      <c r="U32" s="62">
        <v>0</v>
      </c>
      <c r="V32" s="62">
        <v>0</v>
      </c>
      <c r="W32" s="62">
        <f t="shared" si="0"/>
        <v>500</v>
      </c>
      <c r="X32" s="62">
        <f t="shared" si="1"/>
        <v>500</v>
      </c>
      <c r="Y32" s="62">
        <f t="shared" si="2"/>
        <v>0</v>
      </c>
      <c r="Z32" s="62">
        <v>0</v>
      </c>
      <c r="AA32" s="62">
        <f t="shared" si="3"/>
        <v>0</v>
      </c>
      <c r="AB32" s="62">
        <f t="shared" si="4"/>
        <v>-500</v>
      </c>
      <c r="AC32" s="62"/>
      <c r="AD32" s="62" t="s">
        <v>630</v>
      </c>
    </row>
    <row r="33" spans="1:30" hidden="1" x14ac:dyDescent="0.3">
      <c r="A33" s="2">
        <v>1</v>
      </c>
      <c r="B33" s="3" t="s">
        <v>61</v>
      </c>
      <c r="C33" s="4" t="s">
        <v>34</v>
      </c>
      <c r="D33" s="4" t="s">
        <v>285</v>
      </c>
      <c r="E33" s="4" t="str">
        <f>VLOOKUP(C33,'[2]CTRL AUTOS'!$E$2:$L$58,8,FALSE)</f>
        <v>ASHC</v>
      </c>
      <c r="F33" s="61" t="str">
        <f>VLOOKUP(C33,'[2]CTRL AUTOS'!$E$2:$K$58,7,FALSE)</f>
        <v>ASHC</v>
      </c>
      <c r="G33" s="4" t="s">
        <v>234</v>
      </c>
      <c r="H33" s="62">
        <v>0</v>
      </c>
      <c r="I33" s="62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f t="shared" si="5"/>
        <v>0</v>
      </c>
      <c r="P33" s="62">
        <v>0</v>
      </c>
      <c r="Q33" s="62">
        <v>0</v>
      </c>
      <c r="R33" s="62">
        <v>0</v>
      </c>
      <c r="S33" s="62">
        <v>0</v>
      </c>
      <c r="T33" s="62">
        <v>-700</v>
      </c>
      <c r="U33" s="62">
        <v>0</v>
      </c>
      <c r="V33" s="62">
        <v>0</v>
      </c>
      <c r="W33" s="62">
        <f t="shared" si="0"/>
        <v>-700</v>
      </c>
      <c r="X33" s="62">
        <f t="shared" si="1"/>
        <v>0</v>
      </c>
      <c r="Y33" s="62">
        <f t="shared" si="2"/>
        <v>-700</v>
      </c>
      <c r="Z33" s="62">
        <v>700</v>
      </c>
      <c r="AA33" s="62">
        <f t="shared" si="3"/>
        <v>0</v>
      </c>
      <c r="AB33" s="62">
        <f t="shared" si="4"/>
        <v>700</v>
      </c>
      <c r="AC33" s="62"/>
      <c r="AD33" s="62" t="s">
        <v>631</v>
      </c>
    </row>
    <row r="34" spans="1:30" hidden="1" x14ac:dyDescent="0.3">
      <c r="A34" s="2">
        <v>1</v>
      </c>
      <c r="B34" s="3" t="s">
        <v>111</v>
      </c>
      <c r="C34" s="4" t="s">
        <v>63</v>
      </c>
      <c r="D34" s="4" t="s">
        <v>374</v>
      </c>
      <c r="E34" s="4" t="str">
        <f>VLOOKUP(C34,'[2]CTRL AUTOS'!$E$2:$L$58,8,FALSE)</f>
        <v>BYER</v>
      </c>
      <c r="F34" s="61" t="str">
        <f>VLOOKUP(C34,'[2]CTRL AUTOS'!$E$2:$K$58,7,FALSE)</f>
        <v>BYER</v>
      </c>
      <c r="G34" s="4" t="s">
        <v>234</v>
      </c>
      <c r="H34" s="62">
        <v>5950.53</v>
      </c>
      <c r="I34" s="62">
        <v>-2088.56</v>
      </c>
      <c r="J34" s="62">
        <v>-14.4</v>
      </c>
      <c r="K34" s="62">
        <v>14.69</v>
      </c>
      <c r="L34" s="62">
        <v>0</v>
      </c>
      <c r="M34" s="62">
        <v>-62</v>
      </c>
      <c r="N34" s="62">
        <v>0</v>
      </c>
      <c r="O34" s="62">
        <f t="shared" si="5"/>
        <v>3800.2599999999998</v>
      </c>
      <c r="P34" s="62">
        <v>-2500</v>
      </c>
      <c r="Q34" s="62">
        <v>-600</v>
      </c>
      <c r="R34" s="62">
        <v>0</v>
      </c>
      <c r="S34" s="62">
        <v>0</v>
      </c>
      <c r="T34" s="62">
        <v>-700</v>
      </c>
      <c r="U34" s="62">
        <v>0</v>
      </c>
      <c r="V34" s="62">
        <v>0</v>
      </c>
      <c r="W34" s="62">
        <f t="shared" si="0"/>
        <v>0.25999999999976353</v>
      </c>
      <c r="X34" s="62">
        <f t="shared" si="1"/>
        <v>0.25999999999976353</v>
      </c>
      <c r="Y34" s="62">
        <f t="shared" si="2"/>
        <v>0</v>
      </c>
      <c r="Z34" s="62">
        <v>0</v>
      </c>
      <c r="AA34" s="62">
        <f t="shared" si="3"/>
        <v>0</v>
      </c>
      <c r="AB34" s="62">
        <f t="shared" si="4"/>
        <v>3800</v>
      </c>
      <c r="AC34" s="62"/>
      <c r="AD34" s="62" t="s">
        <v>632</v>
      </c>
    </row>
    <row r="35" spans="1:30" hidden="1" x14ac:dyDescent="0.3">
      <c r="A35" s="2">
        <v>1</v>
      </c>
      <c r="B35" s="3" t="s">
        <v>64</v>
      </c>
      <c r="C35" s="4" t="s">
        <v>140</v>
      </c>
      <c r="D35" s="4" t="s">
        <v>283</v>
      </c>
      <c r="E35" s="4" t="str">
        <f>VLOOKUP(C35,'[2]CTRL AUTOS'!$E$2:$L$58,8,FALSE)</f>
        <v>ASHC</v>
      </c>
      <c r="F35" s="61" t="str">
        <f>VLOOKUP(C35,'[2]CTRL AUTOS'!$E$2:$K$58,7,FALSE)</f>
        <v>ASHC</v>
      </c>
      <c r="G35" s="4" t="s">
        <v>234</v>
      </c>
      <c r="H35" s="62">
        <v>5116.3500000000004</v>
      </c>
      <c r="I35" s="62">
        <v>-556.69000000000005</v>
      </c>
      <c r="J35" s="62">
        <v>-11.68</v>
      </c>
      <c r="K35" s="62">
        <v>0</v>
      </c>
      <c r="L35" s="62">
        <v>0</v>
      </c>
      <c r="M35" s="62">
        <v>-60</v>
      </c>
      <c r="N35" s="62">
        <v>0</v>
      </c>
      <c r="O35" s="62">
        <f t="shared" si="5"/>
        <v>4487.9799999999996</v>
      </c>
      <c r="P35" s="62">
        <v>-1764.42</v>
      </c>
      <c r="Q35" s="62">
        <v>0</v>
      </c>
      <c r="R35" s="62">
        <v>-500</v>
      </c>
      <c r="S35" s="62">
        <v>0</v>
      </c>
      <c r="T35" s="62">
        <v>0</v>
      </c>
      <c r="U35" s="62">
        <v>0</v>
      </c>
      <c r="V35" s="62">
        <v>0</v>
      </c>
      <c r="W35" s="62">
        <f t="shared" si="0"/>
        <v>2223.5599999999995</v>
      </c>
      <c r="X35" s="62">
        <f t="shared" si="1"/>
        <v>2223.5599999999995</v>
      </c>
      <c r="Y35" s="62">
        <f t="shared" si="2"/>
        <v>0</v>
      </c>
      <c r="Z35" s="62">
        <v>0</v>
      </c>
      <c r="AA35" s="62">
        <f t="shared" si="3"/>
        <v>0</v>
      </c>
      <c r="AB35" s="62">
        <f t="shared" si="4"/>
        <v>2264.42</v>
      </c>
      <c r="AC35" s="62"/>
      <c r="AD35" s="62" t="s">
        <v>633</v>
      </c>
    </row>
    <row r="36" spans="1:30" hidden="1" x14ac:dyDescent="0.3">
      <c r="A36" s="2">
        <v>1</v>
      </c>
      <c r="B36" s="3" t="s">
        <v>66</v>
      </c>
      <c r="C36" s="4" t="s">
        <v>67</v>
      </c>
      <c r="D36" s="4" t="s">
        <v>511</v>
      </c>
      <c r="E36" s="4" t="str">
        <f>VLOOKUP(C36,'[2]CTRL AUTOS'!$E$2:$L$58,8,FALSE)</f>
        <v>ASHC</v>
      </c>
      <c r="F36" s="61" t="str">
        <f>VLOOKUP(C36,'[2]CTRL AUTOS'!$E$2:$K$58,7,FALSE)</f>
        <v>ASHC</v>
      </c>
      <c r="G36" s="4" t="s">
        <v>234</v>
      </c>
      <c r="H36" s="62">
        <v>5671.6</v>
      </c>
      <c r="I36" s="62">
        <v>-4668.93</v>
      </c>
      <c r="J36" s="62">
        <v>-18.88</v>
      </c>
      <c r="K36" s="62">
        <v>11.27</v>
      </c>
      <c r="L36" s="62">
        <v>-64.209999999999994</v>
      </c>
      <c r="M36" s="62">
        <v>-65</v>
      </c>
      <c r="N36" s="62">
        <v>0</v>
      </c>
      <c r="O36" s="62">
        <f t="shared" si="5"/>
        <v>865.85</v>
      </c>
      <c r="P36" s="62">
        <v>-2500</v>
      </c>
      <c r="Q36" s="62">
        <v>6</v>
      </c>
      <c r="R36" s="62">
        <v>-500</v>
      </c>
      <c r="S36" s="62">
        <v>0</v>
      </c>
      <c r="T36" s="62">
        <v>0</v>
      </c>
      <c r="U36" s="62">
        <v>0</v>
      </c>
      <c r="V36" s="62">
        <v>0</v>
      </c>
      <c r="W36" s="62">
        <f t="shared" si="0"/>
        <v>-2128.15</v>
      </c>
      <c r="X36" s="62">
        <f t="shared" si="1"/>
        <v>0</v>
      </c>
      <c r="Y36" s="62">
        <f t="shared" si="2"/>
        <v>-2128.15</v>
      </c>
      <c r="Z36" s="62">
        <v>2128</v>
      </c>
      <c r="AA36" s="62">
        <f t="shared" si="3"/>
        <v>-0.15000000000009095</v>
      </c>
      <c r="AB36" s="62">
        <f t="shared" si="4"/>
        <v>2993.7</v>
      </c>
      <c r="AC36" s="62"/>
      <c r="AD36" s="62" t="s">
        <v>634</v>
      </c>
    </row>
    <row r="37" spans="1:30" hidden="1" x14ac:dyDescent="0.3">
      <c r="A37" s="2">
        <v>1</v>
      </c>
      <c r="B37" s="3" t="s">
        <v>68</v>
      </c>
      <c r="C37" s="4" t="s">
        <v>69</v>
      </c>
      <c r="D37" s="4" t="s">
        <v>370</v>
      </c>
      <c r="E37" s="4" t="str">
        <f>VLOOKUP(C37,'[2]CTRL AUTOS'!$E$2:$L$58,8,FALSE)</f>
        <v>U64</v>
      </c>
      <c r="F37" s="61" t="str">
        <f>VLOOKUP(C37,'[2]CTRL AUTOS'!$E$2:$K$58,7,FALSE)</f>
        <v>BYER</v>
      </c>
      <c r="G37" s="4" t="s">
        <v>234</v>
      </c>
      <c r="H37" s="62">
        <v>5154.6400000000003</v>
      </c>
      <c r="I37" s="62">
        <v>-2256.0300000000002</v>
      </c>
      <c r="J37" s="62">
        <v>-17.28</v>
      </c>
      <c r="K37" s="62">
        <v>0</v>
      </c>
      <c r="L37" s="62">
        <v>0</v>
      </c>
      <c r="M37" s="62">
        <v>-65</v>
      </c>
      <c r="N37" s="62">
        <v>0</v>
      </c>
      <c r="O37" s="62">
        <f t="shared" si="5"/>
        <v>2816.33</v>
      </c>
      <c r="P37" s="62">
        <v>-2500</v>
      </c>
      <c r="Q37" s="62">
        <v>0</v>
      </c>
      <c r="R37" s="62">
        <v>-500</v>
      </c>
      <c r="S37" s="62">
        <v>0</v>
      </c>
      <c r="T37" s="62">
        <v>0</v>
      </c>
      <c r="U37" s="62">
        <v>0</v>
      </c>
      <c r="V37" s="62">
        <v>0</v>
      </c>
      <c r="W37" s="62">
        <f t="shared" si="0"/>
        <v>-183.67000000000007</v>
      </c>
      <c r="X37" s="62">
        <f t="shared" si="1"/>
        <v>0</v>
      </c>
      <c r="Y37" s="62">
        <f t="shared" si="2"/>
        <v>-183.67000000000007</v>
      </c>
      <c r="Z37" s="62">
        <v>0</v>
      </c>
      <c r="AA37" s="62">
        <f>+Y37+Z37</f>
        <v>-183.67000000000007</v>
      </c>
      <c r="AB37" s="62">
        <f t="shared" si="4"/>
        <v>2632.66</v>
      </c>
      <c r="AC37" s="62"/>
      <c r="AD37" s="62" t="s">
        <v>635</v>
      </c>
    </row>
    <row r="38" spans="1:30" hidden="1" x14ac:dyDescent="0.3">
      <c r="A38" s="2">
        <v>1</v>
      </c>
      <c r="B38" s="3" t="s">
        <v>70</v>
      </c>
      <c r="C38" s="4" t="s">
        <v>71</v>
      </c>
      <c r="D38" s="4" t="s">
        <v>588</v>
      </c>
      <c r="E38" s="4" t="str">
        <f>VLOOKUP(C38,'[2]CTRL AUTOS'!$E$2:$L$58,8,FALSE)</f>
        <v>ASHC</v>
      </c>
      <c r="F38" s="67" t="s">
        <v>291</v>
      </c>
      <c r="G38" s="4" t="s">
        <v>234</v>
      </c>
      <c r="H38" s="62">
        <v>2648.45</v>
      </c>
      <c r="I38" s="62">
        <v>0</v>
      </c>
      <c r="J38" s="62">
        <v>-26.08</v>
      </c>
      <c r="K38" s="62">
        <v>0</v>
      </c>
      <c r="L38" s="62">
        <v>0</v>
      </c>
      <c r="M38" s="62">
        <v>0</v>
      </c>
      <c r="N38" s="62">
        <v>0</v>
      </c>
      <c r="O38" s="62">
        <f t="shared" si="5"/>
        <v>2622.37</v>
      </c>
      <c r="P38" s="62">
        <v>-2622</v>
      </c>
      <c r="Q38" s="62">
        <v>0</v>
      </c>
      <c r="R38" s="62">
        <v>0</v>
      </c>
      <c r="S38" s="62">
        <v>0</v>
      </c>
      <c r="T38" s="62">
        <v>0</v>
      </c>
      <c r="U38" s="62">
        <v>0</v>
      </c>
      <c r="V38" s="62">
        <v>0</v>
      </c>
      <c r="W38" s="62">
        <f t="shared" si="0"/>
        <v>0.36999999999989086</v>
      </c>
      <c r="X38" s="62">
        <f t="shared" si="1"/>
        <v>0.36999999999989086</v>
      </c>
      <c r="Y38" s="62">
        <f t="shared" si="2"/>
        <v>0</v>
      </c>
      <c r="Z38" s="62">
        <v>0</v>
      </c>
      <c r="AA38" s="62">
        <f t="shared" si="3"/>
        <v>0</v>
      </c>
      <c r="AB38" s="62">
        <f t="shared" si="4"/>
        <v>2622</v>
      </c>
      <c r="AC38" s="62"/>
      <c r="AD38" s="62" t="s">
        <v>636</v>
      </c>
    </row>
    <row r="39" spans="1:30" hidden="1" x14ac:dyDescent="0.3">
      <c r="A39" s="2">
        <v>1</v>
      </c>
      <c r="B39" s="3" t="s">
        <v>72</v>
      </c>
      <c r="C39" s="4" t="s">
        <v>73</v>
      </c>
      <c r="D39" s="4" t="s">
        <v>368</v>
      </c>
      <c r="E39" s="4" t="str">
        <f>VLOOKUP(C39,'[2]CTRL AUTOS'!$E$2:$L$58,8,FALSE)</f>
        <v>U64</v>
      </c>
      <c r="F39" s="61" t="str">
        <f>VLOOKUP(C39,'[2]CTRL AUTOS'!$E$2:$K$58,7,FALSE)</f>
        <v>BYER</v>
      </c>
      <c r="G39" s="4" t="s">
        <v>234</v>
      </c>
      <c r="H39" s="62">
        <v>6575.11</v>
      </c>
      <c r="I39" s="62">
        <v>-4131.59</v>
      </c>
      <c r="J39" s="62">
        <v>-14.88</v>
      </c>
      <c r="K39" s="62">
        <v>0</v>
      </c>
      <c r="L39" s="62">
        <v>-65.540000000000006</v>
      </c>
      <c r="M39" s="62">
        <v>-65</v>
      </c>
      <c r="N39" s="62">
        <v>0</v>
      </c>
      <c r="O39" s="62">
        <f t="shared" si="5"/>
        <v>2298.0999999999995</v>
      </c>
      <c r="P39" s="62">
        <v>-1250</v>
      </c>
      <c r="Q39" s="62">
        <v>0</v>
      </c>
      <c r="R39" s="62">
        <v>0</v>
      </c>
      <c r="S39" s="62">
        <v>0</v>
      </c>
      <c r="T39" s="62">
        <v>0</v>
      </c>
      <c r="U39" s="62">
        <v>0</v>
      </c>
      <c r="V39" s="62">
        <v>0</v>
      </c>
      <c r="W39" s="62">
        <f t="shared" si="0"/>
        <v>1048.0999999999995</v>
      </c>
      <c r="X39" s="62">
        <f t="shared" si="1"/>
        <v>1048.0999999999995</v>
      </c>
      <c r="Y39" s="62">
        <f t="shared" si="2"/>
        <v>0</v>
      </c>
      <c r="Z39" s="62">
        <v>0</v>
      </c>
      <c r="AA39" s="62">
        <f t="shared" si="3"/>
        <v>0</v>
      </c>
      <c r="AB39" s="62">
        <f t="shared" si="4"/>
        <v>1250</v>
      </c>
      <c r="AC39" s="62"/>
      <c r="AD39" s="62" t="s">
        <v>618</v>
      </c>
    </row>
    <row r="40" spans="1:30" hidden="1" x14ac:dyDescent="0.3">
      <c r="A40" s="2">
        <v>1</v>
      </c>
      <c r="B40" s="3" t="s">
        <v>74</v>
      </c>
      <c r="C40" s="4" t="s">
        <v>75</v>
      </c>
      <c r="D40" s="4" t="s">
        <v>333</v>
      </c>
      <c r="E40" s="4" t="str">
        <f>VLOOKUP(C40,'[2]CTRL AUTOS'!$E$2:$L$58,8,FALSE)</f>
        <v>U64</v>
      </c>
      <c r="F40" s="61" t="str">
        <f>VLOOKUP(C40,'[2]CTRL AUTOS'!$E$2:$K$58,7,FALSE)</f>
        <v>BYER</v>
      </c>
      <c r="G40" s="4" t="s">
        <v>234</v>
      </c>
      <c r="H40" s="62">
        <v>4207.92</v>
      </c>
      <c r="I40" s="62">
        <v>-1148.3399999999999</v>
      </c>
      <c r="J40" s="62">
        <v>-18.88</v>
      </c>
      <c r="K40" s="62">
        <v>0</v>
      </c>
      <c r="L40" s="62">
        <v>0</v>
      </c>
      <c r="M40" s="62">
        <v>-65</v>
      </c>
      <c r="N40" s="62">
        <v>0</v>
      </c>
      <c r="O40" s="62">
        <f t="shared" si="5"/>
        <v>2975.7</v>
      </c>
      <c r="P40" s="62">
        <v>-2500</v>
      </c>
      <c r="Q40" s="62">
        <v>-679</v>
      </c>
      <c r="R40" s="62">
        <v>0</v>
      </c>
      <c r="S40" s="62">
        <v>0</v>
      </c>
      <c r="T40" s="62">
        <v>-500</v>
      </c>
      <c r="U40" s="62">
        <v>0</v>
      </c>
      <c r="V40" s="62">
        <v>0</v>
      </c>
      <c r="W40" s="62">
        <f t="shared" si="0"/>
        <v>-703.30000000000018</v>
      </c>
      <c r="X40" s="62">
        <f t="shared" si="1"/>
        <v>0</v>
      </c>
      <c r="Y40" s="62">
        <f t="shared" si="2"/>
        <v>-703.30000000000018</v>
      </c>
      <c r="Z40" s="62">
        <f>503+200</f>
        <v>703</v>
      </c>
      <c r="AA40" s="62">
        <f t="shared" si="3"/>
        <v>-0.3000000000001819</v>
      </c>
      <c r="AB40" s="62">
        <f t="shared" si="4"/>
        <v>3678.3999999999996</v>
      </c>
      <c r="AC40" s="62"/>
      <c r="AD40" s="62" t="s">
        <v>637</v>
      </c>
    </row>
    <row r="41" spans="1:30" hidden="1" x14ac:dyDescent="0.3">
      <c r="A41" s="2">
        <v>1</v>
      </c>
      <c r="B41" s="3" t="s">
        <v>76</v>
      </c>
      <c r="C41" s="4" t="s">
        <v>77</v>
      </c>
      <c r="D41" s="4" t="s">
        <v>474</v>
      </c>
      <c r="E41" s="4" t="str">
        <f>VLOOKUP(C41,'[2]CTRL AUTOS'!$E$2:$L$58,8,FALSE)</f>
        <v>ASHC</v>
      </c>
      <c r="F41" s="67" t="s">
        <v>291</v>
      </c>
      <c r="G41" s="4" t="s">
        <v>234</v>
      </c>
      <c r="H41" s="62">
        <v>1302.83</v>
      </c>
      <c r="I41" s="62">
        <v>-269.92</v>
      </c>
      <c r="J41" s="62">
        <v>-4.4800000000000004</v>
      </c>
      <c r="K41" s="62">
        <v>0</v>
      </c>
      <c r="L41" s="62">
        <v>-18.809999999999999</v>
      </c>
      <c r="M41" s="62">
        <v>-65</v>
      </c>
      <c r="N41" s="62">
        <v>0</v>
      </c>
      <c r="O41" s="62">
        <f t="shared" si="5"/>
        <v>944.61999999999989</v>
      </c>
      <c r="P41" s="62">
        <v>-2500</v>
      </c>
      <c r="Q41" s="62">
        <v>-87</v>
      </c>
      <c r="R41" s="62">
        <v>-500</v>
      </c>
      <c r="S41" s="62">
        <v>0</v>
      </c>
      <c r="T41" s="62">
        <v>0</v>
      </c>
      <c r="U41" s="62">
        <v>0</v>
      </c>
      <c r="V41" s="62">
        <v>0</v>
      </c>
      <c r="W41" s="62">
        <f t="shared" si="0"/>
        <v>-2142.38</v>
      </c>
      <c r="X41" s="62">
        <f t="shared" si="1"/>
        <v>0</v>
      </c>
      <c r="Y41" s="62">
        <f t="shared" si="2"/>
        <v>-2142.38</v>
      </c>
      <c r="Z41" s="62">
        <v>2000</v>
      </c>
      <c r="AA41" s="62">
        <f t="shared" si="3"/>
        <v>-142.38000000000011</v>
      </c>
      <c r="AB41" s="62">
        <f t="shared" si="4"/>
        <v>2802.24</v>
      </c>
      <c r="AC41" s="62"/>
      <c r="AD41" s="62" t="s">
        <v>638</v>
      </c>
    </row>
    <row r="42" spans="1:30" hidden="1" x14ac:dyDescent="0.3">
      <c r="A42" s="2">
        <v>1</v>
      </c>
      <c r="B42" s="3" t="s">
        <v>78</v>
      </c>
      <c r="C42" s="4" t="s">
        <v>79</v>
      </c>
      <c r="D42" s="4" t="s">
        <v>475</v>
      </c>
      <c r="E42" s="4" t="str">
        <f>VLOOKUP(C42,'[2]CTRL AUTOS'!$E$2:$L$58,8,FALSE)</f>
        <v>BYER</v>
      </c>
      <c r="F42" s="61" t="str">
        <f>VLOOKUP(C42,'[2]CTRL AUTOS'!$E$2:$K$58,7,FALSE)</f>
        <v>BYER</v>
      </c>
      <c r="G42" s="4" t="s">
        <v>234</v>
      </c>
      <c r="H42" s="62">
        <v>1641.99</v>
      </c>
      <c r="I42" s="62">
        <v>0</v>
      </c>
      <c r="J42" s="62">
        <v>-17.600000000000001</v>
      </c>
      <c r="K42" s="62">
        <v>0</v>
      </c>
      <c r="L42" s="62">
        <v>-16.39</v>
      </c>
      <c r="M42" s="62">
        <v>-60</v>
      </c>
      <c r="N42" s="62">
        <v>0</v>
      </c>
      <c r="O42" s="62">
        <f t="shared" si="5"/>
        <v>1548</v>
      </c>
      <c r="P42" s="62">
        <v>-2500</v>
      </c>
      <c r="Q42" s="62">
        <v>-2800</v>
      </c>
      <c r="R42" s="62">
        <v>0</v>
      </c>
      <c r="S42" s="62">
        <v>0</v>
      </c>
      <c r="T42" s="62">
        <v>0</v>
      </c>
      <c r="U42" s="62">
        <v>0</v>
      </c>
      <c r="V42" s="62">
        <v>0</v>
      </c>
      <c r="W42" s="62">
        <f t="shared" si="0"/>
        <v>-3752</v>
      </c>
      <c r="X42" s="62">
        <f t="shared" si="1"/>
        <v>0</v>
      </c>
      <c r="Y42" s="62">
        <f t="shared" si="2"/>
        <v>-3752</v>
      </c>
      <c r="Z42" s="62">
        <v>0</v>
      </c>
      <c r="AA42" s="62">
        <f t="shared" si="3"/>
        <v>-3752</v>
      </c>
      <c r="AB42" s="62">
        <f t="shared" si="4"/>
        <v>-2204</v>
      </c>
      <c r="AC42" s="62"/>
      <c r="AD42" s="62" t="s">
        <v>639</v>
      </c>
    </row>
    <row r="43" spans="1:30" hidden="1" x14ac:dyDescent="0.3">
      <c r="A43" s="2">
        <v>1</v>
      </c>
      <c r="B43" s="3" t="s">
        <v>80</v>
      </c>
      <c r="C43" s="4" t="s">
        <v>81</v>
      </c>
      <c r="D43" s="4" t="s">
        <v>317</v>
      </c>
      <c r="E43" s="4" t="str">
        <f>VLOOKUP(C43,'[2]CTRL AUTOS'!$E$2:$L$58,8,FALSE)</f>
        <v>ASHC</v>
      </c>
      <c r="F43" s="61" t="str">
        <f>VLOOKUP(C43,'[2]CTRL AUTOS'!$E$2:$K$58,7,FALSE)</f>
        <v>ASHC</v>
      </c>
      <c r="G43" s="4" t="s">
        <v>234</v>
      </c>
      <c r="H43" s="62">
        <v>0</v>
      </c>
      <c r="I43" s="62">
        <v>0</v>
      </c>
      <c r="J43" s="62">
        <v>0</v>
      </c>
      <c r="K43" s="62">
        <v>0</v>
      </c>
      <c r="L43" s="62">
        <v>0</v>
      </c>
      <c r="M43" s="62">
        <v>0</v>
      </c>
      <c r="N43" s="62">
        <v>0</v>
      </c>
      <c r="O43" s="62">
        <f t="shared" si="5"/>
        <v>0</v>
      </c>
      <c r="P43" s="62">
        <v>-2500</v>
      </c>
      <c r="Q43" s="62">
        <v>0</v>
      </c>
      <c r="R43" s="62">
        <v>0</v>
      </c>
      <c r="S43" s="62">
        <v>0</v>
      </c>
      <c r="T43" s="62">
        <v>0</v>
      </c>
      <c r="U43" s="62">
        <v>0</v>
      </c>
      <c r="V43" s="62">
        <v>0</v>
      </c>
      <c r="W43" s="62">
        <f t="shared" si="0"/>
        <v>-2500</v>
      </c>
      <c r="X43" s="62">
        <f t="shared" si="1"/>
        <v>0</v>
      </c>
      <c r="Y43" s="62">
        <f t="shared" si="2"/>
        <v>-2500</v>
      </c>
      <c r="Z43" s="62">
        <v>2500</v>
      </c>
      <c r="AA43" s="62">
        <f t="shared" si="3"/>
        <v>0</v>
      </c>
      <c r="AB43" s="62">
        <f t="shared" si="4"/>
        <v>2500</v>
      </c>
      <c r="AC43" s="62"/>
      <c r="AD43" s="62" t="s">
        <v>640</v>
      </c>
    </row>
    <row r="44" spans="1:30" hidden="1" x14ac:dyDescent="0.3">
      <c r="A44" s="2">
        <v>1</v>
      </c>
      <c r="B44" s="3" t="s">
        <v>82</v>
      </c>
      <c r="C44" s="4" t="s">
        <v>83</v>
      </c>
      <c r="D44" s="4" t="s">
        <v>592</v>
      </c>
      <c r="E44" s="4" t="str">
        <f>VLOOKUP(C44,'[2]CTRL AUTOS'!$E$2:$L$58,8,FALSE)</f>
        <v>ASHC</v>
      </c>
      <c r="F44" s="61" t="str">
        <f>VLOOKUP(C44,'[2]CTRL AUTOS'!$E$2:$K$58,7,FALSE)</f>
        <v>ASHC</v>
      </c>
      <c r="G44" s="4" t="s">
        <v>234</v>
      </c>
      <c r="H44" s="62">
        <v>0</v>
      </c>
      <c r="I44" s="62">
        <v>0</v>
      </c>
      <c r="J44" s="62">
        <v>0</v>
      </c>
      <c r="K44" s="62">
        <v>0</v>
      </c>
      <c r="L44" s="62">
        <v>0</v>
      </c>
      <c r="M44" s="62">
        <v>0</v>
      </c>
      <c r="N44" s="62">
        <v>0</v>
      </c>
      <c r="O44" s="62">
        <f t="shared" si="5"/>
        <v>0</v>
      </c>
      <c r="P44" s="62">
        <v>-2000</v>
      </c>
      <c r="Q44" s="62">
        <v>0</v>
      </c>
      <c r="R44" s="62">
        <v>0</v>
      </c>
      <c r="S44" s="62">
        <v>0</v>
      </c>
      <c r="T44" s="62">
        <v>0</v>
      </c>
      <c r="U44" s="62">
        <v>0</v>
      </c>
      <c r="V44" s="62">
        <v>0</v>
      </c>
      <c r="W44" s="62">
        <f t="shared" si="0"/>
        <v>-2000</v>
      </c>
      <c r="X44" s="62">
        <f t="shared" si="1"/>
        <v>0</v>
      </c>
      <c r="Y44" s="62">
        <f t="shared" si="2"/>
        <v>-2000</v>
      </c>
      <c r="Z44" s="62">
        <v>2000</v>
      </c>
      <c r="AA44" s="62">
        <f t="shared" si="3"/>
        <v>0</v>
      </c>
      <c r="AB44" s="62">
        <f t="shared" si="4"/>
        <v>2000</v>
      </c>
      <c r="AC44" s="62"/>
      <c r="AD44" s="62" t="s">
        <v>641</v>
      </c>
    </row>
    <row r="45" spans="1:30" hidden="1" x14ac:dyDescent="0.3">
      <c r="A45" s="2">
        <v>1</v>
      </c>
      <c r="B45" s="3" t="s">
        <v>84</v>
      </c>
      <c r="C45" s="4" t="s">
        <v>59</v>
      </c>
      <c r="D45" s="4" t="s">
        <v>520</v>
      </c>
      <c r="E45" s="4" t="str">
        <f>VLOOKUP(C45,'[2]CTRL AUTOS'!$E$2:$L$58,8,FALSE)</f>
        <v>ASHC</v>
      </c>
      <c r="F45" s="67" t="s">
        <v>291</v>
      </c>
      <c r="G45" s="4" t="s">
        <v>234</v>
      </c>
      <c r="H45" s="62">
        <v>10687.44</v>
      </c>
      <c r="I45" s="62">
        <v>-6128.28</v>
      </c>
      <c r="J45" s="62">
        <v>-65.92</v>
      </c>
      <c r="K45" s="62">
        <v>0</v>
      </c>
      <c r="L45" s="62">
        <v>0</v>
      </c>
      <c r="M45" s="62">
        <v>-65</v>
      </c>
      <c r="N45" s="62">
        <v>0</v>
      </c>
      <c r="O45" s="62">
        <f t="shared" si="5"/>
        <v>4428.2400000000007</v>
      </c>
      <c r="P45" s="62">
        <v>-2229</v>
      </c>
      <c r="Q45" s="62">
        <v>0</v>
      </c>
      <c r="R45" s="62">
        <v>-429</v>
      </c>
      <c r="S45" s="62">
        <v>0</v>
      </c>
      <c r="T45" s="62">
        <v>0</v>
      </c>
      <c r="U45" s="62">
        <v>0</v>
      </c>
      <c r="V45" s="62">
        <v>0</v>
      </c>
      <c r="W45" s="62">
        <f t="shared" si="0"/>
        <v>1770.2400000000007</v>
      </c>
      <c r="X45" s="62">
        <f t="shared" si="1"/>
        <v>1770.2400000000007</v>
      </c>
      <c r="Y45" s="62">
        <f t="shared" si="2"/>
        <v>0</v>
      </c>
      <c r="Z45" s="62">
        <v>0</v>
      </c>
      <c r="AA45" s="62">
        <f t="shared" si="3"/>
        <v>0</v>
      </c>
      <c r="AB45" s="62">
        <f t="shared" si="4"/>
        <v>2658</v>
      </c>
      <c r="AC45" s="62"/>
      <c r="AD45" s="62" t="s">
        <v>642</v>
      </c>
    </row>
    <row r="46" spans="1:30" hidden="1" x14ac:dyDescent="0.3">
      <c r="A46" s="2">
        <v>1</v>
      </c>
      <c r="B46" s="3" t="s">
        <v>85</v>
      </c>
      <c r="C46" s="4" t="s">
        <v>86</v>
      </c>
      <c r="D46" s="4" t="s">
        <v>519</v>
      </c>
      <c r="E46" s="4" t="str">
        <f>VLOOKUP(C46,'[2]CTRL AUTOS'!$E$2:$L$58,8,FALSE)</f>
        <v>ASHC</v>
      </c>
      <c r="F46" s="61" t="str">
        <f>VLOOKUP(C46,'[2]CTRL AUTOS'!$E$2:$K$58,7,FALSE)</f>
        <v>ASHC</v>
      </c>
      <c r="G46" s="4" t="s">
        <v>234</v>
      </c>
      <c r="H46" s="62">
        <v>3558.12</v>
      </c>
      <c r="I46" s="62">
        <v>-1633.62</v>
      </c>
      <c r="J46" s="62">
        <v>0</v>
      </c>
      <c r="K46" s="62">
        <v>0</v>
      </c>
      <c r="L46" s="62">
        <v>0</v>
      </c>
      <c r="M46" s="62">
        <v>-60</v>
      </c>
      <c r="N46" s="62">
        <v>0</v>
      </c>
      <c r="O46" s="62">
        <f t="shared" si="5"/>
        <v>1864.5</v>
      </c>
      <c r="P46" s="62">
        <v>-2042.85</v>
      </c>
      <c r="Q46" s="62">
        <v>0</v>
      </c>
      <c r="R46" s="62">
        <v>-393</v>
      </c>
      <c r="S46" s="62">
        <v>0</v>
      </c>
      <c r="T46" s="62">
        <v>0</v>
      </c>
      <c r="U46" s="62">
        <v>0</v>
      </c>
      <c r="V46" s="62">
        <v>0</v>
      </c>
      <c r="W46" s="62">
        <f t="shared" si="0"/>
        <v>-571.34999999999991</v>
      </c>
      <c r="X46" s="62">
        <f t="shared" si="1"/>
        <v>0</v>
      </c>
      <c r="Y46" s="62">
        <f t="shared" si="2"/>
        <v>-571.34999999999991</v>
      </c>
      <c r="Z46" s="62">
        <v>571</v>
      </c>
      <c r="AA46" s="62">
        <f t="shared" si="3"/>
        <v>-0.34999999999990905</v>
      </c>
      <c r="AB46" s="62">
        <f t="shared" si="4"/>
        <v>2435.15</v>
      </c>
      <c r="AC46" s="62"/>
      <c r="AD46" s="62" t="s">
        <v>643</v>
      </c>
    </row>
    <row r="47" spans="1:30" hidden="1" x14ac:dyDescent="0.3">
      <c r="A47" s="2">
        <v>1</v>
      </c>
      <c r="B47" s="3" t="s">
        <v>87</v>
      </c>
      <c r="C47" s="4" t="s">
        <v>54</v>
      </c>
      <c r="D47" s="4" t="s">
        <v>318</v>
      </c>
      <c r="E47" s="4" t="str">
        <f>VLOOKUP(C47,'[2]CTRL AUTOS'!$E$2:$L$58,8,FALSE)</f>
        <v>ASHC</v>
      </c>
      <c r="F47" s="61" t="str">
        <f>VLOOKUP(C47,'[2]CTRL AUTOS'!$E$2:$K$58,7,FALSE)</f>
        <v>ASHC</v>
      </c>
      <c r="G47" s="4" t="s">
        <v>234</v>
      </c>
      <c r="H47" s="62">
        <v>2744.62</v>
      </c>
      <c r="I47" s="62">
        <v>-1421.22</v>
      </c>
      <c r="J47" s="62">
        <v>-20.48</v>
      </c>
      <c r="K47" s="62">
        <v>0</v>
      </c>
      <c r="L47" s="62">
        <v>0</v>
      </c>
      <c r="M47" s="62">
        <v>-60</v>
      </c>
      <c r="N47" s="62">
        <v>0</v>
      </c>
      <c r="O47" s="62">
        <f t="shared" si="5"/>
        <v>1242.9199999999998</v>
      </c>
      <c r="P47" s="62">
        <f>-2500+357</f>
        <v>-2143</v>
      </c>
      <c r="Q47" s="62">
        <v>0</v>
      </c>
      <c r="R47" s="62">
        <v>-500</v>
      </c>
      <c r="S47" s="62">
        <v>0</v>
      </c>
      <c r="T47" s="62">
        <v>0</v>
      </c>
      <c r="U47" s="62">
        <v>0</v>
      </c>
      <c r="V47" s="62">
        <v>0</v>
      </c>
      <c r="W47" s="62">
        <f t="shared" si="0"/>
        <v>-1400.0800000000002</v>
      </c>
      <c r="X47" s="62">
        <f t="shared" si="1"/>
        <v>0</v>
      </c>
      <c r="Y47" s="62">
        <f t="shared" si="2"/>
        <v>-1400.0800000000002</v>
      </c>
      <c r="Z47" s="62">
        <v>1400</v>
      </c>
      <c r="AA47" s="62">
        <f t="shared" si="3"/>
        <v>-8.0000000000154614E-2</v>
      </c>
      <c r="AB47" s="62">
        <f t="shared" si="4"/>
        <v>2642.84</v>
      </c>
      <c r="AC47" s="62"/>
      <c r="AD47" s="62" t="s">
        <v>644</v>
      </c>
    </row>
    <row r="48" spans="1:30" hidden="1" x14ac:dyDescent="0.3">
      <c r="A48" s="2">
        <v>1</v>
      </c>
      <c r="B48" s="3" t="s">
        <v>64</v>
      </c>
      <c r="C48" s="4" t="s">
        <v>59</v>
      </c>
      <c r="D48" s="4" t="s">
        <v>520</v>
      </c>
      <c r="E48" s="4" t="str">
        <f>VLOOKUP(C48,'[2]CTRL AUTOS'!$E$2:$L$58,8,FALSE)</f>
        <v>ASHC</v>
      </c>
      <c r="F48" s="67" t="s">
        <v>291</v>
      </c>
      <c r="G48" s="4" t="s">
        <v>234</v>
      </c>
      <c r="H48" s="62">
        <v>896.74</v>
      </c>
      <c r="I48" s="62">
        <v>0</v>
      </c>
      <c r="J48" s="62">
        <v>-9.44</v>
      </c>
      <c r="K48" s="62">
        <v>19.579999999999998</v>
      </c>
      <c r="L48" s="62">
        <v>0</v>
      </c>
      <c r="M48" s="62">
        <v>0</v>
      </c>
      <c r="N48" s="62">
        <v>0</v>
      </c>
      <c r="O48" s="62">
        <f t="shared" si="5"/>
        <v>906.88</v>
      </c>
      <c r="P48" s="62">
        <v>-907</v>
      </c>
      <c r="Q48" s="62">
        <v>0</v>
      </c>
      <c r="R48" s="62">
        <v>0</v>
      </c>
      <c r="S48" s="62">
        <v>0</v>
      </c>
      <c r="T48" s="62">
        <v>0</v>
      </c>
      <c r="U48" s="62">
        <v>0</v>
      </c>
      <c r="V48" s="62">
        <v>0</v>
      </c>
      <c r="W48" s="62">
        <f t="shared" si="0"/>
        <v>-0.12000000000000455</v>
      </c>
      <c r="X48" s="62">
        <f t="shared" si="1"/>
        <v>0</v>
      </c>
      <c r="Y48" s="62">
        <f t="shared" si="2"/>
        <v>-0.12000000000000455</v>
      </c>
      <c r="Z48" s="62">
        <v>0</v>
      </c>
      <c r="AA48" s="62">
        <f t="shared" si="3"/>
        <v>-0.12000000000000455</v>
      </c>
      <c r="AB48" s="62">
        <f t="shared" si="4"/>
        <v>906.76</v>
      </c>
      <c r="AC48" s="62"/>
      <c r="AD48" s="62" t="s">
        <v>645</v>
      </c>
    </row>
    <row r="49" spans="1:30" hidden="1" x14ac:dyDescent="0.3">
      <c r="A49" s="2">
        <v>1</v>
      </c>
      <c r="B49" s="3" t="s">
        <v>105</v>
      </c>
      <c r="C49" s="4" t="s">
        <v>106</v>
      </c>
      <c r="D49" s="4" t="s">
        <v>646</v>
      </c>
      <c r="E49" s="4" t="str">
        <f>VLOOKUP(C49,'[2]CTRL AUTOS'!$E$2:$L$58,8,FALSE)</f>
        <v>ASHC</v>
      </c>
      <c r="F49" s="61" t="str">
        <f>VLOOKUP(C49,'[2]CTRL AUTOS'!$E$2:$K$58,7,FALSE)</f>
        <v>ASHC</v>
      </c>
      <c r="G49" s="4" t="s">
        <v>425</v>
      </c>
      <c r="H49" s="62">
        <v>0</v>
      </c>
      <c r="I49" s="62">
        <v>0</v>
      </c>
      <c r="J49" s="62">
        <v>0</v>
      </c>
      <c r="K49" s="62">
        <v>0</v>
      </c>
      <c r="L49" s="62">
        <v>0</v>
      </c>
      <c r="M49" s="62">
        <v>0</v>
      </c>
      <c r="N49" s="62">
        <v>0</v>
      </c>
      <c r="O49" s="62">
        <f t="shared" si="5"/>
        <v>0</v>
      </c>
      <c r="P49" s="62">
        <v>-2500</v>
      </c>
      <c r="Q49" s="62">
        <v>0</v>
      </c>
      <c r="R49" s="62">
        <v>0</v>
      </c>
      <c r="S49" s="62">
        <v>0</v>
      </c>
      <c r="T49" s="62">
        <v>0</v>
      </c>
      <c r="U49" s="62">
        <v>0</v>
      </c>
      <c r="V49" s="62">
        <v>0</v>
      </c>
      <c r="W49" s="62">
        <f t="shared" si="0"/>
        <v>-2500</v>
      </c>
      <c r="X49" s="62">
        <f t="shared" si="1"/>
        <v>0</v>
      </c>
      <c r="Y49" s="62">
        <f t="shared" si="2"/>
        <v>-2500</v>
      </c>
      <c r="Z49" s="62">
        <v>2500</v>
      </c>
      <c r="AA49" s="62">
        <f t="shared" si="3"/>
        <v>0</v>
      </c>
      <c r="AB49" s="62">
        <f t="shared" si="4"/>
        <v>2500</v>
      </c>
      <c r="AC49" s="62"/>
      <c r="AD49" s="62" t="s">
        <v>647</v>
      </c>
    </row>
    <row r="50" spans="1:30" hidden="1" x14ac:dyDescent="0.3">
      <c r="A50" s="2">
        <v>2</v>
      </c>
      <c r="B50" s="3" t="s">
        <v>5</v>
      </c>
      <c r="C50" s="4" t="s">
        <v>6</v>
      </c>
      <c r="D50" s="4" t="s">
        <v>570</v>
      </c>
      <c r="E50" s="4" t="str">
        <f>VLOOKUP(C50,'[2]CTRL AUTOS'!$E$2:$L$58,8,FALSE)</f>
        <v>ASHC</v>
      </c>
      <c r="F50" s="61" t="str">
        <f>VLOOKUP(C50,'[2]CTRL AUTOS'!$E$2:$K$58,7,FALSE)</f>
        <v>ASHC</v>
      </c>
      <c r="G50" s="4" t="s">
        <v>425</v>
      </c>
      <c r="H50" s="62">
        <v>0</v>
      </c>
      <c r="I50" s="62">
        <v>0</v>
      </c>
      <c r="J50" s="62">
        <v>0</v>
      </c>
      <c r="K50" s="62">
        <v>0</v>
      </c>
      <c r="L50" s="62">
        <v>0</v>
      </c>
      <c r="M50" s="62">
        <v>0</v>
      </c>
      <c r="N50" s="62">
        <v>0</v>
      </c>
      <c r="O50" s="62">
        <f t="shared" si="5"/>
        <v>0</v>
      </c>
      <c r="P50" s="62">
        <v>-2500</v>
      </c>
      <c r="Q50" s="62">
        <f>-326*1.12</f>
        <v>-365.12000000000006</v>
      </c>
      <c r="R50" s="62">
        <v>0</v>
      </c>
      <c r="S50" s="62">
        <v>0</v>
      </c>
      <c r="T50" s="62">
        <v>0</v>
      </c>
      <c r="U50" s="62">
        <v>0</v>
      </c>
      <c r="V50" s="62">
        <v>0</v>
      </c>
      <c r="W50" s="62">
        <f t="shared" si="0"/>
        <v>-2865.12</v>
      </c>
      <c r="X50" s="62">
        <f t="shared" si="1"/>
        <v>0</v>
      </c>
      <c r="Y50" s="62">
        <f t="shared" si="2"/>
        <v>-2865.12</v>
      </c>
      <c r="Z50" s="62">
        <v>0</v>
      </c>
      <c r="AA50" s="62">
        <f t="shared" si="3"/>
        <v>-2865.12</v>
      </c>
      <c r="AB50" s="62">
        <f t="shared" si="4"/>
        <v>-2865.12</v>
      </c>
      <c r="AC50" s="62"/>
      <c r="AD50" s="62" t="s">
        <v>591</v>
      </c>
    </row>
    <row r="51" spans="1:30" hidden="1" x14ac:dyDescent="0.3">
      <c r="A51" s="2">
        <v>2</v>
      </c>
      <c r="B51" s="3" t="s">
        <v>5</v>
      </c>
      <c r="C51" s="4" t="s">
        <v>42</v>
      </c>
      <c r="D51" s="4" t="s">
        <v>250</v>
      </c>
      <c r="E51" s="4" t="str">
        <f>VLOOKUP(C51,'[2]CTRL AUTOS'!$E$2:$L$58,8,FALSE)</f>
        <v>ASHC</v>
      </c>
      <c r="F51" s="61" t="str">
        <f>VLOOKUP(C51,'[2]CTRL AUTOS'!$E$2:$K$58,7,FALSE)</f>
        <v>ASHC</v>
      </c>
      <c r="G51" s="4" t="s">
        <v>425</v>
      </c>
      <c r="H51" s="62">
        <v>0</v>
      </c>
      <c r="I51" s="62">
        <v>0</v>
      </c>
      <c r="J51" s="62">
        <v>0</v>
      </c>
      <c r="K51" s="62">
        <v>0</v>
      </c>
      <c r="L51" s="62">
        <v>0</v>
      </c>
      <c r="M51" s="62">
        <v>0</v>
      </c>
      <c r="N51" s="62">
        <v>0</v>
      </c>
      <c r="O51" s="62">
        <f t="shared" si="5"/>
        <v>0</v>
      </c>
      <c r="P51" s="62">
        <v>0</v>
      </c>
      <c r="Q51" s="62">
        <v>0</v>
      </c>
      <c r="R51" s="62">
        <v>0</v>
      </c>
      <c r="S51" s="62">
        <v>0</v>
      </c>
      <c r="T51" s="62">
        <v>-500</v>
      </c>
      <c r="U51" s="62">
        <v>0</v>
      </c>
      <c r="V51" s="62">
        <v>0</v>
      </c>
      <c r="W51" s="62">
        <f t="shared" si="0"/>
        <v>-500</v>
      </c>
      <c r="X51" s="62">
        <f t="shared" si="1"/>
        <v>0</v>
      </c>
      <c r="Y51" s="62">
        <f t="shared" si="2"/>
        <v>-500</v>
      </c>
      <c r="Z51" s="62">
        <v>0</v>
      </c>
      <c r="AA51" s="62">
        <f t="shared" si="3"/>
        <v>-500</v>
      </c>
      <c r="AB51" s="62">
        <f t="shared" si="4"/>
        <v>-500</v>
      </c>
      <c r="AC51" s="62"/>
      <c r="AD51" s="62" t="s">
        <v>591</v>
      </c>
    </row>
    <row r="52" spans="1:30" hidden="1" x14ac:dyDescent="0.3">
      <c r="A52" s="2">
        <v>2</v>
      </c>
      <c r="B52" s="3" t="s">
        <v>9</v>
      </c>
      <c r="C52" s="4" t="s">
        <v>10</v>
      </c>
      <c r="D52" s="4" t="s">
        <v>343</v>
      </c>
      <c r="E52" s="4" t="str">
        <f>VLOOKUP(C52,'[2]CTRL AUTOS'!$E$2:$L$58,8,FALSE)</f>
        <v>ASHC</v>
      </c>
      <c r="F52" s="61" t="str">
        <f>VLOOKUP(C52,'[2]CTRL AUTOS'!$E$2:$K$58,7,FALSE)</f>
        <v>ASHC</v>
      </c>
      <c r="G52" s="4" t="s">
        <v>425</v>
      </c>
      <c r="H52" s="62">
        <v>4397</v>
      </c>
      <c r="I52" s="62">
        <v>-4448</v>
      </c>
      <c r="J52" s="62">
        <v>-444</v>
      </c>
      <c r="K52" s="62">
        <v>0</v>
      </c>
      <c r="L52" s="62">
        <v>0</v>
      </c>
      <c r="M52" s="62">
        <v>-65</v>
      </c>
      <c r="N52" s="62">
        <v>0</v>
      </c>
      <c r="O52" s="62">
        <f t="shared" si="5"/>
        <v>-509</v>
      </c>
      <c r="P52" s="62">
        <v>-2600</v>
      </c>
      <c r="Q52" s="62">
        <f>-2002*1.12</f>
        <v>-2242.2400000000002</v>
      </c>
      <c r="R52" s="62">
        <v>0</v>
      </c>
      <c r="S52" s="62">
        <v>0</v>
      </c>
      <c r="T52" s="62">
        <v>0</v>
      </c>
      <c r="U52" s="62">
        <v>0</v>
      </c>
      <c r="V52" s="62">
        <v>0</v>
      </c>
      <c r="W52" s="62">
        <f t="shared" si="0"/>
        <v>-5351.24</v>
      </c>
      <c r="X52" s="62">
        <f t="shared" si="1"/>
        <v>0</v>
      </c>
      <c r="Y52" s="62">
        <f t="shared" si="2"/>
        <v>-5351.24</v>
      </c>
      <c r="Z52" s="62">
        <f>600+700+1000+1300</f>
        <v>3600</v>
      </c>
      <c r="AA52" s="62">
        <f t="shared" si="3"/>
        <v>-1751.2399999999998</v>
      </c>
      <c r="AB52" s="62">
        <f t="shared" si="4"/>
        <v>1339.7600000000002</v>
      </c>
      <c r="AC52" s="62"/>
      <c r="AD52" s="62" t="s">
        <v>648</v>
      </c>
    </row>
    <row r="53" spans="1:30" hidden="1" x14ac:dyDescent="0.3">
      <c r="A53" s="2">
        <v>2</v>
      </c>
      <c r="B53" s="3" t="s">
        <v>11</v>
      </c>
      <c r="C53" s="4" t="s">
        <v>12</v>
      </c>
      <c r="D53" s="4" t="s">
        <v>509</v>
      </c>
      <c r="E53" s="4" t="str">
        <f>VLOOKUP(C53,'[2]CTRL AUTOS'!$E$2:$L$58,8,FALSE)</f>
        <v>ASHC</v>
      </c>
      <c r="F53" s="61" t="str">
        <f>VLOOKUP(C53,'[2]CTRL AUTOS'!$E$2:$K$58,7,FALSE)</f>
        <v>ASHC</v>
      </c>
      <c r="G53" s="4" t="s">
        <v>234</v>
      </c>
      <c r="H53" s="62">
        <v>4908</v>
      </c>
      <c r="I53" s="62">
        <v>-3232</v>
      </c>
      <c r="J53" s="62">
        <v>0</v>
      </c>
      <c r="K53" s="62">
        <v>0</v>
      </c>
      <c r="L53" s="62">
        <v>0</v>
      </c>
      <c r="M53" s="62">
        <v>-40</v>
      </c>
      <c r="N53" s="62">
        <v>0</v>
      </c>
      <c r="O53" s="62">
        <f t="shared" si="5"/>
        <v>1636</v>
      </c>
      <c r="P53" s="62">
        <v>-2700</v>
      </c>
      <c r="Q53" s="62">
        <v>0</v>
      </c>
      <c r="R53" s="62">
        <v>0</v>
      </c>
      <c r="S53" s="62">
        <v>0</v>
      </c>
      <c r="T53" s="62">
        <v>0</v>
      </c>
      <c r="U53" s="62">
        <v>0</v>
      </c>
      <c r="V53" s="62">
        <v>0</v>
      </c>
      <c r="W53" s="62">
        <f t="shared" si="0"/>
        <v>-1064</v>
      </c>
      <c r="X53" s="62">
        <f t="shared" si="1"/>
        <v>0</v>
      </c>
      <c r="Y53" s="62">
        <f t="shared" si="2"/>
        <v>-1064</v>
      </c>
      <c r="Z53" s="62">
        <v>1000</v>
      </c>
      <c r="AA53" s="62">
        <f t="shared" si="3"/>
        <v>-64</v>
      </c>
      <c r="AB53" s="62">
        <f t="shared" si="4"/>
        <v>2572</v>
      </c>
      <c r="AC53" s="62"/>
      <c r="AD53" s="62" t="s">
        <v>649</v>
      </c>
    </row>
    <row r="54" spans="1:30" hidden="1" x14ac:dyDescent="0.3">
      <c r="A54" s="2">
        <v>2</v>
      </c>
      <c r="B54" s="3" t="s">
        <v>13</v>
      </c>
      <c r="C54" s="4" t="s">
        <v>14</v>
      </c>
      <c r="D54" s="4" t="s">
        <v>505</v>
      </c>
      <c r="E54" s="4" t="str">
        <f>VLOOKUP(C54,'[2]CTRL AUTOS'!$E$2:$L$58,8,FALSE)</f>
        <v>ASHC</v>
      </c>
      <c r="F54" s="61" t="str">
        <f>VLOOKUP(C54,'[2]CTRL AUTOS'!$E$2:$K$58,7,FALSE)</f>
        <v>ASHC</v>
      </c>
      <c r="G54" s="4" t="s">
        <v>234</v>
      </c>
      <c r="H54" s="62">
        <v>5768</v>
      </c>
      <c r="I54" s="62">
        <v>0</v>
      </c>
      <c r="J54" s="62">
        <v>-36</v>
      </c>
      <c r="K54" s="62">
        <v>31</v>
      </c>
      <c r="L54" s="62">
        <v>0</v>
      </c>
      <c r="M54" s="62">
        <v>-85</v>
      </c>
      <c r="N54" s="62">
        <v>-120</v>
      </c>
      <c r="O54" s="62">
        <f t="shared" si="5"/>
        <v>5558</v>
      </c>
      <c r="P54" s="62">
        <v>-2700</v>
      </c>
      <c r="Q54" s="62">
        <v>0</v>
      </c>
      <c r="R54" s="62">
        <v>0</v>
      </c>
      <c r="S54" s="62">
        <v>0</v>
      </c>
      <c r="T54" s="62">
        <v>0</v>
      </c>
      <c r="U54" s="62">
        <v>0</v>
      </c>
      <c r="V54" s="62">
        <v>0</v>
      </c>
      <c r="W54" s="62">
        <f t="shared" si="0"/>
        <v>2858</v>
      </c>
      <c r="X54" s="62">
        <f t="shared" si="1"/>
        <v>2858</v>
      </c>
      <c r="Y54" s="62">
        <f t="shared" si="2"/>
        <v>0</v>
      </c>
      <c r="Z54" s="62">
        <v>0</v>
      </c>
      <c r="AA54" s="62">
        <f t="shared" si="3"/>
        <v>0</v>
      </c>
      <c r="AB54" s="62">
        <f t="shared" si="4"/>
        <v>2700</v>
      </c>
      <c r="AC54" s="62"/>
      <c r="AD54" s="62"/>
    </row>
    <row r="55" spans="1:30" hidden="1" x14ac:dyDescent="0.3">
      <c r="A55" s="2">
        <v>2</v>
      </c>
      <c r="B55" s="3" t="s">
        <v>88</v>
      </c>
      <c r="C55" s="4" t="s">
        <v>46</v>
      </c>
      <c r="D55" s="4" t="s">
        <v>650</v>
      </c>
      <c r="E55" s="4" t="str">
        <f>VLOOKUP(C55,'[2]CTRL AUTOS'!$E$2:$L$58,8,FALSE)</f>
        <v>ASHC</v>
      </c>
      <c r="F55" s="61" t="str">
        <f>VLOOKUP(C55,'[2]CTRL AUTOS'!$E$2:$K$58,7,FALSE)</f>
        <v>ASHC</v>
      </c>
      <c r="G55" s="4" t="s">
        <v>234</v>
      </c>
      <c r="H55" s="62">
        <v>4060</v>
      </c>
      <c r="I55" s="62">
        <v>-2036</v>
      </c>
      <c r="J55" s="62">
        <v>-54</v>
      </c>
      <c r="K55" s="62">
        <v>0</v>
      </c>
      <c r="L55" s="62">
        <v>0</v>
      </c>
      <c r="M55" s="62">
        <v>-45</v>
      </c>
      <c r="N55" s="62">
        <v>0</v>
      </c>
      <c r="O55" s="62">
        <f t="shared" si="5"/>
        <v>1925</v>
      </c>
      <c r="P55" s="62">
        <f>-357.14*3</f>
        <v>-1071.42</v>
      </c>
      <c r="Q55" s="62">
        <v>0</v>
      </c>
      <c r="R55" s="62">
        <f>-214</f>
        <v>-214</v>
      </c>
      <c r="S55" s="62">
        <v>0</v>
      </c>
      <c r="T55" s="62">
        <v>0</v>
      </c>
      <c r="U55" s="62">
        <v>0</v>
      </c>
      <c r="V55" s="62">
        <v>0</v>
      </c>
      <c r="W55" s="62">
        <f t="shared" si="0"/>
        <v>639.57999999999993</v>
      </c>
      <c r="X55" s="62">
        <f t="shared" si="1"/>
        <v>639.57999999999993</v>
      </c>
      <c r="Y55" s="62">
        <f t="shared" si="2"/>
        <v>0</v>
      </c>
      <c r="Z55" s="62">
        <v>0</v>
      </c>
      <c r="AA55" s="62">
        <f t="shared" si="3"/>
        <v>0</v>
      </c>
      <c r="AB55" s="62">
        <f t="shared" si="4"/>
        <v>1285.42</v>
      </c>
      <c r="AC55" s="62">
        <v>2000</v>
      </c>
      <c r="AD55" s="62" t="s">
        <v>651</v>
      </c>
    </row>
    <row r="56" spans="1:30" hidden="1" x14ac:dyDescent="0.3">
      <c r="A56" s="2">
        <v>2</v>
      </c>
      <c r="B56" s="3" t="s">
        <v>89</v>
      </c>
      <c r="C56" s="4" t="s">
        <v>4</v>
      </c>
      <c r="D56" s="4" t="s">
        <v>652</v>
      </c>
      <c r="E56" s="4" t="str">
        <f>VLOOKUP(C56,'[2]CTRL AUTOS'!$E$2:$L$58,8,FALSE)</f>
        <v>ASHC</v>
      </c>
      <c r="F56" s="61" t="str">
        <f>VLOOKUP(C56,'[2]CTRL AUTOS'!$E$2:$K$58,7,FALSE)</f>
        <v>ASHC</v>
      </c>
      <c r="G56" s="4" t="s">
        <v>234</v>
      </c>
      <c r="H56" s="62">
        <v>6925</v>
      </c>
      <c r="I56" s="62">
        <v>-3099</v>
      </c>
      <c r="J56" s="62">
        <v>-139</v>
      </c>
      <c r="K56" s="62">
        <v>0</v>
      </c>
      <c r="L56" s="62">
        <v>0</v>
      </c>
      <c r="M56" s="62">
        <v>-45</v>
      </c>
      <c r="N56" s="62">
        <v>0</v>
      </c>
      <c r="O56" s="62">
        <f t="shared" si="5"/>
        <v>3642</v>
      </c>
      <c r="P56" s="62">
        <f>(-2500/7)*5</f>
        <v>-1785.7142857142858</v>
      </c>
      <c r="Q56" s="62">
        <v>0</v>
      </c>
      <c r="R56" s="62">
        <v>-357</v>
      </c>
      <c r="S56" s="62">
        <v>0</v>
      </c>
      <c r="T56" s="62">
        <v>0</v>
      </c>
      <c r="U56" s="62">
        <v>0</v>
      </c>
      <c r="V56" s="62">
        <v>0</v>
      </c>
      <c r="W56" s="62">
        <f t="shared" si="0"/>
        <v>1499.2857142857142</v>
      </c>
      <c r="X56" s="62">
        <f t="shared" si="1"/>
        <v>1499.2857142857142</v>
      </c>
      <c r="Y56" s="62">
        <f t="shared" si="2"/>
        <v>0</v>
      </c>
      <c r="Z56" s="62">
        <v>0</v>
      </c>
      <c r="AA56" s="62">
        <f t="shared" si="3"/>
        <v>0</v>
      </c>
      <c r="AB56" s="62">
        <f t="shared" si="4"/>
        <v>2142.7142857142858</v>
      </c>
      <c r="AC56" s="62"/>
      <c r="AD56" s="62" t="s">
        <v>653</v>
      </c>
    </row>
    <row r="57" spans="1:30" hidden="1" x14ac:dyDescent="0.3">
      <c r="A57" s="2">
        <v>2</v>
      </c>
      <c r="B57" s="3" t="s">
        <v>90</v>
      </c>
      <c r="C57" s="4" t="s">
        <v>16</v>
      </c>
      <c r="D57" s="4" t="s">
        <v>314</v>
      </c>
      <c r="E57" s="4" t="str">
        <f>VLOOKUP(C57,'[2]CTRL AUTOS'!$E$2:$L$58,8,FALSE)</f>
        <v>ASHC</v>
      </c>
      <c r="F57" s="61" t="str">
        <f>VLOOKUP(C57,'[2]CTRL AUTOS'!$E$2:$K$58,7,FALSE)</f>
        <v>ASHC</v>
      </c>
      <c r="G57" s="4" t="s">
        <v>234</v>
      </c>
      <c r="H57" s="62">
        <v>4467</v>
      </c>
      <c r="I57" s="62">
        <v>-2397</v>
      </c>
      <c r="J57" s="62">
        <v>0</v>
      </c>
      <c r="K57" s="62">
        <v>0</v>
      </c>
      <c r="L57" s="62">
        <v>0</v>
      </c>
      <c r="M57" s="62">
        <v>-55</v>
      </c>
      <c r="N57" s="62">
        <v>0</v>
      </c>
      <c r="O57" s="62">
        <f t="shared" si="5"/>
        <v>2015</v>
      </c>
      <c r="P57" s="62">
        <f>(-2500/7)*5.5</f>
        <v>-1964.2857142857144</v>
      </c>
      <c r="Q57" s="62">
        <v>0</v>
      </c>
      <c r="R57" s="62">
        <f>(-500/7)*5.5</f>
        <v>-392.85714285714289</v>
      </c>
      <c r="S57" s="62">
        <v>0</v>
      </c>
      <c r="T57" s="62">
        <v>0</v>
      </c>
      <c r="U57" s="62">
        <v>0</v>
      </c>
      <c r="V57" s="62">
        <v>0</v>
      </c>
      <c r="W57" s="62">
        <f t="shared" si="0"/>
        <v>-342.14285714285734</v>
      </c>
      <c r="X57" s="62">
        <f t="shared" si="1"/>
        <v>0</v>
      </c>
      <c r="Y57" s="62">
        <f t="shared" si="2"/>
        <v>-342.14285714285734</v>
      </c>
      <c r="Z57" s="62">
        <v>342</v>
      </c>
      <c r="AA57" s="62">
        <f t="shared" si="3"/>
        <v>-0.14285714285733775</v>
      </c>
      <c r="AB57" s="62">
        <f t="shared" si="4"/>
        <v>2356.8571428571427</v>
      </c>
      <c r="AC57" s="62"/>
      <c r="AD57" s="62" t="s">
        <v>654</v>
      </c>
    </row>
    <row r="58" spans="1:30" hidden="1" x14ac:dyDescent="0.3">
      <c r="A58" s="2">
        <v>2</v>
      </c>
      <c r="B58" s="3" t="s">
        <v>91</v>
      </c>
      <c r="C58" s="4" t="s">
        <v>50</v>
      </c>
      <c r="D58" s="4" t="s">
        <v>480</v>
      </c>
      <c r="E58" s="4" t="str">
        <f>VLOOKUP(C58,'[2]CTRL AUTOS'!$E$2:$L$58,8,FALSE)</f>
        <v>ASHC</v>
      </c>
      <c r="F58" s="61" t="str">
        <f>VLOOKUP(C58,'[2]CTRL AUTOS'!$E$2:$K$58,7,FALSE)</f>
        <v>ASHC</v>
      </c>
      <c r="G58" s="4" t="s">
        <v>234</v>
      </c>
      <c r="H58" s="62">
        <v>1853</v>
      </c>
      <c r="I58" s="62">
        <v>-1145</v>
      </c>
      <c r="J58" s="62">
        <v>0</v>
      </c>
      <c r="K58" s="62">
        <v>0</v>
      </c>
      <c r="L58" s="62"/>
      <c r="M58" s="62">
        <v>-45</v>
      </c>
      <c r="N58" s="62">
        <v>0</v>
      </c>
      <c r="O58" s="62">
        <f t="shared" si="5"/>
        <v>663</v>
      </c>
      <c r="P58" s="62">
        <f>(-2500/7)*3.5</f>
        <v>-1250</v>
      </c>
      <c r="Q58" s="62">
        <v>0</v>
      </c>
      <c r="R58" s="62">
        <f>((-500/7)*3.5)</f>
        <v>-250</v>
      </c>
      <c r="S58" s="62">
        <v>0</v>
      </c>
      <c r="T58" s="62">
        <v>0</v>
      </c>
      <c r="U58" s="62">
        <v>0</v>
      </c>
      <c r="V58" s="62">
        <v>0</v>
      </c>
      <c r="W58" s="62">
        <f t="shared" si="0"/>
        <v>-837</v>
      </c>
      <c r="X58" s="62">
        <f t="shared" si="1"/>
        <v>0</v>
      </c>
      <c r="Y58" s="62">
        <f t="shared" si="2"/>
        <v>-837</v>
      </c>
      <c r="Z58" s="62">
        <v>0</v>
      </c>
      <c r="AA58" s="62">
        <f t="shared" si="3"/>
        <v>-837</v>
      </c>
      <c r="AB58" s="62">
        <f t="shared" si="4"/>
        <v>-174</v>
      </c>
      <c r="AC58" s="62">
        <v>1000</v>
      </c>
      <c r="AD58" s="62" t="s">
        <v>655</v>
      </c>
    </row>
    <row r="59" spans="1:30" hidden="1" x14ac:dyDescent="0.3">
      <c r="A59" s="2">
        <v>2</v>
      </c>
      <c r="B59" s="3" t="s">
        <v>92</v>
      </c>
      <c r="C59" s="4" t="s">
        <v>30</v>
      </c>
      <c r="D59" s="4" t="s">
        <v>521</v>
      </c>
      <c r="E59" s="4" t="str">
        <f>VLOOKUP(C59,'[2]CTRL AUTOS'!$E$2:$L$58,8,FALSE)</f>
        <v>ASHC</v>
      </c>
      <c r="F59" s="61" t="str">
        <f>VLOOKUP(C59,'[2]CTRL AUTOS'!$E$2:$K$58,7,FALSE)</f>
        <v>ASHC</v>
      </c>
      <c r="G59" s="4" t="s">
        <v>234</v>
      </c>
      <c r="H59" s="62">
        <v>7562</v>
      </c>
      <c r="I59" s="62">
        <v>-4538</v>
      </c>
      <c r="J59" s="62">
        <v>0</v>
      </c>
      <c r="K59" s="62">
        <v>0</v>
      </c>
      <c r="L59" s="62">
        <v>0</v>
      </c>
      <c r="M59" s="62">
        <v>-55</v>
      </c>
      <c r="N59" s="62"/>
      <c r="O59" s="62">
        <f t="shared" si="5"/>
        <v>2969</v>
      </c>
      <c r="P59" s="62">
        <f>(-2500/7)*6.5</f>
        <v>-2321.4285714285716</v>
      </c>
      <c r="Q59" s="62">
        <v>0</v>
      </c>
      <c r="R59" s="62">
        <f>(-500/7)*6.5</f>
        <v>-464.28571428571428</v>
      </c>
      <c r="S59" s="62">
        <v>0</v>
      </c>
      <c r="T59" s="62">
        <v>0</v>
      </c>
      <c r="U59" s="62">
        <v>0</v>
      </c>
      <c r="V59" s="62">
        <v>0</v>
      </c>
      <c r="W59" s="62">
        <f t="shared" si="0"/>
        <v>183.28571428571416</v>
      </c>
      <c r="X59" s="62">
        <f t="shared" si="1"/>
        <v>183.28571428571416</v>
      </c>
      <c r="Y59" s="62">
        <f t="shared" si="2"/>
        <v>0</v>
      </c>
      <c r="Z59" s="62">
        <v>0</v>
      </c>
      <c r="AA59" s="62">
        <f t="shared" si="3"/>
        <v>0</v>
      </c>
      <c r="AB59" s="62">
        <f t="shared" si="4"/>
        <v>2785.7142857142858</v>
      </c>
      <c r="AC59" s="62"/>
      <c r="AD59" s="62" t="s">
        <v>656</v>
      </c>
    </row>
    <row r="60" spans="1:30" hidden="1" x14ac:dyDescent="0.3">
      <c r="A60" s="2">
        <v>2</v>
      </c>
      <c r="B60" s="3" t="s">
        <v>15</v>
      </c>
      <c r="C60" s="4" t="s">
        <v>142</v>
      </c>
      <c r="D60" s="4" t="s">
        <v>657</v>
      </c>
      <c r="E60" s="4" t="str">
        <f>VLOOKUP(C60,'[2]CTRL AUTOS'!$E$2:$L$58,8,FALSE)</f>
        <v>ASHC</v>
      </c>
      <c r="F60" s="61" t="str">
        <f>VLOOKUP(C60,'[2]CTRL AUTOS'!$E$2:$K$58,7,FALSE)</f>
        <v>ASHC</v>
      </c>
      <c r="G60" s="4" t="s">
        <v>234</v>
      </c>
      <c r="H60" s="62">
        <v>2482</v>
      </c>
      <c r="I60" s="62">
        <v>-836</v>
      </c>
      <c r="J60" s="62">
        <v>0</v>
      </c>
      <c r="K60" s="62">
        <v>0</v>
      </c>
      <c r="L60" s="62">
        <v>0</v>
      </c>
      <c r="M60" s="62">
        <v>-83</v>
      </c>
      <c r="N60" s="62">
        <v>-71</v>
      </c>
      <c r="O60" s="62">
        <f t="shared" si="5"/>
        <v>1492</v>
      </c>
      <c r="P60" s="62">
        <v>-2700</v>
      </c>
      <c r="Q60" s="6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f t="shared" si="0"/>
        <v>-1208</v>
      </c>
      <c r="X60" s="62">
        <f t="shared" si="1"/>
        <v>0</v>
      </c>
      <c r="Y60" s="62">
        <f t="shared" si="2"/>
        <v>-1208</v>
      </c>
      <c r="Z60" s="62"/>
      <c r="AA60" s="62">
        <f t="shared" si="3"/>
        <v>-1208</v>
      </c>
      <c r="AB60" s="62">
        <f t="shared" si="4"/>
        <v>284</v>
      </c>
      <c r="AC60" s="62"/>
      <c r="AD60" s="62" t="s">
        <v>658</v>
      </c>
    </row>
    <row r="61" spans="1:30" hidden="1" x14ac:dyDescent="0.3">
      <c r="A61" s="2">
        <v>2</v>
      </c>
      <c r="B61" s="3" t="s">
        <v>17</v>
      </c>
      <c r="C61" s="4" t="s">
        <v>18</v>
      </c>
      <c r="D61" s="4" t="s">
        <v>572</v>
      </c>
      <c r="E61" s="4" t="str">
        <f>VLOOKUP(C61,'[2]CTRL AUTOS'!$E$2:$L$58,8,FALSE)</f>
        <v>ASHC</v>
      </c>
      <c r="F61" s="61" t="str">
        <f>VLOOKUP(C61,'[2]CTRL AUTOS'!$E$2:$K$58,7,FALSE)</f>
        <v>ASHC</v>
      </c>
      <c r="G61" s="4" t="s">
        <v>234</v>
      </c>
      <c r="H61" s="62">
        <v>2939</v>
      </c>
      <c r="I61" s="62">
        <v>-866</v>
      </c>
      <c r="J61" s="62">
        <v>0</v>
      </c>
      <c r="K61" s="62">
        <v>0</v>
      </c>
      <c r="L61" s="62">
        <v>0</v>
      </c>
      <c r="M61" s="62">
        <v>-45</v>
      </c>
      <c r="N61" s="62">
        <v>0</v>
      </c>
      <c r="O61" s="62">
        <f t="shared" si="5"/>
        <v>2028</v>
      </c>
      <c r="P61" s="62">
        <v>-2700</v>
      </c>
      <c r="Q61" s="62">
        <f>-163</f>
        <v>-163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f t="shared" si="0"/>
        <v>-835</v>
      </c>
      <c r="X61" s="62">
        <f t="shared" si="1"/>
        <v>0</v>
      </c>
      <c r="Y61" s="62">
        <f t="shared" si="2"/>
        <v>-835</v>
      </c>
      <c r="Z61" s="62">
        <v>835</v>
      </c>
      <c r="AA61" s="62">
        <f t="shared" si="3"/>
        <v>0</v>
      </c>
      <c r="AB61" s="62">
        <f t="shared" si="4"/>
        <v>2863</v>
      </c>
      <c r="AC61" s="62"/>
      <c r="AD61" s="62" t="s">
        <v>659</v>
      </c>
    </row>
    <row r="62" spans="1:30" hidden="1" x14ac:dyDescent="0.3">
      <c r="A62" s="2">
        <v>2</v>
      </c>
      <c r="B62" s="3" t="s">
        <v>19</v>
      </c>
      <c r="C62" s="4" t="s">
        <v>20</v>
      </c>
      <c r="D62" s="4" t="s">
        <v>239</v>
      </c>
      <c r="E62" s="4" t="str">
        <f>VLOOKUP(C62,'[2]CTRL AUTOS'!$E$2:$L$58,8,FALSE)</f>
        <v>ASHC</v>
      </c>
      <c r="F62" s="61" t="str">
        <f>VLOOKUP(C62,'[2]CTRL AUTOS'!$E$2:$K$58,7,FALSE)</f>
        <v>ASHC</v>
      </c>
      <c r="G62" s="4" t="s">
        <v>234</v>
      </c>
      <c r="H62" s="62">
        <v>3152</v>
      </c>
      <c r="I62" s="62">
        <v>-100</v>
      </c>
      <c r="J62" s="62">
        <v>-15</v>
      </c>
      <c r="K62" s="62">
        <v>0</v>
      </c>
      <c r="L62" s="62">
        <v>-30</v>
      </c>
      <c r="M62" s="62">
        <v>-45</v>
      </c>
      <c r="N62" s="62">
        <v>0</v>
      </c>
      <c r="O62" s="62">
        <f t="shared" si="5"/>
        <v>2962</v>
      </c>
      <c r="P62" s="62">
        <f>(-2500/7)*5</f>
        <v>-1785.7142857142858</v>
      </c>
      <c r="Q62" s="62">
        <v>-120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f t="shared" si="0"/>
        <v>1056.2857142857142</v>
      </c>
      <c r="X62" s="62">
        <f t="shared" si="1"/>
        <v>1056.2857142857142</v>
      </c>
      <c r="Y62" s="62">
        <f t="shared" si="2"/>
        <v>0</v>
      </c>
      <c r="Z62" s="62">
        <v>0</v>
      </c>
      <c r="AA62" s="62">
        <f t="shared" si="3"/>
        <v>0</v>
      </c>
      <c r="AB62" s="62">
        <f t="shared" si="4"/>
        <v>1905.7142857142858</v>
      </c>
      <c r="AC62" s="62"/>
      <c r="AD62" s="62" t="s">
        <v>660</v>
      </c>
    </row>
    <row r="63" spans="1:30" hidden="1" x14ac:dyDescent="0.3">
      <c r="A63" s="2">
        <v>2</v>
      </c>
      <c r="B63" s="3" t="s">
        <v>19</v>
      </c>
      <c r="C63" s="4" t="s">
        <v>94</v>
      </c>
      <c r="D63" s="4" t="s">
        <v>661</v>
      </c>
      <c r="E63" s="4" t="s">
        <v>662</v>
      </c>
      <c r="F63" s="61" t="s">
        <v>662</v>
      </c>
      <c r="G63" s="4" t="s">
        <v>234</v>
      </c>
      <c r="H63" s="62">
        <v>998.71</v>
      </c>
      <c r="I63" s="62">
        <v>0</v>
      </c>
      <c r="J63" s="62">
        <v>-24</v>
      </c>
      <c r="K63" s="62">
        <v>0</v>
      </c>
      <c r="L63" s="62">
        <v>0</v>
      </c>
      <c r="M63" s="62">
        <v>0</v>
      </c>
      <c r="N63" s="62">
        <v>0</v>
      </c>
      <c r="O63" s="62">
        <f t="shared" si="5"/>
        <v>974.71</v>
      </c>
      <c r="P63" s="62">
        <f>(-2500/7)*2</f>
        <v>-714.28571428571433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f t="shared" si="0"/>
        <v>260.4242857142857</v>
      </c>
      <c r="X63" s="62">
        <f t="shared" si="1"/>
        <v>260.4242857142857</v>
      </c>
      <c r="Y63" s="62">
        <f t="shared" si="2"/>
        <v>0</v>
      </c>
      <c r="Z63" s="62">
        <v>0</v>
      </c>
      <c r="AA63" s="62">
        <f t="shared" si="3"/>
        <v>0</v>
      </c>
      <c r="AB63" s="62">
        <f t="shared" si="4"/>
        <v>714.28571428571433</v>
      </c>
      <c r="AC63" s="62"/>
      <c r="AD63" s="62"/>
    </row>
    <row r="64" spans="1:30" hidden="1" x14ac:dyDescent="0.3">
      <c r="A64" s="2">
        <v>2</v>
      </c>
      <c r="B64" s="3" t="s">
        <v>21</v>
      </c>
      <c r="C64" s="4" t="s">
        <v>22</v>
      </c>
      <c r="D64" s="4" t="s">
        <v>319</v>
      </c>
      <c r="E64" s="4" t="str">
        <f>VLOOKUP(C64,'[2]CTRL AUTOS'!$E$2:$L$58,8,FALSE)</f>
        <v>ASHC</v>
      </c>
      <c r="F64" s="61" t="str">
        <f>VLOOKUP(C64,'[2]CTRL AUTOS'!$E$2:$K$58,7,FALSE)</f>
        <v>ASHC</v>
      </c>
      <c r="G64" s="4" t="s">
        <v>234</v>
      </c>
      <c r="H64" s="62">
        <v>2681</v>
      </c>
      <c r="I64" s="62">
        <v>0</v>
      </c>
      <c r="J64" s="62">
        <v>0</v>
      </c>
      <c r="K64" s="62">
        <v>0</v>
      </c>
      <c r="L64" s="62">
        <v>0</v>
      </c>
      <c r="M64" s="62">
        <v>-55</v>
      </c>
      <c r="N64" s="62">
        <v>0</v>
      </c>
      <c r="O64" s="62">
        <f t="shared" si="5"/>
        <v>2626</v>
      </c>
      <c r="P64" s="62">
        <v>-2500</v>
      </c>
      <c r="Q64" s="62">
        <v>0</v>
      </c>
      <c r="R64" s="62">
        <v>-500</v>
      </c>
      <c r="S64" s="62">
        <v>0</v>
      </c>
      <c r="T64" s="62">
        <v>0</v>
      </c>
      <c r="U64" s="62">
        <v>0</v>
      </c>
      <c r="V64" s="62">
        <v>0</v>
      </c>
      <c r="W64" s="62">
        <f t="shared" si="0"/>
        <v>-374</v>
      </c>
      <c r="X64" s="62">
        <f t="shared" si="1"/>
        <v>0</v>
      </c>
      <c r="Y64" s="62">
        <f t="shared" si="2"/>
        <v>-374</v>
      </c>
      <c r="Z64" s="62">
        <v>374</v>
      </c>
      <c r="AA64" s="62">
        <f t="shared" si="3"/>
        <v>0</v>
      </c>
      <c r="AB64" s="62">
        <f t="shared" si="4"/>
        <v>3000</v>
      </c>
      <c r="AC64" s="62"/>
      <c r="AD64" s="62" t="s">
        <v>663</v>
      </c>
    </row>
    <row r="65" spans="1:30" hidden="1" x14ac:dyDescent="0.3">
      <c r="A65" s="2">
        <v>2</v>
      </c>
      <c r="B65" s="3" t="s">
        <v>23</v>
      </c>
      <c r="C65" s="4" t="s">
        <v>24</v>
      </c>
      <c r="D65" s="4" t="s">
        <v>515</v>
      </c>
      <c r="E65" s="4" t="str">
        <f>VLOOKUP(C65,'[2]CTRL AUTOS'!$E$2:$L$58,8,FALSE)</f>
        <v>ASHC</v>
      </c>
      <c r="F65" s="61" t="str">
        <f>VLOOKUP(C65,'[2]CTRL AUTOS'!$E$2:$K$58,7,FALSE)</f>
        <v>ASHC</v>
      </c>
      <c r="G65" s="4" t="s">
        <v>234</v>
      </c>
      <c r="H65" s="62">
        <v>2331</v>
      </c>
      <c r="I65" s="62">
        <v>-1666</v>
      </c>
      <c r="J65" s="62">
        <v>0</v>
      </c>
      <c r="K65" s="62">
        <v>0</v>
      </c>
      <c r="L65" s="62">
        <v>0</v>
      </c>
      <c r="M65" s="62">
        <v>-62</v>
      </c>
      <c r="N65" s="62">
        <v>-25</v>
      </c>
      <c r="O65" s="62">
        <f t="shared" si="5"/>
        <v>578</v>
      </c>
      <c r="P65" s="62">
        <f>-2700/7*4</f>
        <v>-1542.8571428571429</v>
      </c>
      <c r="Q65" s="62">
        <f>-3465*1.12</f>
        <v>-3880.8</v>
      </c>
      <c r="R65" s="62">
        <v>0</v>
      </c>
      <c r="S65" s="62">
        <v>0</v>
      </c>
      <c r="T65" s="62">
        <v>0</v>
      </c>
      <c r="U65" s="62">
        <v>0</v>
      </c>
      <c r="V65" s="62">
        <v>0</v>
      </c>
      <c r="W65" s="62">
        <f t="shared" si="0"/>
        <v>-4845.6571428571433</v>
      </c>
      <c r="X65" s="62">
        <f t="shared" si="1"/>
        <v>0</v>
      </c>
      <c r="Y65" s="62">
        <f t="shared" si="2"/>
        <v>-4845.6571428571433</v>
      </c>
      <c r="Z65" s="62">
        <f>1400+500+1300+500</f>
        <v>3700</v>
      </c>
      <c r="AA65" s="62">
        <f t="shared" si="3"/>
        <v>-1145.6571428571433</v>
      </c>
      <c r="AB65" s="62">
        <f t="shared" si="4"/>
        <v>3132.3428571428567</v>
      </c>
      <c r="AC65" s="62"/>
      <c r="AD65" s="62" t="s">
        <v>664</v>
      </c>
    </row>
    <row r="66" spans="1:30" hidden="1" x14ac:dyDescent="0.3">
      <c r="A66" s="2">
        <v>2</v>
      </c>
      <c r="B66" s="3" t="s">
        <v>23</v>
      </c>
      <c r="C66" s="4" t="s">
        <v>22</v>
      </c>
      <c r="D66" s="4" t="s">
        <v>319</v>
      </c>
      <c r="E66" s="4" t="str">
        <f>VLOOKUP(C66,'[2]CTRL AUTOS'!$E$2:$L$58,8,FALSE)</f>
        <v>ASHC</v>
      </c>
      <c r="F66" s="61" t="str">
        <f>VLOOKUP(C66,'[2]CTRL AUTOS'!$E$2:$K$58,7,FALSE)</f>
        <v>ASHC</v>
      </c>
      <c r="G66" s="4" t="s">
        <v>234</v>
      </c>
      <c r="H66" s="62">
        <v>0</v>
      </c>
      <c r="I66" s="62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f t="shared" si="5"/>
        <v>0</v>
      </c>
      <c r="P66" s="62">
        <v>0</v>
      </c>
      <c r="Q66" s="62">
        <v>0</v>
      </c>
      <c r="R66" s="62">
        <v>0</v>
      </c>
      <c r="S66" s="62">
        <v>0</v>
      </c>
      <c r="T66" s="62">
        <v>-500</v>
      </c>
      <c r="U66" s="62">
        <v>0</v>
      </c>
      <c r="V66" s="62">
        <v>0</v>
      </c>
      <c r="W66" s="62">
        <f t="shared" ref="W66:W129" si="6">SUM(O66:V66)</f>
        <v>-500</v>
      </c>
      <c r="X66" s="62">
        <f t="shared" ref="X66:X129" si="7">IF(W66&gt;=0,W66,0)</f>
        <v>0</v>
      </c>
      <c r="Y66" s="62">
        <f t="shared" ref="Y66:Y129" si="8">IF(W66&lt;=0,W66,0)</f>
        <v>-500</v>
      </c>
      <c r="Z66" s="62">
        <v>500</v>
      </c>
      <c r="AA66" s="62">
        <f t="shared" ref="AA66:AA100" si="9">+Y66+Z66</f>
        <v>0</v>
      </c>
      <c r="AB66" s="62">
        <f t="shared" ref="AB66:AB129" si="10">+O66-X66+Z66+AA66</f>
        <v>500</v>
      </c>
      <c r="AC66" s="62"/>
      <c r="AD66" s="62" t="s">
        <v>665</v>
      </c>
    </row>
    <row r="67" spans="1:30" hidden="1" x14ac:dyDescent="0.3">
      <c r="A67" s="2">
        <v>2</v>
      </c>
      <c r="B67" s="3" t="s">
        <v>25</v>
      </c>
      <c r="C67" s="4" t="s">
        <v>26</v>
      </c>
      <c r="D67" s="4" t="s">
        <v>575</v>
      </c>
      <c r="E67" s="4" t="str">
        <f>VLOOKUP(C67,'[2]CTRL AUTOS'!$E$2:$L$58,8,FALSE)</f>
        <v>ASHC</v>
      </c>
      <c r="F67" s="61" t="str">
        <f>VLOOKUP(C67,'[2]CTRL AUTOS'!$E$2:$K$58,7,FALSE)</f>
        <v>ASHC</v>
      </c>
      <c r="G67" s="4" t="s">
        <v>234</v>
      </c>
      <c r="H67" s="62">
        <v>127</v>
      </c>
      <c r="I67" s="62">
        <v>0</v>
      </c>
      <c r="J67" s="62">
        <v>-3</v>
      </c>
      <c r="K67" s="62">
        <v>0</v>
      </c>
      <c r="L67" s="62">
        <v>0</v>
      </c>
      <c r="M67" s="62">
        <v>-45</v>
      </c>
      <c r="N67" s="62">
        <v>0</v>
      </c>
      <c r="O67" s="62">
        <f t="shared" si="5"/>
        <v>79</v>
      </c>
      <c r="P67" s="62">
        <v>-2500</v>
      </c>
      <c r="Q67" s="62">
        <v>164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f t="shared" si="6"/>
        <v>-2257</v>
      </c>
      <c r="X67" s="62">
        <f t="shared" si="7"/>
        <v>0</v>
      </c>
      <c r="Y67" s="62">
        <f t="shared" si="8"/>
        <v>-2257</v>
      </c>
      <c r="Z67" s="62">
        <v>0</v>
      </c>
      <c r="AA67" s="62">
        <f t="shared" si="9"/>
        <v>-2257</v>
      </c>
      <c r="AB67" s="62">
        <f t="shared" si="10"/>
        <v>-2178</v>
      </c>
      <c r="AC67" s="62"/>
      <c r="AD67" s="62" t="s">
        <v>666</v>
      </c>
    </row>
    <row r="68" spans="1:30" hidden="1" x14ac:dyDescent="0.3">
      <c r="A68" s="2">
        <v>2</v>
      </c>
      <c r="B68" s="3" t="s">
        <v>25</v>
      </c>
      <c r="C68" s="4" t="s">
        <v>67</v>
      </c>
      <c r="D68" s="4" t="s">
        <v>511</v>
      </c>
      <c r="E68" s="4" t="str">
        <f>VLOOKUP(C68,'[2]CTRL AUTOS'!$E$2:$L$58,8,FALSE)</f>
        <v>ASHC</v>
      </c>
      <c r="F68" s="61" t="str">
        <f>VLOOKUP(C68,'[2]CTRL AUTOS'!$E$2:$K$58,7,FALSE)</f>
        <v>ASHC</v>
      </c>
      <c r="G68" s="4" t="s">
        <v>234</v>
      </c>
      <c r="H68" s="62">
        <v>0</v>
      </c>
      <c r="I68" s="62">
        <v>0</v>
      </c>
      <c r="J68" s="62">
        <v>0</v>
      </c>
      <c r="K68" s="62">
        <v>0</v>
      </c>
      <c r="L68" s="62">
        <v>0</v>
      </c>
      <c r="M68" s="62">
        <v>0</v>
      </c>
      <c r="N68" s="62">
        <v>0</v>
      </c>
      <c r="O68" s="62">
        <f t="shared" si="5"/>
        <v>0</v>
      </c>
      <c r="P68" s="62">
        <v>0</v>
      </c>
      <c r="Q68" s="62">
        <v>0</v>
      </c>
      <c r="R68" s="62">
        <v>0</v>
      </c>
      <c r="S68" s="62">
        <v>0</v>
      </c>
      <c r="T68" s="62">
        <v>-500</v>
      </c>
      <c r="U68" s="62">
        <v>0</v>
      </c>
      <c r="V68" s="62">
        <v>0</v>
      </c>
      <c r="W68" s="62">
        <f t="shared" si="6"/>
        <v>-500</v>
      </c>
      <c r="X68" s="62">
        <f t="shared" si="7"/>
        <v>0</v>
      </c>
      <c r="Y68" s="62">
        <f t="shared" si="8"/>
        <v>-500</v>
      </c>
      <c r="Z68" s="62">
        <v>0</v>
      </c>
      <c r="AA68" s="62">
        <f t="shared" si="9"/>
        <v>-500</v>
      </c>
      <c r="AB68" s="62">
        <f t="shared" si="10"/>
        <v>-500</v>
      </c>
      <c r="AC68" s="62"/>
      <c r="AD68" s="62" t="s">
        <v>667</v>
      </c>
    </row>
    <row r="69" spans="1:30" hidden="1" x14ac:dyDescent="0.3">
      <c r="A69" s="2">
        <v>2</v>
      </c>
      <c r="B69" s="3" t="s">
        <v>27</v>
      </c>
      <c r="C69" s="4" t="s">
        <v>28</v>
      </c>
      <c r="D69" s="4" t="s">
        <v>274</v>
      </c>
      <c r="E69" s="4" t="str">
        <f>VLOOKUP(C69,'[2]CTRL AUTOS'!$E$2:$L$58,8,FALSE)</f>
        <v>ASHC</v>
      </c>
      <c r="F69" s="61" t="str">
        <f>VLOOKUP(C69,'[2]CTRL AUTOS'!$E$2:$K$58,7,FALSE)</f>
        <v>ASHC</v>
      </c>
      <c r="G69" s="4" t="s">
        <v>234</v>
      </c>
      <c r="H69" s="62">
        <v>4301</v>
      </c>
      <c r="I69" s="62">
        <v>-1115</v>
      </c>
      <c r="J69" s="62">
        <v>0</v>
      </c>
      <c r="K69" s="62">
        <v>0</v>
      </c>
      <c r="L69" s="62">
        <v>0</v>
      </c>
      <c r="M69" s="62">
        <v>-55</v>
      </c>
      <c r="N69" s="62">
        <v>0</v>
      </c>
      <c r="O69" s="62">
        <f t="shared" si="5"/>
        <v>3131</v>
      </c>
      <c r="P69" s="62">
        <v>-1964</v>
      </c>
      <c r="Q69" s="62">
        <v>0</v>
      </c>
      <c r="R69" s="62">
        <v>-500</v>
      </c>
      <c r="S69" s="62">
        <v>0</v>
      </c>
      <c r="T69" s="62">
        <v>0</v>
      </c>
      <c r="U69" s="62">
        <v>0</v>
      </c>
      <c r="V69" s="62">
        <v>0</v>
      </c>
      <c r="W69" s="62">
        <f t="shared" si="6"/>
        <v>667</v>
      </c>
      <c r="X69" s="62">
        <f t="shared" si="7"/>
        <v>667</v>
      </c>
      <c r="Y69" s="62">
        <f t="shared" si="8"/>
        <v>0</v>
      </c>
      <c r="Z69" s="62">
        <v>0</v>
      </c>
      <c r="AA69" s="62">
        <f t="shared" si="9"/>
        <v>0</v>
      </c>
      <c r="AB69" s="62">
        <f t="shared" si="10"/>
        <v>2464</v>
      </c>
      <c r="AC69" s="62"/>
      <c r="AD69" s="62" t="s">
        <v>668</v>
      </c>
    </row>
    <row r="70" spans="1:30" hidden="1" x14ac:dyDescent="0.3">
      <c r="A70" s="2">
        <v>2</v>
      </c>
      <c r="B70" s="3" t="s">
        <v>29</v>
      </c>
      <c r="C70" s="4" t="s">
        <v>141</v>
      </c>
      <c r="D70" s="4" t="s">
        <v>283</v>
      </c>
      <c r="E70" s="4" t="str">
        <f>VLOOKUP(C70,'[2]CTRL AUTOS'!$E$2:$L$58,8,FALSE)</f>
        <v>ASHC</v>
      </c>
      <c r="F70" s="61" t="str">
        <f>VLOOKUP(C70,'[2]CTRL AUTOS'!$E$2:$K$58,7,FALSE)</f>
        <v>ASHC</v>
      </c>
      <c r="G70" s="4" t="s">
        <v>234</v>
      </c>
      <c r="H70" s="62">
        <v>5360</v>
      </c>
      <c r="I70" s="62">
        <v>-2245</v>
      </c>
      <c r="J70" s="62">
        <v>0</v>
      </c>
      <c r="K70" s="62">
        <v>0</v>
      </c>
      <c r="L70" s="62">
        <v>0</v>
      </c>
      <c r="M70" s="62">
        <v>-55</v>
      </c>
      <c r="N70" s="62">
        <v>0</v>
      </c>
      <c r="O70" s="62">
        <f t="shared" si="5"/>
        <v>3060</v>
      </c>
      <c r="P70" s="62">
        <v>-2700</v>
      </c>
      <c r="Q70" s="62">
        <v>0</v>
      </c>
      <c r="R70" s="62">
        <v>-500</v>
      </c>
      <c r="S70" s="62">
        <v>0</v>
      </c>
      <c r="T70" s="62">
        <v>0</v>
      </c>
      <c r="U70" s="62">
        <v>0</v>
      </c>
      <c r="V70" s="62">
        <v>0</v>
      </c>
      <c r="W70" s="62">
        <f t="shared" si="6"/>
        <v>-140</v>
      </c>
      <c r="X70" s="62">
        <f t="shared" si="7"/>
        <v>0</v>
      </c>
      <c r="Y70" s="62">
        <f t="shared" si="8"/>
        <v>-140</v>
      </c>
      <c r="Z70" s="62">
        <v>140</v>
      </c>
      <c r="AA70" s="62">
        <f t="shared" si="9"/>
        <v>0</v>
      </c>
      <c r="AB70" s="62">
        <f t="shared" si="10"/>
        <v>3200</v>
      </c>
      <c r="AC70" s="62"/>
      <c r="AD70" s="62" t="s">
        <v>669</v>
      </c>
    </row>
    <row r="71" spans="1:30" hidden="1" x14ac:dyDescent="0.3">
      <c r="A71" s="2">
        <v>2</v>
      </c>
      <c r="B71" s="3" t="s">
        <v>31</v>
      </c>
      <c r="C71" s="4" t="s">
        <v>143</v>
      </c>
      <c r="D71" s="4" t="s">
        <v>283</v>
      </c>
      <c r="E71" s="4" t="str">
        <f>VLOOKUP(C71,'[2]CTRL AUTOS'!$E$2:$L$58,8,FALSE)</f>
        <v>ASHC</v>
      </c>
      <c r="F71" s="61" t="str">
        <f>VLOOKUP(C71,'[2]CTRL AUTOS'!$E$2:$K$58,7,FALSE)</f>
        <v>ASHC</v>
      </c>
      <c r="G71" s="4" t="s">
        <v>234</v>
      </c>
      <c r="H71" s="62">
        <v>11323</v>
      </c>
      <c r="I71" s="62">
        <v>-6879</v>
      </c>
      <c r="J71" s="62">
        <v>-130</v>
      </c>
      <c r="K71" s="62">
        <v>0</v>
      </c>
      <c r="L71" s="62">
        <v>0</v>
      </c>
      <c r="M71" s="62">
        <v>-55</v>
      </c>
      <c r="N71" s="62">
        <v>0</v>
      </c>
      <c r="O71" s="62">
        <f t="shared" ref="O71:O134" si="11">IF(H71+I71&lt;0,SUM(J71:N71),SUM(H71:N71))</f>
        <v>4259</v>
      </c>
      <c r="P71" s="62">
        <v>-2700</v>
      </c>
      <c r="Q71" s="62">
        <v>0</v>
      </c>
      <c r="R71" s="62">
        <v>-500</v>
      </c>
      <c r="S71" s="62">
        <v>0</v>
      </c>
      <c r="T71" s="62">
        <v>0</v>
      </c>
      <c r="U71" s="62">
        <v>0</v>
      </c>
      <c r="V71" s="62">
        <v>0</v>
      </c>
      <c r="W71" s="62">
        <f t="shared" si="6"/>
        <v>1059</v>
      </c>
      <c r="X71" s="62">
        <f t="shared" si="7"/>
        <v>1059</v>
      </c>
      <c r="Y71" s="62">
        <f t="shared" si="8"/>
        <v>0</v>
      </c>
      <c r="Z71" s="62">
        <v>0</v>
      </c>
      <c r="AA71" s="62">
        <f t="shared" si="9"/>
        <v>0</v>
      </c>
      <c r="AB71" s="62">
        <f t="shared" si="10"/>
        <v>3200</v>
      </c>
      <c r="AC71" s="62"/>
      <c r="AD71" s="62" t="s">
        <v>670</v>
      </c>
    </row>
    <row r="72" spans="1:30" hidden="1" x14ac:dyDescent="0.3">
      <c r="A72" s="2">
        <v>2</v>
      </c>
      <c r="B72" s="3" t="s">
        <v>33</v>
      </c>
      <c r="C72" s="4" t="s">
        <v>34</v>
      </c>
      <c r="D72" s="4" t="s">
        <v>285</v>
      </c>
      <c r="E72" s="4" t="str">
        <f>VLOOKUP(C72,'[2]CTRL AUTOS'!$E$2:$L$58,8,FALSE)</f>
        <v>ASHC</v>
      </c>
      <c r="F72" s="61" t="str">
        <f>VLOOKUP(C72,'[2]CTRL AUTOS'!$E$2:$K$58,7,FALSE)</f>
        <v>ASHC</v>
      </c>
      <c r="G72" s="4" t="s">
        <v>234</v>
      </c>
      <c r="H72" s="62">
        <v>1318</v>
      </c>
      <c r="I72" s="62">
        <v>0</v>
      </c>
      <c r="J72" s="62">
        <v>0</v>
      </c>
      <c r="K72" s="62">
        <v>0</v>
      </c>
      <c r="L72" s="62">
        <v>-15</v>
      </c>
      <c r="M72" s="62">
        <v>-140</v>
      </c>
      <c r="N72" s="62">
        <v>-378</v>
      </c>
      <c r="O72" s="62">
        <f t="shared" si="11"/>
        <v>785</v>
      </c>
      <c r="P72" s="62">
        <v>-2500</v>
      </c>
      <c r="Q72" s="62">
        <f>-488*1.12</f>
        <v>-546.56000000000006</v>
      </c>
      <c r="R72" s="62">
        <v>-500</v>
      </c>
      <c r="S72" s="62">
        <v>0</v>
      </c>
      <c r="T72" s="62">
        <v>-700</v>
      </c>
      <c r="U72" s="62">
        <v>0</v>
      </c>
      <c r="V72" s="62">
        <v>0</v>
      </c>
      <c r="W72" s="62">
        <f t="shared" si="6"/>
        <v>-3461.56</v>
      </c>
      <c r="X72" s="62">
        <f t="shared" si="7"/>
        <v>0</v>
      </c>
      <c r="Y72" s="62">
        <f t="shared" si="8"/>
        <v>-3461.56</v>
      </c>
      <c r="Z72" s="62">
        <v>0</v>
      </c>
      <c r="AA72" s="62">
        <f t="shared" si="9"/>
        <v>-3461.56</v>
      </c>
      <c r="AB72" s="62">
        <f t="shared" si="10"/>
        <v>-2676.56</v>
      </c>
      <c r="AC72" s="62"/>
      <c r="AD72" s="62" t="s">
        <v>671</v>
      </c>
    </row>
    <row r="73" spans="1:30" hidden="1" x14ac:dyDescent="0.3">
      <c r="A73" s="2">
        <v>2</v>
      </c>
      <c r="B73" s="3" t="s">
        <v>35</v>
      </c>
      <c r="C73" s="4" t="s">
        <v>36</v>
      </c>
      <c r="D73" s="4" t="s">
        <v>510</v>
      </c>
      <c r="E73" s="4" t="str">
        <f>VLOOKUP(C73,'[2]CTRL AUTOS'!$E$2:$L$58,8,FALSE)</f>
        <v>ASHC</v>
      </c>
      <c r="F73" s="61" t="str">
        <f>VLOOKUP(C73,'[2]CTRL AUTOS'!$E$2:$K$58,7,FALSE)</f>
        <v>ASHC</v>
      </c>
      <c r="G73" s="4" t="s">
        <v>234</v>
      </c>
      <c r="H73" s="62">
        <v>7847</v>
      </c>
      <c r="I73" s="62">
        <v>-3913</v>
      </c>
      <c r="J73" s="62">
        <v>-58</v>
      </c>
      <c r="K73" s="62">
        <v>0</v>
      </c>
      <c r="L73" s="62">
        <v>0</v>
      </c>
      <c r="M73" s="62">
        <v>-55</v>
      </c>
      <c r="N73" s="62">
        <v>0</v>
      </c>
      <c r="O73" s="62">
        <f t="shared" si="11"/>
        <v>3821</v>
      </c>
      <c r="P73" s="62">
        <v>-1250</v>
      </c>
      <c r="Q73" s="62">
        <v>34</v>
      </c>
      <c r="R73" s="62">
        <v>0</v>
      </c>
      <c r="S73" s="62">
        <v>0</v>
      </c>
      <c r="T73" s="62">
        <v>0</v>
      </c>
      <c r="U73" s="62">
        <v>0</v>
      </c>
      <c r="V73" s="62">
        <v>0</v>
      </c>
      <c r="W73" s="62">
        <f t="shared" si="6"/>
        <v>2605</v>
      </c>
      <c r="X73" s="62">
        <f t="shared" si="7"/>
        <v>2605</v>
      </c>
      <c r="Y73" s="62">
        <f t="shared" si="8"/>
        <v>0</v>
      </c>
      <c r="Z73" s="62">
        <v>0</v>
      </c>
      <c r="AA73" s="62">
        <f t="shared" si="9"/>
        <v>0</v>
      </c>
      <c r="AB73" s="62">
        <f t="shared" si="10"/>
        <v>1216</v>
      </c>
      <c r="AC73" s="62"/>
      <c r="AD73" s="62" t="s">
        <v>672</v>
      </c>
    </row>
    <row r="74" spans="1:30" hidden="1" x14ac:dyDescent="0.3">
      <c r="A74" s="2">
        <v>2</v>
      </c>
      <c r="B74" s="3" t="s">
        <v>37</v>
      </c>
      <c r="C74" s="4" t="s">
        <v>38</v>
      </c>
      <c r="D74" s="4" t="s">
        <v>579</v>
      </c>
      <c r="E74" s="4" t="str">
        <f>VLOOKUP(C74,'[2]CTRL AUTOS'!$E$2:$L$58,8,FALSE)</f>
        <v>ASHC</v>
      </c>
      <c r="F74" s="61" t="str">
        <f>VLOOKUP(C74,'[2]CTRL AUTOS'!$E$2:$K$58,7,FALSE)</f>
        <v>ASHC</v>
      </c>
      <c r="G74" s="4" t="s">
        <v>234</v>
      </c>
      <c r="H74" s="62">
        <v>2216</v>
      </c>
      <c r="I74" s="62">
        <v>-1483</v>
      </c>
      <c r="J74" s="62">
        <v>0</v>
      </c>
      <c r="K74" s="62">
        <v>0</v>
      </c>
      <c r="L74" s="62">
        <v>0</v>
      </c>
      <c r="M74" s="62">
        <v>-55</v>
      </c>
      <c r="N74" s="62">
        <v>0</v>
      </c>
      <c r="O74" s="62">
        <f t="shared" si="11"/>
        <v>678</v>
      </c>
      <c r="P74" s="62">
        <v>-2500</v>
      </c>
      <c r="Q74" s="62">
        <v>0</v>
      </c>
      <c r="R74" s="62">
        <v>0</v>
      </c>
      <c r="S74" s="62">
        <v>0</v>
      </c>
      <c r="T74" s="62">
        <v>0</v>
      </c>
      <c r="U74" s="62">
        <v>0</v>
      </c>
      <c r="V74" s="62">
        <v>0</v>
      </c>
      <c r="W74" s="62">
        <f t="shared" si="6"/>
        <v>-1822</v>
      </c>
      <c r="X74" s="62">
        <f t="shared" si="7"/>
        <v>0</v>
      </c>
      <c r="Y74" s="62">
        <f t="shared" si="8"/>
        <v>-1822</v>
      </c>
      <c r="Z74" s="62">
        <v>0</v>
      </c>
      <c r="AA74" s="62">
        <f t="shared" si="9"/>
        <v>-1822</v>
      </c>
      <c r="AB74" s="62">
        <f t="shared" si="10"/>
        <v>-1144</v>
      </c>
      <c r="AC74" s="62"/>
      <c r="AD74" s="62" t="s">
        <v>673</v>
      </c>
    </row>
    <row r="75" spans="1:30" hidden="1" x14ac:dyDescent="0.3">
      <c r="A75" s="2">
        <v>2</v>
      </c>
      <c r="B75" s="3" t="s">
        <v>39</v>
      </c>
      <c r="C75" s="4" t="s">
        <v>40</v>
      </c>
      <c r="D75" s="4" t="s">
        <v>315</v>
      </c>
      <c r="E75" s="4" t="str">
        <f>VLOOKUP(C75,'[2]CTRL AUTOS'!$E$2:$L$58,8,FALSE)</f>
        <v>ASHC</v>
      </c>
      <c r="F75" s="61" t="str">
        <f>VLOOKUP(C75,'[2]CTRL AUTOS'!$E$2:$K$58,7,FALSE)</f>
        <v>ASHC</v>
      </c>
      <c r="G75" s="4" t="s">
        <v>234</v>
      </c>
      <c r="H75" s="62">
        <v>2576</v>
      </c>
      <c r="I75" s="62">
        <v>-1176</v>
      </c>
      <c r="J75" s="62">
        <v>0</v>
      </c>
      <c r="K75" s="62">
        <v>0</v>
      </c>
      <c r="L75" s="62">
        <v>0</v>
      </c>
      <c r="M75" s="62">
        <v>-55</v>
      </c>
      <c r="N75" s="62">
        <v>0</v>
      </c>
      <c r="O75" s="62">
        <f t="shared" si="11"/>
        <v>1345</v>
      </c>
      <c r="P75" s="62">
        <v>-2500</v>
      </c>
      <c r="Q75" s="62">
        <f>-300*1.12</f>
        <v>-336.00000000000006</v>
      </c>
      <c r="R75" s="62">
        <v>-500</v>
      </c>
      <c r="S75" s="62">
        <v>0</v>
      </c>
      <c r="T75" s="62">
        <v>0</v>
      </c>
      <c r="U75" s="62">
        <v>0</v>
      </c>
      <c r="V75" s="62">
        <v>0</v>
      </c>
      <c r="W75" s="62">
        <f t="shared" si="6"/>
        <v>-1991</v>
      </c>
      <c r="X75" s="62">
        <f t="shared" si="7"/>
        <v>0</v>
      </c>
      <c r="Y75" s="62">
        <f t="shared" si="8"/>
        <v>-1991</v>
      </c>
      <c r="Z75" s="62">
        <v>0</v>
      </c>
      <c r="AA75" s="62">
        <f t="shared" si="9"/>
        <v>-1991</v>
      </c>
      <c r="AB75" s="62">
        <f t="shared" si="10"/>
        <v>-646</v>
      </c>
      <c r="AC75" s="62"/>
      <c r="AD75" s="62" t="s">
        <v>674</v>
      </c>
    </row>
    <row r="76" spans="1:30" hidden="1" x14ac:dyDescent="0.3">
      <c r="A76" s="2">
        <v>2</v>
      </c>
      <c r="B76" s="3" t="s">
        <v>43</v>
      </c>
      <c r="C76" s="4" t="s">
        <v>44</v>
      </c>
      <c r="D76" s="4" t="s">
        <v>467</v>
      </c>
      <c r="E76" s="4" t="str">
        <f>VLOOKUP(C76,'[2]CTRL AUTOS'!$E$2:$L$58,8,FALSE)</f>
        <v>ASHC</v>
      </c>
      <c r="F76" s="61" t="str">
        <f>VLOOKUP(C76,'[2]CTRL AUTOS'!$E$2:$K$58,7,FALSE)</f>
        <v>ASHC</v>
      </c>
      <c r="G76" s="4" t="s">
        <v>234</v>
      </c>
      <c r="H76" s="62">
        <v>83</v>
      </c>
      <c r="I76" s="62">
        <v>0</v>
      </c>
      <c r="J76" s="62">
        <v>0</v>
      </c>
      <c r="K76" s="62">
        <v>0</v>
      </c>
      <c r="L76" s="62">
        <v>0</v>
      </c>
      <c r="M76" s="62">
        <v>-65</v>
      </c>
      <c r="N76" s="62">
        <v>0</v>
      </c>
      <c r="O76" s="62">
        <f t="shared" si="11"/>
        <v>18</v>
      </c>
      <c r="P76" s="62">
        <v>-2500</v>
      </c>
      <c r="Q76" s="62">
        <f>-72*1.12</f>
        <v>-80.640000000000015</v>
      </c>
      <c r="R76" s="62">
        <v>-500</v>
      </c>
      <c r="S76" s="62">
        <v>0</v>
      </c>
      <c r="T76" s="62">
        <v>0</v>
      </c>
      <c r="U76" s="62">
        <v>0</v>
      </c>
      <c r="V76" s="62">
        <v>0</v>
      </c>
      <c r="W76" s="62">
        <f t="shared" si="6"/>
        <v>-3062.64</v>
      </c>
      <c r="X76" s="62">
        <f t="shared" si="7"/>
        <v>0</v>
      </c>
      <c r="Y76" s="62">
        <f t="shared" si="8"/>
        <v>-3062.64</v>
      </c>
      <c r="Z76" s="62">
        <f>1450+1150</f>
        <v>2600</v>
      </c>
      <c r="AA76" s="62">
        <f t="shared" si="9"/>
        <v>-462.63999999999987</v>
      </c>
      <c r="AB76" s="62">
        <f t="shared" si="10"/>
        <v>2155.36</v>
      </c>
      <c r="AC76" s="62"/>
      <c r="AD76" s="62" t="s">
        <v>675</v>
      </c>
    </row>
    <row r="77" spans="1:30" hidden="1" x14ac:dyDescent="0.3">
      <c r="A77" s="2">
        <v>2</v>
      </c>
      <c r="B77" s="3" t="s">
        <v>47</v>
      </c>
      <c r="C77" s="4" t="s">
        <v>147</v>
      </c>
      <c r="D77" s="4" t="s">
        <v>283</v>
      </c>
      <c r="E77" s="4" t="str">
        <f>VLOOKUP(C77,'[2]CTRL AUTOS'!$E$2:$L$58,8,FALSE)</f>
        <v>ASHC</v>
      </c>
      <c r="F77" s="61" t="str">
        <f>VLOOKUP(C77,'[2]CTRL AUTOS'!$E$2:$K$58,7,FALSE)</f>
        <v>ASHC</v>
      </c>
      <c r="G77" s="4" t="s">
        <v>234</v>
      </c>
      <c r="H77" s="62">
        <v>5369</v>
      </c>
      <c r="I77" s="62">
        <v>-1733</v>
      </c>
      <c r="J77" s="62">
        <v>0</v>
      </c>
      <c r="K77" s="62">
        <v>121</v>
      </c>
      <c r="L77" s="62">
        <v>-70</v>
      </c>
      <c r="M77" s="62">
        <v>-55</v>
      </c>
      <c r="N77" s="62">
        <v>0</v>
      </c>
      <c r="O77" s="62">
        <f t="shared" si="11"/>
        <v>3632</v>
      </c>
      <c r="P77" s="62">
        <v>-2121</v>
      </c>
      <c r="Q77" s="62">
        <f>-746*1.12</f>
        <v>-835.5200000000001</v>
      </c>
      <c r="R77" s="62">
        <v>0</v>
      </c>
      <c r="S77" s="62">
        <v>0</v>
      </c>
      <c r="T77" s="62">
        <v>0</v>
      </c>
      <c r="U77" s="62">
        <v>-200</v>
      </c>
      <c r="V77" s="62">
        <v>0</v>
      </c>
      <c r="W77" s="62">
        <f t="shared" si="6"/>
        <v>475.4799999999999</v>
      </c>
      <c r="X77" s="62">
        <f t="shared" si="7"/>
        <v>475.4799999999999</v>
      </c>
      <c r="Y77" s="62">
        <f t="shared" si="8"/>
        <v>0</v>
      </c>
      <c r="Z77" s="62">
        <v>0</v>
      </c>
      <c r="AA77" s="62">
        <f t="shared" si="9"/>
        <v>0</v>
      </c>
      <c r="AB77" s="62">
        <f t="shared" si="10"/>
        <v>3156.52</v>
      </c>
      <c r="AC77" s="62"/>
      <c r="AD77" s="62" t="s">
        <v>676</v>
      </c>
    </row>
    <row r="78" spans="1:30" hidden="1" x14ac:dyDescent="0.3">
      <c r="A78" s="2">
        <v>2</v>
      </c>
      <c r="B78" s="3" t="s">
        <v>49</v>
      </c>
      <c r="C78" s="4" t="s">
        <v>96</v>
      </c>
      <c r="D78" s="4" t="s">
        <v>480</v>
      </c>
      <c r="E78" s="4" t="str">
        <f>VLOOKUP(C78,'[2]CTRL AUTOS'!$E$2:$L$58,8,FALSE)</f>
        <v>ASHC</v>
      </c>
      <c r="F78" s="61" t="str">
        <f>VLOOKUP(C78,'[2]CTRL AUTOS'!$E$2:$K$58,7,FALSE)</f>
        <v>ASHC</v>
      </c>
      <c r="G78" s="4" t="s">
        <v>234</v>
      </c>
      <c r="H78" s="62">
        <v>5975</v>
      </c>
      <c r="I78" s="62">
        <v>-270</v>
      </c>
      <c r="J78" s="62">
        <v>-24</v>
      </c>
      <c r="K78" s="62">
        <v>0</v>
      </c>
      <c r="L78" s="62">
        <v>0</v>
      </c>
      <c r="M78" s="62">
        <v>-55</v>
      </c>
      <c r="N78" s="62">
        <v>0</v>
      </c>
      <c r="O78" s="62">
        <f t="shared" si="11"/>
        <v>5626</v>
      </c>
      <c r="P78" s="62">
        <v>-2500</v>
      </c>
      <c r="Q78" s="62">
        <v>0</v>
      </c>
      <c r="R78" s="62">
        <v>0</v>
      </c>
      <c r="S78" s="62">
        <v>0</v>
      </c>
      <c r="T78" s="62">
        <v>-700</v>
      </c>
      <c r="U78" s="62">
        <v>0</v>
      </c>
      <c r="V78" s="62">
        <v>0</v>
      </c>
      <c r="W78" s="62">
        <f t="shared" si="6"/>
        <v>2426</v>
      </c>
      <c r="X78" s="62">
        <f t="shared" si="7"/>
        <v>2426</v>
      </c>
      <c r="Y78" s="62">
        <f t="shared" si="8"/>
        <v>0</v>
      </c>
      <c r="Z78" s="62">
        <v>0</v>
      </c>
      <c r="AA78" s="62">
        <f t="shared" si="9"/>
        <v>0</v>
      </c>
      <c r="AB78" s="62">
        <f t="shared" si="10"/>
        <v>3200</v>
      </c>
      <c r="AC78" s="62"/>
      <c r="AD78" s="62" t="s">
        <v>677</v>
      </c>
    </row>
    <row r="79" spans="1:30" hidden="1" x14ac:dyDescent="0.3">
      <c r="A79" s="2">
        <v>2</v>
      </c>
      <c r="B79" s="3" t="s">
        <v>51</v>
      </c>
      <c r="C79" s="4" t="s">
        <v>52</v>
      </c>
      <c r="D79" s="4" t="s">
        <v>313</v>
      </c>
      <c r="E79" s="4" t="str">
        <f>VLOOKUP(C79,'[2]CTRL AUTOS'!$E$2:$L$58,8,FALSE)</f>
        <v>ASHC</v>
      </c>
      <c r="F79" s="61" t="str">
        <f>VLOOKUP(C79,'[2]CTRL AUTOS'!$E$2:$K$58,7,FALSE)</f>
        <v>ASHC</v>
      </c>
      <c r="G79" s="4" t="s">
        <v>234</v>
      </c>
      <c r="H79" s="62">
        <v>3225</v>
      </c>
      <c r="I79" s="62">
        <v>-215</v>
      </c>
      <c r="J79" s="62">
        <v>-8</v>
      </c>
      <c r="K79" s="62">
        <v>0</v>
      </c>
      <c r="L79" s="62">
        <v>-28</v>
      </c>
      <c r="M79" s="62">
        <v>-45</v>
      </c>
      <c r="N79" s="62">
        <v>0</v>
      </c>
      <c r="O79" s="62">
        <f t="shared" si="11"/>
        <v>2929</v>
      </c>
      <c r="P79" s="62">
        <v>-2500</v>
      </c>
      <c r="Q79" s="62">
        <v>0</v>
      </c>
      <c r="R79" s="62">
        <v>0</v>
      </c>
      <c r="S79" s="62">
        <v>0</v>
      </c>
      <c r="T79" s="62">
        <v>0</v>
      </c>
      <c r="U79" s="62">
        <v>0</v>
      </c>
      <c r="V79" s="62">
        <v>0</v>
      </c>
      <c r="W79" s="62">
        <f t="shared" si="6"/>
        <v>429</v>
      </c>
      <c r="X79" s="62">
        <f t="shared" si="7"/>
        <v>429</v>
      </c>
      <c r="Y79" s="62">
        <f t="shared" si="8"/>
        <v>0</v>
      </c>
      <c r="Z79" s="62">
        <v>0</v>
      </c>
      <c r="AA79" s="62">
        <f t="shared" si="9"/>
        <v>0</v>
      </c>
      <c r="AB79" s="62">
        <f t="shared" si="10"/>
        <v>2500</v>
      </c>
      <c r="AC79" s="62"/>
      <c r="AD79" s="62" t="s">
        <v>678</v>
      </c>
    </row>
    <row r="80" spans="1:30" hidden="1" x14ac:dyDescent="0.3">
      <c r="A80" s="2">
        <v>2</v>
      </c>
      <c r="B80" s="3" t="s">
        <v>53</v>
      </c>
      <c r="C80" s="4" t="s">
        <v>54</v>
      </c>
      <c r="D80" s="4" t="s">
        <v>318</v>
      </c>
      <c r="E80" s="4" t="str">
        <f>VLOOKUP(C80,'[2]CTRL AUTOS'!$E$2:$L$58,8,FALSE)</f>
        <v>ASHC</v>
      </c>
      <c r="F80" s="61" t="str">
        <f>VLOOKUP(C80,'[2]CTRL AUTOS'!$E$2:$K$58,7,FALSE)</f>
        <v>ASHC</v>
      </c>
      <c r="G80" s="4" t="s">
        <v>234</v>
      </c>
      <c r="H80" s="62">
        <v>3384</v>
      </c>
      <c r="I80" s="62">
        <v>-1555</v>
      </c>
      <c r="J80" s="62">
        <v>0</v>
      </c>
      <c r="K80" s="62">
        <v>0</v>
      </c>
      <c r="L80" s="62">
        <v>0</v>
      </c>
      <c r="M80" s="62">
        <v>-65</v>
      </c>
      <c r="N80" s="62">
        <v>0</v>
      </c>
      <c r="O80" s="62">
        <f t="shared" si="11"/>
        <v>1764</v>
      </c>
      <c r="P80" s="62">
        <v>-2500</v>
      </c>
      <c r="Q80" s="62">
        <v>0</v>
      </c>
      <c r="R80" s="62">
        <v>-500</v>
      </c>
      <c r="S80" s="62">
        <v>0</v>
      </c>
      <c r="T80" s="62">
        <v>0</v>
      </c>
      <c r="U80" s="62">
        <v>0</v>
      </c>
      <c r="V80" s="62">
        <v>0</v>
      </c>
      <c r="W80" s="62">
        <f t="shared" si="6"/>
        <v>-1236</v>
      </c>
      <c r="X80" s="62">
        <f t="shared" si="7"/>
        <v>0</v>
      </c>
      <c r="Y80" s="62">
        <f t="shared" si="8"/>
        <v>-1236</v>
      </c>
      <c r="Z80" s="62">
        <v>0</v>
      </c>
      <c r="AA80" s="62">
        <f t="shared" si="9"/>
        <v>-1236</v>
      </c>
      <c r="AB80" s="62">
        <f t="shared" si="10"/>
        <v>528</v>
      </c>
      <c r="AC80" s="62"/>
      <c r="AD80" s="62" t="s">
        <v>679</v>
      </c>
    </row>
    <row r="81" spans="1:30" hidden="1" x14ac:dyDescent="0.3">
      <c r="A81" s="2">
        <v>2</v>
      </c>
      <c r="B81" s="3" t="s">
        <v>64</v>
      </c>
      <c r="C81" s="4" t="s">
        <v>140</v>
      </c>
      <c r="D81" s="4" t="s">
        <v>680</v>
      </c>
      <c r="E81" s="4" t="str">
        <f>VLOOKUP(C81,'[2]CTRL AUTOS'!$E$2:$L$58,8,FALSE)</f>
        <v>ASHC</v>
      </c>
      <c r="F81" s="61" t="str">
        <f>VLOOKUP(C81,'[2]CTRL AUTOS'!$E$2:$K$58,7,FALSE)</f>
        <v>ASHC</v>
      </c>
      <c r="G81" s="4" t="s">
        <v>234</v>
      </c>
      <c r="H81" s="62">
        <v>4400</v>
      </c>
      <c r="I81" s="62">
        <v>-1177</v>
      </c>
      <c r="J81" s="62">
        <v>-48</v>
      </c>
      <c r="K81" s="62">
        <v>-120</v>
      </c>
      <c r="L81" s="62">
        <v>0</v>
      </c>
      <c r="M81" s="62">
        <v>-175</v>
      </c>
      <c r="N81" s="62">
        <v>-442</v>
      </c>
      <c r="O81" s="62">
        <f t="shared" si="11"/>
        <v>2438</v>
      </c>
      <c r="P81" s="62">
        <v>-2700</v>
      </c>
      <c r="Q81" s="62">
        <v>0</v>
      </c>
      <c r="R81" s="62">
        <v>-500</v>
      </c>
      <c r="S81" s="62">
        <v>0</v>
      </c>
      <c r="T81" s="62">
        <v>0</v>
      </c>
      <c r="U81" s="62">
        <v>0</v>
      </c>
      <c r="V81" s="62">
        <v>0</v>
      </c>
      <c r="W81" s="62">
        <f t="shared" si="6"/>
        <v>-762</v>
      </c>
      <c r="X81" s="62">
        <f t="shared" si="7"/>
        <v>0</v>
      </c>
      <c r="Y81" s="62">
        <f t="shared" si="8"/>
        <v>-762</v>
      </c>
      <c r="Z81" s="62">
        <v>762</v>
      </c>
      <c r="AA81" s="62">
        <f t="shared" si="9"/>
        <v>0</v>
      </c>
      <c r="AB81" s="62">
        <f t="shared" si="10"/>
        <v>3200</v>
      </c>
      <c r="AC81" s="62"/>
      <c r="AD81" s="62" t="s">
        <v>681</v>
      </c>
    </row>
    <row r="82" spans="1:30" hidden="1" x14ac:dyDescent="0.3">
      <c r="A82" s="2">
        <v>2</v>
      </c>
      <c r="B82" s="3" t="s">
        <v>66</v>
      </c>
      <c r="C82" s="4" t="s">
        <v>67</v>
      </c>
      <c r="D82" s="4" t="s">
        <v>511</v>
      </c>
      <c r="E82" s="4" t="str">
        <f>VLOOKUP(C82,'[2]CTRL AUTOS'!$E$2:$L$58,8,FALSE)</f>
        <v>ASHC</v>
      </c>
      <c r="F82" s="61" t="str">
        <f>VLOOKUP(C82,'[2]CTRL AUTOS'!$E$2:$K$58,7,FALSE)</f>
        <v>ASHC</v>
      </c>
      <c r="G82" s="4" t="s">
        <v>234</v>
      </c>
      <c r="H82" s="62">
        <v>6079</v>
      </c>
      <c r="I82" s="62">
        <v>-3904</v>
      </c>
      <c r="J82" s="62">
        <v>-32</v>
      </c>
      <c r="K82" s="62">
        <v>0</v>
      </c>
      <c r="L82" s="62">
        <v>-63</v>
      </c>
      <c r="M82" s="62">
        <v>-55</v>
      </c>
      <c r="N82" s="62">
        <v>0</v>
      </c>
      <c r="O82" s="62">
        <f t="shared" si="11"/>
        <v>2025</v>
      </c>
      <c r="P82" s="62">
        <v>-2321</v>
      </c>
      <c r="Q82" s="62">
        <v>0</v>
      </c>
      <c r="R82" s="62">
        <v>-500</v>
      </c>
      <c r="S82" s="62">
        <v>0</v>
      </c>
      <c r="T82" s="62">
        <v>0</v>
      </c>
      <c r="U82" s="62">
        <v>0</v>
      </c>
      <c r="V82" s="62">
        <v>0</v>
      </c>
      <c r="W82" s="62">
        <f t="shared" si="6"/>
        <v>-796</v>
      </c>
      <c r="X82" s="62">
        <f t="shared" si="7"/>
        <v>0</v>
      </c>
      <c r="Y82" s="62">
        <f t="shared" si="8"/>
        <v>-796</v>
      </c>
      <c r="Z82" s="62">
        <v>796</v>
      </c>
      <c r="AA82" s="62">
        <f t="shared" si="9"/>
        <v>0</v>
      </c>
      <c r="AB82" s="62">
        <f t="shared" si="10"/>
        <v>2821</v>
      </c>
      <c r="AC82" s="62"/>
      <c r="AD82" s="62" t="s">
        <v>682</v>
      </c>
    </row>
    <row r="83" spans="1:30" hidden="1" x14ac:dyDescent="0.3">
      <c r="A83" s="2">
        <v>2</v>
      </c>
      <c r="B83" s="3" t="s">
        <v>74</v>
      </c>
      <c r="C83" s="4" t="s">
        <v>77</v>
      </c>
      <c r="D83" s="4" t="s">
        <v>474</v>
      </c>
      <c r="E83" s="4" t="str">
        <f>VLOOKUP(C83,'[2]CTRL AUTOS'!$E$2:$L$58,8,FALSE)</f>
        <v>ASHC</v>
      </c>
      <c r="F83" s="61" t="str">
        <f>VLOOKUP(C83,'[2]CTRL AUTOS'!$E$2:$K$58,7,FALSE)</f>
        <v>ASHC</v>
      </c>
      <c r="G83" s="4" t="s">
        <v>234</v>
      </c>
      <c r="H83" s="62">
        <v>1733</v>
      </c>
      <c r="I83" s="62">
        <v>-1446</v>
      </c>
      <c r="J83" s="62">
        <v>42</v>
      </c>
      <c r="K83" s="62">
        <v>0</v>
      </c>
      <c r="L83" s="62">
        <v>0</v>
      </c>
      <c r="M83" s="62">
        <v>-45</v>
      </c>
      <c r="N83" s="62">
        <v>0</v>
      </c>
      <c r="O83" s="62">
        <f t="shared" si="11"/>
        <v>284</v>
      </c>
      <c r="P83" s="62">
        <f>(-2500/7)*4</f>
        <v>-1428.5714285714287</v>
      </c>
      <c r="Q83" s="62">
        <v>0</v>
      </c>
      <c r="R83" s="62">
        <v>0</v>
      </c>
      <c r="S83" s="62">
        <v>0</v>
      </c>
      <c r="T83" s="62">
        <v>-500</v>
      </c>
      <c r="U83" s="62">
        <v>0</v>
      </c>
      <c r="V83" s="62">
        <v>0</v>
      </c>
      <c r="W83" s="62">
        <f t="shared" si="6"/>
        <v>-1644.5714285714287</v>
      </c>
      <c r="X83" s="62">
        <f t="shared" si="7"/>
        <v>0</v>
      </c>
      <c r="Y83" s="62">
        <f t="shared" si="8"/>
        <v>-1644.5714285714287</v>
      </c>
      <c r="Z83" s="62">
        <v>0</v>
      </c>
      <c r="AA83" s="62">
        <f t="shared" si="9"/>
        <v>-1644.5714285714287</v>
      </c>
      <c r="AB83" s="62">
        <f t="shared" si="10"/>
        <v>-1360.5714285714287</v>
      </c>
      <c r="AC83" s="62"/>
      <c r="AD83" s="62" t="s">
        <v>683</v>
      </c>
    </row>
    <row r="84" spans="1:30" hidden="1" x14ac:dyDescent="0.3">
      <c r="A84" s="2">
        <v>2</v>
      </c>
      <c r="B84" s="3" t="s">
        <v>85</v>
      </c>
      <c r="C84" s="4" t="s">
        <v>86</v>
      </c>
      <c r="D84" s="4" t="s">
        <v>519</v>
      </c>
      <c r="E84" s="4" t="str">
        <f>VLOOKUP(C84,'[2]CTRL AUTOS'!$E$2:$L$58,8,FALSE)</f>
        <v>ASHC</v>
      </c>
      <c r="F84" s="61" t="str">
        <f>VLOOKUP(C84,'[2]CTRL AUTOS'!$E$2:$K$58,7,FALSE)</f>
        <v>ASHC</v>
      </c>
      <c r="G84" s="4" t="s">
        <v>234</v>
      </c>
      <c r="H84" s="62">
        <v>4271</v>
      </c>
      <c r="I84" s="62">
        <v>-2461</v>
      </c>
      <c r="J84" s="62">
        <v>0</v>
      </c>
      <c r="K84" s="62">
        <v>0</v>
      </c>
      <c r="L84" s="62">
        <v>0</v>
      </c>
      <c r="M84" s="62">
        <v>-55</v>
      </c>
      <c r="N84" s="62">
        <v>0</v>
      </c>
      <c r="O84" s="62">
        <f t="shared" si="11"/>
        <v>1755</v>
      </c>
      <c r="P84" s="62">
        <v>-2500</v>
      </c>
      <c r="Q84" s="62">
        <v>0</v>
      </c>
      <c r="R84" s="62">
        <v>-500</v>
      </c>
      <c r="S84" s="62">
        <v>0</v>
      </c>
      <c r="T84" s="62">
        <v>0</v>
      </c>
      <c r="U84" s="62">
        <v>0</v>
      </c>
      <c r="V84" s="62">
        <v>0</v>
      </c>
      <c r="W84" s="62">
        <f t="shared" si="6"/>
        <v>-1245</v>
      </c>
      <c r="X84" s="62">
        <f t="shared" si="7"/>
        <v>0</v>
      </c>
      <c r="Y84" s="62">
        <f t="shared" si="8"/>
        <v>-1245</v>
      </c>
      <c r="Z84" s="62">
        <v>1150</v>
      </c>
      <c r="AA84" s="62">
        <f t="shared" si="9"/>
        <v>-95</v>
      </c>
      <c r="AB84" s="62">
        <f t="shared" si="10"/>
        <v>2810</v>
      </c>
      <c r="AC84" s="62"/>
      <c r="AD84" s="62" t="s">
        <v>684</v>
      </c>
    </row>
    <row r="85" spans="1:30" hidden="1" x14ac:dyDescent="0.3">
      <c r="A85" s="2">
        <v>2</v>
      </c>
      <c r="B85" s="3" t="s">
        <v>87</v>
      </c>
      <c r="C85" s="4" t="s">
        <v>97</v>
      </c>
      <c r="D85" s="4" t="s">
        <v>318</v>
      </c>
      <c r="E85" s="4" t="str">
        <f>VLOOKUP(C85,'[2]CTRL AUTOS'!$E$2:$L$58,8,FALSE)</f>
        <v>ASHC</v>
      </c>
      <c r="F85" s="61" t="str">
        <f>VLOOKUP(C85,'[2]CTRL AUTOS'!$E$2:$K$58,7,FALSE)</f>
        <v>ASHC</v>
      </c>
      <c r="G85" s="4" t="s">
        <v>234</v>
      </c>
      <c r="H85" s="62">
        <v>2584</v>
      </c>
      <c r="I85" s="62">
        <v>-379</v>
      </c>
      <c r="J85" s="62">
        <v>0</v>
      </c>
      <c r="K85" s="62">
        <v>0</v>
      </c>
      <c r="L85" s="62">
        <v>0</v>
      </c>
      <c r="M85" s="62">
        <v>-45</v>
      </c>
      <c r="N85" s="62">
        <v>0</v>
      </c>
      <c r="O85" s="62">
        <f t="shared" si="11"/>
        <v>2160</v>
      </c>
      <c r="P85" s="62">
        <v>-2500</v>
      </c>
      <c r="Q85" s="62">
        <v>0</v>
      </c>
      <c r="R85" s="62">
        <v>-500</v>
      </c>
      <c r="S85" s="62">
        <v>0</v>
      </c>
      <c r="T85" s="62">
        <v>0</v>
      </c>
      <c r="U85" s="62">
        <v>0</v>
      </c>
      <c r="V85" s="62">
        <v>0</v>
      </c>
      <c r="W85" s="62">
        <f t="shared" si="6"/>
        <v>-840</v>
      </c>
      <c r="X85" s="62">
        <f t="shared" si="7"/>
        <v>0</v>
      </c>
      <c r="Y85" s="62">
        <f t="shared" si="8"/>
        <v>-840</v>
      </c>
      <c r="Z85" s="62">
        <v>840</v>
      </c>
      <c r="AA85" s="62">
        <f t="shared" si="9"/>
        <v>0</v>
      </c>
      <c r="AB85" s="62">
        <f t="shared" si="10"/>
        <v>3000</v>
      </c>
      <c r="AC85" s="62"/>
      <c r="AD85" s="62" t="s">
        <v>685</v>
      </c>
    </row>
    <row r="86" spans="1:30" hidden="1" x14ac:dyDescent="0.3">
      <c r="A86" s="2">
        <v>2</v>
      </c>
      <c r="B86" s="3" t="s">
        <v>80</v>
      </c>
      <c r="C86" s="4" t="s">
        <v>81</v>
      </c>
      <c r="D86" s="4" t="s">
        <v>317</v>
      </c>
      <c r="E86" s="4" t="str">
        <f>VLOOKUP(C86,'[2]CTRL AUTOS'!$E$2:$L$58,8,FALSE)</f>
        <v>ASHC</v>
      </c>
      <c r="F86" s="61" t="str">
        <f>VLOOKUP(C86,'[2]CTRL AUTOS'!$E$2:$K$58,7,FALSE)</f>
        <v>ASHC</v>
      </c>
      <c r="G86" s="4" t="s">
        <v>234</v>
      </c>
      <c r="H86" s="62">
        <v>0</v>
      </c>
      <c r="I86" s="62">
        <v>0</v>
      </c>
      <c r="J86" s="62">
        <v>0</v>
      </c>
      <c r="K86" s="62">
        <v>0</v>
      </c>
      <c r="L86" s="62">
        <v>0</v>
      </c>
      <c r="M86" s="62">
        <v>0</v>
      </c>
      <c r="N86" s="62">
        <v>0</v>
      </c>
      <c r="O86" s="62">
        <f t="shared" si="11"/>
        <v>0</v>
      </c>
      <c r="P86" s="62">
        <v>-2500</v>
      </c>
      <c r="Q86" s="62">
        <v>0</v>
      </c>
      <c r="R86" s="62">
        <v>0</v>
      </c>
      <c r="S86" s="62">
        <v>0</v>
      </c>
      <c r="T86" s="62">
        <v>0</v>
      </c>
      <c r="U86" s="62">
        <v>0</v>
      </c>
      <c r="V86" s="62">
        <v>0</v>
      </c>
      <c r="W86" s="62">
        <f t="shared" si="6"/>
        <v>-2500</v>
      </c>
      <c r="X86" s="62">
        <f t="shared" si="7"/>
        <v>0</v>
      </c>
      <c r="Y86" s="62">
        <f t="shared" si="8"/>
        <v>-2500</v>
      </c>
      <c r="Z86" s="62">
        <v>2500</v>
      </c>
      <c r="AA86" s="62">
        <f t="shared" si="9"/>
        <v>0</v>
      </c>
      <c r="AB86" s="62">
        <f t="shared" si="10"/>
        <v>2500</v>
      </c>
      <c r="AC86" s="62"/>
      <c r="AD86" s="62" t="s">
        <v>686</v>
      </c>
    </row>
    <row r="87" spans="1:30" hidden="1" x14ac:dyDescent="0.3">
      <c r="A87" s="2">
        <v>2</v>
      </c>
      <c r="B87" s="3" t="s">
        <v>82</v>
      </c>
      <c r="C87" s="4" t="s">
        <v>83</v>
      </c>
      <c r="D87" s="4" t="s">
        <v>592</v>
      </c>
      <c r="E87" s="4" t="str">
        <f>VLOOKUP(C87,'[2]CTRL AUTOS'!$E$2:$L$58,8,FALSE)</f>
        <v>ASHC</v>
      </c>
      <c r="F87" s="61" t="str">
        <f>VLOOKUP(C87,'[2]CTRL AUTOS'!$E$2:$K$58,7,FALSE)</f>
        <v>ASHC</v>
      </c>
      <c r="G87" s="4" t="s">
        <v>234</v>
      </c>
      <c r="H87" s="62">
        <v>0</v>
      </c>
      <c r="I87" s="62">
        <v>0</v>
      </c>
      <c r="J87" s="62">
        <v>0</v>
      </c>
      <c r="K87" s="62">
        <v>0</v>
      </c>
      <c r="L87" s="62">
        <v>0</v>
      </c>
      <c r="M87" s="62">
        <v>0</v>
      </c>
      <c r="N87" s="62">
        <v>0</v>
      </c>
      <c r="O87" s="62">
        <f t="shared" si="11"/>
        <v>0</v>
      </c>
      <c r="P87" s="62">
        <v>-2000</v>
      </c>
      <c r="Q87" s="62">
        <v>0</v>
      </c>
      <c r="R87" s="62">
        <v>0</v>
      </c>
      <c r="S87" s="62">
        <v>0</v>
      </c>
      <c r="T87" s="62">
        <v>0</v>
      </c>
      <c r="U87" s="62">
        <v>0</v>
      </c>
      <c r="V87" s="62">
        <v>0</v>
      </c>
      <c r="W87" s="62">
        <f t="shared" si="6"/>
        <v>-2000</v>
      </c>
      <c r="X87" s="62">
        <f t="shared" si="7"/>
        <v>0</v>
      </c>
      <c r="Y87" s="62">
        <f t="shared" si="8"/>
        <v>-2000</v>
      </c>
      <c r="Z87" s="62">
        <v>2000</v>
      </c>
      <c r="AA87" s="62">
        <f t="shared" si="9"/>
        <v>0</v>
      </c>
      <c r="AB87" s="62">
        <f t="shared" si="10"/>
        <v>2000</v>
      </c>
      <c r="AC87" s="62"/>
      <c r="AD87" s="62" t="s">
        <v>687</v>
      </c>
    </row>
    <row r="88" spans="1:30" hidden="1" x14ac:dyDescent="0.3">
      <c r="A88" s="2">
        <v>2</v>
      </c>
      <c r="B88" s="3" t="s">
        <v>61</v>
      </c>
      <c r="C88" s="4" t="s">
        <v>34</v>
      </c>
      <c r="D88" s="4" t="s">
        <v>285</v>
      </c>
      <c r="E88" s="4" t="str">
        <f>VLOOKUP(C88,'[2]CTRL AUTOS'!$E$2:$L$58,8,FALSE)</f>
        <v>ASHC</v>
      </c>
      <c r="F88" s="61" t="str">
        <f>VLOOKUP(C88,'[2]CTRL AUTOS'!$E$2:$K$58,7,FALSE)</f>
        <v>ASHC</v>
      </c>
      <c r="G88" s="4" t="s">
        <v>234</v>
      </c>
      <c r="H88" s="62">
        <v>0</v>
      </c>
      <c r="I88" s="62">
        <v>0</v>
      </c>
      <c r="J88" s="62">
        <v>0</v>
      </c>
      <c r="K88" s="62">
        <v>0</v>
      </c>
      <c r="L88" s="62">
        <v>0</v>
      </c>
      <c r="M88" s="62">
        <v>0</v>
      </c>
      <c r="N88" s="62">
        <v>0</v>
      </c>
      <c r="O88" s="62">
        <f t="shared" si="11"/>
        <v>0</v>
      </c>
      <c r="P88" s="62">
        <v>0</v>
      </c>
      <c r="Q88" s="62">
        <v>0</v>
      </c>
      <c r="R88" s="62">
        <v>0</v>
      </c>
      <c r="S88" s="62">
        <v>0</v>
      </c>
      <c r="T88" s="62">
        <v>-700</v>
      </c>
      <c r="U88" s="62">
        <v>0</v>
      </c>
      <c r="V88" s="62">
        <v>0</v>
      </c>
      <c r="W88" s="62">
        <f t="shared" si="6"/>
        <v>-700</v>
      </c>
      <c r="X88" s="62">
        <f t="shared" si="7"/>
        <v>0</v>
      </c>
      <c r="Y88" s="62">
        <f t="shared" si="8"/>
        <v>-700</v>
      </c>
      <c r="Z88" s="62">
        <v>700</v>
      </c>
      <c r="AA88" s="62">
        <f t="shared" si="9"/>
        <v>0</v>
      </c>
      <c r="AB88" s="62">
        <f t="shared" si="10"/>
        <v>700</v>
      </c>
      <c r="AC88" s="62"/>
      <c r="AD88" s="62" t="s">
        <v>688</v>
      </c>
    </row>
    <row r="89" spans="1:30" hidden="1" x14ac:dyDescent="0.3">
      <c r="A89" s="2">
        <v>2</v>
      </c>
      <c r="B89" s="3" t="s">
        <v>57</v>
      </c>
      <c r="C89" s="4" t="s">
        <v>16</v>
      </c>
      <c r="D89" s="4" t="s">
        <v>314</v>
      </c>
      <c r="E89" s="4" t="str">
        <f>VLOOKUP(C89,'[2]CTRL AUTOS'!$E$2:$L$58,8,FALSE)</f>
        <v>ASHC</v>
      </c>
      <c r="F89" s="61" t="str">
        <f>VLOOKUP(C89,'[2]CTRL AUTOS'!$E$2:$K$58,7,FALSE)</f>
        <v>ASHC</v>
      </c>
      <c r="G89" s="4" t="s">
        <v>234</v>
      </c>
      <c r="H89" s="62">
        <v>0</v>
      </c>
      <c r="I89" s="62">
        <v>0</v>
      </c>
      <c r="J89" s="62">
        <v>0</v>
      </c>
      <c r="K89" s="62">
        <v>0</v>
      </c>
      <c r="L89" s="62">
        <v>0</v>
      </c>
      <c r="M89" s="62">
        <v>0</v>
      </c>
      <c r="N89" s="62">
        <v>0</v>
      </c>
      <c r="O89" s="62">
        <f t="shared" si="11"/>
        <v>0</v>
      </c>
      <c r="P89" s="62">
        <v>0</v>
      </c>
      <c r="Q89" s="62">
        <v>0</v>
      </c>
      <c r="R89" s="62">
        <v>500</v>
      </c>
      <c r="S89" s="62">
        <v>0</v>
      </c>
      <c r="T89" s="62">
        <v>0</v>
      </c>
      <c r="U89" s="62">
        <v>0</v>
      </c>
      <c r="V89" s="62">
        <v>0</v>
      </c>
      <c r="W89" s="62">
        <f t="shared" si="6"/>
        <v>500</v>
      </c>
      <c r="X89" s="62">
        <f t="shared" si="7"/>
        <v>500</v>
      </c>
      <c r="Y89" s="62">
        <f t="shared" si="8"/>
        <v>0</v>
      </c>
      <c r="Z89" s="62">
        <v>0</v>
      </c>
      <c r="AA89" s="62">
        <f t="shared" si="9"/>
        <v>0</v>
      </c>
      <c r="AB89" s="62">
        <f t="shared" si="10"/>
        <v>-500</v>
      </c>
      <c r="AC89" s="62"/>
      <c r="AD89" s="62" t="s">
        <v>689</v>
      </c>
    </row>
    <row r="90" spans="1:30" hidden="1" x14ac:dyDescent="0.3">
      <c r="A90" s="2">
        <v>2</v>
      </c>
      <c r="B90" s="3" t="s">
        <v>60</v>
      </c>
      <c r="C90" s="4" t="s">
        <v>28</v>
      </c>
      <c r="D90" s="4" t="s">
        <v>274</v>
      </c>
      <c r="E90" s="4" t="str">
        <f>VLOOKUP(C90,'[2]CTRL AUTOS'!$E$2:$L$58,8,FALSE)</f>
        <v>ASHC</v>
      </c>
      <c r="F90" s="61" t="str">
        <f>VLOOKUP(C90,'[2]CTRL AUTOS'!$E$2:$K$58,7,FALSE)</f>
        <v>ASHC</v>
      </c>
      <c r="G90" s="4" t="s">
        <v>234</v>
      </c>
      <c r="H90" s="62">
        <v>0</v>
      </c>
      <c r="I90" s="62">
        <v>0</v>
      </c>
      <c r="J90" s="62">
        <v>0</v>
      </c>
      <c r="K90" s="62">
        <v>0</v>
      </c>
      <c r="L90" s="62">
        <v>0</v>
      </c>
      <c r="M90" s="62">
        <v>0</v>
      </c>
      <c r="N90" s="62">
        <v>0</v>
      </c>
      <c r="O90" s="62">
        <f t="shared" si="11"/>
        <v>0</v>
      </c>
      <c r="P90" s="62">
        <v>0</v>
      </c>
      <c r="Q90" s="62">
        <v>0</v>
      </c>
      <c r="R90" s="62">
        <v>500</v>
      </c>
      <c r="S90" s="62">
        <v>0</v>
      </c>
      <c r="T90" s="62">
        <v>0</v>
      </c>
      <c r="U90" s="62">
        <v>0</v>
      </c>
      <c r="V90" s="62">
        <v>0</v>
      </c>
      <c r="W90" s="62">
        <f t="shared" si="6"/>
        <v>500</v>
      </c>
      <c r="X90" s="62">
        <f t="shared" si="7"/>
        <v>500</v>
      </c>
      <c r="Y90" s="62">
        <f t="shared" si="8"/>
        <v>0</v>
      </c>
      <c r="Z90" s="62">
        <v>0</v>
      </c>
      <c r="AA90" s="62">
        <f t="shared" si="9"/>
        <v>0</v>
      </c>
      <c r="AB90" s="62">
        <f t="shared" si="10"/>
        <v>-500</v>
      </c>
      <c r="AC90" s="62"/>
      <c r="AD90" s="62" t="s">
        <v>690</v>
      </c>
    </row>
    <row r="91" spans="1:30" hidden="1" x14ac:dyDescent="0.3">
      <c r="A91" s="2">
        <v>2</v>
      </c>
      <c r="B91" s="3" t="s">
        <v>74</v>
      </c>
      <c r="C91" s="4" t="s">
        <v>75</v>
      </c>
      <c r="D91" s="4" t="s">
        <v>333</v>
      </c>
      <c r="E91" s="4" t="str">
        <f>VLOOKUP(C91,'[2]CTRL AUTOS'!$E$2:$L$58,8,FALSE)</f>
        <v>U64</v>
      </c>
      <c r="F91" s="61" t="str">
        <f>VLOOKUP(C91,'[2]CTRL AUTOS'!$E$2:$K$58,7,FALSE)</f>
        <v>BYER</v>
      </c>
      <c r="G91" s="4" t="s">
        <v>234</v>
      </c>
      <c r="H91" s="62">
        <v>1239.72</v>
      </c>
      <c r="I91" s="62">
        <v>-477.02</v>
      </c>
      <c r="J91" s="62">
        <v>0</v>
      </c>
      <c r="K91" s="62">
        <v>0</v>
      </c>
      <c r="L91" s="62">
        <v>0</v>
      </c>
      <c r="M91" s="62">
        <v>-13</v>
      </c>
      <c r="N91" s="62">
        <v>0</v>
      </c>
      <c r="O91" s="62">
        <f t="shared" si="11"/>
        <v>749.7</v>
      </c>
      <c r="P91" s="62">
        <f>(-2500/7)*3</f>
        <v>-1071.4285714285716</v>
      </c>
      <c r="Q91" s="62">
        <v>0</v>
      </c>
      <c r="R91" s="62">
        <v>0</v>
      </c>
      <c r="S91" s="62">
        <v>0</v>
      </c>
      <c r="T91" s="62">
        <v>0</v>
      </c>
      <c r="U91" s="62">
        <v>0</v>
      </c>
      <c r="V91" s="62">
        <v>0</v>
      </c>
      <c r="W91" s="62">
        <f t="shared" si="6"/>
        <v>-321.72857142857151</v>
      </c>
      <c r="X91" s="62">
        <f t="shared" si="7"/>
        <v>0</v>
      </c>
      <c r="Y91" s="62">
        <f t="shared" si="8"/>
        <v>-321.72857142857151</v>
      </c>
      <c r="Z91" s="62">
        <v>0</v>
      </c>
      <c r="AA91" s="62">
        <f t="shared" si="9"/>
        <v>-321.72857142857151</v>
      </c>
      <c r="AB91" s="62">
        <f t="shared" si="10"/>
        <v>427.97142857142853</v>
      </c>
      <c r="AC91" s="62"/>
      <c r="AD91" s="62" t="s">
        <v>691</v>
      </c>
    </row>
    <row r="92" spans="1:30" hidden="1" x14ac:dyDescent="0.3">
      <c r="A92" s="2">
        <v>2</v>
      </c>
      <c r="B92" s="3" t="s">
        <v>111</v>
      </c>
      <c r="C92" s="4" t="s">
        <v>63</v>
      </c>
      <c r="D92" s="4" t="s">
        <v>374</v>
      </c>
      <c r="E92" s="4" t="str">
        <f>VLOOKUP(C92,'[2]CTRL AUTOS'!$E$2:$L$58,8,FALSE)</f>
        <v>BYER</v>
      </c>
      <c r="F92" s="61" t="str">
        <f>VLOOKUP(C92,'[2]CTRL AUTOS'!$E$2:$K$58,7,FALSE)</f>
        <v>BYER</v>
      </c>
      <c r="G92" s="4" t="s">
        <v>234</v>
      </c>
      <c r="H92" s="62">
        <v>4267.6499999999996</v>
      </c>
      <c r="I92" s="62">
        <v>-1721.5</v>
      </c>
      <c r="J92" s="62">
        <v>0</v>
      </c>
      <c r="K92" s="62">
        <v>0</v>
      </c>
      <c r="L92" s="62">
        <v>0</v>
      </c>
      <c r="M92" s="62">
        <v>-65</v>
      </c>
      <c r="N92" s="62">
        <v>0</v>
      </c>
      <c r="O92" s="62">
        <f t="shared" si="11"/>
        <v>2481.1499999999996</v>
      </c>
      <c r="P92" s="62">
        <v>-2500</v>
      </c>
      <c r="Q92" s="62">
        <v>0</v>
      </c>
      <c r="R92" s="62">
        <v>0</v>
      </c>
      <c r="S92" s="62">
        <v>0</v>
      </c>
      <c r="T92" s="62">
        <v>-700</v>
      </c>
      <c r="U92" s="62">
        <v>0</v>
      </c>
      <c r="V92" s="62">
        <v>0</v>
      </c>
      <c r="W92" s="62">
        <f t="shared" si="6"/>
        <v>-718.85000000000036</v>
      </c>
      <c r="X92" s="62">
        <f t="shared" si="7"/>
        <v>0</v>
      </c>
      <c r="Y92" s="62">
        <f t="shared" si="8"/>
        <v>-718.85000000000036</v>
      </c>
      <c r="Z92" s="62">
        <v>0</v>
      </c>
      <c r="AA92" s="62">
        <f t="shared" si="9"/>
        <v>-718.85000000000036</v>
      </c>
      <c r="AB92" s="62">
        <f t="shared" si="10"/>
        <v>1762.2999999999993</v>
      </c>
      <c r="AC92" s="62"/>
      <c r="AD92" s="62" t="s">
        <v>692</v>
      </c>
    </row>
    <row r="93" spans="1:30" hidden="1" x14ac:dyDescent="0.3">
      <c r="A93" s="2">
        <v>2</v>
      </c>
      <c r="B93" s="3" t="s">
        <v>68</v>
      </c>
      <c r="C93" s="4" t="s">
        <v>69</v>
      </c>
      <c r="D93" s="4" t="s">
        <v>370</v>
      </c>
      <c r="E93" s="4" t="str">
        <f>VLOOKUP(C93,'[2]CTRL AUTOS'!$E$2:$L$58,8,FALSE)</f>
        <v>U64</v>
      </c>
      <c r="F93" s="61" t="str">
        <f>VLOOKUP(C93,'[2]CTRL AUTOS'!$E$2:$K$58,7,FALSE)</f>
        <v>BYER</v>
      </c>
      <c r="G93" s="4" t="s">
        <v>234</v>
      </c>
      <c r="H93" s="62">
        <v>3021.98</v>
      </c>
      <c r="I93" s="62">
        <v>-1761.6800000000003</v>
      </c>
      <c r="J93" s="62">
        <v>0</v>
      </c>
      <c r="K93" s="62">
        <v>0</v>
      </c>
      <c r="L93" s="62">
        <v>0</v>
      </c>
      <c r="M93" s="62">
        <v>-65</v>
      </c>
      <c r="N93" s="62">
        <v>0</v>
      </c>
      <c r="O93" s="62">
        <f t="shared" si="11"/>
        <v>1195.2999999999997</v>
      </c>
      <c r="P93" s="62">
        <v>-2500</v>
      </c>
      <c r="Q93" s="62">
        <f>-184*1.12</f>
        <v>-206.08</v>
      </c>
      <c r="R93" s="62">
        <v>-500</v>
      </c>
      <c r="S93" s="62">
        <v>0</v>
      </c>
      <c r="T93" s="62">
        <v>0</v>
      </c>
      <c r="U93" s="62">
        <v>0</v>
      </c>
      <c r="V93" s="62">
        <v>0</v>
      </c>
      <c r="W93" s="62">
        <f t="shared" si="6"/>
        <v>-2010.7800000000002</v>
      </c>
      <c r="X93" s="62">
        <f t="shared" si="7"/>
        <v>0</v>
      </c>
      <c r="Y93" s="62">
        <f t="shared" si="8"/>
        <v>-2010.7800000000002</v>
      </c>
      <c r="Z93" s="62">
        <v>0</v>
      </c>
      <c r="AA93" s="62">
        <f t="shared" si="9"/>
        <v>-2010.7800000000002</v>
      </c>
      <c r="AB93" s="62">
        <f t="shared" si="10"/>
        <v>-815.48000000000047</v>
      </c>
      <c r="AC93" s="62"/>
      <c r="AD93" s="62" t="s">
        <v>639</v>
      </c>
    </row>
    <row r="94" spans="1:30" hidden="1" x14ac:dyDescent="0.3">
      <c r="A94" s="2">
        <v>2</v>
      </c>
      <c r="B94" s="3" t="s">
        <v>70</v>
      </c>
      <c r="C94" s="4" t="s">
        <v>71</v>
      </c>
      <c r="D94" s="4" t="s">
        <v>588</v>
      </c>
      <c r="E94" s="4" t="str">
        <f>VLOOKUP(C94,'[2]CTRL AUTOS'!$E$2:$L$58,8,FALSE)</f>
        <v>ASHC</v>
      </c>
      <c r="F94" s="67" t="s">
        <v>291</v>
      </c>
      <c r="G94" s="4" t="s">
        <v>234</v>
      </c>
      <c r="H94" s="62">
        <v>5181.2700000000004</v>
      </c>
      <c r="I94" s="62">
        <v>0</v>
      </c>
      <c r="J94" s="62">
        <v>0</v>
      </c>
      <c r="K94" s="62">
        <v>9.7899999999999991</v>
      </c>
      <c r="L94" s="62">
        <v>0</v>
      </c>
      <c r="M94" s="62">
        <v>0</v>
      </c>
      <c r="N94" s="62">
        <v>0</v>
      </c>
      <c r="O94" s="62">
        <f t="shared" si="11"/>
        <v>5191.0600000000004</v>
      </c>
      <c r="P94" s="62">
        <v>-5191</v>
      </c>
      <c r="Q94" s="62">
        <v>0</v>
      </c>
      <c r="R94" s="62">
        <v>0</v>
      </c>
      <c r="S94" s="62">
        <v>0</v>
      </c>
      <c r="T94" s="62">
        <v>0</v>
      </c>
      <c r="U94" s="62">
        <v>0</v>
      </c>
      <c r="V94" s="62">
        <v>0</v>
      </c>
      <c r="W94" s="62">
        <f t="shared" si="6"/>
        <v>6.0000000000400178E-2</v>
      </c>
      <c r="X94" s="62">
        <f t="shared" si="7"/>
        <v>6.0000000000400178E-2</v>
      </c>
      <c r="Y94" s="62">
        <f t="shared" si="8"/>
        <v>0</v>
      </c>
      <c r="Z94" s="62">
        <v>0</v>
      </c>
      <c r="AA94" s="62">
        <f t="shared" si="9"/>
        <v>0</v>
      </c>
      <c r="AB94" s="62">
        <f t="shared" si="10"/>
        <v>5191</v>
      </c>
      <c r="AC94" s="62"/>
      <c r="AD94" s="62" t="s">
        <v>693</v>
      </c>
    </row>
    <row r="95" spans="1:30" hidden="1" x14ac:dyDescent="0.3">
      <c r="A95" s="2">
        <v>2</v>
      </c>
      <c r="B95" s="3" t="s">
        <v>72</v>
      </c>
      <c r="C95" s="4" t="s">
        <v>73</v>
      </c>
      <c r="D95" s="4" t="s">
        <v>368</v>
      </c>
      <c r="E95" s="4" t="str">
        <f>VLOOKUP(C95,'[2]CTRL AUTOS'!$E$2:$L$58,8,FALSE)</f>
        <v>U64</v>
      </c>
      <c r="F95" s="61" t="str">
        <f>VLOOKUP(C95,'[2]CTRL AUTOS'!$E$2:$K$58,7,FALSE)</f>
        <v>BYER</v>
      </c>
      <c r="G95" s="4" t="s">
        <v>234</v>
      </c>
      <c r="H95" s="62">
        <v>7676.14</v>
      </c>
      <c r="I95" s="62">
        <v>-2792.7799999999997</v>
      </c>
      <c r="J95" s="62">
        <v>-80</v>
      </c>
      <c r="K95" s="62">
        <v>19.579999999999998</v>
      </c>
      <c r="L95" s="62">
        <v>-84.320000000000007</v>
      </c>
      <c r="M95" s="62">
        <v>-65</v>
      </c>
      <c r="N95" s="62">
        <v>0</v>
      </c>
      <c r="O95" s="62">
        <f t="shared" si="11"/>
        <v>4673.6200000000008</v>
      </c>
      <c r="P95" s="62">
        <v>-1250</v>
      </c>
      <c r="Q95" s="62">
        <v>0</v>
      </c>
      <c r="R95" s="62">
        <v>0</v>
      </c>
      <c r="S95" s="62">
        <v>0</v>
      </c>
      <c r="T95" s="62">
        <v>0</v>
      </c>
      <c r="U95" s="62">
        <v>0</v>
      </c>
      <c r="V95" s="62">
        <v>0</v>
      </c>
      <c r="W95" s="62">
        <f t="shared" si="6"/>
        <v>3423.6200000000008</v>
      </c>
      <c r="X95" s="62">
        <f t="shared" si="7"/>
        <v>3423.6200000000008</v>
      </c>
      <c r="Y95" s="62">
        <f t="shared" si="8"/>
        <v>0</v>
      </c>
      <c r="Z95" s="62">
        <v>0</v>
      </c>
      <c r="AA95" s="62">
        <f t="shared" si="9"/>
        <v>0</v>
      </c>
      <c r="AB95" s="62">
        <f t="shared" si="10"/>
        <v>1250</v>
      </c>
      <c r="AC95" s="62"/>
      <c r="AD95" s="62" t="s">
        <v>672</v>
      </c>
    </row>
    <row r="96" spans="1:30" hidden="1" x14ac:dyDescent="0.3">
      <c r="A96" s="2">
        <v>2</v>
      </c>
      <c r="B96" s="3" t="s">
        <v>76</v>
      </c>
      <c r="C96" s="4" t="s">
        <v>77</v>
      </c>
      <c r="D96" s="4" t="s">
        <v>474</v>
      </c>
      <c r="E96" s="4" t="str">
        <f>VLOOKUP(C96,'[2]CTRL AUTOS'!$E$2:$L$58,8,FALSE)</f>
        <v>ASHC</v>
      </c>
      <c r="F96" s="67" t="s">
        <v>291</v>
      </c>
      <c r="G96" s="4" t="s">
        <v>234</v>
      </c>
      <c r="H96" s="62">
        <v>131.11000000000001</v>
      </c>
      <c r="I96" s="62">
        <v>0</v>
      </c>
      <c r="J96" s="62">
        <v>0</v>
      </c>
      <c r="K96" s="62">
        <v>0</v>
      </c>
      <c r="L96" s="62">
        <v>-1.48</v>
      </c>
      <c r="M96" s="62">
        <v>-40</v>
      </c>
      <c r="N96" s="62">
        <v>0</v>
      </c>
      <c r="O96" s="62">
        <f t="shared" si="11"/>
        <v>89.630000000000024</v>
      </c>
      <c r="P96" s="62">
        <f>(-2500/7)*4</f>
        <v>-1428.5714285714287</v>
      </c>
      <c r="Q96" s="62">
        <f>-142*1.12</f>
        <v>-159.04000000000002</v>
      </c>
      <c r="R96" s="62">
        <v>-500</v>
      </c>
      <c r="S96" s="62">
        <v>0</v>
      </c>
      <c r="T96" s="62">
        <v>0</v>
      </c>
      <c r="U96" s="62">
        <v>0</v>
      </c>
      <c r="V96" s="62">
        <v>0</v>
      </c>
      <c r="W96" s="62">
        <f t="shared" si="6"/>
        <v>-1997.9814285714285</v>
      </c>
      <c r="X96" s="62">
        <f t="shared" si="7"/>
        <v>0</v>
      </c>
      <c r="Y96" s="62">
        <f t="shared" si="8"/>
        <v>-1997.9814285714285</v>
      </c>
      <c r="Z96" s="62">
        <v>694</v>
      </c>
      <c r="AA96" s="62">
        <f t="shared" si="9"/>
        <v>-1303.9814285714285</v>
      </c>
      <c r="AB96" s="62">
        <f t="shared" si="10"/>
        <v>-520.35142857142853</v>
      </c>
      <c r="AC96" s="62"/>
      <c r="AD96" s="62" t="s">
        <v>694</v>
      </c>
    </row>
    <row r="97" spans="1:30" hidden="1" x14ac:dyDescent="0.3">
      <c r="A97" s="2">
        <v>2</v>
      </c>
      <c r="B97" s="3" t="s">
        <v>78</v>
      </c>
      <c r="C97" s="4" t="s">
        <v>79</v>
      </c>
      <c r="D97" s="4" t="s">
        <v>475</v>
      </c>
      <c r="E97" s="4" t="str">
        <f>VLOOKUP(C97,'[2]CTRL AUTOS'!$E$2:$L$58,8,FALSE)</f>
        <v>BYER</v>
      </c>
      <c r="F97" s="61" t="str">
        <f>VLOOKUP(C97,'[2]CTRL AUTOS'!$E$2:$K$58,7,FALSE)</f>
        <v>BYER</v>
      </c>
      <c r="G97" s="4" t="s">
        <v>234</v>
      </c>
      <c r="H97" s="62">
        <v>2542.21</v>
      </c>
      <c r="I97" s="62">
        <v>-328.85</v>
      </c>
      <c r="J97" s="62">
        <v>0</v>
      </c>
      <c r="K97" s="62">
        <v>0</v>
      </c>
      <c r="L97" s="62">
        <v>-26.740000000000006</v>
      </c>
      <c r="M97" s="62">
        <v>-35</v>
      </c>
      <c r="N97" s="62">
        <v>0</v>
      </c>
      <c r="O97" s="62">
        <f t="shared" si="11"/>
        <v>2151.6200000000003</v>
      </c>
      <c r="P97" s="62">
        <v>-2500</v>
      </c>
      <c r="Q97" s="62">
        <f>-3752*1.12</f>
        <v>-4202.2400000000007</v>
      </c>
      <c r="R97" s="62">
        <v>0</v>
      </c>
      <c r="S97" s="62">
        <v>0</v>
      </c>
      <c r="T97" s="62">
        <v>0</v>
      </c>
      <c r="U97" s="62">
        <v>0</v>
      </c>
      <c r="V97" s="62">
        <v>0</v>
      </c>
      <c r="W97" s="62">
        <f t="shared" si="6"/>
        <v>-4550.6200000000008</v>
      </c>
      <c r="X97" s="62">
        <f t="shared" si="7"/>
        <v>0</v>
      </c>
      <c r="Y97" s="62">
        <f t="shared" si="8"/>
        <v>-4550.6200000000008</v>
      </c>
      <c r="Z97" s="62">
        <v>0</v>
      </c>
      <c r="AA97" s="62">
        <f t="shared" si="9"/>
        <v>-4550.6200000000008</v>
      </c>
      <c r="AB97" s="62">
        <f t="shared" si="10"/>
        <v>-2399.0000000000005</v>
      </c>
      <c r="AC97" s="62"/>
      <c r="AD97" s="62" t="s">
        <v>695</v>
      </c>
    </row>
    <row r="98" spans="1:30" hidden="1" x14ac:dyDescent="0.3">
      <c r="A98" s="2">
        <v>2</v>
      </c>
      <c r="B98" s="3" t="s">
        <v>84</v>
      </c>
      <c r="C98" s="4" t="s">
        <v>59</v>
      </c>
      <c r="D98" s="4" t="s">
        <v>520</v>
      </c>
      <c r="E98" s="4" t="str">
        <f>VLOOKUP(C98,'[2]CTRL AUTOS'!$E$2:$L$58,8,FALSE)</f>
        <v>ASHC</v>
      </c>
      <c r="F98" s="67" t="s">
        <v>291</v>
      </c>
      <c r="G98" s="4" t="s">
        <v>234</v>
      </c>
      <c r="H98" s="62">
        <v>11557.6</v>
      </c>
      <c r="I98" s="62">
        <v>-5195.3499999999985</v>
      </c>
      <c r="J98" s="62">
        <v>-64</v>
      </c>
      <c r="K98" s="62">
        <v>0</v>
      </c>
      <c r="L98" s="62">
        <v>0</v>
      </c>
      <c r="M98" s="62">
        <v>-72</v>
      </c>
      <c r="N98" s="62">
        <v>0</v>
      </c>
      <c r="O98" s="62">
        <f t="shared" si="11"/>
        <v>6226.2500000000018</v>
      </c>
      <c r="P98" s="62">
        <v>-2500</v>
      </c>
      <c r="Q98" s="62">
        <v>0</v>
      </c>
      <c r="R98" s="62">
        <v>-500</v>
      </c>
      <c r="S98" s="62">
        <v>0</v>
      </c>
      <c r="T98" s="62">
        <v>0</v>
      </c>
      <c r="U98" s="62">
        <v>0</v>
      </c>
      <c r="V98" s="62">
        <v>0</v>
      </c>
      <c r="W98" s="62">
        <f t="shared" si="6"/>
        <v>3226.2500000000018</v>
      </c>
      <c r="X98" s="62">
        <f t="shared" si="7"/>
        <v>3226.2500000000018</v>
      </c>
      <c r="Y98" s="62">
        <f t="shared" si="8"/>
        <v>0</v>
      </c>
      <c r="Z98" s="62">
        <v>0</v>
      </c>
      <c r="AA98" s="62">
        <f t="shared" si="9"/>
        <v>0</v>
      </c>
      <c r="AB98" s="62">
        <f t="shared" si="10"/>
        <v>3000</v>
      </c>
      <c r="AC98" s="62"/>
      <c r="AD98" s="62"/>
    </row>
    <row r="99" spans="1:30" hidden="1" x14ac:dyDescent="0.3">
      <c r="A99" s="2">
        <v>2</v>
      </c>
      <c r="B99" s="3" t="s">
        <v>98</v>
      </c>
      <c r="C99" s="4" t="s">
        <v>56</v>
      </c>
      <c r="D99" s="4" t="s">
        <v>336</v>
      </c>
      <c r="E99" s="4" t="str">
        <f>VLOOKUP(C99,'[2]CTRL AUTOS'!$E$2:$L$58,8,FALSE)</f>
        <v>U64</v>
      </c>
      <c r="F99" s="61" t="str">
        <f>VLOOKUP(C99,'[2]CTRL AUTOS'!$E$2:$K$58,7,FALSE)</f>
        <v>BYER</v>
      </c>
      <c r="G99" s="4" t="s">
        <v>234</v>
      </c>
      <c r="H99" s="62">
        <v>2249.15</v>
      </c>
      <c r="I99" s="62">
        <v>-238.94</v>
      </c>
      <c r="J99" s="62">
        <v>0</v>
      </c>
      <c r="K99" s="62">
        <v>0</v>
      </c>
      <c r="L99" s="62">
        <v>0</v>
      </c>
      <c r="M99" s="62">
        <v>-20</v>
      </c>
      <c r="N99" s="62">
        <v>0</v>
      </c>
      <c r="O99" s="62">
        <f t="shared" si="11"/>
        <v>1990.21</v>
      </c>
      <c r="P99" s="62">
        <v>-2500</v>
      </c>
      <c r="Q99" s="62">
        <v>0</v>
      </c>
      <c r="R99" s="62">
        <v>0</v>
      </c>
      <c r="S99" s="62">
        <v>0</v>
      </c>
      <c r="T99" s="62">
        <v>0</v>
      </c>
      <c r="U99" s="62">
        <v>0</v>
      </c>
      <c r="V99" s="62">
        <v>0</v>
      </c>
      <c r="W99" s="62">
        <f t="shared" si="6"/>
        <v>-509.78999999999996</v>
      </c>
      <c r="X99" s="62">
        <f t="shared" si="7"/>
        <v>0</v>
      </c>
      <c r="Y99" s="62">
        <f t="shared" si="8"/>
        <v>-509.78999999999996</v>
      </c>
      <c r="Z99" s="62">
        <v>510</v>
      </c>
      <c r="AA99" s="62">
        <f t="shared" si="9"/>
        <v>0.21000000000003638</v>
      </c>
      <c r="AB99" s="62">
        <f t="shared" si="10"/>
        <v>2500.42</v>
      </c>
      <c r="AC99" s="62"/>
      <c r="AD99" s="62" t="s">
        <v>696</v>
      </c>
    </row>
    <row r="100" spans="1:30" hidden="1" x14ac:dyDescent="0.3">
      <c r="A100" s="2">
        <v>2</v>
      </c>
      <c r="B100" s="3" t="s">
        <v>99</v>
      </c>
      <c r="C100" s="4" t="s">
        <v>42</v>
      </c>
      <c r="D100" s="4" t="s">
        <v>250</v>
      </c>
      <c r="E100" s="4" t="str">
        <f>VLOOKUP(C100,'[2]CTRL AUTOS'!$E$2:$L$58,8,FALSE)</f>
        <v>ASHC</v>
      </c>
      <c r="F100" s="67" t="s">
        <v>291</v>
      </c>
      <c r="G100" s="4" t="s">
        <v>234</v>
      </c>
      <c r="H100" s="62">
        <v>411.71</v>
      </c>
      <c r="I100" s="62">
        <v>-106.37</v>
      </c>
      <c r="J100" s="62">
        <v>0</v>
      </c>
      <c r="K100" s="62">
        <v>0</v>
      </c>
      <c r="L100" s="62">
        <v>0</v>
      </c>
      <c r="M100" s="62">
        <v>-19</v>
      </c>
      <c r="N100" s="62">
        <v>0</v>
      </c>
      <c r="O100" s="62">
        <f t="shared" si="11"/>
        <v>286.33999999999997</v>
      </c>
      <c r="P100" s="62">
        <f>(-2300/7)*1.5</f>
        <v>-492.85714285714283</v>
      </c>
      <c r="Q100" s="62">
        <v>0</v>
      </c>
      <c r="R100" s="62">
        <v>0</v>
      </c>
      <c r="S100" s="62">
        <v>0</v>
      </c>
      <c r="T100" s="62">
        <v>0</v>
      </c>
      <c r="U100" s="62">
        <v>0</v>
      </c>
      <c r="V100" s="62">
        <v>0</v>
      </c>
      <c r="W100" s="62">
        <f t="shared" si="6"/>
        <v>-206.51714285714286</v>
      </c>
      <c r="X100" s="62">
        <f t="shared" si="7"/>
        <v>0</v>
      </c>
      <c r="Y100" s="62">
        <f t="shared" si="8"/>
        <v>-206.51714285714286</v>
      </c>
      <c r="Z100" s="62">
        <v>207</v>
      </c>
      <c r="AA100" s="62">
        <f t="shared" si="9"/>
        <v>0.48285714285714221</v>
      </c>
      <c r="AB100" s="62">
        <f t="shared" si="10"/>
        <v>493.82285714285712</v>
      </c>
      <c r="AC100" s="62"/>
      <c r="AD100" s="62" t="s">
        <v>697</v>
      </c>
    </row>
    <row r="101" spans="1:30" hidden="1" x14ac:dyDescent="0.3">
      <c r="A101" s="2">
        <v>2</v>
      </c>
      <c r="B101" s="3" t="s">
        <v>61</v>
      </c>
      <c r="C101" s="4" t="s">
        <v>100</v>
      </c>
      <c r="D101" s="4" t="s">
        <v>661</v>
      </c>
      <c r="E101" s="4" t="s">
        <v>662</v>
      </c>
      <c r="F101" s="61" t="s">
        <v>662</v>
      </c>
      <c r="G101" s="4" t="s">
        <v>234</v>
      </c>
      <c r="H101" s="62">
        <v>2276</v>
      </c>
      <c r="I101" s="62">
        <v>-1648</v>
      </c>
      <c r="J101" s="62">
        <v>0</v>
      </c>
      <c r="K101" s="62">
        <v>0</v>
      </c>
      <c r="L101" s="62">
        <v>0</v>
      </c>
      <c r="M101" s="62">
        <v>0</v>
      </c>
      <c r="N101" s="62">
        <v>0</v>
      </c>
      <c r="O101" s="62">
        <f t="shared" si="11"/>
        <v>628</v>
      </c>
      <c r="P101" s="62">
        <f>(-2500/7)*3.5</f>
        <v>-1250</v>
      </c>
      <c r="Q101" s="62">
        <v>0</v>
      </c>
      <c r="R101" s="62">
        <v>0</v>
      </c>
      <c r="S101" s="62">
        <v>0</v>
      </c>
      <c r="T101" s="62">
        <v>0</v>
      </c>
      <c r="U101" s="62">
        <v>0</v>
      </c>
      <c r="V101" s="62">
        <v>0</v>
      </c>
      <c r="W101" s="62">
        <f t="shared" si="6"/>
        <v>-622</v>
      </c>
      <c r="X101" s="62">
        <f t="shared" si="7"/>
        <v>0</v>
      </c>
      <c r="Y101" s="62">
        <f t="shared" si="8"/>
        <v>-622</v>
      </c>
      <c r="Z101" s="62">
        <v>0</v>
      </c>
      <c r="AA101" s="62">
        <v>0</v>
      </c>
      <c r="AB101" s="62">
        <f t="shared" si="10"/>
        <v>628</v>
      </c>
      <c r="AC101" s="62"/>
      <c r="AD101" s="62" t="s">
        <v>698</v>
      </c>
    </row>
    <row r="102" spans="1:30" hidden="1" x14ac:dyDescent="0.3">
      <c r="A102" s="2">
        <v>2</v>
      </c>
      <c r="B102" s="3" t="s">
        <v>99</v>
      </c>
      <c r="C102" s="4" t="s">
        <v>102</v>
      </c>
      <c r="D102" s="4" t="s">
        <v>699</v>
      </c>
      <c r="E102" s="4" t="s">
        <v>662</v>
      </c>
      <c r="F102" s="61" t="s">
        <v>662</v>
      </c>
      <c r="G102" s="4" t="s">
        <v>234</v>
      </c>
      <c r="H102" s="62">
        <v>895</v>
      </c>
      <c r="I102" s="62">
        <v>0</v>
      </c>
      <c r="J102" s="62">
        <v>0</v>
      </c>
      <c r="K102" s="62">
        <v>0</v>
      </c>
      <c r="L102" s="62">
        <v>0</v>
      </c>
      <c r="M102" s="62">
        <v>0</v>
      </c>
      <c r="N102" s="62">
        <v>0</v>
      </c>
      <c r="O102" s="62">
        <f t="shared" si="11"/>
        <v>895</v>
      </c>
      <c r="P102" s="62">
        <f>(-2700/7)*2</f>
        <v>-771.42857142857144</v>
      </c>
      <c r="Q102" s="62">
        <v>0</v>
      </c>
      <c r="R102" s="62">
        <v>-250</v>
      </c>
      <c r="S102" s="62">
        <v>0</v>
      </c>
      <c r="T102" s="62">
        <v>0</v>
      </c>
      <c r="U102" s="62">
        <v>0</v>
      </c>
      <c r="V102" s="62">
        <v>0</v>
      </c>
      <c r="W102" s="62">
        <f t="shared" si="6"/>
        <v>-126.42857142857144</v>
      </c>
      <c r="X102" s="62">
        <f t="shared" si="7"/>
        <v>0</v>
      </c>
      <c r="Y102" s="62">
        <f t="shared" si="8"/>
        <v>-126.42857142857144</v>
      </c>
      <c r="Z102" s="62">
        <v>136</v>
      </c>
      <c r="AA102" s="62">
        <f t="shared" ref="AA102:AA165" si="12">+Y102+Z102</f>
        <v>9.5714285714285552</v>
      </c>
      <c r="AB102" s="62">
        <f t="shared" si="10"/>
        <v>1040.5714285714284</v>
      </c>
      <c r="AC102" s="62"/>
      <c r="AD102" s="62" t="s">
        <v>700</v>
      </c>
    </row>
    <row r="103" spans="1:30" hidden="1" x14ac:dyDescent="0.3">
      <c r="A103" s="2">
        <v>2</v>
      </c>
      <c r="B103" s="3" t="s">
        <v>103</v>
      </c>
      <c r="C103" s="4" t="s">
        <v>94</v>
      </c>
      <c r="D103" s="4" t="s">
        <v>661</v>
      </c>
      <c r="E103" s="4" t="s">
        <v>662</v>
      </c>
      <c r="F103" s="61" t="s">
        <v>662</v>
      </c>
      <c r="G103" s="4" t="s">
        <v>234</v>
      </c>
      <c r="H103" s="62">
        <v>573.41</v>
      </c>
      <c r="I103" s="62">
        <v>0</v>
      </c>
      <c r="J103" s="62">
        <v>-12.3</v>
      </c>
      <c r="K103" s="62">
        <v>0</v>
      </c>
      <c r="L103" s="62">
        <v>0</v>
      </c>
      <c r="M103" s="62">
        <v>0</v>
      </c>
      <c r="N103" s="62">
        <v>0</v>
      </c>
      <c r="O103" s="62">
        <f t="shared" si="11"/>
        <v>561.11</v>
      </c>
      <c r="P103" s="62">
        <v>-385.71428571428572</v>
      </c>
      <c r="Q103" s="62">
        <v>0</v>
      </c>
      <c r="R103" s="62">
        <f>-71</f>
        <v>-71</v>
      </c>
      <c r="S103" s="62">
        <v>0</v>
      </c>
      <c r="T103" s="62">
        <v>0</v>
      </c>
      <c r="U103" s="62">
        <v>0</v>
      </c>
      <c r="V103" s="62">
        <v>0</v>
      </c>
      <c r="W103" s="62">
        <f t="shared" si="6"/>
        <v>104.39571428571429</v>
      </c>
      <c r="X103" s="62">
        <f t="shared" si="7"/>
        <v>104.39571428571429</v>
      </c>
      <c r="Y103" s="62">
        <f t="shared" si="8"/>
        <v>0</v>
      </c>
      <c r="Z103" s="62">
        <v>0</v>
      </c>
      <c r="AA103" s="62">
        <f t="shared" si="12"/>
        <v>0</v>
      </c>
      <c r="AB103" s="62">
        <f t="shared" si="10"/>
        <v>456.71428571428572</v>
      </c>
      <c r="AC103" s="62">
        <v>2000</v>
      </c>
      <c r="AD103" s="62" t="s">
        <v>701</v>
      </c>
    </row>
    <row r="104" spans="1:30" hidden="1" x14ac:dyDescent="0.3">
      <c r="A104" s="2">
        <v>2</v>
      </c>
      <c r="B104" s="3" t="s">
        <v>105</v>
      </c>
      <c r="C104" s="4" t="s">
        <v>106</v>
      </c>
      <c r="D104" s="4" t="s">
        <v>646</v>
      </c>
      <c r="E104" s="4" t="str">
        <f>VLOOKUP(C104,'[2]CTRL AUTOS'!$E$2:$L$58,8,FALSE)</f>
        <v>ASHC</v>
      </c>
      <c r="F104" s="61" t="str">
        <f>VLOOKUP(C104,'[2]CTRL AUTOS'!$E$2:$K$58,7,FALSE)</f>
        <v>ASHC</v>
      </c>
      <c r="G104" s="4" t="s">
        <v>425</v>
      </c>
      <c r="H104" s="62">
        <v>0</v>
      </c>
      <c r="I104" s="62">
        <v>0</v>
      </c>
      <c r="J104" s="62">
        <v>0</v>
      </c>
      <c r="K104" s="62">
        <v>0</v>
      </c>
      <c r="L104" s="62">
        <v>0</v>
      </c>
      <c r="M104" s="62">
        <v>0</v>
      </c>
      <c r="N104" s="62">
        <v>0</v>
      </c>
      <c r="O104" s="62">
        <f t="shared" si="11"/>
        <v>0</v>
      </c>
      <c r="P104" s="62">
        <v>-2500</v>
      </c>
      <c r="Q104" s="62">
        <v>0</v>
      </c>
      <c r="R104" s="62">
        <v>0</v>
      </c>
      <c r="S104" s="62">
        <v>0</v>
      </c>
      <c r="T104" s="62">
        <v>0</v>
      </c>
      <c r="U104" s="62">
        <v>0</v>
      </c>
      <c r="V104" s="62">
        <v>0</v>
      </c>
      <c r="W104" s="62">
        <f t="shared" si="6"/>
        <v>-2500</v>
      </c>
      <c r="X104" s="62">
        <f t="shared" si="7"/>
        <v>0</v>
      </c>
      <c r="Y104" s="62">
        <f t="shared" si="8"/>
        <v>-2500</v>
      </c>
      <c r="Z104" s="62">
        <v>2500</v>
      </c>
      <c r="AA104" s="62">
        <f t="shared" si="12"/>
        <v>0</v>
      </c>
      <c r="AB104" s="62">
        <f t="shared" si="10"/>
        <v>2500</v>
      </c>
      <c r="AC104" s="62"/>
      <c r="AD104" s="62" t="s">
        <v>647</v>
      </c>
    </row>
    <row r="105" spans="1:30" hidden="1" x14ac:dyDescent="0.3">
      <c r="A105" s="2">
        <v>3</v>
      </c>
      <c r="B105" s="3" t="s">
        <v>5</v>
      </c>
      <c r="C105" s="4" t="s">
        <v>6</v>
      </c>
      <c r="D105" s="4" t="s">
        <v>570</v>
      </c>
      <c r="E105" s="4" t="str">
        <f>VLOOKUP(C105,'[2]CTRL AUTOS'!$E$2:$L$58,8,FALSE)</f>
        <v>ASHC</v>
      </c>
      <c r="F105" s="61" t="str">
        <f>VLOOKUP(C105,'[2]CTRL AUTOS'!$E$2:$K$58,7,FALSE)</f>
        <v>ASHC</v>
      </c>
      <c r="G105" s="4" t="s">
        <v>425</v>
      </c>
      <c r="H105" s="62">
        <v>0</v>
      </c>
      <c r="I105" s="62">
        <v>0</v>
      </c>
      <c r="J105" s="62">
        <v>0</v>
      </c>
      <c r="K105" s="62">
        <v>0</v>
      </c>
      <c r="L105" s="62">
        <v>0</v>
      </c>
      <c r="M105" s="62">
        <v>0</v>
      </c>
      <c r="N105" s="62">
        <v>0</v>
      </c>
      <c r="O105" s="62">
        <f t="shared" si="11"/>
        <v>0</v>
      </c>
      <c r="P105" s="62">
        <v>-2500</v>
      </c>
      <c r="Q105" s="62">
        <f>-2865*1.12</f>
        <v>-3208.8</v>
      </c>
      <c r="R105" s="62">
        <v>0</v>
      </c>
      <c r="S105" s="62">
        <v>0</v>
      </c>
      <c r="T105" s="62">
        <v>0</v>
      </c>
      <c r="U105" s="62">
        <v>0</v>
      </c>
      <c r="V105" s="62">
        <v>0</v>
      </c>
      <c r="W105" s="62">
        <f t="shared" si="6"/>
        <v>-5708.8</v>
      </c>
      <c r="X105" s="62">
        <f t="shared" si="7"/>
        <v>0</v>
      </c>
      <c r="Y105" s="62">
        <f t="shared" si="8"/>
        <v>-5708.8</v>
      </c>
      <c r="Z105" s="62">
        <f>1940+2000+1150+850</f>
        <v>5940</v>
      </c>
      <c r="AA105" s="62">
        <f t="shared" si="12"/>
        <v>231.19999999999982</v>
      </c>
      <c r="AB105" s="62">
        <f t="shared" si="10"/>
        <v>6171.2</v>
      </c>
      <c r="AC105" s="62"/>
      <c r="AD105" s="62" t="s">
        <v>702</v>
      </c>
    </row>
    <row r="106" spans="1:30" hidden="1" x14ac:dyDescent="0.3">
      <c r="A106" s="2">
        <v>3</v>
      </c>
      <c r="B106" s="3" t="s">
        <v>5</v>
      </c>
      <c r="C106" s="4" t="s">
        <v>42</v>
      </c>
      <c r="D106" s="4" t="s">
        <v>250</v>
      </c>
      <c r="E106" s="4" t="str">
        <f>VLOOKUP(C106,'[2]CTRL AUTOS'!$E$2:$L$58,8,FALSE)</f>
        <v>ASHC</v>
      </c>
      <c r="F106" s="61" t="str">
        <f>VLOOKUP(C106,'[2]CTRL AUTOS'!$E$2:$K$58,7,FALSE)</f>
        <v>ASHC</v>
      </c>
      <c r="G106" s="4" t="s">
        <v>425</v>
      </c>
      <c r="H106" s="62">
        <v>0</v>
      </c>
      <c r="I106" s="62">
        <v>0</v>
      </c>
      <c r="J106" s="62">
        <v>0</v>
      </c>
      <c r="K106" s="62">
        <v>0</v>
      </c>
      <c r="L106" s="62">
        <v>0</v>
      </c>
      <c r="M106" s="62">
        <v>0</v>
      </c>
      <c r="N106" s="62">
        <v>0</v>
      </c>
      <c r="O106" s="62">
        <f t="shared" si="11"/>
        <v>0</v>
      </c>
      <c r="P106" s="62">
        <v>0</v>
      </c>
      <c r="Q106" s="62">
        <f>-500*1.12</f>
        <v>-560</v>
      </c>
      <c r="R106" s="62">
        <v>0</v>
      </c>
      <c r="S106" s="62">
        <v>0</v>
      </c>
      <c r="T106" s="62">
        <v>-500</v>
      </c>
      <c r="U106" s="62">
        <v>0</v>
      </c>
      <c r="V106" s="62">
        <v>0</v>
      </c>
      <c r="W106" s="62">
        <f t="shared" si="6"/>
        <v>-1060</v>
      </c>
      <c r="X106" s="62">
        <f t="shared" si="7"/>
        <v>0</v>
      </c>
      <c r="Y106" s="62">
        <f t="shared" si="8"/>
        <v>-1060</v>
      </c>
      <c r="Z106" s="62">
        <v>1060</v>
      </c>
      <c r="AA106" s="62">
        <f t="shared" si="12"/>
        <v>0</v>
      </c>
      <c r="AB106" s="62">
        <f t="shared" si="10"/>
        <v>1060</v>
      </c>
      <c r="AC106" s="62"/>
      <c r="AD106" s="62" t="s">
        <v>703</v>
      </c>
    </row>
    <row r="107" spans="1:30" hidden="1" x14ac:dyDescent="0.3">
      <c r="A107" s="2">
        <v>3</v>
      </c>
      <c r="B107" s="3" t="s">
        <v>9</v>
      </c>
      <c r="C107" s="4" t="s">
        <v>10</v>
      </c>
      <c r="D107" s="4" t="s">
        <v>343</v>
      </c>
      <c r="E107" s="4" t="str">
        <f>VLOOKUP(C107,'[2]CTRL AUTOS'!$E$2:$L$58,8,FALSE)</f>
        <v>ASHC</v>
      </c>
      <c r="F107" s="61" t="str">
        <f>VLOOKUP(C107,'[2]CTRL AUTOS'!$E$2:$K$58,7,FALSE)</f>
        <v>ASHC</v>
      </c>
      <c r="G107" s="4" t="s">
        <v>234</v>
      </c>
      <c r="H107" s="62">
        <v>242.16</v>
      </c>
      <c r="I107" s="62">
        <v>-118.95</v>
      </c>
      <c r="J107" s="62">
        <v>0</v>
      </c>
      <c r="K107" s="62">
        <v>0</v>
      </c>
      <c r="L107" s="62">
        <v>0</v>
      </c>
      <c r="M107" s="62">
        <v>-45</v>
      </c>
      <c r="N107" s="62">
        <v>0</v>
      </c>
      <c r="O107" s="62">
        <f t="shared" si="11"/>
        <v>78.209999999999994</v>
      </c>
      <c r="P107" s="62">
        <v>0</v>
      </c>
      <c r="Q107" s="62">
        <v>0</v>
      </c>
      <c r="R107" s="62">
        <v>0</v>
      </c>
      <c r="S107" s="62">
        <v>0</v>
      </c>
      <c r="T107" s="62">
        <v>0</v>
      </c>
      <c r="U107" s="62">
        <v>0</v>
      </c>
      <c r="V107" s="62">
        <v>0</v>
      </c>
      <c r="W107" s="62">
        <f t="shared" si="6"/>
        <v>78.209999999999994</v>
      </c>
      <c r="X107" s="62">
        <f t="shared" si="7"/>
        <v>78.209999999999994</v>
      </c>
      <c r="Y107" s="62">
        <f t="shared" si="8"/>
        <v>0</v>
      </c>
      <c r="Z107" s="62">
        <v>0</v>
      </c>
      <c r="AA107" s="62">
        <f t="shared" si="12"/>
        <v>0</v>
      </c>
      <c r="AB107" s="62">
        <f t="shared" si="10"/>
        <v>0</v>
      </c>
      <c r="AC107" s="62"/>
      <c r="AD107" s="62"/>
    </row>
    <row r="108" spans="1:30" hidden="1" x14ac:dyDescent="0.3">
      <c r="A108" s="2">
        <v>3</v>
      </c>
      <c r="B108" s="3" t="s">
        <v>9</v>
      </c>
      <c r="C108" s="4" t="s">
        <v>10</v>
      </c>
      <c r="D108" s="4" t="s">
        <v>343</v>
      </c>
      <c r="E108" s="4" t="str">
        <f>VLOOKUP(C108,'[2]CTRL AUTOS'!$E$2:$L$58,8,FALSE)</f>
        <v>ASHC</v>
      </c>
      <c r="F108" s="61" t="str">
        <f>VLOOKUP(C108,'[2]CTRL AUTOS'!$E$2:$K$58,7,FALSE)</f>
        <v>ASHC</v>
      </c>
      <c r="G108" s="4" t="s">
        <v>425</v>
      </c>
      <c r="H108" s="62">
        <v>5970.65</v>
      </c>
      <c r="I108" s="62">
        <v>-6945.33</v>
      </c>
      <c r="J108" s="62">
        <f>+I108*0.1-204.7</f>
        <v>-899.23299999999995</v>
      </c>
      <c r="K108" s="62">
        <v>0</v>
      </c>
      <c r="L108" s="62">
        <v>0</v>
      </c>
      <c r="M108" s="62">
        <v>-15</v>
      </c>
      <c r="N108" s="62">
        <v>0</v>
      </c>
      <c r="O108" s="62">
        <f t="shared" si="11"/>
        <v>-914.23299999999995</v>
      </c>
      <c r="P108" s="62">
        <v>-2600</v>
      </c>
      <c r="Q108" s="62">
        <f>-1802*1.12</f>
        <v>-2018.2400000000002</v>
      </c>
      <c r="R108" s="62">
        <v>0</v>
      </c>
      <c r="S108" s="62">
        <v>0</v>
      </c>
      <c r="T108" s="62">
        <v>0</v>
      </c>
      <c r="U108" s="62">
        <v>0</v>
      </c>
      <c r="V108" s="62">
        <v>0</v>
      </c>
      <c r="W108" s="62">
        <f t="shared" si="6"/>
        <v>-5532.473</v>
      </c>
      <c r="X108" s="62">
        <f t="shared" si="7"/>
        <v>0</v>
      </c>
      <c r="Y108" s="62">
        <f t="shared" si="8"/>
        <v>-5532.473</v>
      </c>
      <c r="Z108" s="62">
        <f>1000+1000+1000+1000+1000</f>
        <v>5000</v>
      </c>
      <c r="AA108" s="62">
        <f t="shared" si="12"/>
        <v>-532.47299999999996</v>
      </c>
      <c r="AB108" s="62">
        <f t="shared" si="10"/>
        <v>3553.2939999999999</v>
      </c>
      <c r="AC108" s="62"/>
      <c r="AD108" s="62" t="s">
        <v>704</v>
      </c>
    </row>
    <row r="109" spans="1:30" hidden="1" x14ac:dyDescent="0.3">
      <c r="A109" s="2">
        <v>3</v>
      </c>
      <c r="B109" s="3" t="s">
        <v>11</v>
      </c>
      <c r="C109" s="4" t="s">
        <v>12</v>
      </c>
      <c r="D109" s="4" t="s">
        <v>509</v>
      </c>
      <c r="E109" s="4" t="str">
        <f>VLOOKUP(C109,'[2]CTRL AUTOS'!$E$2:$L$58,8,FALSE)</f>
        <v>ASHC</v>
      </c>
      <c r="F109" s="61" t="str">
        <f>VLOOKUP(C109,'[2]CTRL AUTOS'!$E$2:$K$58,7,FALSE)</f>
        <v>ASHC</v>
      </c>
      <c r="G109" s="4" t="s">
        <v>234</v>
      </c>
      <c r="H109" s="62">
        <v>4930.32</v>
      </c>
      <c r="I109" s="62">
        <v>-1865.99</v>
      </c>
      <c r="J109" s="62">
        <v>0</v>
      </c>
      <c r="K109" s="62">
        <v>-7.1</v>
      </c>
      <c r="L109" s="62">
        <v>0</v>
      </c>
      <c r="M109" s="62">
        <v>-52</v>
      </c>
      <c r="N109" s="62">
        <v>0</v>
      </c>
      <c r="O109" s="62">
        <f t="shared" si="11"/>
        <v>3005.23</v>
      </c>
      <c r="P109" s="62">
        <v>-2700</v>
      </c>
      <c r="Q109" s="62">
        <f>-64*1.12</f>
        <v>-71.680000000000007</v>
      </c>
      <c r="R109" s="62">
        <v>0</v>
      </c>
      <c r="S109" s="62">
        <v>0</v>
      </c>
      <c r="T109" s="62">
        <v>0</v>
      </c>
      <c r="U109" s="62">
        <v>0</v>
      </c>
      <c r="V109" s="62">
        <v>0</v>
      </c>
      <c r="W109" s="62">
        <f t="shared" si="6"/>
        <v>233.55</v>
      </c>
      <c r="X109" s="62">
        <f t="shared" si="7"/>
        <v>233.55</v>
      </c>
      <c r="Y109" s="62">
        <f t="shared" si="8"/>
        <v>0</v>
      </c>
      <c r="Z109" s="62">
        <v>0</v>
      </c>
      <c r="AA109" s="62">
        <f t="shared" si="12"/>
        <v>0</v>
      </c>
      <c r="AB109" s="62">
        <f t="shared" si="10"/>
        <v>2771.68</v>
      </c>
      <c r="AC109" s="62"/>
      <c r="AD109" s="62"/>
    </row>
    <row r="110" spans="1:30" hidden="1" x14ac:dyDescent="0.3">
      <c r="A110" s="2">
        <v>3</v>
      </c>
      <c r="B110" s="3" t="s">
        <v>13</v>
      </c>
      <c r="C110" s="4" t="s">
        <v>14</v>
      </c>
      <c r="D110" s="4" t="s">
        <v>505</v>
      </c>
      <c r="E110" s="4" t="str">
        <f>VLOOKUP(C110,'[2]CTRL AUTOS'!$E$2:$L$58,8,FALSE)</f>
        <v>ASHC</v>
      </c>
      <c r="F110" s="61" t="str">
        <f>VLOOKUP(C110,'[2]CTRL AUTOS'!$E$2:$K$58,7,FALSE)</f>
        <v>ASHC</v>
      </c>
      <c r="G110" s="4" t="s">
        <v>234</v>
      </c>
      <c r="H110" s="62">
        <v>4919.8500000000004</v>
      </c>
      <c r="I110" s="62">
        <v>0</v>
      </c>
      <c r="J110" s="62">
        <v>0</v>
      </c>
      <c r="K110" s="62">
        <v>9.7899999999999991</v>
      </c>
      <c r="L110" s="62">
        <v>0</v>
      </c>
      <c r="M110" s="62">
        <v>-35</v>
      </c>
      <c r="N110" s="62">
        <f>+-231*1.12</f>
        <v>-258.72000000000003</v>
      </c>
      <c r="O110" s="62">
        <f t="shared" si="11"/>
        <v>4635.92</v>
      </c>
      <c r="P110" s="62">
        <v>-2700</v>
      </c>
      <c r="Q110" s="62">
        <v>0</v>
      </c>
      <c r="R110" s="62">
        <v>0</v>
      </c>
      <c r="S110" s="62">
        <v>0</v>
      </c>
      <c r="T110" s="62">
        <v>0</v>
      </c>
      <c r="U110" s="62">
        <v>0</v>
      </c>
      <c r="V110" s="62">
        <v>0</v>
      </c>
      <c r="W110" s="62">
        <f t="shared" si="6"/>
        <v>1935.92</v>
      </c>
      <c r="X110" s="62">
        <f t="shared" si="7"/>
        <v>1935.92</v>
      </c>
      <c r="Y110" s="62">
        <f t="shared" si="8"/>
        <v>0</v>
      </c>
      <c r="Z110" s="62">
        <v>0</v>
      </c>
      <c r="AA110" s="62">
        <f t="shared" si="12"/>
        <v>0</v>
      </c>
      <c r="AB110" s="62">
        <f t="shared" si="10"/>
        <v>2700</v>
      </c>
      <c r="AC110" s="62"/>
      <c r="AD110" s="62"/>
    </row>
    <row r="111" spans="1:30" hidden="1" x14ac:dyDescent="0.3">
      <c r="A111" s="2">
        <v>3</v>
      </c>
      <c r="B111" s="3" t="s">
        <v>88</v>
      </c>
      <c r="C111" s="4" t="s">
        <v>46</v>
      </c>
      <c r="D111" s="4" t="s">
        <v>650</v>
      </c>
      <c r="E111" s="4" t="str">
        <f>VLOOKUP(C111,'[2]CTRL AUTOS'!$E$2:$L$58,8,FALSE)</f>
        <v>ASHC</v>
      </c>
      <c r="F111" s="61" t="str">
        <f>VLOOKUP(C111,'[2]CTRL AUTOS'!$E$2:$K$58,7,FALSE)</f>
        <v>ASHC</v>
      </c>
      <c r="G111" s="4" t="s">
        <v>234</v>
      </c>
      <c r="H111" s="62">
        <v>-150</v>
      </c>
      <c r="I111" s="62">
        <v>0</v>
      </c>
      <c r="J111" s="62">
        <v>0</v>
      </c>
      <c r="K111" s="62">
        <v>0</v>
      </c>
      <c r="L111" s="62">
        <v>0</v>
      </c>
      <c r="M111" s="62">
        <v>0</v>
      </c>
      <c r="N111" s="62">
        <v>0</v>
      </c>
      <c r="O111" s="62">
        <f t="shared" si="11"/>
        <v>0</v>
      </c>
      <c r="P111" s="62">
        <v>150</v>
      </c>
      <c r="Q111" s="62">
        <v>0</v>
      </c>
      <c r="R111" s="62">
        <v>2000</v>
      </c>
      <c r="S111" s="62">
        <v>0</v>
      </c>
      <c r="T111" s="62">
        <v>0</v>
      </c>
      <c r="U111" s="62">
        <v>0</v>
      </c>
      <c r="V111" s="62">
        <v>0</v>
      </c>
      <c r="W111" s="62">
        <f t="shared" si="6"/>
        <v>2150</v>
      </c>
      <c r="X111" s="62">
        <f t="shared" si="7"/>
        <v>2150</v>
      </c>
      <c r="Y111" s="62">
        <f t="shared" si="8"/>
        <v>0</v>
      </c>
      <c r="Z111" s="62">
        <v>0</v>
      </c>
      <c r="AA111" s="62">
        <f t="shared" si="12"/>
        <v>0</v>
      </c>
      <c r="AB111" s="62">
        <f t="shared" si="10"/>
        <v>-2150</v>
      </c>
      <c r="AC111" s="62"/>
      <c r="AD111" s="62" t="s">
        <v>705</v>
      </c>
    </row>
    <row r="112" spans="1:30" hidden="1" x14ac:dyDescent="0.3">
      <c r="A112" s="2">
        <v>3</v>
      </c>
      <c r="B112" s="3" t="s">
        <v>89</v>
      </c>
      <c r="C112" s="4" t="s">
        <v>4</v>
      </c>
      <c r="D112" s="4" t="s">
        <v>652</v>
      </c>
      <c r="E112" s="4" t="str">
        <f>VLOOKUP(C112,'[2]CTRL AUTOS'!$E$2:$L$58,8,FALSE)</f>
        <v>ASHC</v>
      </c>
      <c r="F112" s="61" t="str">
        <f>VLOOKUP(C112,'[2]CTRL AUTOS'!$E$2:$K$58,7,FALSE)</f>
        <v>ASHC</v>
      </c>
      <c r="G112" s="4" t="s">
        <v>234</v>
      </c>
      <c r="H112" s="62">
        <v>5654.44</v>
      </c>
      <c r="I112" s="62">
        <v>-1351.5800000000004</v>
      </c>
      <c r="J112" s="62">
        <v>-240</v>
      </c>
      <c r="K112" s="62">
        <v>0</v>
      </c>
      <c r="L112" s="62">
        <v>0</v>
      </c>
      <c r="M112" s="62">
        <v>-48</v>
      </c>
      <c r="N112" s="62">
        <v>0</v>
      </c>
      <c r="O112" s="62">
        <f t="shared" si="11"/>
        <v>4014.8599999999988</v>
      </c>
      <c r="P112" s="62">
        <f>(-2500/7)*7</f>
        <v>-2500</v>
      </c>
      <c r="Q112" s="62">
        <v>0</v>
      </c>
      <c r="R112" s="62">
        <v>-500</v>
      </c>
      <c r="S112" s="62">
        <v>0</v>
      </c>
      <c r="T112" s="62">
        <v>0</v>
      </c>
      <c r="U112" s="62">
        <v>0</v>
      </c>
      <c r="V112" s="62">
        <v>0</v>
      </c>
      <c r="W112" s="62">
        <f t="shared" si="6"/>
        <v>1014.8599999999988</v>
      </c>
      <c r="X112" s="62">
        <f t="shared" si="7"/>
        <v>1014.8599999999988</v>
      </c>
      <c r="Y112" s="62">
        <f t="shared" si="8"/>
        <v>0</v>
      </c>
      <c r="Z112" s="62">
        <v>0</v>
      </c>
      <c r="AA112" s="62">
        <f t="shared" si="12"/>
        <v>0</v>
      </c>
      <c r="AB112" s="62">
        <f t="shared" si="10"/>
        <v>3000</v>
      </c>
      <c r="AC112" s="62"/>
      <c r="AD112" s="62" t="s">
        <v>706</v>
      </c>
    </row>
    <row r="113" spans="1:30" hidden="1" x14ac:dyDescent="0.3">
      <c r="A113" s="2">
        <v>3</v>
      </c>
      <c r="B113" s="3" t="s">
        <v>90</v>
      </c>
      <c r="C113" s="4" t="s">
        <v>16</v>
      </c>
      <c r="D113" s="4" t="s">
        <v>314</v>
      </c>
      <c r="E113" s="4" t="str">
        <f>VLOOKUP(C113,'[2]CTRL AUTOS'!$E$2:$L$58,8,FALSE)</f>
        <v>ASHC</v>
      </c>
      <c r="F113" s="61" t="str">
        <f>VLOOKUP(C113,'[2]CTRL AUTOS'!$E$2:$K$58,7,FALSE)</f>
        <v>ASHC</v>
      </c>
      <c r="G113" s="4" t="s">
        <v>234</v>
      </c>
      <c r="H113" s="62">
        <v>8034.2</v>
      </c>
      <c r="I113" s="62">
        <v>-3094.0299999999997</v>
      </c>
      <c r="J113" s="62">
        <v>-94.4</v>
      </c>
      <c r="K113" s="62">
        <v>0</v>
      </c>
      <c r="L113" s="62">
        <v>0</v>
      </c>
      <c r="M113" s="62">
        <v>-72</v>
      </c>
      <c r="N113" s="62">
        <v>0</v>
      </c>
      <c r="O113" s="62">
        <f t="shared" si="11"/>
        <v>4773.7700000000004</v>
      </c>
      <c r="P113" s="62">
        <f>(-2500/7)*7</f>
        <v>-2500</v>
      </c>
      <c r="Q113" s="62">
        <v>0</v>
      </c>
      <c r="R113" s="62">
        <v>-500</v>
      </c>
      <c r="S113" s="62">
        <v>0</v>
      </c>
      <c r="T113" s="62">
        <v>0</v>
      </c>
      <c r="U113" s="62">
        <v>0</v>
      </c>
      <c r="V113" s="62">
        <v>0</v>
      </c>
      <c r="W113" s="62">
        <f t="shared" si="6"/>
        <v>1773.7700000000004</v>
      </c>
      <c r="X113" s="62">
        <f t="shared" si="7"/>
        <v>1773.7700000000004</v>
      </c>
      <c r="Y113" s="62">
        <f t="shared" si="8"/>
        <v>0</v>
      </c>
      <c r="Z113" s="62">
        <v>0</v>
      </c>
      <c r="AA113" s="62">
        <f t="shared" si="12"/>
        <v>0</v>
      </c>
      <c r="AB113" s="62">
        <f t="shared" si="10"/>
        <v>3000</v>
      </c>
      <c r="AC113" s="62"/>
      <c r="AD113" s="62" t="s">
        <v>706</v>
      </c>
    </row>
    <row r="114" spans="1:30" hidden="1" x14ac:dyDescent="0.3">
      <c r="A114" s="2">
        <v>3</v>
      </c>
      <c r="B114" s="3" t="s">
        <v>91</v>
      </c>
      <c r="C114" s="4" t="s">
        <v>50</v>
      </c>
      <c r="D114" s="4" t="s">
        <v>480</v>
      </c>
      <c r="E114" s="4" t="str">
        <f>VLOOKUP(C114,'[2]CTRL AUTOS'!$E$2:$L$58,8,FALSE)</f>
        <v>ASHC</v>
      </c>
      <c r="F114" s="61" t="str">
        <f>VLOOKUP(C114,'[2]CTRL AUTOS'!$E$2:$K$58,7,FALSE)</f>
        <v>ASHC</v>
      </c>
      <c r="G114" s="4" t="s">
        <v>234</v>
      </c>
      <c r="H114" s="62">
        <v>0</v>
      </c>
      <c r="I114" s="62">
        <v>0</v>
      </c>
      <c r="J114" s="62">
        <v>0</v>
      </c>
      <c r="K114" s="62">
        <v>0</v>
      </c>
      <c r="L114" s="62">
        <v>0</v>
      </c>
      <c r="M114" s="62">
        <v>0</v>
      </c>
      <c r="N114" s="62">
        <v>0</v>
      </c>
      <c r="O114" s="62">
        <f t="shared" si="11"/>
        <v>0</v>
      </c>
      <c r="P114" s="62">
        <f>(-2500/7)*3</f>
        <v>-1071.4285714285716</v>
      </c>
      <c r="Q114" s="62">
        <v>0</v>
      </c>
      <c r="R114" s="62">
        <v>0</v>
      </c>
      <c r="S114" s="62">
        <v>0</v>
      </c>
      <c r="T114" s="62">
        <v>0</v>
      </c>
      <c r="U114" s="62">
        <v>0</v>
      </c>
      <c r="V114" s="62">
        <v>0</v>
      </c>
      <c r="W114" s="62">
        <f t="shared" si="6"/>
        <v>-1071.4285714285716</v>
      </c>
      <c r="X114" s="62">
        <f t="shared" si="7"/>
        <v>0</v>
      </c>
      <c r="Y114" s="62">
        <f t="shared" si="8"/>
        <v>-1071.4285714285716</v>
      </c>
      <c r="Z114" s="62">
        <v>1071</v>
      </c>
      <c r="AA114" s="62">
        <f t="shared" si="12"/>
        <v>-0.4285714285715585</v>
      </c>
      <c r="AB114" s="62">
        <f t="shared" si="10"/>
        <v>1070.5714285714284</v>
      </c>
      <c r="AC114" s="62"/>
      <c r="AD114" s="62" t="s">
        <v>707</v>
      </c>
    </row>
    <row r="115" spans="1:30" hidden="1" x14ac:dyDescent="0.3">
      <c r="A115" s="2">
        <v>3</v>
      </c>
      <c r="B115" s="3" t="s">
        <v>91</v>
      </c>
      <c r="C115" s="4" t="s">
        <v>50</v>
      </c>
      <c r="D115" s="4" t="s">
        <v>318</v>
      </c>
      <c r="E115" s="4" t="str">
        <f>VLOOKUP(C115,'[2]CTRL AUTOS'!$E$2:$L$58,8,FALSE)</f>
        <v>ASHC</v>
      </c>
      <c r="F115" s="61" t="str">
        <f>VLOOKUP(C115,'[2]CTRL AUTOS'!$E$2:$K$58,7,FALSE)</f>
        <v>ASHC</v>
      </c>
      <c r="G115" s="4" t="s">
        <v>234</v>
      </c>
      <c r="H115" s="62">
        <v>2807.35</v>
      </c>
      <c r="I115" s="62">
        <v>-307.75</v>
      </c>
      <c r="J115" s="62">
        <v>0</v>
      </c>
      <c r="K115" s="62">
        <v>0</v>
      </c>
      <c r="L115" s="62">
        <v>0</v>
      </c>
      <c r="M115" s="62">
        <v>-35</v>
      </c>
      <c r="N115" s="62">
        <f>+-80*1.12</f>
        <v>-89.600000000000009</v>
      </c>
      <c r="O115" s="62">
        <f t="shared" si="11"/>
        <v>2375</v>
      </c>
      <c r="P115" s="62">
        <f>(-2500/7)*3</f>
        <v>-1071.4285714285716</v>
      </c>
      <c r="Q115" s="62">
        <f>-837*1.12</f>
        <v>-937.44</v>
      </c>
      <c r="R115" s="62">
        <v>-500</v>
      </c>
      <c r="S115" s="62">
        <v>0</v>
      </c>
      <c r="T115" s="62">
        <v>0</v>
      </c>
      <c r="U115" s="62">
        <v>-250</v>
      </c>
      <c r="V115" s="62">
        <v>0</v>
      </c>
      <c r="W115" s="62">
        <f t="shared" si="6"/>
        <v>-383.86857142857161</v>
      </c>
      <c r="X115" s="62">
        <f t="shared" si="7"/>
        <v>0</v>
      </c>
      <c r="Y115" s="62">
        <f t="shared" si="8"/>
        <v>-383.86857142857161</v>
      </c>
      <c r="Z115" s="62">
        <v>384</v>
      </c>
      <c r="AA115" s="62">
        <f t="shared" si="12"/>
        <v>0.13142857142838693</v>
      </c>
      <c r="AB115" s="62">
        <f t="shared" si="10"/>
        <v>2759.1314285714284</v>
      </c>
      <c r="AC115" s="62"/>
      <c r="AD115" s="62" t="s">
        <v>707</v>
      </c>
    </row>
    <row r="116" spans="1:30" hidden="1" x14ac:dyDescent="0.3">
      <c r="A116" s="2">
        <v>3</v>
      </c>
      <c r="B116" s="3" t="s">
        <v>92</v>
      </c>
      <c r="C116" s="4" t="s">
        <v>30</v>
      </c>
      <c r="D116" s="4" t="s">
        <v>521</v>
      </c>
      <c r="E116" s="4" t="str">
        <f>VLOOKUP(C116,'[2]CTRL AUTOS'!$E$2:$L$58,8,FALSE)</f>
        <v>ASHC</v>
      </c>
      <c r="F116" s="61" t="str">
        <f>VLOOKUP(C116,'[2]CTRL AUTOS'!$E$2:$K$58,7,FALSE)</f>
        <v>ASHC</v>
      </c>
      <c r="G116" s="4" t="s">
        <v>234</v>
      </c>
      <c r="H116" s="62">
        <v>7412.29</v>
      </c>
      <c r="I116" s="62">
        <v>-3877.2799999999997</v>
      </c>
      <c r="J116" s="62">
        <v>0</v>
      </c>
      <c r="K116" s="62">
        <v>0</v>
      </c>
      <c r="L116" s="62">
        <v>0</v>
      </c>
      <c r="M116" s="62">
        <v>-72</v>
      </c>
      <c r="N116" s="62">
        <v>0</v>
      </c>
      <c r="O116" s="62">
        <f t="shared" si="11"/>
        <v>3463.01</v>
      </c>
      <c r="P116" s="62">
        <f>(-2500/7)*7</f>
        <v>-2500</v>
      </c>
      <c r="Q116" s="62">
        <v>0</v>
      </c>
      <c r="R116" s="62">
        <v>-500</v>
      </c>
      <c r="S116" s="62">
        <v>0</v>
      </c>
      <c r="T116" s="62">
        <v>0</v>
      </c>
      <c r="U116" s="62">
        <v>0</v>
      </c>
      <c r="V116" s="62">
        <v>0</v>
      </c>
      <c r="W116" s="62">
        <f t="shared" si="6"/>
        <v>463.01000000000022</v>
      </c>
      <c r="X116" s="62">
        <f t="shared" si="7"/>
        <v>463.01000000000022</v>
      </c>
      <c r="Y116" s="62">
        <f t="shared" si="8"/>
        <v>0</v>
      </c>
      <c r="Z116" s="62">
        <v>0</v>
      </c>
      <c r="AA116" s="62">
        <f t="shared" si="12"/>
        <v>0</v>
      </c>
      <c r="AB116" s="62">
        <f t="shared" si="10"/>
        <v>3000</v>
      </c>
      <c r="AC116" s="62"/>
      <c r="AD116" s="62" t="s">
        <v>706</v>
      </c>
    </row>
    <row r="117" spans="1:30" hidden="1" x14ac:dyDescent="0.3">
      <c r="A117" s="2">
        <v>3</v>
      </c>
      <c r="B117" s="3" t="s">
        <v>15</v>
      </c>
      <c r="C117" s="4" t="s">
        <v>142</v>
      </c>
      <c r="D117" s="4" t="s">
        <v>657</v>
      </c>
      <c r="E117" s="4" t="str">
        <f>VLOOKUP(C117,'[2]CTRL AUTOS'!$E$2:$L$58,8,FALSE)</f>
        <v>ASHC</v>
      </c>
      <c r="F117" s="61" t="str">
        <f>VLOOKUP(C117,'[2]CTRL AUTOS'!$E$2:$K$58,7,FALSE)</f>
        <v>ASHC</v>
      </c>
      <c r="G117" s="4" t="s">
        <v>234</v>
      </c>
      <c r="H117" s="62">
        <v>0</v>
      </c>
      <c r="I117" s="62">
        <v>0</v>
      </c>
      <c r="J117" s="62">
        <v>0</v>
      </c>
      <c r="K117" s="62">
        <v>0</v>
      </c>
      <c r="L117" s="62">
        <v>0</v>
      </c>
      <c r="M117" s="62">
        <v>0</v>
      </c>
      <c r="N117" s="62">
        <v>0</v>
      </c>
      <c r="O117" s="62">
        <f t="shared" si="11"/>
        <v>0</v>
      </c>
      <c r="P117" s="62">
        <f>(-2700/7)*3</f>
        <v>-1157.1428571428571</v>
      </c>
      <c r="Q117" s="62">
        <f>-1208*1.12</f>
        <v>-1352.96</v>
      </c>
      <c r="R117" s="62">
        <v>0</v>
      </c>
      <c r="S117" s="62">
        <v>0</v>
      </c>
      <c r="T117" s="62">
        <v>0</v>
      </c>
      <c r="U117" s="62">
        <v>0</v>
      </c>
      <c r="V117" s="62">
        <v>0</v>
      </c>
      <c r="W117" s="62">
        <f t="shared" si="6"/>
        <v>-2510.1028571428569</v>
      </c>
      <c r="X117" s="62">
        <f t="shared" si="7"/>
        <v>0</v>
      </c>
      <c r="Y117" s="62">
        <f t="shared" si="8"/>
        <v>-2510.1028571428569</v>
      </c>
      <c r="Z117" s="62">
        <v>0</v>
      </c>
      <c r="AA117" s="62">
        <f t="shared" si="12"/>
        <v>-2510.1028571428569</v>
      </c>
      <c r="AB117" s="62">
        <f t="shared" si="10"/>
        <v>-2510.1028571428569</v>
      </c>
      <c r="AC117" s="62"/>
      <c r="AD117" s="62" t="s">
        <v>708</v>
      </c>
    </row>
    <row r="118" spans="1:30" hidden="1" x14ac:dyDescent="0.3">
      <c r="A118" s="2">
        <v>3</v>
      </c>
      <c r="B118" s="3" t="s">
        <v>17</v>
      </c>
      <c r="C118" s="4" t="s">
        <v>18</v>
      </c>
      <c r="D118" s="4" t="s">
        <v>572</v>
      </c>
      <c r="E118" s="4" t="str">
        <f>VLOOKUP(C118,'[2]CTRL AUTOS'!$E$2:$L$58,8,FALSE)</f>
        <v>ASHC</v>
      </c>
      <c r="F118" s="61" t="str">
        <f>VLOOKUP(C118,'[2]CTRL AUTOS'!$E$2:$K$58,7,FALSE)</f>
        <v>ASHC</v>
      </c>
      <c r="G118" s="4" t="s">
        <v>234</v>
      </c>
      <c r="H118" s="62">
        <v>303.52999999999997</v>
      </c>
      <c r="I118" s="62">
        <v>-204.26000000000002</v>
      </c>
      <c r="J118" s="62">
        <v>0</v>
      </c>
      <c r="K118" s="62">
        <v>0</v>
      </c>
      <c r="L118" s="62">
        <v>0</v>
      </c>
      <c r="M118" s="62">
        <v>-45</v>
      </c>
      <c r="N118" s="62">
        <v>0</v>
      </c>
      <c r="O118" s="62">
        <f t="shared" si="11"/>
        <v>54.269999999999953</v>
      </c>
      <c r="P118" s="62">
        <v>-2700</v>
      </c>
      <c r="Q118" s="62">
        <v>0</v>
      </c>
      <c r="R118" s="62">
        <v>0</v>
      </c>
      <c r="S118" s="62">
        <v>0</v>
      </c>
      <c r="T118" s="62">
        <v>0</v>
      </c>
      <c r="U118" s="62">
        <v>0</v>
      </c>
      <c r="V118" s="62">
        <v>0</v>
      </c>
      <c r="W118" s="62">
        <f t="shared" si="6"/>
        <v>-2645.73</v>
      </c>
      <c r="X118" s="62">
        <f t="shared" si="7"/>
        <v>0</v>
      </c>
      <c r="Y118" s="62">
        <f t="shared" si="8"/>
        <v>-2645.73</v>
      </c>
      <c r="Z118" s="62">
        <v>2646</v>
      </c>
      <c r="AA118" s="62">
        <f t="shared" si="12"/>
        <v>0.26999999999998181</v>
      </c>
      <c r="AB118" s="62">
        <f t="shared" si="10"/>
        <v>2700.54</v>
      </c>
      <c r="AC118" s="62"/>
      <c r="AD118" s="62" t="s">
        <v>709</v>
      </c>
    </row>
    <row r="119" spans="1:30" hidden="1" x14ac:dyDescent="0.3">
      <c r="A119" s="2">
        <v>3</v>
      </c>
      <c r="B119" s="3" t="s">
        <v>19</v>
      </c>
      <c r="C119" s="4" t="s">
        <v>20</v>
      </c>
      <c r="D119" s="4" t="s">
        <v>239</v>
      </c>
      <c r="E119" s="4" t="str">
        <f>VLOOKUP(C119,'[2]CTRL AUTOS'!$E$2:$L$58,8,FALSE)</f>
        <v>ASHC</v>
      </c>
      <c r="F119" s="61" t="str">
        <f>VLOOKUP(C119,'[2]CTRL AUTOS'!$E$2:$K$58,7,FALSE)</f>
        <v>ASHC</v>
      </c>
      <c r="G119" s="4" t="s">
        <v>234</v>
      </c>
      <c r="H119" s="62">
        <v>3467.94</v>
      </c>
      <c r="I119" s="62">
        <v>-89.93</v>
      </c>
      <c r="J119" s="62">
        <v>0</v>
      </c>
      <c r="K119" s="62">
        <v>0</v>
      </c>
      <c r="L119" s="62">
        <v>-31.849999999999998</v>
      </c>
      <c r="M119" s="62">
        <v>-15</v>
      </c>
      <c r="N119" s="62">
        <v>0</v>
      </c>
      <c r="O119" s="62">
        <f t="shared" si="11"/>
        <v>3331.1600000000003</v>
      </c>
      <c r="P119" s="62">
        <v>-2500</v>
      </c>
      <c r="Q119" s="62">
        <v>0</v>
      </c>
      <c r="R119" s="62">
        <v>0</v>
      </c>
      <c r="S119" s="62">
        <v>0</v>
      </c>
      <c r="T119" s="62">
        <v>-600</v>
      </c>
      <c r="U119" s="62">
        <v>0</v>
      </c>
      <c r="V119" s="62">
        <v>0</v>
      </c>
      <c r="W119" s="62">
        <f t="shared" si="6"/>
        <v>231.16000000000031</v>
      </c>
      <c r="X119" s="62">
        <f t="shared" si="7"/>
        <v>231.16000000000031</v>
      </c>
      <c r="Y119" s="62">
        <f t="shared" si="8"/>
        <v>0</v>
      </c>
      <c r="Z119" s="62">
        <v>0</v>
      </c>
      <c r="AA119" s="62">
        <f t="shared" si="12"/>
        <v>0</v>
      </c>
      <c r="AB119" s="62">
        <f t="shared" si="10"/>
        <v>3100</v>
      </c>
      <c r="AC119" s="62"/>
      <c r="AD119" s="62" t="s">
        <v>710</v>
      </c>
    </row>
    <row r="120" spans="1:30" hidden="1" x14ac:dyDescent="0.3">
      <c r="A120" s="2">
        <v>3</v>
      </c>
      <c r="B120" s="3" t="s">
        <v>21</v>
      </c>
      <c r="C120" s="4" t="s">
        <v>22</v>
      </c>
      <c r="D120" s="4" t="s">
        <v>319</v>
      </c>
      <c r="E120" s="4" t="str">
        <f>VLOOKUP(C120,'[2]CTRL AUTOS'!$E$2:$L$58,8,FALSE)</f>
        <v>ASHC</v>
      </c>
      <c r="F120" s="61" t="str">
        <f>VLOOKUP(C120,'[2]CTRL AUTOS'!$E$2:$K$58,7,FALSE)</f>
        <v>ASHC</v>
      </c>
      <c r="G120" s="4" t="s">
        <v>234</v>
      </c>
      <c r="H120" s="62">
        <v>2841.17</v>
      </c>
      <c r="I120" s="62">
        <v>-1095.9000000000001</v>
      </c>
      <c r="J120" s="62">
        <v>0</v>
      </c>
      <c r="K120" s="62">
        <v>0</v>
      </c>
      <c r="L120" s="62">
        <v>0</v>
      </c>
      <c r="M120" s="62">
        <v>-38</v>
      </c>
      <c r="N120" s="62">
        <v>0</v>
      </c>
      <c r="O120" s="62">
        <f t="shared" si="11"/>
        <v>1707.27</v>
      </c>
      <c r="P120" s="62">
        <v>-2500</v>
      </c>
      <c r="Q120" s="62">
        <v>0</v>
      </c>
      <c r="R120" s="62">
        <v>-500</v>
      </c>
      <c r="S120" s="62">
        <v>0</v>
      </c>
      <c r="T120" s="62">
        <v>0</v>
      </c>
      <c r="U120" s="62">
        <v>0</v>
      </c>
      <c r="V120" s="62">
        <v>0</v>
      </c>
      <c r="W120" s="62">
        <f t="shared" si="6"/>
        <v>-1292.73</v>
      </c>
      <c r="X120" s="62">
        <f t="shared" si="7"/>
        <v>0</v>
      </c>
      <c r="Y120" s="62">
        <f t="shared" si="8"/>
        <v>-1292.73</v>
      </c>
      <c r="Z120" s="62">
        <v>1300</v>
      </c>
      <c r="AA120" s="62">
        <f t="shared" si="12"/>
        <v>7.2699999999999818</v>
      </c>
      <c r="AB120" s="62">
        <f t="shared" si="10"/>
        <v>3014.54</v>
      </c>
      <c r="AC120" s="62"/>
      <c r="AD120" s="62" t="s">
        <v>711</v>
      </c>
    </row>
    <row r="121" spans="1:30" hidden="1" x14ac:dyDescent="0.3">
      <c r="A121" s="2">
        <v>3</v>
      </c>
      <c r="B121" s="3" t="s">
        <v>23</v>
      </c>
      <c r="C121" s="4" t="s">
        <v>24</v>
      </c>
      <c r="D121" s="4" t="s">
        <v>515</v>
      </c>
      <c r="E121" s="4" t="str">
        <f>VLOOKUP(C121,'[2]CTRL AUTOS'!$E$2:$L$58,8,FALSE)</f>
        <v>ASHC</v>
      </c>
      <c r="F121" s="61" t="str">
        <f>VLOOKUP(C121,'[2]CTRL AUTOS'!$E$2:$K$58,7,FALSE)</f>
        <v>ASHC</v>
      </c>
      <c r="G121" s="4" t="s">
        <v>234</v>
      </c>
      <c r="H121" s="62">
        <v>3828</v>
      </c>
      <c r="I121" s="62">
        <v>-3259.1699999999996</v>
      </c>
      <c r="J121" s="62">
        <v>0</v>
      </c>
      <c r="K121" s="62">
        <v>0</v>
      </c>
      <c r="L121" s="62">
        <v>0</v>
      </c>
      <c r="M121" s="62">
        <v>-72</v>
      </c>
      <c r="N121" s="62">
        <f>-198.17*1.12</f>
        <v>-221.9504</v>
      </c>
      <c r="O121" s="62">
        <f t="shared" si="11"/>
        <v>274.87960000000038</v>
      </c>
      <c r="P121" s="62">
        <f>(-2700/7)*7</f>
        <v>-2700</v>
      </c>
      <c r="Q121" s="62">
        <f>-1146*1.12</f>
        <v>-1283.5200000000002</v>
      </c>
      <c r="R121" s="62">
        <v>0</v>
      </c>
      <c r="S121" s="62">
        <v>0</v>
      </c>
      <c r="T121" s="62">
        <v>0</v>
      </c>
      <c r="U121" s="62">
        <v>0</v>
      </c>
      <c r="V121" s="62">
        <v>0</v>
      </c>
      <c r="W121" s="62">
        <f t="shared" si="6"/>
        <v>-3708.6404000000002</v>
      </c>
      <c r="X121" s="62">
        <f t="shared" si="7"/>
        <v>0</v>
      </c>
      <c r="Y121" s="62">
        <f t="shared" si="8"/>
        <v>-3708.6404000000002</v>
      </c>
      <c r="Z121" s="62">
        <f>900+500+500+700</f>
        <v>2600</v>
      </c>
      <c r="AA121" s="62">
        <f t="shared" si="12"/>
        <v>-1108.6404000000002</v>
      </c>
      <c r="AB121" s="62">
        <f t="shared" si="10"/>
        <v>1766.2392</v>
      </c>
      <c r="AC121" s="62"/>
      <c r="AD121" s="62" t="s">
        <v>712</v>
      </c>
    </row>
    <row r="122" spans="1:30" hidden="1" x14ac:dyDescent="0.3">
      <c r="A122" s="2">
        <v>3</v>
      </c>
      <c r="B122" s="3" t="s">
        <v>23</v>
      </c>
      <c r="C122" s="4" t="s">
        <v>22</v>
      </c>
      <c r="D122" s="4" t="s">
        <v>319</v>
      </c>
      <c r="E122" s="4" t="str">
        <f>VLOOKUP(C122,'[2]CTRL AUTOS'!$E$2:$L$58,8,FALSE)</f>
        <v>ASHC</v>
      </c>
      <c r="F122" s="61" t="str">
        <f>VLOOKUP(C122,'[2]CTRL AUTOS'!$E$2:$K$58,7,FALSE)</f>
        <v>ASHC</v>
      </c>
      <c r="G122" s="4" t="s">
        <v>234</v>
      </c>
      <c r="H122" s="62">
        <v>0</v>
      </c>
      <c r="I122" s="62">
        <v>0</v>
      </c>
      <c r="J122" s="62">
        <v>0</v>
      </c>
      <c r="K122" s="62">
        <v>0</v>
      </c>
      <c r="L122" s="62">
        <v>0</v>
      </c>
      <c r="M122" s="62">
        <v>0</v>
      </c>
      <c r="N122" s="62">
        <v>0</v>
      </c>
      <c r="O122" s="62">
        <f t="shared" si="11"/>
        <v>0</v>
      </c>
      <c r="P122" s="62">
        <v>0</v>
      </c>
      <c r="Q122" s="62">
        <v>0</v>
      </c>
      <c r="R122" s="62">
        <v>0</v>
      </c>
      <c r="S122" s="62">
        <v>0</v>
      </c>
      <c r="T122" s="62">
        <v>-700</v>
      </c>
      <c r="U122" s="62">
        <v>0</v>
      </c>
      <c r="V122" s="62">
        <v>0</v>
      </c>
      <c r="W122" s="62">
        <f t="shared" si="6"/>
        <v>-700</v>
      </c>
      <c r="X122" s="62">
        <f t="shared" si="7"/>
        <v>0</v>
      </c>
      <c r="Y122" s="62">
        <f t="shared" si="8"/>
        <v>-700</v>
      </c>
      <c r="Z122" s="62">
        <v>700</v>
      </c>
      <c r="AA122" s="62">
        <f t="shared" si="12"/>
        <v>0</v>
      </c>
      <c r="AB122" s="62">
        <f t="shared" si="10"/>
        <v>700</v>
      </c>
      <c r="AC122" s="62"/>
      <c r="AD122" s="62" t="s">
        <v>713</v>
      </c>
    </row>
    <row r="123" spans="1:30" hidden="1" x14ac:dyDescent="0.3">
      <c r="A123" s="2">
        <v>3</v>
      </c>
      <c r="B123" s="3" t="s">
        <v>25</v>
      </c>
      <c r="C123" s="4" t="s">
        <v>26</v>
      </c>
      <c r="D123" s="4" t="s">
        <v>575</v>
      </c>
      <c r="E123" s="4" t="str">
        <f>VLOOKUP(C123,'[2]CTRL AUTOS'!$E$2:$L$58,8,FALSE)</f>
        <v>ASHC</v>
      </c>
      <c r="F123" s="61" t="str">
        <f>VLOOKUP(C123,'[2]CTRL AUTOS'!$E$2:$K$58,7,FALSE)</f>
        <v>ASHC</v>
      </c>
      <c r="G123" s="4" t="s">
        <v>234</v>
      </c>
      <c r="H123" s="62">
        <v>3381.1</v>
      </c>
      <c r="I123" s="62">
        <v>-866.69</v>
      </c>
      <c r="J123" s="62">
        <v>0</v>
      </c>
      <c r="K123" s="62">
        <v>0</v>
      </c>
      <c r="L123" s="62">
        <v>0</v>
      </c>
      <c r="M123" s="62">
        <v>-35</v>
      </c>
      <c r="N123" s="62">
        <f>-95*1.12</f>
        <v>-106.4</v>
      </c>
      <c r="O123" s="62">
        <f t="shared" si="11"/>
        <v>2373.0099999999998</v>
      </c>
      <c r="P123" s="62">
        <v>-2500</v>
      </c>
      <c r="Q123" s="62">
        <f>-2257*1.12</f>
        <v>-2527.84</v>
      </c>
      <c r="R123" s="62">
        <v>0</v>
      </c>
      <c r="S123" s="62">
        <v>0</v>
      </c>
      <c r="T123" s="62">
        <v>0</v>
      </c>
      <c r="U123" s="62">
        <v>0</v>
      </c>
      <c r="V123" s="62">
        <v>0</v>
      </c>
      <c r="W123" s="62">
        <f t="shared" si="6"/>
        <v>-2654.8300000000004</v>
      </c>
      <c r="X123" s="62">
        <f t="shared" si="7"/>
        <v>0</v>
      </c>
      <c r="Y123" s="62">
        <f t="shared" si="8"/>
        <v>-2654.8300000000004</v>
      </c>
      <c r="Z123" s="62">
        <v>940</v>
      </c>
      <c r="AA123" s="62">
        <f t="shared" si="12"/>
        <v>-1714.8300000000004</v>
      </c>
      <c r="AB123" s="62">
        <f t="shared" si="10"/>
        <v>1598.1799999999994</v>
      </c>
      <c r="AC123" s="62"/>
      <c r="AD123" s="62" t="s">
        <v>714</v>
      </c>
    </row>
    <row r="124" spans="1:30" hidden="1" x14ac:dyDescent="0.3">
      <c r="A124" s="2">
        <v>3</v>
      </c>
      <c r="B124" s="3" t="s">
        <v>25</v>
      </c>
      <c r="C124" s="4" t="s">
        <v>67</v>
      </c>
      <c r="D124" s="4" t="s">
        <v>511</v>
      </c>
      <c r="E124" s="4" t="str">
        <f>VLOOKUP(C124,'[2]CTRL AUTOS'!$E$2:$L$58,8,FALSE)</f>
        <v>ASHC</v>
      </c>
      <c r="F124" s="61" t="str">
        <f>VLOOKUP(C124,'[2]CTRL AUTOS'!$E$2:$K$58,7,FALSE)</f>
        <v>ASHC</v>
      </c>
      <c r="G124" s="4" t="s">
        <v>234</v>
      </c>
      <c r="H124" s="62">
        <v>0</v>
      </c>
      <c r="I124" s="62">
        <v>0</v>
      </c>
      <c r="J124" s="62">
        <v>0</v>
      </c>
      <c r="K124" s="62">
        <v>0</v>
      </c>
      <c r="L124" s="62">
        <v>0</v>
      </c>
      <c r="M124" s="62">
        <v>0</v>
      </c>
      <c r="N124" s="62">
        <v>0</v>
      </c>
      <c r="O124" s="62">
        <f t="shared" si="11"/>
        <v>0</v>
      </c>
      <c r="P124" s="62">
        <v>0</v>
      </c>
      <c r="Q124" s="62">
        <f>-500*1.12</f>
        <v>-560</v>
      </c>
      <c r="R124" s="62">
        <v>0</v>
      </c>
      <c r="S124" s="62">
        <v>0</v>
      </c>
      <c r="T124" s="62">
        <v>-500</v>
      </c>
      <c r="U124" s="62">
        <v>0</v>
      </c>
      <c r="V124" s="62">
        <v>0</v>
      </c>
      <c r="W124" s="62">
        <f t="shared" si="6"/>
        <v>-1060</v>
      </c>
      <c r="X124" s="62">
        <f t="shared" si="7"/>
        <v>0</v>
      </c>
      <c r="Y124" s="62">
        <f t="shared" si="8"/>
        <v>-1060</v>
      </c>
      <c r="Z124" s="62">
        <v>1060</v>
      </c>
      <c r="AA124" s="62">
        <f t="shared" si="12"/>
        <v>0</v>
      </c>
      <c r="AB124" s="62">
        <f t="shared" si="10"/>
        <v>1060</v>
      </c>
      <c r="AC124" s="62"/>
      <c r="AD124" s="62" t="s">
        <v>715</v>
      </c>
    </row>
    <row r="125" spans="1:30" hidden="1" x14ac:dyDescent="0.3">
      <c r="A125" s="2">
        <v>3</v>
      </c>
      <c r="B125" s="3" t="s">
        <v>27</v>
      </c>
      <c r="C125" s="4" t="s">
        <v>28</v>
      </c>
      <c r="D125" s="4" t="s">
        <v>274</v>
      </c>
      <c r="E125" s="4" t="str">
        <f>VLOOKUP(C125,'[2]CTRL AUTOS'!$E$2:$L$58,8,FALSE)</f>
        <v>ASHC</v>
      </c>
      <c r="F125" s="61" t="str">
        <f>VLOOKUP(C125,'[2]CTRL AUTOS'!$E$2:$K$58,7,FALSE)</f>
        <v>ASHC</v>
      </c>
      <c r="G125" s="4" t="s">
        <v>234</v>
      </c>
      <c r="H125" s="62">
        <v>5459.83</v>
      </c>
      <c r="I125" s="62">
        <v>-2600.9500000000003</v>
      </c>
      <c r="J125" s="62">
        <v>0</v>
      </c>
      <c r="K125" s="62">
        <v>0</v>
      </c>
      <c r="L125" s="62">
        <v>0</v>
      </c>
      <c r="M125" s="62">
        <v>-45</v>
      </c>
      <c r="N125" s="62">
        <v>0</v>
      </c>
      <c r="O125" s="62">
        <f t="shared" si="11"/>
        <v>2813.8799999999997</v>
      </c>
      <c r="P125" s="62">
        <v>-2500</v>
      </c>
      <c r="Q125" s="62">
        <v>0</v>
      </c>
      <c r="R125" s="62">
        <v>-500</v>
      </c>
      <c r="S125" s="62">
        <v>0</v>
      </c>
      <c r="T125" s="62">
        <v>0</v>
      </c>
      <c r="U125" s="62">
        <v>0</v>
      </c>
      <c r="V125" s="62">
        <v>0</v>
      </c>
      <c r="W125" s="62">
        <f t="shared" si="6"/>
        <v>-186.12000000000035</v>
      </c>
      <c r="X125" s="62">
        <f t="shared" si="7"/>
        <v>0</v>
      </c>
      <c r="Y125" s="62">
        <f t="shared" si="8"/>
        <v>-186.12000000000035</v>
      </c>
      <c r="Z125" s="62">
        <v>186</v>
      </c>
      <c r="AA125" s="62">
        <f t="shared" si="12"/>
        <v>-0.12000000000034561</v>
      </c>
      <c r="AB125" s="62">
        <f t="shared" si="10"/>
        <v>2999.7599999999993</v>
      </c>
      <c r="AC125" s="62"/>
      <c r="AD125" s="62" t="s">
        <v>716</v>
      </c>
    </row>
    <row r="126" spans="1:30" hidden="1" x14ac:dyDescent="0.3">
      <c r="A126" s="2">
        <v>3</v>
      </c>
      <c r="B126" s="3" t="s">
        <v>29</v>
      </c>
      <c r="C126" s="4" t="s">
        <v>141</v>
      </c>
      <c r="D126" s="4" t="s">
        <v>283</v>
      </c>
      <c r="E126" s="4" t="str">
        <f>VLOOKUP(C126,'[2]CTRL AUTOS'!$E$2:$L$58,8,FALSE)</f>
        <v>ASHC</v>
      </c>
      <c r="F126" s="61" t="str">
        <f>VLOOKUP(C126,'[2]CTRL AUTOS'!$E$2:$K$58,7,FALSE)</f>
        <v>ASHC</v>
      </c>
      <c r="G126" s="4" t="s">
        <v>234</v>
      </c>
      <c r="H126" s="62">
        <v>2985.27</v>
      </c>
      <c r="I126" s="62">
        <v>-743.94999999999993</v>
      </c>
      <c r="J126" s="62">
        <v>0</v>
      </c>
      <c r="K126" s="62">
        <v>0</v>
      </c>
      <c r="L126" s="62">
        <v>0</v>
      </c>
      <c r="M126" s="62">
        <v>-35</v>
      </c>
      <c r="N126" s="62">
        <f>-25.87-1.12</f>
        <v>-26.990000000000002</v>
      </c>
      <c r="O126" s="62">
        <f t="shared" si="11"/>
        <v>2179.3300000000004</v>
      </c>
      <c r="P126" s="62">
        <v>-2700</v>
      </c>
      <c r="Q126" s="62">
        <v>0</v>
      </c>
      <c r="R126" s="62">
        <v>-500</v>
      </c>
      <c r="S126" s="62">
        <v>0</v>
      </c>
      <c r="T126" s="62">
        <v>0</v>
      </c>
      <c r="U126" s="62">
        <v>0</v>
      </c>
      <c r="V126" s="62">
        <v>0</v>
      </c>
      <c r="W126" s="62">
        <f t="shared" si="6"/>
        <v>-1020.6699999999996</v>
      </c>
      <c r="X126" s="62">
        <f t="shared" si="7"/>
        <v>0</v>
      </c>
      <c r="Y126" s="62">
        <f t="shared" si="8"/>
        <v>-1020.6699999999996</v>
      </c>
      <c r="Z126" s="62">
        <v>1021</v>
      </c>
      <c r="AA126" s="62">
        <f t="shared" si="12"/>
        <v>0.33000000000038199</v>
      </c>
      <c r="AB126" s="62">
        <f t="shared" si="10"/>
        <v>3200.6600000000008</v>
      </c>
      <c r="AC126" s="62"/>
      <c r="AD126" s="62" t="s">
        <v>717</v>
      </c>
    </row>
    <row r="127" spans="1:30" hidden="1" x14ac:dyDescent="0.3">
      <c r="A127" s="2">
        <v>3</v>
      </c>
      <c r="B127" s="3" t="s">
        <v>31</v>
      </c>
      <c r="C127" s="4" t="s">
        <v>143</v>
      </c>
      <c r="D127" s="4" t="s">
        <v>283</v>
      </c>
      <c r="E127" s="4" t="str">
        <f>VLOOKUP(C127,'[2]CTRL AUTOS'!$E$2:$L$58,8,FALSE)</f>
        <v>ASHC</v>
      </c>
      <c r="F127" s="61" t="str">
        <f>VLOOKUP(C127,'[2]CTRL AUTOS'!$E$2:$K$58,7,FALSE)</f>
        <v>ASHC</v>
      </c>
      <c r="G127" s="4" t="s">
        <v>234</v>
      </c>
      <c r="H127" s="62">
        <v>9332.19</v>
      </c>
      <c r="I127" s="62">
        <v>-3961.4999999999995</v>
      </c>
      <c r="J127" s="62">
        <v>-107.2</v>
      </c>
      <c r="K127" s="62">
        <v>0</v>
      </c>
      <c r="L127" s="62">
        <v>0</v>
      </c>
      <c r="M127" s="62">
        <v>-75</v>
      </c>
      <c r="N127" s="62">
        <v>0</v>
      </c>
      <c r="O127" s="62">
        <f t="shared" si="11"/>
        <v>5188.4900000000007</v>
      </c>
      <c r="P127" s="62">
        <v>-2700</v>
      </c>
      <c r="Q127" s="62">
        <v>0</v>
      </c>
      <c r="R127" s="62">
        <v>-500</v>
      </c>
      <c r="S127" s="62">
        <v>0</v>
      </c>
      <c r="T127" s="62">
        <v>0</v>
      </c>
      <c r="U127" s="62">
        <v>0</v>
      </c>
      <c r="V127" s="62">
        <v>0</v>
      </c>
      <c r="W127" s="62">
        <f t="shared" si="6"/>
        <v>1988.4900000000007</v>
      </c>
      <c r="X127" s="62">
        <f t="shared" si="7"/>
        <v>1988.4900000000007</v>
      </c>
      <c r="Y127" s="62">
        <f t="shared" si="8"/>
        <v>0</v>
      </c>
      <c r="Z127" s="62">
        <v>0</v>
      </c>
      <c r="AA127" s="62">
        <f t="shared" si="12"/>
        <v>0</v>
      </c>
      <c r="AB127" s="62">
        <f t="shared" si="10"/>
        <v>3200</v>
      </c>
      <c r="AC127" s="62"/>
      <c r="AD127" s="62" t="s">
        <v>718</v>
      </c>
    </row>
    <row r="128" spans="1:30" hidden="1" x14ac:dyDescent="0.3">
      <c r="A128" s="2">
        <v>3</v>
      </c>
      <c r="B128" s="3" t="s">
        <v>33</v>
      </c>
      <c r="C128" s="4" t="s">
        <v>34</v>
      </c>
      <c r="D128" s="4" t="s">
        <v>285</v>
      </c>
      <c r="E128" s="4" t="str">
        <f>VLOOKUP(C128,'[2]CTRL AUTOS'!$E$2:$L$58,8,FALSE)</f>
        <v>ASHC</v>
      </c>
      <c r="F128" s="61" t="str">
        <f>VLOOKUP(C128,'[2]CTRL AUTOS'!$E$2:$K$58,7,FALSE)</f>
        <v>ASHC</v>
      </c>
      <c r="G128" s="4" t="s">
        <v>234</v>
      </c>
      <c r="H128" s="62">
        <v>4915.1099999999997</v>
      </c>
      <c r="I128" s="62">
        <v>-471.21000000000004</v>
      </c>
      <c r="J128" s="62">
        <v>0</v>
      </c>
      <c r="K128" s="62">
        <v>0</v>
      </c>
      <c r="L128" s="62">
        <v>-48.319999999999986</v>
      </c>
      <c r="M128" s="62">
        <v>-35</v>
      </c>
      <c r="N128" s="62">
        <f>-69*1.12</f>
        <v>-77.28</v>
      </c>
      <c r="O128" s="62">
        <f t="shared" si="11"/>
        <v>4283.3</v>
      </c>
      <c r="P128" s="62">
        <v>-2500</v>
      </c>
      <c r="Q128" s="62">
        <f>-3462</f>
        <v>-3462</v>
      </c>
      <c r="R128" s="62">
        <v>-500</v>
      </c>
      <c r="S128" s="62">
        <v>0</v>
      </c>
      <c r="T128" s="62">
        <v>0</v>
      </c>
      <c r="U128" s="62">
        <v>0</v>
      </c>
      <c r="V128" s="62">
        <v>0</v>
      </c>
      <c r="W128" s="62">
        <f t="shared" si="6"/>
        <v>-2178.6999999999998</v>
      </c>
      <c r="X128" s="62">
        <f t="shared" si="7"/>
        <v>0</v>
      </c>
      <c r="Y128" s="62">
        <f t="shared" si="8"/>
        <v>-2178.6999999999998</v>
      </c>
      <c r="Z128" s="62">
        <v>0</v>
      </c>
      <c r="AA128" s="62">
        <f t="shared" si="12"/>
        <v>-2178.6999999999998</v>
      </c>
      <c r="AB128" s="62">
        <f t="shared" si="10"/>
        <v>2104.6000000000004</v>
      </c>
      <c r="AC128" s="62"/>
      <c r="AD128" s="62" t="s">
        <v>719</v>
      </c>
    </row>
    <row r="129" spans="1:30" hidden="1" x14ac:dyDescent="0.3">
      <c r="A129" s="2">
        <v>3</v>
      </c>
      <c r="B129" s="3" t="s">
        <v>33</v>
      </c>
      <c r="C129" s="4" t="s">
        <v>56</v>
      </c>
      <c r="D129" s="4"/>
      <c r="E129" s="4" t="str">
        <f>VLOOKUP(C129,'[2]CTRL AUTOS'!$E$2:$L$58,8,FALSE)</f>
        <v>U64</v>
      </c>
      <c r="F129" s="61" t="str">
        <f>VLOOKUP(C129,'[2]CTRL AUTOS'!$E$2:$K$58,7,FALSE)</f>
        <v>BYER</v>
      </c>
      <c r="G129" s="4" t="s">
        <v>234</v>
      </c>
      <c r="H129" s="62">
        <v>0</v>
      </c>
      <c r="I129" s="62">
        <v>0</v>
      </c>
      <c r="J129" s="62">
        <v>0</v>
      </c>
      <c r="K129" s="62">
        <v>0</v>
      </c>
      <c r="L129" s="62">
        <v>0</v>
      </c>
      <c r="M129" s="62">
        <v>0</v>
      </c>
      <c r="N129" s="62">
        <v>0</v>
      </c>
      <c r="O129" s="62">
        <f t="shared" si="11"/>
        <v>0</v>
      </c>
      <c r="P129" s="62">
        <v>0</v>
      </c>
      <c r="Q129" s="62">
        <v>0</v>
      </c>
      <c r="R129" s="62">
        <v>0</v>
      </c>
      <c r="S129" s="62">
        <v>0</v>
      </c>
      <c r="T129" s="62">
        <v>-700</v>
      </c>
      <c r="U129" s="62">
        <v>0</v>
      </c>
      <c r="V129" s="62">
        <v>0</v>
      </c>
      <c r="W129" s="62">
        <f t="shared" si="6"/>
        <v>-700</v>
      </c>
      <c r="X129" s="62">
        <f t="shared" si="7"/>
        <v>0</v>
      </c>
      <c r="Y129" s="62">
        <f t="shared" si="8"/>
        <v>-700</v>
      </c>
      <c r="Z129" s="62">
        <v>0</v>
      </c>
      <c r="AA129" s="62">
        <f t="shared" si="12"/>
        <v>-700</v>
      </c>
      <c r="AB129" s="62">
        <f t="shared" si="10"/>
        <v>-700</v>
      </c>
      <c r="AC129" s="62"/>
      <c r="AD129" s="62" t="s">
        <v>719</v>
      </c>
    </row>
    <row r="130" spans="1:30" hidden="1" x14ac:dyDescent="0.3">
      <c r="A130" s="2">
        <v>3</v>
      </c>
      <c r="B130" s="3" t="s">
        <v>35</v>
      </c>
      <c r="C130" s="4" t="s">
        <v>36</v>
      </c>
      <c r="D130" s="4" t="s">
        <v>510</v>
      </c>
      <c r="E130" s="4" t="str">
        <f>VLOOKUP(C130,'[2]CTRL AUTOS'!$E$2:$L$58,8,FALSE)</f>
        <v>ASHC</v>
      </c>
      <c r="F130" s="61" t="str">
        <f>VLOOKUP(C130,'[2]CTRL AUTOS'!$E$2:$K$58,7,FALSE)</f>
        <v>ASHC</v>
      </c>
      <c r="G130" s="4" t="s">
        <v>234</v>
      </c>
      <c r="H130" s="62">
        <v>8717.44</v>
      </c>
      <c r="I130" s="62">
        <v>-3510.12</v>
      </c>
      <c r="J130" s="62">
        <v>-180</v>
      </c>
      <c r="K130" s="62">
        <v>0</v>
      </c>
      <c r="L130" s="62">
        <v>0</v>
      </c>
      <c r="M130" s="62">
        <v>-78</v>
      </c>
      <c r="N130" s="62">
        <v>0</v>
      </c>
      <c r="O130" s="62">
        <f t="shared" si="11"/>
        <v>4949.3200000000006</v>
      </c>
      <c r="P130" s="62">
        <v>-2500</v>
      </c>
      <c r="Q130" s="62">
        <v>5</v>
      </c>
      <c r="R130" s="62">
        <v>0</v>
      </c>
      <c r="S130" s="62">
        <v>0</v>
      </c>
      <c r="T130" s="62">
        <v>0</v>
      </c>
      <c r="U130" s="62">
        <v>0</v>
      </c>
      <c r="V130" s="62">
        <v>0</v>
      </c>
      <c r="W130" s="62">
        <f t="shared" ref="W130:W193" si="13">SUM(O130:V130)</f>
        <v>2454.3200000000006</v>
      </c>
      <c r="X130" s="62">
        <f t="shared" ref="X130:X193" si="14">IF(W130&gt;=0,W130,0)</f>
        <v>2454.3200000000006</v>
      </c>
      <c r="Y130" s="62">
        <f t="shared" ref="Y130:Y193" si="15">IF(W130&lt;=0,W130,0)</f>
        <v>0</v>
      </c>
      <c r="Z130" s="62">
        <v>0</v>
      </c>
      <c r="AA130" s="62">
        <f t="shared" si="12"/>
        <v>0</v>
      </c>
      <c r="AB130" s="62">
        <f t="shared" ref="AB130:AB193" si="16">+O130-X130+Z130+AA130</f>
        <v>2495</v>
      </c>
      <c r="AC130" s="62"/>
      <c r="AD130" s="62" t="s">
        <v>720</v>
      </c>
    </row>
    <row r="131" spans="1:30" hidden="1" x14ac:dyDescent="0.3">
      <c r="A131" s="2">
        <v>3</v>
      </c>
      <c r="B131" s="3" t="s">
        <v>37</v>
      </c>
      <c r="C131" s="4" t="s">
        <v>38</v>
      </c>
      <c r="D131" s="4" t="s">
        <v>579</v>
      </c>
      <c r="E131" s="4" t="str">
        <f>VLOOKUP(C131,'[2]CTRL AUTOS'!$E$2:$L$58,8,FALSE)</f>
        <v>ASHC</v>
      </c>
      <c r="F131" s="61" t="str">
        <f>VLOOKUP(C131,'[2]CTRL AUTOS'!$E$2:$K$58,7,FALSE)</f>
        <v>ASHC</v>
      </c>
      <c r="G131" s="4" t="s">
        <v>234</v>
      </c>
      <c r="H131" s="62">
        <v>1177.73</v>
      </c>
      <c r="I131" s="62">
        <v>-772.99</v>
      </c>
      <c r="J131" s="62">
        <v>0</v>
      </c>
      <c r="K131" s="62">
        <v>0</v>
      </c>
      <c r="L131" s="62">
        <v>0</v>
      </c>
      <c r="M131" s="62">
        <v>-35</v>
      </c>
      <c r="N131" s="62">
        <v>0</v>
      </c>
      <c r="O131" s="62">
        <f t="shared" si="11"/>
        <v>369.74</v>
      </c>
      <c r="P131" s="62">
        <v>-2500</v>
      </c>
      <c r="Q131" s="62">
        <f>-1822*1.12</f>
        <v>-2040.64</v>
      </c>
      <c r="R131" s="62">
        <v>0</v>
      </c>
      <c r="S131" s="62">
        <v>0</v>
      </c>
      <c r="T131" s="62">
        <v>0</v>
      </c>
      <c r="U131" s="62">
        <v>0</v>
      </c>
      <c r="V131" s="62">
        <v>0</v>
      </c>
      <c r="W131" s="62">
        <f t="shared" si="13"/>
        <v>-4170.9000000000005</v>
      </c>
      <c r="X131" s="62">
        <f t="shared" si="14"/>
        <v>0</v>
      </c>
      <c r="Y131" s="62">
        <f t="shared" si="15"/>
        <v>-4170.9000000000005</v>
      </c>
      <c r="Z131" s="62">
        <v>4171</v>
      </c>
      <c r="AA131" s="62">
        <f t="shared" si="12"/>
        <v>9.9999999999454303E-2</v>
      </c>
      <c r="AB131" s="62">
        <f t="shared" si="16"/>
        <v>4540.8399999999992</v>
      </c>
      <c r="AC131" s="62"/>
      <c r="AD131" s="62" t="s">
        <v>721</v>
      </c>
    </row>
    <row r="132" spans="1:30" hidden="1" x14ac:dyDescent="0.3">
      <c r="A132" s="2">
        <v>3</v>
      </c>
      <c r="B132" s="3" t="s">
        <v>39</v>
      </c>
      <c r="C132" s="4" t="s">
        <v>40</v>
      </c>
      <c r="D132" s="4" t="s">
        <v>315</v>
      </c>
      <c r="E132" s="4" t="str">
        <f>VLOOKUP(C132,'[2]CTRL AUTOS'!$E$2:$L$58,8,FALSE)</f>
        <v>ASHC</v>
      </c>
      <c r="F132" s="61" t="str">
        <f>VLOOKUP(C132,'[2]CTRL AUTOS'!$E$2:$K$58,7,FALSE)</f>
        <v>ASHC</v>
      </c>
      <c r="G132" s="4" t="s">
        <v>234</v>
      </c>
      <c r="H132" s="62">
        <v>6700.43</v>
      </c>
      <c r="I132" s="62">
        <v>-3154.7999999999993</v>
      </c>
      <c r="J132" s="62">
        <v>-320</v>
      </c>
      <c r="K132" s="62">
        <v>0</v>
      </c>
      <c r="L132" s="62">
        <v>0</v>
      </c>
      <c r="M132" s="62">
        <v>-72</v>
      </c>
      <c r="N132" s="62">
        <f>-134.88*1.12</f>
        <v>-151.06560000000002</v>
      </c>
      <c r="O132" s="62">
        <f t="shared" si="11"/>
        <v>3002.5644000000011</v>
      </c>
      <c r="P132" s="62">
        <v>-2500</v>
      </c>
      <c r="Q132" s="62">
        <f>-1991*1.12</f>
        <v>-2229.92</v>
      </c>
      <c r="R132" s="62">
        <v>-500</v>
      </c>
      <c r="S132" s="62">
        <v>0</v>
      </c>
      <c r="T132" s="62">
        <v>0</v>
      </c>
      <c r="U132" s="62">
        <v>0</v>
      </c>
      <c r="V132" s="62">
        <v>0</v>
      </c>
      <c r="W132" s="62">
        <f t="shared" si="13"/>
        <v>-2227.355599999999</v>
      </c>
      <c r="X132" s="62">
        <f t="shared" si="14"/>
        <v>0</v>
      </c>
      <c r="Y132" s="62">
        <f t="shared" si="15"/>
        <v>-2227.355599999999</v>
      </c>
      <c r="Z132" s="62">
        <v>0</v>
      </c>
      <c r="AA132" s="62">
        <f t="shared" si="12"/>
        <v>-2227.355599999999</v>
      </c>
      <c r="AB132" s="62">
        <f t="shared" si="16"/>
        <v>775.20880000000216</v>
      </c>
      <c r="AC132" s="62"/>
      <c r="AD132" s="62" t="s">
        <v>722</v>
      </c>
    </row>
    <row r="133" spans="1:30" hidden="1" x14ac:dyDescent="0.3">
      <c r="A133" s="2">
        <v>3</v>
      </c>
      <c r="B133" s="3" t="s">
        <v>43</v>
      </c>
      <c r="C133" s="4" t="s">
        <v>44</v>
      </c>
      <c r="D133" s="4" t="s">
        <v>467</v>
      </c>
      <c r="E133" s="4" t="str">
        <f>VLOOKUP(C133,'[2]CTRL AUTOS'!$E$2:$L$58,8,FALSE)</f>
        <v>ASHC</v>
      </c>
      <c r="F133" s="61" t="str">
        <f>VLOOKUP(C133,'[2]CTRL AUTOS'!$E$2:$K$58,7,FALSE)</f>
        <v>ASHC</v>
      </c>
      <c r="G133" s="4" t="s">
        <v>234</v>
      </c>
      <c r="H133" s="62">
        <v>374.23</v>
      </c>
      <c r="I133" s="62">
        <v>0</v>
      </c>
      <c r="J133" s="62">
        <v>-13.98</v>
      </c>
      <c r="K133" s="62">
        <v>0</v>
      </c>
      <c r="L133" s="62">
        <v>0</v>
      </c>
      <c r="M133" s="62">
        <v>0</v>
      </c>
      <c r="N133" s="62">
        <f>-95*1.12</f>
        <v>-106.4</v>
      </c>
      <c r="O133" s="62">
        <f t="shared" si="11"/>
        <v>253.85</v>
      </c>
      <c r="P133" s="62">
        <v>-2500</v>
      </c>
      <c r="Q133" s="62">
        <f>-463*1.12</f>
        <v>-518.56000000000006</v>
      </c>
      <c r="R133" s="62">
        <v>-500</v>
      </c>
      <c r="S133" s="62">
        <v>0</v>
      </c>
      <c r="T133" s="62">
        <v>0</v>
      </c>
      <c r="U133" s="62">
        <v>0</v>
      </c>
      <c r="V133" s="62">
        <v>0</v>
      </c>
      <c r="W133" s="62">
        <f t="shared" si="13"/>
        <v>-3264.71</v>
      </c>
      <c r="X133" s="62">
        <f t="shared" si="14"/>
        <v>0</v>
      </c>
      <c r="Y133" s="62">
        <f t="shared" si="15"/>
        <v>-3264.71</v>
      </c>
      <c r="Z133" s="62">
        <f>1000+1200+500</f>
        <v>2700</v>
      </c>
      <c r="AA133" s="62">
        <f t="shared" si="12"/>
        <v>-564.71</v>
      </c>
      <c r="AB133" s="62">
        <f t="shared" si="16"/>
        <v>2389.14</v>
      </c>
      <c r="AC133" s="62"/>
      <c r="AD133" s="62" t="s">
        <v>723</v>
      </c>
    </row>
    <row r="134" spans="1:30" hidden="1" x14ac:dyDescent="0.3">
      <c r="A134" s="2">
        <v>3</v>
      </c>
      <c r="B134" s="3" t="s">
        <v>47</v>
      </c>
      <c r="C134" s="4" t="s">
        <v>147</v>
      </c>
      <c r="D134" s="4" t="s">
        <v>283</v>
      </c>
      <c r="E134" s="4" t="str">
        <f>VLOOKUP(C134,'[2]CTRL AUTOS'!$E$2:$L$58,8,FALSE)</f>
        <v>ASHC</v>
      </c>
      <c r="F134" s="61" t="str">
        <f>VLOOKUP(C134,'[2]CTRL AUTOS'!$E$2:$K$58,7,FALSE)</f>
        <v>ASHC</v>
      </c>
      <c r="G134" s="4" t="s">
        <v>234</v>
      </c>
      <c r="H134" s="62">
        <v>7226.08</v>
      </c>
      <c r="I134" s="62">
        <v>-2367.1600000000003</v>
      </c>
      <c r="J134" s="62">
        <v>0</v>
      </c>
      <c r="K134" s="62">
        <v>0</v>
      </c>
      <c r="L134" s="62">
        <v>-85.589999999999961</v>
      </c>
      <c r="M134" s="62">
        <v>-52</v>
      </c>
      <c r="N134" s="62">
        <v>0</v>
      </c>
      <c r="O134" s="62">
        <f t="shared" si="11"/>
        <v>4721.33</v>
      </c>
      <c r="P134" s="62">
        <v>-2700</v>
      </c>
      <c r="Q134" s="62">
        <v>0</v>
      </c>
      <c r="R134" s="62">
        <v>-500</v>
      </c>
      <c r="S134" s="62">
        <v>0</v>
      </c>
      <c r="T134" s="62">
        <v>0</v>
      </c>
      <c r="U134" s="62">
        <v>0</v>
      </c>
      <c r="V134" s="62">
        <v>0</v>
      </c>
      <c r="W134" s="62">
        <f t="shared" si="13"/>
        <v>1521.33</v>
      </c>
      <c r="X134" s="62">
        <f t="shared" si="14"/>
        <v>1521.33</v>
      </c>
      <c r="Y134" s="62">
        <f t="shared" si="15"/>
        <v>0</v>
      </c>
      <c r="Z134" s="62">
        <v>0</v>
      </c>
      <c r="AA134" s="62">
        <f t="shared" si="12"/>
        <v>0</v>
      </c>
      <c r="AB134" s="62">
        <f t="shared" si="16"/>
        <v>3200</v>
      </c>
      <c r="AC134" s="62"/>
      <c r="AD134" s="62" t="s">
        <v>724</v>
      </c>
    </row>
    <row r="135" spans="1:30" hidden="1" x14ac:dyDescent="0.3">
      <c r="A135" s="2">
        <v>3</v>
      </c>
      <c r="B135" s="3" t="s">
        <v>49</v>
      </c>
      <c r="C135" s="4" t="s">
        <v>96</v>
      </c>
      <c r="D135" s="4" t="s">
        <v>480</v>
      </c>
      <c r="E135" s="4" t="str">
        <f>VLOOKUP(C135,'[2]CTRL AUTOS'!$E$2:$L$58,8,FALSE)</f>
        <v>ASHC</v>
      </c>
      <c r="F135" s="61" t="str">
        <f>VLOOKUP(C135,'[2]CTRL AUTOS'!$E$2:$K$58,7,FALSE)</f>
        <v>ASHC</v>
      </c>
      <c r="G135" s="4" t="s">
        <v>234</v>
      </c>
      <c r="H135" s="62">
        <v>5868.92</v>
      </c>
      <c r="I135" s="62">
        <v>-302.39999999999998</v>
      </c>
      <c r="J135" s="62">
        <v>-32</v>
      </c>
      <c r="K135" s="62">
        <v>0</v>
      </c>
      <c r="L135" s="62">
        <v>0</v>
      </c>
      <c r="M135" s="62">
        <v>-32</v>
      </c>
      <c r="N135" s="62">
        <v>0</v>
      </c>
      <c r="O135" s="62">
        <f t="shared" ref="O135:O198" si="17">IF(H135+I135&lt;0,SUM(J135:N135),SUM(H135:N135))</f>
        <v>5502.52</v>
      </c>
      <c r="P135" s="62">
        <v>-2500</v>
      </c>
      <c r="Q135" s="62">
        <v>0</v>
      </c>
      <c r="R135" s="62">
        <v>0</v>
      </c>
      <c r="S135" s="62">
        <v>0</v>
      </c>
      <c r="T135" s="62">
        <v>0</v>
      </c>
      <c r="U135" s="62">
        <v>0</v>
      </c>
      <c r="V135" s="62">
        <v>0</v>
      </c>
      <c r="W135" s="62">
        <f t="shared" si="13"/>
        <v>3002.5200000000004</v>
      </c>
      <c r="X135" s="62">
        <f t="shared" si="14"/>
        <v>3002.5200000000004</v>
      </c>
      <c r="Y135" s="62">
        <f t="shared" si="15"/>
        <v>0</v>
      </c>
      <c r="Z135" s="62">
        <v>0</v>
      </c>
      <c r="AA135" s="62">
        <f t="shared" si="12"/>
        <v>0</v>
      </c>
      <c r="AB135" s="62">
        <f t="shared" si="16"/>
        <v>2500</v>
      </c>
      <c r="AC135" s="62"/>
      <c r="AD135" s="62"/>
    </row>
    <row r="136" spans="1:30" hidden="1" x14ac:dyDescent="0.3">
      <c r="A136" s="2">
        <v>3</v>
      </c>
      <c r="B136" s="3" t="s">
        <v>49</v>
      </c>
      <c r="C136" s="4" t="s">
        <v>104</v>
      </c>
      <c r="D136" s="4" t="s">
        <v>283</v>
      </c>
      <c r="E136" s="4" t="s">
        <v>232</v>
      </c>
      <c r="F136" s="61" t="s">
        <v>232</v>
      </c>
      <c r="G136" s="4" t="s">
        <v>234</v>
      </c>
      <c r="H136" s="62">
        <v>0</v>
      </c>
      <c r="I136" s="62">
        <v>0</v>
      </c>
      <c r="J136" s="62">
        <v>0</v>
      </c>
      <c r="K136" s="62">
        <v>0</v>
      </c>
      <c r="L136" s="62">
        <v>0</v>
      </c>
      <c r="M136" s="62">
        <v>0</v>
      </c>
      <c r="N136" s="62">
        <v>0</v>
      </c>
      <c r="O136" s="62">
        <f t="shared" si="17"/>
        <v>0</v>
      </c>
      <c r="P136" s="62">
        <v>0</v>
      </c>
      <c r="Q136" s="62">
        <v>0</v>
      </c>
      <c r="R136" s="62">
        <v>0</v>
      </c>
      <c r="S136" s="62">
        <v>0</v>
      </c>
      <c r="T136" s="62">
        <v>-700</v>
      </c>
      <c r="U136" s="62">
        <v>0</v>
      </c>
      <c r="V136" s="62">
        <v>0</v>
      </c>
      <c r="W136" s="62">
        <f t="shared" si="13"/>
        <v>-700</v>
      </c>
      <c r="X136" s="62">
        <f t="shared" si="14"/>
        <v>0</v>
      </c>
      <c r="Y136" s="62">
        <f t="shared" si="15"/>
        <v>-700</v>
      </c>
      <c r="Z136" s="62">
        <v>0</v>
      </c>
      <c r="AA136" s="62">
        <f t="shared" si="12"/>
        <v>-700</v>
      </c>
      <c r="AB136" s="62">
        <f t="shared" si="16"/>
        <v>-700</v>
      </c>
      <c r="AC136" s="62"/>
      <c r="AD136" s="62" t="s">
        <v>677</v>
      </c>
    </row>
    <row r="137" spans="1:30" hidden="1" x14ac:dyDescent="0.3">
      <c r="A137" s="2">
        <v>3</v>
      </c>
      <c r="B137" s="3" t="s">
        <v>51</v>
      </c>
      <c r="C137" s="4" t="s">
        <v>52</v>
      </c>
      <c r="D137" s="4" t="s">
        <v>313</v>
      </c>
      <c r="E137" s="4" t="str">
        <f>VLOOKUP(C137,'[2]CTRL AUTOS'!$E$2:$L$58,8,FALSE)</f>
        <v>ASHC</v>
      </c>
      <c r="F137" s="61" t="str">
        <f>VLOOKUP(C137,'[2]CTRL AUTOS'!$E$2:$K$58,7,FALSE)</f>
        <v>ASHC</v>
      </c>
      <c r="G137" s="4" t="s">
        <v>234</v>
      </c>
      <c r="H137" s="62">
        <v>2767.31</v>
      </c>
      <c r="I137" s="62">
        <v>0</v>
      </c>
      <c r="J137" s="62">
        <v>0</v>
      </c>
      <c r="K137" s="62">
        <v>0</v>
      </c>
      <c r="L137" s="62">
        <v>-22.639999999999997</v>
      </c>
      <c r="M137" s="62">
        <v>0</v>
      </c>
      <c r="N137" s="62">
        <v>0</v>
      </c>
      <c r="O137" s="62">
        <f t="shared" si="17"/>
        <v>2744.67</v>
      </c>
      <c r="P137" s="62">
        <v>-2500</v>
      </c>
      <c r="Q137" s="62">
        <v>0</v>
      </c>
      <c r="R137" s="62">
        <v>0</v>
      </c>
      <c r="S137" s="62">
        <v>0</v>
      </c>
      <c r="T137" s="62">
        <v>0</v>
      </c>
      <c r="U137" s="62">
        <v>0</v>
      </c>
      <c r="V137" s="62">
        <v>0</v>
      </c>
      <c r="W137" s="62">
        <f t="shared" si="13"/>
        <v>244.67000000000007</v>
      </c>
      <c r="X137" s="62">
        <f t="shared" si="14"/>
        <v>244.67000000000007</v>
      </c>
      <c r="Y137" s="62">
        <f t="shared" si="15"/>
        <v>0</v>
      </c>
      <c r="Z137" s="62">
        <v>0</v>
      </c>
      <c r="AA137" s="62">
        <f t="shared" si="12"/>
        <v>0</v>
      </c>
      <c r="AB137" s="62">
        <f t="shared" si="16"/>
        <v>2500</v>
      </c>
      <c r="AC137" s="62"/>
      <c r="AD137" s="62" t="s">
        <v>678</v>
      </c>
    </row>
    <row r="138" spans="1:30" hidden="1" x14ac:dyDescent="0.3">
      <c r="A138" s="2">
        <v>3</v>
      </c>
      <c r="B138" s="3" t="s">
        <v>53</v>
      </c>
      <c r="C138" s="4" t="s">
        <v>54</v>
      </c>
      <c r="D138" s="4" t="s">
        <v>318</v>
      </c>
      <c r="E138" s="4" t="str">
        <f>VLOOKUP(C138,'[2]CTRL AUTOS'!$E$2:$L$58,8,FALSE)</f>
        <v>ASHC</v>
      </c>
      <c r="F138" s="61" t="str">
        <f>VLOOKUP(C138,'[2]CTRL AUTOS'!$E$2:$K$58,7,FALSE)</f>
        <v>ASHC</v>
      </c>
      <c r="G138" s="4" t="s">
        <v>234</v>
      </c>
      <c r="H138" s="62">
        <v>3458.2</v>
      </c>
      <c r="I138" s="62">
        <v>-1835.0500000000002</v>
      </c>
      <c r="J138" s="62">
        <v>0</v>
      </c>
      <c r="K138" s="62">
        <v>0</v>
      </c>
      <c r="L138" s="62">
        <v>0</v>
      </c>
      <c r="M138" s="62">
        <v>-45</v>
      </c>
      <c r="N138" s="62">
        <v>0</v>
      </c>
      <c r="O138" s="62">
        <f t="shared" si="17"/>
        <v>1578.1499999999996</v>
      </c>
      <c r="P138" s="62">
        <v>-2500</v>
      </c>
      <c r="Q138" s="62">
        <f>-1236*1.12</f>
        <v>-1384.3200000000002</v>
      </c>
      <c r="R138" s="62">
        <v>-500</v>
      </c>
      <c r="S138" s="62">
        <v>0</v>
      </c>
      <c r="T138" s="62">
        <v>0</v>
      </c>
      <c r="U138" s="62">
        <v>0</v>
      </c>
      <c r="V138" s="62">
        <v>0</v>
      </c>
      <c r="W138" s="62">
        <f t="shared" si="13"/>
        <v>-2806.1700000000005</v>
      </c>
      <c r="X138" s="62">
        <f t="shared" si="14"/>
        <v>0</v>
      </c>
      <c r="Y138" s="62">
        <f t="shared" si="15"/>
        <v>-2806.1700000000005</v>
      </c>
      <c r="Z138" s="62">
        <v>0</v>
      </c>
      <c r="AA138" s="62">
        <f t="shared" si="12"/>
        <v>-2806.1700000000005</v>
      </c>
      <c r="AB138" s="62">
        <f t="shared" si="16"/>
        <v>-1228.0200000000009</v>
      </c>
      <c r="AC138" s="62"/>
      <c r="AD138" s="62" t="s">
        <v>725</v>
      </c>
    </row>
    <row r="139" spans="1:30" hidden="1" x14ac:dyDescent="0.3">
      <c r="A139" s="2">
        <v>3</v>
      </c>
      <c r="B139" s="3" t="s">
        <v>64</v>
      </c>
      <c r="C139" s="4" t="s">
        <v>140</v>
      </c>
      <c r="D139" s="4" t="s">
        <v>680</v>
      </c>
      <c r="E139" s="4" t="str">
        <f>VLOOKUP(C139,'[2]CTRL AUTOS'!$E$2:$L$58,8,FALSE)</f>
        <v>ASHC</v>
      </c>
      <c r="F139" s="61" t="str">
        <f>VLOOKUP(C139,'[2]CTRL AUTOS'!$E$2:$K$58,7,FALSE)</f>
        <v>ASHC</v>
      </c>
      <c r="G139" s="4" t="s">
        <v>234</v>
      </c>
      <c r="H139" s="62">
        <v>5152.9399999999996</v>
      </c>
      <c r="I139" s="62">
        <v>-543.58000000000004</v>
      </c>
      <c r="J139" s="62">
        <v>-48</v>
      </c>
      <c r="K139" s="62">
        <v>0</v>
      </c>
      <c r="L139" s="62">
        <v>0</v>
      </c>
      <c r="M139" s="62">
        <v>-35</v>
      </c>
      <c r="N139" s="62">
        <v>0</v>
      </c>
      <c r="O139" s="62">
        <f t="shared" si="17"/>
        <v>4526.3599999999997</v>
      </c>
      <c r="P139" s="62">
        <v>-2700</v>
      </c>
      <c r="Q139" s="62">
        <v>0</v>
      </c>
      <c r="R139" s="62">
        <v>-500</v>
      </c>
      <c r="S139" s="62">
        <v>0</v>
      </c>
      <c r="T139" s="62">
        <v>0</v>
      </c>
      <c r="U139" s="62">
        <v>0</v>
      </c>
      <c r="V139" s="62">
        <v>0</v>
      </c>
      <c r="W139" s="62">
        <f t="shared" si="13"/>
        <v>1326.3599999999997</v>
      </c>
      <c r="X139" s="62">
        <f t="shared" si="14"/>
        <v>1326.3599999999997</v>
      </c>
      <c r="Y139" s="62">
        <f t="shared" si="15"/>
        <v>0</v>
      </c>
      <c r="Z139" s="62">
        <v>0</v>
      </c>
      <c r="AA139" s="62">
        <f t="shared" si="12"/>
        <v>0</v>
      </c>
      <c r="AB139" s="62">
        <f t="shared" si="16"/>
        <v>3200</v>
      </c>
      <c r="AC139" s="62"/>
      <c r="AD139" s="62" t="s">
        <v>726</v>
      </c>
    </row>
    <row r="140" spans="1:30" hidden="1" x14ac:dyDescent="0.3">
      <c r="A140" s="2">
        <v>3</v>
      </c>
      <c r="B140" s="3" t="s">
        <v>66</v>
      </c>
      <c r="C140" s="4" t="s">
        <v>67</v>
      </c>
      <c r="D140" s="4" t="s">
        <v>511</v>
      </c>
      <c r="E140" s="4" t="str">
        <f>VLOOKUP(C140,'[2]CTRL AUTOS'!$E$2:$L$58,8,FALSE)</f>
        <v>ASHC</v>
      </c>
      <c r="F140" s="61" t="str">
        <f>VLOOKUP(C140,'[2]CTRL AUTOS'!$E$2:$K$58,7,FALSE)</f>
        <v>ASHC</v>
      </c>
      <c r="G140" s="4" t="s">
        <v>234</v>
      </c>
      <c r="H140" s="62">
        <v>7850.95</v>
      </c>
      <c r="I140" s="62">
        <v>-5829.5599999999986</v>
      </c>
      <c r="J140" s="62">
        <v>-40.799999999999997</v>
      </c>
      <c r="K140" s="62">
        <v>0</v>
      </c>
      <c r="L140" s="62">
        <v>-78.619999999999962</v>
      </c>
      <c r="M140" s="62">
        <v>-98</v>
      </c>
      <c r="N140" s="62">
        <v>0</v>
      </c>
      <c r="O140" s="62">
        <f t="shared" si="17"/>
        <v>1803.9700000000014</v>
      </c>
      <c r="P140" s="62">
        <v>-2500</v>
      </c>
      <c r="Q140" s="62">
        <v>0</v>
      </c>
      <c r="R140" s="62">
        <v>-500</v>
      </c>
      <c r="S140" s="62">
        <v>0</v>
      </c>
      <c r="T140" s="62">
        <v>0</v>
      </c>
      <c r="U140" s="62">
        <v>0</v>
      </c>
      <c r="V140" s="62">
        <v>0</v>
      </c>
      <c r="W140" s="62">
        <f t="shared" si="13"/>
        <v>-1196.0299999999986</v>
      </c>
      <c r="X140" s="62">
        <f t="shared" si="14"/>
        <v>0</v>
      </c>
      <c r="Y140" s="62">
        <f t="shared" si="15"/>
        <v>-1196.0299999999986</v>
      </c>
      <c r="Z140" s="62">
        <v>0</v>
      </c>
      <c r="AA140" s="62">
        <f t="shared" si="12"/>
        <v>-1196.0299999999986</v>
      </c>
      <c r="AB140" s="62">
        <f t="shared" si="16"/>
        <v>607.94000000000278</v>
      </c>
      <c r="AC140" s="62"/>
      <c r="AD140" s="62" t="s">
        <v>682</v>
      </c>
    </row>
    <row r="141" spans="1:30" hidden="1" x14ac:dyDescent="0.3">
      <c r="A141" s="2">
        <v>3</v>
      </c>
      <c r="B141" s="3" t="s">
        <v>74</v>
      </c>
      <c r="C141" s="4" t="s">
        <v>77</v>
      </c>
      <c r="D141" s="4" t="s">
        <v>474</v>
      </c>
      <c r="E141" s="4" t="str">
        <f>VLOOKUP(C141,'[2]CTRL AUTOS'!$E$2:$L$58,8,FALSE)</f>
        <v>ASHC</v>
      </c>
      <c r="F141" s="61" t="str">
        <f>VLOOKUP(C141,'[2]CTRL AUTOS'!$E$2:$K$58,7,FALSE)</f>
        <v>ASHC</v>
      </c>
      <c r="G141" s="4" t="s">
        <v>234</v>
      </c>
      <c r="H141" s="62">
        <v>3107.57</v>
      </c>
      <c r="I141" s="62">
        <v>-1529.7499999999998</v>
      </c>
      <c r="J141" s="62">
        <v>0</v>
      </c>
      <c r="K141" s="62">
        <v>0</v>
      </c>
      <c r="L141" s="62">
        <v>0</v>
      </c>
      <c r="M141" s="62">
        <v>-35</v>
      </c>
      <c r="N141" s="62">
        <v>0</v>
      </c>
      <c r="O141" s="62">
        <f t="shared" si="17"/>
        <v>1542.8200000000004</v>
      </c>
      <c r="P141" s="62">
        <v>-2500</v>
      </c>
      <c r="Q141" s="62">
        <f>-1645*1.12</f>
        <v>-1842.4</v>
      </c>
      <c r="R141" s="62">
        <v>0</v>
      </c>
      <c r="S141" s="62">
        <v>0</v>
      </c>
      <c r="T141" s="62"/>
      <c r="U141" s="62">
        <v>0</v>
      </c>
      <c r="V141" s="62">
        <v>0</v>
      </c>
      <c r="W141" s="62">
        <f t="shared" si="13"/>
        <v>-2799.58</v>
      </c>
      <c r="X141" s="62">
        <f t="shared" si="14"/>
        <v>0</v>
      </c>
      <c r="Y141" s="62">
        <f t="shared" si="15"/>
        <v>-2799.58</v>
      </c>
      <c r="Z141" s="62">
        <v>0</v>
      </c>
      <c r="AA141" s="62">
        <f t="shared" si="12"/>
        <v>-2799.58</v>
      </c>
      <c r="AB141" s="62">
        <f t="shared" si="16"/>
        <v>-1256.7599999999995</v>
      </c>
      <c r="AC141" s="62"/>
      <c r="AD141" s="62" t="s">
        <v>727</v>
      </c>
    </row>
    <row r="142" spans="1:30" hidden="1" x14ac:dyDescent="0.3">
      <c r="A142" s="2">
        <v>3</v>
      </c>
      <c r="B142" s="3" t="s">
        <v>74</v>
      </c>
      <c r="C142" s="4" t="s">
        <v>75</v>
      </c>
      <c r="D142" s="4" t="s">
        <v>333</v>
      </c>
      <c r="E142" s="4" t="str">
        <f>VLOOKUP(C142,'[2]CTRL AUTOS'!$E$2:$L$58,8,FALSE)</f>
        <v>U64</v>
      </c>
      <c r="F142" s="61" t="str">
        <f>VLOOKUP(C142,'[2]CTRL AUTOS'!$E$2:$K$58,7,FALSE)</f>
        <v>BYER</v>
      </c>
      <c r="G142" s="4" t="s">
        <v>234</v>
      </c>
      <c r="H142" s="62">
        <v>0</v>
      </c>
      <c r="I142" s="62">
        <v>0</v>
      </c>
      <c r="J142" s="62">
        <v>0</v>
      </c>
      <c r="K142" s="62">
        <v>0</v>
      </c>
      <c r="L142" s="62">
        <v>0</v>
      </c>
      <c r="M142" s="62">
        <v>0</v>
      </c>
      <c r="N142" s="62">
        <v>0</v>
      </c>
      <c r="O142" s="62">
        <f t="shared" si="17"/>
        <v>0</v>
      </c>
      <c r="P142" s="62">
        <v>0</v>
      </c>
      <c r="Q142" s="62">
        <f>-322*1.12</f>
        <v>-360.64000000000004</v>
      </c>
      <c r="R142" s="62">
        <v>0</v>
      </c>
      <c r="S142" s="62">
        <v>0</v>
      </c>
      <c r="T142" s="62">
        <v>-500</v>
      </c>
      <c r="U142" s="62">
        <v>0</v>
      </c>
      <c r="V142" s="62">
        <v>0</v>
      </c>
      <c r="W142" s="62">
        <f t="shared" si="13"/>
        <v>-860.6400000000001</v>
      </c>
      <c r="X142" s="62">
        <f t="shared" si="14"/>
        <v>0</v>
      </c>
      <c r="Y142" s="62">
        <f t="shared" si="15"/>
        <v>-860.6400000000001</v>
      </c>
      <c r="Z142" s="62">
        <v>800</v>
      </c>
      <c r="AA142" s="62">
        <f t="shared" si="12"/>
        <v>-60.6400000000001</v>
      </c>
      <c r="AB142" s="62">
        <f t="shared" si="16"/>
        <v>739.3599999999999</v>
      </c>
      <c r="AC142" s="62"/>
      <c r="AD142" s="62" t="s">
        <v>728</v>
      </c>
    </row>
    <row r="143" spans="1:30" hidden="1" x14ac:dyDescent="0.3">
      <c r="A143" s="2">
        <v>3</v>
      </c>
      <c r="B143" s="3" t="s">
        <v>85</v>
      </c>
      <c r="C143" s="4" t="s">
        <v>86</v>
      </c>
      <c r="D143" s="4" t="s">
        <v>519</v>
      </c>
      <c r="E143" s="4" t="str">
        <f>VLOOKUP(C143,'[2]CTRL AUTOS'!$E$2:$L$58,8,FALSE)</f>
        <v>ASHC</v>
      </c>
      <c r="F143" s="61" t="str">
        <f>VLOOKUP(C143,'[2]CTRL AUTOS'!$E$2:$K$58,7,FALSE)</f>
        <v>ASHC</v>
      </c>
      <c r="G143" s="4" t="s">
        <v>234</v>
      </c>
      <c r="H143" s="62">
        <v>3765.28</v>
      </c>
      <c r="I143" s="62">
        <v>-1771.97</v>
      </c>
      <c r="J143" s="62">
        <v>0</v>
      </c>
      <c r="K143" s="62">
        <v>0</v>
      </c>
      <c r="L143" s="62">
        <v>0</v>
      </c>
      <c r="M143" s="62">
        <v>-38</v>
      </c>
      <c r="N143" s="62">
        <v>0</v>
      </c>
      <c r="O143" s="62">
        <f t="shared" si="17"/>
        <v>1955.3100000000002</v>
      </c>
      <c r="P143" s="62">
        <v>-2500</v>
      </c>
      <c r="Q143" s="62">
        <f>-95*1.12</f>
        <v>-106.4</v>
      </c>
      <c r="R143" s="62">
        <v>-500</v>
      </c>
      <c r="S143" s="62">
        <v>0</v>
      </c>
      <c r="T143" s="62">
        <v>0</v>
      </c>
      <c r="U143" s="62">
        <v>0</v>
      </c>
      <c r="V143" s="62">
        <v>0</v>
      </c>
      <c r="W143" s="62">
        <f t="shared" si="13"/>
        <v>-1151.0899999999997</v>
      </c>
      <c r="X143" s="62">
        <f t="shared" si="14"/>
        <v>0</v>
      </c>
      <c r="Y143" s="62">
        <f t="shared" si="15"/>
        <v>-1151.0899999999997</v>
      </c>
      <c r="Z143" s="62">
        <v>1151</v>
      </c>
      <c r="AA143" s="62">
        <f t="shared" si="12"/>
        <v>-8.9999999999690772E-2</v>
      </c>
      <c r="AB143" s="62">
        <f t="shared" si="16"/>
        <v>3106.2200000000007</v>
      </c>
      <c r="AC143" s="62"/>
      <c r="AD143" s="62" t="s">
        <v>729</v>
      </c>
    </row>
    <row r="144" spans="1:30" hidden="1" x14ac:dyDescent="0.3">
      <c r="A144" s="2">
        <v>3</v>
      </c>
      <c r="B144" s="3" t="s">
        <v>87</v>
      </c>
      <c r="C144" s="4" t="s">
        <v>97</v>
      </c>
      <c r="D144" s="4" t="s">
        <v>318</v>
      </c>
      <c r="E144" s="4" t="str">
        <f>VLOOKUP(C144,'[2]CTRL AUTOS'!$E$2:$L$58,8,FALSE)</f>
        <v>ASHC</v>
      </c>
      <c r="F144" s="61" t="str">
        <f>VLOOKUP(C144,'[2]CTRL AUTOS'!$E$2:$K$58,7,FALSE)</f>
        <v>ASHC</v>
      </c>
      <c r="G144" s="4" t="s">
        <v>234</v>
      </c>
      <c r="H144" s="62">
        <v>0</v>
      </c>
      <c r="I144" s="62">
        <v>0</v>
      </c>
      <c r="J144" s="62">
        <v>0</v>
      </c>
      <c r="K144" s="62">
        <v>0</v>
      </c>
      <c r="L144" s="62">
        <v>0</v>
      </c>
      <c r="M144" s="62">
        <v>0</v>
      </c>
      <c r="N144" s="62">
        <v>0</v>
      </c>
      <c r="O144" s="62">
        <f t="shared" si="17"/>
        <v>0</v>
      </c>
      <c r="P144" s="62">
        <f>(-2500/7)*2</f>
        <v>-714.28571428571433</v>
      </c>
      <c r="Q144" s="62">
        <v>0</v>
      </c>
      <c r="R144" s="62">
        <v>0</v>
      </c>
      <c r="S144" s="62">
        <v>0</v>
      </c>
      <c r="T144" s="62">
        <v>0</v>
      </c>
      <c r="U144" s="62">
        <v>0</v>
      </c>
      <c r="V144" s="62">
        <v>0</v>
      </c>
      <c r="W144" s="62">
        <f t="shared" si="13"/>
        <v>-714.28571428571433</v>
      </c>
      <c r="X144" s="62">
        <f t="shared" si="14"/>
        <v>0</v>
      </c>
      <c r="Y144" s="62">
        <f t="shared" si="15"/>
        <v>-714.28571428571433</v>
      </c>
      <c r="Z144" s="62">
        <v>714</v>
      </c>
      <c r="AA144" s="62">
        <f t="shared" si="12"/>
        <v>-0.28571428571433444</v>
      </c>
      <c r="AB144" s="62">
        <f t="shared" si="16"/>
        <v>713.71428571428567</v>
      </c>
      <c r="AC144" s="62"/>
      <c r="AD144" s="62" t="s">
        <v>730</v>
      </c>
    </row>
    <row r="145" spans="1:30" hidden="1" x14ac:dyDescent="0.3">
      <c r="A145" s="2">
        <v>3</v>
      </c>
      <c r="B145" s="3" t="s">
        <v>87</v>
      </c>
      <c r="C145" s="4" t="s">
        <v>83</v>
      </c>
      <c r="D145" s="4" t="s">
        <v>592</v>
      </c>
      <c r="E145" s="4" t="str">
        <f>VLOOKUP(C145,'[2]CTRL AUTOS'!$E$2:$L$58,8,FALSE)</f>
        <v>ASHC</v>
      </c>
      <c r="F145" s="61" t="str">
        <f>VLOOKUP(C145,'[2]CTRL AUTOS'!$E$2:$K$58,7,FALSE)</f>
        <v>ASHC</v>
      </c>
      <c r="G145" s="4" t="s">
        <v>234</v>
      </c>
      <c r="H145" s="62">
        <v>2306.23</v>
      </c>
      <c r="I145" s="62">
        <v>-952.35</v>
      </c>
      <c r="J145" s="62">
        <v>0</v>
      </c>
      <c r="K145" s="62">
        <v>0</v>
      </c>
      <c r="L145" s="62">
        <v>0</v>
      </c>
      <c r="M145" s="62">
        <v>-42</v>
      </c>
      <c r="N145" s="62">
        <v>0</v>
      </c>
      <c r="O145" s="62">
        <f t="shared" si="17"/>
        <v>1311.88</v>
      </c>
      <c r="P145" s="62">
        <f>(-2700/7)*3</f>
        <v>-1157.1428571428571</v>
      </c>
      <c r="Q145" s="62">
        <v>0</v>
      </c>
      <c r="R145" s="62">
        <v>-500</v>
      </c>
      <c r="S145" s="62">
        <v>0</v>
      </c>
      <c r="T145" s="62">
        <v>0</v>
      </c>
      <c r="U145" s="62">
        <v>0</v>
      </c>
      <c r="V145" s="62">
        <v>0</v>
      </c>
      <c r="W145" s="62">
        <f t="shared" si="13"/>
        <v>-345.262857142857</v>
      </c>
      <c r="X145" s="62">
        <f t="shared" si="14"/>
        <v>0</v>
      </c>
      <c r="Y145" s="62">
        <f t="shared" si="15"/>
        <v>-345.262857142857</v>
      </c>
      <c r="Z145" s="62">
        <v>346</v>
      </c>
      <c r="AA145" s="62">
        <f t="shared" si="12"/>
        <v>0.73714285714299876</v>
      </c>
      <c r="AB145" s="62">
        <f t="shared" si="16"/>
        <v>1658.6171428571431</v>
      </c>
      <c r="AC145" s="62"/>
      <c r="AD145" s="62"/>
    </row>
    <row r="146" spans="1:30" hidden="1" x14ac:dyDescent="0.3">
      <c r="A146" s="2">
        <v>3</v>
      </c>
      <c r="B146" s="3" t="s">
        <v>80</v>
      </c>
      <c r="C146" s="4" t="s">
        <v>81</v>
      </c>
      <c r="D146" s="4" t="s">
        <v>317</v>
      </c>
      <c r="E146" s="4" t="str">
        <f>VLOOKUP(C146,'[2]CTRL AUTOS'!$E$2:$L$58,8,FALSE)</f>
        <v>ASHC</v>
      </c>
      <c r="F146" s="61" t="str">
        <f>VLOOKUP(C146,'[2]CTRL AUTOS'!$E$2:$K$58,7,FALSE)</f>
        <v>ASHC</v>
      </c>
      <c r="G146" s="4" t="s">
        <v>234</v>
      </c>
      <c r="H146" s="62">
        <v>0</v>
      </c>
      <c r="I146" s="62">
        <v>0</v>
      </c>
      <c r="J146" s="62">
        <v>0</v>
      </c>
      <c r="K146" s="62">
        <v>0</v>
      </c>
      <c r="L146" s="62">
        <v>0</v>
      </c>
      <c r="M146" s="62">
        <v>0</v>
      </c>
      <c r="N146" s="62">
        <v>0</v>
      </c>
      <c r="O146" s="62">
        <f t="shared" si="17"/>
        <v>0</v>
      </c>
      <c r="P146" s="62">
        <v>-2500</v>
      </c>
      <c r="Q146" s="62">
        <v>0</v>
      </c>
      <c r="R146" s="62">
        <v>0</v>
      </c>
      <c r="S146" s="62">
        <v>0</v>
      </c>
      <c r="T146" s="62">
        <v>0</v>
      </c>
      <c r="U146" s="62">
        <v>0</v>
      </c>
      <c r="V146" s="62">
        <v>0</v>
      </c>
      <c r="W146" s="62">
        <f t="shared" si="13"/>
        <v>-2500</v>
      </c>
      <c r="X146" s="62">
        <f t="shared" si="14"/>
        <v>0</v>
      </c>
      <c r="Y146" s="62">
        <f t="shared" si="15"/>
        <v>-2500</v>
      </c>
      <c r="Z146" s="62">
        <v>2500</v>
      </c>
      <c r="AA146" s="62">
        <f t="shared" si="12"/>
        <v>0</v>
      </c>
      <c r="AB146" s="62">
        <f t="shared" si="16"/>
        <v>2500</v>
      </c>
      <c r="AC146" s="62"/>
      <c r="AD146" s="62" t="s">
        <v>731</v>
      </c>
    </row>
    <row r="147" spans="1:30" hidden="1" x14ac:dyDescent="0.3">
      <c r="A147" s="2">
        <v>3</v>
      </c>
      <c r="B147" s="3" t="s">
        <v>61</v>
      </c>
      <c r="C147" s="4" t="s">
        <v>34</v>
      </c>
      <c r="D147" s="4" t="s">
        <v>285</v>
      </c>
      <c r="E147" s="4" t="str">
        <f>VLOOKUP(C147,'[2]CTRL AUTOS'!$E$2:$L$58,8,FALSE)</f>
        <v>ASHC</v>
      </c>
      <c r="F147" s="61" t="str">
        <f>VLOOKUP(C147,'[2]CTRL AUTOS'!$E$2:$K$58,7,FALSE)</f>
        <v>ASHC</v>
      </c>
      <c r="G147" s="4" t="s">
        <v>234</v>
      </c>
      <c r="H147" s="62">
        <v>0</v>
      </c>
      <c r="I147" s="62">
        <v>0</v>
      </c>
      <c r="J147" s="62">
        <v>0</v>
      </c>
      <c r="K147" s="62">
        <v>0</v>
      </c>
      <c r="L147" s="62">
        <v>0</v>
      </c>
      <c r="M147" s="62">
        <v>0</v>
      </c>
      <c r="N147" s="62">
        <v>0</v>
      </c>
      <c r="O147" s="62">
        <f t="shared" si="17"/>
        <v>0</v>
      </c>
      <c r="P147" s="62">
        <v>0</v>
      </c>
      <c r="Q147" s="62">
        <v>0</v>
      </c>
      <c r="R147" s="62">
        <v>0</v>
      </c>
      <c r="S147" s="62">
        <v>0</v>
      </c>
      <c r="T147" s="62">
        <v>-700</v>
      </c>
      <c r="U147" s="62">
        <v>0</v>
      </c>
      <c r="V147" s="62">
        <v>0</v>
      </c>
      <c r="W147" s="62">
        <f t="shared" si="13"/>
        <v>-700</v>
      </c>
      <c r="X147" s="62">
        <f t="shared" si="14"/>
        <v>0</v>
      </c>
      <c r="Y147" s="62">
        <f t="shared" si="15"/>
        <v>-700</v>
      </c>
      <c r="Z147" s="62">
        <v>700</v>
      </c>
      <c r="AA147" s="62">
        <f t="shared" si="12"/>
        <v>0</v>
      </c>
      <c r="AB147" s="62">
        <f t="shared" si="16"/>
        <v>700</v>
      </c>
      <c r="AC147" s="62"/>
      <c r="AD147" s="62" t="s">
        <v>732</v>
      </c>
    </row>
    <row r="148" spans="1:30" hidden="1" x14ac:dyDescent="0.3">
      <c r="A148" s="2">
        <v>3</v>
      </c>
      <c r="B148" s="3" t="s">
        <v>57</v>
      </c>
      <c r="C148" s="4" t="s">
        <v>16</v>
      </c>
      <c r="D148" s="4" t="s">
        <v>314</v>
      </c>
      <c r="E148" s="4" t="str">
        <f>VLOOKUP(C148,'[2]CTRL AUTOS'!$E$2:$L$58,8,FALSE)</f>
        <v>ASHC</v>
      </c>
      <c r="F148" s="61" t="str">
        <f>VLOOKUP(C148,'[2]CTRL AUTOS'!$E$2:$K$58,7,FALSE)</f>
        <v>ASHC</v>
      </c>
      <c r="G148" s="4" t="s">
        <v>234</v>
      </c>
      <c r="H148" s="62">
        <v>0</v>
      </c>
      <c r="I148" s="62">
        <v>0</v>
      </c>
      <c r="J148" s="62">
        <v>0</v>
      </c>
      <c r="K148" s="62">
        <v>0</v>
      </c>
      <c r="L148" s="62">
        <v>0</v>
      </c>
      <c r="M148" s="62">
        <v>0</v>
      </c>
      <c r="N148" s="62">
        <v>0</v>
      </c>
      <c r="O148" s="62">
        <f t="shared" si="17"/>
        <v>0</v>
      </c>
      <c r="P148" s="62">
        <v>0</v>
      </c>
      <c r="Q148" s="62">
        <v>0</v>
      </c>
      <c r="R148" s="62">
        <v>500</v>
      </c>
      <c r="S148" s="62">
        <v>0</v>
      </c>
      <c r="T148" s="62">
        <v>0</v>
      </c>
      <c r="U148" s="62">
        <v>0</v>
      </c>
      <c r="V148" s="62">
        <v>0</v>
      </c>
      <c r="W148" s="62">
        <f t="shared" si="13"/>
        <v>500</v>
      </c>
      <c r="X148" s="62">
        <f t="shared" si="14"/>
        <v>500</v>
      </c>
      <c r="Y148" s="62">
        <f t="shared" si="15"/>
        <v>0</v>
      </c>
      <c r="Z148" s="62">
        <v>0</v>
      </c>
      <c r="AA148" s="62">
        <f t="shared" si="12"/>
        <v>0</v>
      </c>
      <c r="AB148" s="62">
        <f t="shared" si="16"/>
        <v>-500</v>
      </c>
      <c r="AC148" s="62"/>
      <c r="AD148" s="62" t="s">
        <v>733</v>
      </c>
    </row>
    <row r="149" spans="1:30" hidden="1" x14ac:dyDescent="0.3">
      <c r="A149" s="2">
        <v>3</v>
      </c>
      <c r="B149" s="3" t="s">
        <v>60</v>
      </c>
      <c r="C149" s="4" t="s">
        <v>28</v>
      </c>
      <c r="D149" s="4" t="s">
        <v>274</v>
      </c>
      <c r="E149" s="4" t="str">
        <f>VLOOKUP(C149,'[2]CTRL AUTOS'!$E$2:$L$58,8,FALSE)</f>
        <v>ASHC</v>
      </c>
      <c r="F149" s="61" t="str">
        <f>VLOOKUP(C149,'[2]CTRL AUTOS'!$E$2:$K$58,7,FALSE)</f>
        <v>ASHC</v>
      </c>
      <c r="G149" s="4" t="s">
        <v>234</v>
      </c>
      <c r="H149" s="62">
        <v>0</v>
      </c>
      <c r="I149" s="62">
        <v>0</v>
      </c>
      <c r="J149" s="62">
        <v>0</v>
      </c>
      <c r="K149" s="62">
        <v>0</v>
      </c>
      <c r="L149" s="62">
        <v>0</v>
      </c>
      <c r="M149" s="62">
        <v>0</v>
      </c>
      <c r="N149" s="62">
        <v>0</v>
      </c>
      <c r="O149" s="62">
        <f t="shared" si="17"/>
        <v>0</v>
      </c>
      <c r="P149" s="62">
        <v>0</v>
      </c>
      <c r="Q149" s="62">
        <v>0</v>
      </c>
      <c r="R149" s="62">
        <v>500</v>
      </c>
      <c r="S149" s="62">
        <v>0</v>
      </c>
      <c r="T149" s="62">
        <v>0</v>
      </c>
      <c r="U149" s="62">
        <v>0</v>
      </c>
      <c r="V149" s="62">
        <v>0</v>
      </c>
      <c r="W149" s="62">
        <f t="shared" si="13"/>
        <v>500</v>
      </c>
      <c r="X149" s="62">
        <f t="shared" si="14"/>
        <v>500</v>
      </c>
      <c r="Y149" s="62">
        <f t="shared" si="15"/>
        <v>0</v>
      </c>
      <c r="Z149" s="62">
        <v>0</v>
      </c>
      <c r="AA149" s="62">
        <f t="shared" si="12"/>
        <v>0</v>
      </c>
      <c r="AB149" s="62">
        <f t="shared" si="16"/>
        <v>-500</v>
      </c>
      <c r="AC149" s="62"/>
      <c r="AD149" s="62" t="s">
        <v>734</v>
      </c>
    </row>
    <row r="150" spans="1:30" hidden="1" x14ac:dyDescent="0.3">
      <c r="A150" s="2">
        <v>3</v>
      </c>
      <c r="B150" s="3" t="s">
        <v>111</v>
      </c>
      <c r="C150" s="4" t="s">
        <v>63</v>
      </c>
      <c r="D150" s="4" t="s">
        <v>374</v>
      </c>
      <c r="E150" s="4" t="str">
        <f>VLOOKUP(C150,'[2]CTRL AUTOS'!$E$2:$L$58,8,FALSE)</f>
        <v>BYER</v>
      </c>
      <c r="F150" s="61" t="str">
        <f>VLOOKUP(C150,'[2]CTRL AUTOS'!$E$2:$K$58,7,FALSE)</f>
        <v>BYER</v>
      </c>
      <c r="G150" s="4" t="s">
        <v>234</v>
      </c>
      <c r="H150" s="62">
        <v>6029.21</v>
      </c>
      <c r="I150" s="62">
        <v>-1877.28</v>
      </c>
      <c r="J150" s="62">
        <v>0</v>
      </c>
      <c r="K150" s="62">
        <v>0</v>
      </c>
      <c r="L150" s="62">
        <v>0</v>
      </c>
      <c r="M150" s="62">
        <v>-50</v>
      </c>
      <c r="N150" s="62">
        <v>0</v>
      </c>
      <c r="O150" s="62">
        <f t="shared" si="17"/>
        <v>4101.93</v>
      </c>
      <c r="P150" s="62">
        <v>-2500</v>
      </c>
      <c r="Q150" s="62">
        <f>-719*1.12</f>
        <v>-805.28000000000009</v>
      </c>
      <c r="R150" s="62">
        <v>0</v>
      </c>
      <c r="S150" s="62">
        <v>0</v>
      </c>
      <c r="T150" s="62">
        <v>0</v>
      </c>
      <c r="U150" s="62">
        <v>0</v>
      </c>
      <c r="V150" s="62">
        <v>0</v>
      </c>
      <c r="W150" s="62">
        <f t="shared" si="13"/>
        <v>796.6500000000002</v>
      </c>
      <c r="X150" s="62">
        <f t="shared" si="14"/>
        <v>796.6500000000002</v>
      </c>
      <c r="Y150" s="62">
        <f t="shared" si="15"/>
        <v>0</v>
      </c>
      <c r="Z150" s="62">
        <v>0</v>
      </c>
      <c r="AA150" s="62">
        <f t="shared" si="12"/>
        <v>0</v>
      </c>
      <c r="AB150" s="62">
        <f t="shared" si="16"/>
        <v>3305.28</v>
      </c>
      <c r="AC150" s="62"/>
      <c r="AD150" s="62" t="s">
        <v>692</v>
      </c>
    </row>
    <row r="151" spans="1:30" hidden="1" x14ac:dyDescent="0.3">
      <c r="A151" s="2">
        <v>3</v>
      </c>
      <c r="B151" s="3" t="s">
        <v>68</v>
      </c>
      <c r="C151" s="4" t="s">
        <v>69</v>
      </c>
      <c r="D151" s="4" t="s">
        <v>370</v>
      </c>
      <c r="E151" s="4" t="str">
        <f>VLOOKUP(C151,'[2]CTRL AUTOS'!$E$2:$L$58,8,FALSE)</f>
        <v>U64</v>
      </c>
      <c r="F151" s="61" t="str">
        <f>VLOOKUP(C151,'[2]CTRL AUTOS'!$E$2:$K$58,7,FALSE)</f>
        <v>BYER</v>
      </c>
      <c r="G151" s="4" t="s">
        <v>234</v>
      </c>
      <c r="H151" s="62">
        <v>4634.16</v>
      </c>
      <c r="I151" s="62">
        <v>-2712.07</v>
      </c>
      <c r="J151" s="62">
        <v>0</v>
      </c>
      <c r="K151" s="62">
        <v>0</v>
      </c>
      <c r="L151" s="62">
        <v>0</v>
      </c>
      <c r="M151" s="62">
        <v>-52</v>
      </c>
      <c r="N151" s="62">
        <v>0</v>
      </c>
      <c r="O151" s="62">
        <f t="shared" si="17"/>
        <v>1870.0899999999997</v>
      </c>
      <c r="P151" s="62">
        <v>-2500</v>
      </c>
      <c r="Q151" s="62">
        <f>-2011*1.12</f>
        <v>-2252.3200000000002</v>
      </c>
      <c r="R151" s="62">
        <v>2000</v>
      </c>
      <c r="S151" s="62">
        <v>0</v>
      </c>
      <c r="T151" s="62">
        <v>0</v>
      </c>
      <c r="U151" s="62">
        <v>0</v>
      </c>
      <c r="V151" s="62">
        <v>0</v>
      </c>
      <c r="W151" s="62">
        <f t="shared" si="13"/>
        <v>-882.23000000000047</v>
      </c>
      <c r="X151" s="62">
        <f t="shared" si="14"/>
        <v>0</v>
      </c>
      <c r="Y151" s="62">
        <f t="shared" si="15"/>
        <v>-882.23000000000047</v>
      </c>
      <c r="Z151" s="62">
        <v>0</v>
      </c>
      <c r="AA151" s="62">
        <f t="shared" si="12"/>
        <v>-882.23000000000047</v>
      </c>
      <c r="AB151" s="62">
        <f t="shared" si="16"/>
        <v>987.85999999999922</v>
      </c>
      <c r="AC151" s="62"/>
      <c r="AD151" s="62" t="s">
        <v>735</v>
      </c>
    </row>
    <row r="152" spans="1:30" hidden="1" x14ac:dyDescent="0.3">
      <c r="A152" s="2">
        <v>3</v>
      </c>
      <c r="B152" s="3" t="s">
        <v>70</v>
      </c>
      <c r="C152" s="4" t="s">
        <v>71</v>
      </c>
      <c r="D152" s="4" t="s">
        <v>588</v>
      </c>
      <c r="E152" s="4" t="str">
        <f>VLOOKUP(C152,'[2]CTRL AUTOS'!$E$2:$L$58,8,FALSE)</f>
        <v>ASHC</v>
      </c>
      <c r="F152" s="67" t="s">
        <v>291</v>
      </c>
      <c r="G152" s="4" t="s">
        <v>234</v>
      </c>
      <c r="H152" s="62">
        <v>2424.7800000000002</v>
      </c>
      <c r="I152" s="62">
        <v>0</v>
      </c>
      <c r="J152" s="62">
        <v>0</v>
      </c>
      <c r="K152" s="62">
        <v>0</v>
      </c>
      <c r="L152" s="62">
        <v>0</v>
      </c>
      <c r="M152" s="62">
        <v>0</v>
      </c>
      <c r="N152" s="62">
        <v>0</v>
      </c>
      <c r="O152" s="62">
        <f t="shared" si="17"/>
        <v>2424.7800000000002</v>
      </c>
      <c r="P152" s="62">
        <v>-2425</v>
      </c>
      <c r="Q152" s="62">
        <v>0</v>
      </c>
      <c r="R152" s="62">
        <v>0</v>
      </c>
      <c r="S152" s="62">
        <v>0</v>
      </c>
      <c r="T152" s="62">
        <v>0</v>
      </c>
      <c r="U152" s="62">
        <v>0</v>
      </c>
      <c r="V152" s="62">
        <v>0</v>
      </c>
      <c r="W152" s="62">
        <f t="shared" si="13"/>
        <v>-0.21999999999979991</v>
      </c>
      <c r="X152" s="62">
        <f t="shared" si="14"/>
        <v>0</v>
      </c>
      <c r="Y152" s="62">
        <f t="shared" si="15"/>
        <v>-0.21999999999979991</v>
      </c>
      <c r="Z152" s="62">
        <v>0</v>
      </c>
      <c r="AA152" s="62">
        <f t="shared" si="12"/>
        <v>-0.21999999999979991</v>
      </c>
      <c r="AB152" s="62">
        <f t="shared" si="16"/>
        <v>2424.5600000000004</v>
      </c>
      <c r="AC152" s="62"/>
      <c r="AD152" s="62" t="s">
        <v>736</v>
      </c>
    </row>
    <row r="153" spans="1:30" hidden="1" x14ac:dyDescent="0.3">
      <c r="A153" s="2">
        <v>3</v>
      </c>
      <c r="B153" s="3" t="s">
        <v>72</v>
      </c>
      <c r="C153" s="4" t="s">
        <v>73</v>
      </c>
      <c r="D153" s="4" t="s">
        <v>368</v>
      </c>
      <c r="E153" s="4" t="str">
        <f>VLOOKUP(C153,'[2]CTRL AUTOS'!$E$2:$L$58,8,FALSE)</f>
        <v>U64</v>
      </c>
      <c r="F153" s="61" t="str">
        <f>VLOOKUP(C153,'[2]CTRL AUTOS'!$E$2:$K$58,7,FALSE)</f>
        <v>BYER</v>
      </c>
      <c r="G153" s="4" t="s">
        <v>234</v>
      </c>
      <c r="H153" s="62">
        <v>7876.41</v>
      </c>
      <c r="I153" s="62">
        <v>-4061.15</v>
      </c>
      <c r="J153" s="62">
        <v>-94</v>
      </c>
      <c r="K153" s="62">
        <v>0</v>
      </c>
      <c r="L153" s="62">
        <v>-72</v>
      </c>
      <c r="M153" s="62">
        <v>-65</v>
      </c>
      <c r="N153" s="62">
        <v>-141.28800000000004</v>
      </c>
      <c r="O153" s="62">
        <f t="shared" si="17"/>
        <v>3442.9719999999998</v>
      </c>
      <c r="P153" s="62">
        <v>-2500</v>
      </c>
      <c r="Q153" s="62">
        <v>0</v>
      </c>
      <c r="R153" s="62">
        <v>0</v>
      </c>
      <c r="S153" s="62">
        <v>-700</v>
      </c>
      <c r="T153" s="62">
        <v>0</v>
      </c>
      <c r="U153" s="62">
        <v>0</v>
      </c>
      <c r="V153" s="62">
        <v>0</v>
      </c>
      <c r="W153" s="62">
        <f t="shared" si="13"/>
        <v>242.97199999999975</v>
      </c>
      <c r="X153" s="62">
        <f t="shared" si="14"/>
        <v>242.97199999999975</v>
      </c>
      <c r="Y153" s="62">
        <f t="shared" si="15"/>
        <v>0</v>
      </c>
      <c r="Z153" s="62">
        <v>0</v>
      </c>
      <c r="AA153" s="62">
        <f t="shared" si="12"/>
        <v>0</v>
      </c>
      <c r="AB153" s="62">
        <f t="shared" si="16"/>
        <v>3200</v>
      </c>
      <c r="AC153" s="62"/>
      <c r="AD153" s="62" t="s">
        <v>737</v>
      </c>
    </row>
    <row r="154" spans="1:30" hidden="1" x14ac:dyDescent="0.3">
      <c r="A154" s="2">
        <v>3</v>
      </c>
      <c r="B154" s="3" t="s">
        <v>78</v>
      </c>
      <c r="C154" s="4" t="s">
        <v>79</v>
      </c>
      <c r="D154" s="4" t="s">
        <v>475</v>
      </c>
      <c r="E154" s="4" t="str">
        <f>VLOOKUP(C154,'[2]CTRL AUTOS'!$E$2:$L$58,8,FALSE)</f>
        <v>BYER</v>
      </c>
      <c r="F154" s="61" t="str">
        <f>VLOOKUP(C154,'[2]CTRL AUTOS'!$E$2:$K$58,7,FALSE)</f>
        <v>BYER</v>
      </c>
      <c r="G154" s="4" t="s">
        <v>234</v>
      </c>
      <c r="H154" s="62">
        <v>2982.78</v>
      </c>
      <c r="I154" s="62">
        <v>-428</v>
      </c>
      <c r="J154" s="62">
        <v>0</v>
      </c>
      <c r="K154" s="62">
        <v>0</v>
      </c>
      <c r="L154" s="62">
        <v>-30</v>
      </c>
      <c r="M154" s="62">
        <v>-32</v>
      </c>
      <c r="N154" s="62">
        <v>0</v>
      </c>
      <c r="O154" s="62">
        <f t="shared" si="17"/>
        <v>2492.7800000000002</v>
      </c>
      <c r="P154" s="62">
        <v>-2500</v>
      </c>
      <c r="Q154" s="62">
        <v>-4551</v>
      </c>
      <c r="R154" s="62">
        <v>0</v>
      </c>
      <c r="S154" s="62">
        <v>0</v>
      </c>
      <c r="T154" s="62">
        <v>0</v>
      </c>
      <c r="U154" s="62">
        <v>0</v>
      </c>
      <c r="V154" s="62">
        <v>0</v>
      </c>
      <c r="W154" s="62">
        <f t="shared" si="13"/>
        <v>-4558.2199999999993</v>
      </c>
      <c r="X154" s="62">
        <f t="shared" si="14"/>
        <v>0</v>
      </c>
      <c r="Y154" s="62">
        <f t="shared" si="15"/>
        <v>-4558.2199999999993</v>
      </c>
      <c r="Z154" s="62">
        <v>507</v>
      </c>
      <c r="AA154" s="62">
        <f t="shared" si="12"/>
        <v>-4051.2199999999993</v>
      </c>
      <c r="AB154" s="62">
        <f t="shared" si="16"/>
        <v>-1051.4399999999991</v>
      </c>
      <c r="AC154" s="62"/>
      <c r="AD154" s="62" t="s">
        <v>738</v>
      </c>
    </row>
    <row r="155" spans="1:30" hidden="1" x14ac:dyDescent="0.3">
      <c r="A155" s="2">
        <v>3</v>
      </c>
      <c r="B155" s="3" t="s">
        <v>84</v>
      </c>
      <c r="C155" s="4" t="s">
        <v>59</v>
      </c>
      <c r="D155" s="4" t="s">
        <v>520</v>
      </c>
      <c r="E155" s="4" t="str">
        <f>VLOOKUP(C155,'[2]CTRL AUTOS'!$E$2:$L$58,8,FALSE)</f>
        <v>ASHC</v>
      </c>
      <c r="F155" s="67" t="s">
        <v>291</v>
      </c>
      <c r="G155" s="4" t="s">
        <v>234</v>
      </c>
      <c r="H155" s="62">
        <v>8700.42</v>
      </c>
      <c r="I155" s="62">
        <v>-5081</v>
      </c>
      <c r="J155" s="62">
        <v>0</v>
      </c>
      <c r="K155" s="62">
        <v>0</v>
      </c>
      <c r="L155" s="62">
        <v>0</v>
      </c>
      <c r="M155" s="62">
        <v>-72</v>
      </c>
      <c r="N155" s="62">
        <f>-960.78*1.12</f>
        <v>-1076.0736000000002</v>
      </c>
      <c r="O155" s="62">
        <f t="shared" si="17"/>
        <v>2471.3463999999999</v>
      </c>
      <c r="P155" s="62">
        <v>-2500</v>
      </c>
      <c r="Q155" s="62">
        <v>0</v>
      </c>
      <c r="R155" s="62">
        <v>-500</v>
      </c>
      <c r="S155" s="62">
        <v>0</v>
      </c>
      <c r="T155" s="62">
        <v>0</v>
      </c>
      <c r="U155" s="62">
        <v>0</v>
      </c>
      <c r="V155" s="62">
        <v>0</v>
      </c>
      <c r="W155" s="62">
        <f t="shared" si="13"/>
        <v>-528.6536000000001</v>
      </c>
      <c r="X155" s="62">
        <f t="shared" si="14"/>
        <v>0</v>
      </c>
      <c r="Y155" s="62">
        <f t="shared" si="15"/>
        <v>-528.6536000000001</v>
      </c>
      <c r="Z155" s="62">
        <v>0</v>
      </c>
      <c r="AA155" s="62">
        <f t="shared" si="12"/>
        <v>-528.6536000000001</v>
      </c>
      <c r="AB155" s="62">
        <f t="shared" si="16"/>
        <v>1942.6927999999998</v>
      </c>
      <c r="AC155" s="62"/>
      <c r="AD155" s="62" t="s">
        <v>739</v>
      </c>
    </row>
    <row r="156" spans="1:30" hidden="1" x14ac:dyDescent="0.3">
      <c r="A156" s="2">
        <v>3</v>
      </c>
      <c r="B156" s="3" t="s">
        <v>98</v>
      </c>
      <c r="C156" s="4" t="s">
        <v>56</v>
      </c>
      <c r="D156" s="4" t="s">
        <v>336</v>
      </c>
      <c r="E156" s="4" t="str">
        <f>VLOOKUP(C156,'[2]CTRL AUTOS'!$E$2:$L$58,8,FALSE)</f>
        <v>U64</v>
      </c>
      <c r="F156" s="61" t="str">
        <f>VLOOKUP(C156,'[2]CTRL AUTOS'!$E$2:$K$58,7,FALSE)</f>
        <v>BYER</v>
      </c>
      <c r="G156" s="4" t="s">
        <v>234</v>
      </c>
      <c r="H156" s="62">
        <v>994.48</v>
      </c>
      <c r="I156" s="62">
        <v>0</v>
      </c>
      <c r="J156" s="62">
        <v>0</v>
      </c>
      <c r="K156" s="62">
        <v>0</v>
      </c>
      <c r="L156" s="62">
        <v>0</v>
      </c>
      <c r="M156" s="62">
        <v>0</v>
      </c>
      <c r="N156" s="62">
        <v>-76.160000000000011</v>
      </c>
      <c r="O156" s="62">
        <f t="shared" si="17"/>
        <v>918.32</v>
      </c>
      <c r="P156" s="62">
        <v>0</v>
      </c>
      <c r="Q156" s="62">
        <v>0</v>
      </c>
      <c r="R156" s="62">
        <v>0</v>
      </c>
      <c r="S156" s="62">
        <v>0</v>
      </c>
      <c r="T156" s="62">
        <v>0</v>
      </c>
      <c r="U156" s="62">
        <v>0</v>
      </c>
      <c r="V156" s="62">
        <v>0</v>
      </c>
      <c r="W156" s="62">
        <f t="shared" si="13"/>
        <v>918.32</v>
      </c>
      <c r="X156" s="62">
        <f t="shared" si="14"/>
        <v>918.32</v>
      </c>
      <c r="Y156" s="62">
        <f t="shared" si="15"/>
        <v>0</v>
      </c>
      <c r="Z156" s="62">
        <v>918</v>
      </c>
      <c r="AA156" s="62">
        <f t="shared" si="12"/>
        <v>918</v>
      </c>
      <c r="AB156" s="62">
        <f t="shared" si="16"/>
        <v>1836</v>
      </c>
      <c r="AC156" s="62"/>
      <c r="AD156" s="62" t="s">
        <v>740</v>
      </c>
    </row>
    <row r="157" spans="1:30" hidden="1" x14ac:dyDescent="0.3">
      <c r="A157" s="2">
        <v>3</v>
      </c>
      <c r="B157" s="3" t="s">
        <v>98</v>
      </c>
      <c r="C157" s="4" t="s">
        <v>42</v>
      </c>
      <c r="D157" s="4" t="s">
        <v>250</v>
      </c>
      <c r="E157" s="4" t="str">
        <f>VLOOKUP(C157,'[2]CTRL AUTOS'!$E$2:$L$58,8,FALSE)</f>
        <v>ASHC</v>
      </c>
      <c r="F157" s="61" t="str">
        <f>VLOOKUP(C157,'[2]CTRL AUTOS'!$E$2:$K$58,7,FALSE)</f>
        <v>ASHC</v>
      </c>
      <c r="G157" s="4" t="s">
        <v>234</v>
      </c>
      <c r="H157" s="62">
        <v>1097.04</v>
      </c>
      <c r="I157" s="62">
        <v>0</v>
      </c>
      <c r="J157" s="62">
        <v>0</v>
      </c>
      <c r="K157" s="62">
        <v>0</v>
      </c>
      <c r="L157" s="62">
        <v>0</v>
      </c>
      <c r="M157" s="62">
        <v>0</v>
      </c>
      <c r="N157" s="62">
        <v>0</v>
      </c>
      <c r="O157" s="62">
        <f t="shared" si="17"/>
        <v>1097.04</v>
      </c>
      <c r="P157" s="62">
        <f>(-2500/7)*6.5</f>
        <v>-2321.4285714285716</v>
      </c>
      <c r="Q157" s="62">
        <v>0</v>
      </c>
      <c r="R157" s="62">
        <v>0</v>
      </c>
      <c r="S157" s="62">
        <v>0</v>
      </c>
      <c r="T157" s="62">
        <v>0</v>
      </c>
      <c r="U157" s="62">
        <v>0</v>
      </c>
      <c r="V157" s="62">
        <v>0</v>
      </c>
      <c r="W157" s="62">
        <f t="shared" si="13"/>
        <v>-1224.3885714285716</v>
      </c>
      <c r="X157" s="62">
        <f t="shared" si="14"/>
        <v>0</v>
      </c>
      <c r="Y157" s="62">
        <f t="shared" si="15"/>
        <v>-1224.3885714285716</v>
      </c>
      <c r="Z157" s="62">
        <v>306</v>
      </c>
      <c r="AA157" s="62">
        <f t="shared" si="12"/>
        <v>-918.38857142857159</v>
      </c>
      <c r="AB157" s="62">
        <f t="shared" si="16"/>
        <v>484.65142857142837</v>
      </c>
      <c r="AC157" s="62"/>
      <c r="AD157" s="62" t="s">
        <v>741</v>
      </c>
    </row>
    <row r="158" spans="1:30" hidden="1" x14ac:dyDescent="0.3">
      <c r="A158" s="2">
        <v>3</v>
      </c>
      <c r="B158" s="3" t="s">
        <v>105</v>
      </c>
      <c r="C158" s="4" t="s">
        <v>106</v>
      </c>
      <c r="D158" s="4" t="s">
        <v>646</v>
      </c>
      <c r="E158" s="4" t="str">
        <f>VLOOKUP(C158,'[2]CTRL AUTOS'!$E$2:$L$58,8,FALSE)</f>
        <v>ASHC</v>
      </c>
      <c r="F158" s="61" t="str">
        <f>VLOOKUP(C158,'[2]CTRL AUTOS'!$E$2:$K$58,7,FALSE)</f>
        <v>ASHC</v>
      </c>
      <c r="G158" s="4" t="s">
        <v>425</v>
      </c>
      <c r="H158" s="62">
        <v>0</v>
      </c>
      <c r="I158" s="62">
        <v>0</v>
      </c>
      <c r="J158" s="62">
        <v>0</v>
      </c>
      <c r="K158" s="62">
        <v>0</v>
      </c>
      <c r="L158" s="62">
        <v>0</v>
      </c>
      <c r="M158" s="62">
        <v>0</v>
      </c>
      <c r="N158" s="62">
        <v>0</v>
      </c>
      <c r="O158" s="62">
        <f t="shared" si="17"/>
        <v>0</v>
      </c>
      <c r="P158" s="62">
        <v>-2500</v>
      </c>
      <c r="Q158" s="62">
        <v>0</v>
      </c>
      <c r="R158" s="62">
        <v>0</v>
      </c>
      <c r="S158" s="62">
        <v>0</v>
      </c>
      <c r="T158" s="62">
        <v>0</v>
      </c>
      <c r="U158" s="62">
        <v>-200</v>
      </c>
      <c r="V158" s="62">
        <v>0</v>
      </c>
      <c r="W158" s="62">
        <f t="shared" si="13"/>
        <v>-2700</v>
      </c>
      <c r="X158" s="62">
        <f t="shared" si="14"/>
        <v>0</v>
      </c>
      <c r="Y158" s="62">
        <f t="shared" si="15"/>
        <v>-2700</v>
      </c>
      <c r="Z158" s="62">
        <f>2500+200</f>
        <v>2700</v>
      </c>
      <c r="AA158" s="62">
        <f t="shared" si="12"/>
        <v>0</v>
      </c>
      <c r="AB158" s="62">
        <f t="shared" si="16"/>
        <v>2700</v>
      </c>
      <c r="AC158" s="62"/>
      <c r="AD158" s="62" t="s">
        <v>742</v>
      </c>
    </row>
    <row r="159" spans="1:30" hidden="1" x14ac:dyDescent="0.3">
      <c r="A159" s="2">
        <v>3</v>
      </c>
      <c r="B159" s="3" t="s">
        <v>107</v>
      </c>
      <c r="C159" s="4" t="s">
        <v>50</v>
      </c>
      <c r="D159" s="4" t="s">
        <v>480</v>
      </c>
      <c r="E159" s="4" t="str">
        <f>VLOOKUP(C159,'[2]CTRL AUTOS'!$E$2:$L$58,8,FALSE)</f>
        <v>ASHC</v>
      </c>
      <c r="F159" s="61" t="str">
        <f>VLOOKUP(C159,'[2]CTRL AUTOS'!$E$2:$K$58,7,FALSE)</f>
        <v>ASHC</v>
      </c>
      <c r="G159" s="4" t="s">
        <v>234</v>
      </c>
      <c r="H159" s="62">
        <v>3346.44</v>
      </c>
      <c r="I159" s="62">
        <v>-2088.21</v>
      </c>
      <c r="J159" s="62">
        <v>0</v>
      </c>
      <c r="K159" s="62">
        <v>0</v>
      </c>
      <c r="L159" s="62">
        <v>0</v>
      </c>
      <c r="M159" s="62">
        <v>-50</v>
      </c>
      <c r="N159" s="62">
        <v>0</v>
      </c>
      <c r="O159" s="62">
        <f t="shared" si="17"/>
        <v>1208.23</v>
      </c>
      <c r="P159" s="62">
        <f>(-2500/7)*2</f>
        <v>-714.28571428571433</v>
      </c>
      <c r="Q159" s="62">
        <v>0</v>
      </c>
      <c r="R159" s="62">
        <f>(-500/7)*2</f>
        <v>-142.85714285714286</v>
      </c>
      <c r="S159" s="62">
        <v>0</v>
      </c>
      <c r="T159" s="62">
        <v>0</v>
      </c>
      <c r="U159" s="62">
        <v>0</v>
      </c>
      <c r="V159" s="62">
        <v>0</v>
      </c>
      <c r="W159" s="62">
        <f t="shared" si="13"/>
        <v>351.08714285714279</v>
      </c>
      <c r="X159" s="62">
        <f t="shared" si="14"/>
        <v>351.08714285714279</v>
      </c>
      <c r="Y159" s="62">
        <f t="shared" si="15"/>
        <v>0</v>
      </c>
      <c r="Z159" s="62">
        <v>0</v>
      </c>
      <c r="AA159" s="62">
        <f t="shared" si="12"/>
        <v>0</v>
      </c>
      <c r="AB159" s="62">
        <f t="shared" si="16"/>
        <v>857.14285714285722</v>
      </c>
      <c r="AC159" s="62">
        <v>1000</v>
      </c>
      <c r="AD159" s="62" t="s">
        <v>743</v>
      </c>
    </row>
    <row r="160" spans="1:30" hidden="1" x14ac:dyDescent="0.3">
      <c r="A160" s="2">
        <v>3</v>
      </c>
      <c r="B160" s="3" t="s">
        <v>108</v>
      </c>
      <c r="C160" s="4" t="s">
        <v>75</v>
      </c>
      <c r="D160" s="4" t="s">
        <v>744</v>
      </c>
      <c r="E160" s="4" t="str">
        <f>VLOOKUP(C160,'[2]CTRL AUTOS'!$E$2:$L$58,8,FALSE)</f>
        <v>U64</v>
      </c>
      <c r="F160" s="61" t="str">
        <f>VLOOKUP(C160,'[2]CTRL AUTOS'!$E$2:$K$58,7,FALSE)</f>
        <v>BYER</v>
      </c>
      <c r="G160" s="4" t="s">
        <v>234</v>
      </c>
      <c r="H160" s="62">
        <v>3769.82</v>
      </c>
      <c r="I160" s="62">
        <v>-1355.84</v>
      </c>
      <c r="J160" s="62">
        <v>0</v>
      </c>
      <c r="K160" s="62">
        <v>0</v>
      </c>
      <c r="L160" s="62">
        <v>0</v>
      </c>
      <c r="M160" s="62">
        <v>-35</v>
      </c>
      <c r="N160" s="62">
        <v>0</v>
      </c>
      <c r="O160" s="62">
        <f t="shared" si="17"/>
        <v>2378.9800000000005</v>
      </c>
      <c r="P160" s="62">
        <f>(-2500/7)*5</f>
        <v>-1785.7142857142858</v>
      </c>
      <c r="Q160" s="62">
        <v>0</v>
      </c>
      <c r="R160" s="62">
        <f>(-500/7)*5</f>
        <v>-357.14285714285717</v>
      </c>
      <c r="S160" s="62">
        <v>0</v>
      </c>
      <c r="T160" s="62">
        <v>0</v>
      </c>
      <c r="U160" s="62">
        <v>0</v>
      </c>
      <c r="V160" s="62">
        <v>0</v>
      </c>
      <c r="W160" s="62">
        <f t="shared" si="13"/>
        <v>236.12285714285753</v>
      </c>
      <c r="X160" s="62">
        <f t="shared" si="14"/>
        <v>236.12285714285753</v>
      </c>
      <c r="Y160" s="62">
        <f t="shared" si="15"/>
        <v>0</v>
      </c>
      <c r="Z160" s="62">
        <v>0</v>
      </c>
      <c r="AA160" s="62">
        <f t="shared" si="12"/>
        <v>0</v>
      </c>
      <c r="AB160" s="62">
        <f t="shared" si="16"/>
        <v>2142.8571428571431</v>
      </c>
      <c r="AC160" s="62">
        <v>2000</v>
      </c>
      <c r="AD160" s="62"/>
    </row>
    <row r="161" spans="1:30" hidden="1" x14ac:dyDescent="0.3">
      <c r="A161" s="2">
        <v>3</v>
      </c>
      <c r="B161" s="3" t="s">
        <v>109</v>
      </c>
      <c r="C161" s="4" t="s">
        <v>142</v>
      </c>
      <c r="D161" s="4" t="s">
        <v>657</v>
      </c>
      <c r="E161" s="4" t="str">
        <f>VLOOKUP(C161,'[2]CTRL AUTOS'!$E$2:$L$58,8,FALSE)</f>
        <v>ASHC</v>
      </c>
      <c r="F161" s="61" t="str">
        <f>VLOOKUP(C161,'[2]CTRL AUTOS'!$E$2:$K$58,7,FALSE)</f>
        <v>ASHC</v>
      </c>
      <c r="G161" s="4" t="s">
        <v>425</v>
      </c>
      <c r="H161" s="62">
        <v>2006.87</v>
      </c>
      <c r="I161" s="62">
        <v>-738.04</v>
      </c>
      <c r="J161" s="62">
        <f>+(I161*0.1)-238.48</f>
        <v>-312.28399999999999</v>
      </c>
      <c r="K161" s="62">
        <v>0</v>
      </c>
      <c r="L161" s="62">
        <v>0</v>
      </c>
      <c r="M161" s="62">
        <v>-15</v>
      </c>
      <c r="N161" s="62">
        <v>0</v>
      </c>
      <c r="O161" s="62">
        <f t="shared" si="17"/>
        <v>941.54599999999994</v>
      </c>
      <c r="P161" s="62">
        <f>(-2700/7)*3</f>
        <v>-1157.1428571428571</v>
      </c>
      <c r="Q161" s="62">
        <v>0</v>
      </c>
      <c r="R161" s="62">
        <v>-500</v>
      </c>
      <c r="S161" s="62">
        <v>0</v>
      </c>
      <c r="T161" s="62">
        <v>0</v>
      </c>
      <c r="U161" s="62">
        <v>0</v>
      </c>
      <c r="V161" s="62">
        <v>0</v>
      </c>
      <c r="W161" s="62">
        <f t="shared" si="13"/>
        <v>-715.59685714285717</v>
      </c>
      <c r="X161" s="62">
        <f t="shared" si="14"/>
        <v>0</v>
      </c>
      <c r="Y161" s="62">
        <f t="shared" si="15"/>
        <v>-715.59685714285717</v>
      </c>
      <c r="Z161" s="62">
        <v>716</v>
      </c>
      <c r="AA161" s="62">
        <f t="shared" si="12"/>
        <v>0.40314285714282505</v>
      </c>
      <c r="AB161" s="62">
        <f t="shared" si="16"/>
        <v>1657.9491428571428</v>
      </c>
      <c r="AC161" s="62"/>
      <c r="AD161" s="62" t="s">
        <v>745</v>
      </c>
    </row>
    <row r="162" spans="1:30" hidden="1" x14ac:dyDescent="0.3">
      <c r="A162" s="2">
        <v>3</v>
      </c>
      <c r="B162" s="3" t="s">
        <v>110</v>
      </c>
      <c r="C162" s="4" t="s">
        <v>46</v>
      </c>
      <c r="D162" s="4" t="s">
        <v>650</v>
      </c>
      <c r="E162" s="4" t="str">
        <f>VLOOKUP(C162,'[2]CTRL AUTOS'!$E$2:$L$58,8,FALSE)</f>
        <v>ASHC</v>
      </c>
      <c r="F162" s="61" t="str">
        <f>VLOOKUP(C162,'[2]CTRL AUTOS'!$E$2:$K$58,7,FALSE)</f>
        <v>ASHC</v>
      </c>
      <c r="G162" s="4" t="s">
        <v>425</v>
      </c>
      <c r="H162" s="62">
        <v>618</v>
      </c>
      <c r="I162" s="62">
        <v>0</v>
      </c>
      <c r="J162" s="62">
        <v>-83.71</v>
      </c>
      <c r="K162" s="62">
        <v>0</v>
      </c>
      <c r="L162" s="62">
        <v>0</v>
      </c>
      <c r="M162" s="62">
        <v>0</v>
      </c>
      <c r="N162" s="62">
        <v>0</v>
      </c>
      <c r="O162" s="62">
        <f t="shared" si="17"/>
        <v>534.29</v>
      </c>
      <c r="P162" s="62">
        <f>(-2500/7)*1.5</f>
        <v>-535.71428571428578</v>
      </c>
      <c r="Q162" s="62">
        <v>0</v>
      </c>
      <c r="R162" s="62">
        <v>0</v>
      </c>
      <c r="S162" s="62">
        <v>0</v>
      </c>
      <c r="T162" s="62">
        <v>0</v>
      </c>
      <c r="U162" s="62">
        <v>0</v>
      </c>
      <c r="V162" s="62">
        <v>0</v>
      </c>
      <c r="W162" s="62">
        <f t="shared" si="13"/>
        <v>-1.4242857142858156</v>
      </c>
      <c r="X162" s="62">
        <f t="shared" si="14"/>
        <v>0</v>
      </c>
      <c r="Y162" s="62">
        <f t="shared" si="15"/>
        <v>-1.4242857142858156</v>
      </c>
      <c r="Z162" s="62">
        <v>0</v>
      </c>
      <c r="AA162" s="62">
        <f t="shared" si="12"/>
        <v>-1.4242857142858156</v>
      </c>
      <c r="AB162" s="62">
        <f t="shared" si="16"/>
        <v>532.86571428571415</v>
      </c>
      <c r="AC162" s="62"/>
      <c r="AD162" s="62"/>
    </row>
    <row r="163" spans="1:30" hidden="1" x14ac:dyDescent="0.3">
      <c r="A163" s="2">
        <v>4</v>
      </c>
      <c r="B163" s="3" t="s">
        <v>85</v>
      </c>
      <c r="C163" s="4" t="s">
        <v>86</v>
      </c>
      <c r="D163" s="4" t="s">
        <v>519</v>
      </c>
      <c r="E163" s="4" t="str">
        <f>VLOOKUP(C163,'[2]CTRL AUTOS'!$E$2:$L$58,8,FALSE)</f>
        <v>ASHC</v>
      </c>
      <c r="F163" s="61" t="str">
        <f>VLOOKUP(C163,'[2]CTRL AUTOS'!$E$2:$K$58,7,FALSE)</f>
        <v>ASHC</v>
      </c>
      <c r="G163" s="4" t="s">
        <v>234</v>
      </c>
      <c r="H163" s="62">
        <v>2717.01</v>
      </c>
      <c r="I163" s="62">
        <v>-519.26</v>
      </c>
      <c r="J163" s="62">
        <v>-32</v>
      </c>
      <c r="K163" s="62">
        <v>50.84</v>
      </c>
      <c r="L163" s="62">
        <v>0</v>
      </c>
      <c r="M163" s="62">
        <v>-30</v>
      </c>
      <c r="N163" s="62">
        <v>0</v>
      </c>
      <c r="O163" s="62">
        <f t="shared" si="17"/>
        <v>2186.59</v>
      </c>
      <c r="P163" s="62">
        <v>-2500</v>
      </c>
      <c r="Q163" s="62">
        <v>0</v>
      </c>
      <c r="R163" s="62">
        <v>-500</v>
      </c>
      <c r="S163" s="62">
        <v>0</v>
      </c>
      <c r="T163" s="62">
        <v>0</v>
      </c>
      <c r="U163" s="62">
        <v>0</v>
      </c>
      <c r="V163" s="62">
        <v>0</v>
      </c>
      <c r="W163" s="62">
        <f t="shared" si="13"/>
        <v>-813.40999999999985</v>
      </c>
      <c r="X163" s="62">
        <f t="shared" si="14"/>
        <v>0</v>
      </c>
      <c r="Y163" s="62">
        <f t="shared" si="15"/>
        <v>-813.40999999999985</v>
      </c>
      <c r="Z163" s="62">
        <v>813</v>
      </c>
      <c r="AA163" s="62">
        <f t="shared" si="12"/>
        <v>-0.40999999999985448</v>
      </c>
      <c r="AB163" s="62">
        <f t="shared" si="16"/>
        <v>2999.1800000000003</v>
      </c>
      <c r="AC163" s="62"/>
      <c r="AD163" s="62" t="s">
        <v>746</v>
      </c>
    </row>
    <row r="164" spans="1:30" hidden="1" x14ac:dyDescent="0.3">
      <c r="A164" s="2">
        <v>4</v>
      </c>
      <c r="B164" s="3" t="s">
        <v>98</v>
      </c>
      <c r="C164" s="4" t="s">
        <v>112</v>
      </c>
      <c r="D164" s="4" t="s">
        <v>336</v>
      </c>
      <c r="E164" s="4" t="str">
        <f>VLOOKUP(C164,'[2]CTRL AUTOS'!$E$2:$L$58,8,FALSE)</f>
        <v>ASHC</v>
      </c>
      <c r="F164" s="61" t="str">
        <f>VLOOKUP(C164,'[2]CTRL AUTOS'!$E$2:$K$58,7,FALSE)</f>
        <v>ASHC</v>
      </c>
      <c r="G164" s="4" t="s">
        <v>234</v>
      </c>
      <c r="H164" s="62">
        <v>1619.72</v>
      </c>
      <c r="I164" s="62">
        <v>-31.99</v>
      </c>
      <c r="J164" s="62">
        <v>0</v>
      </c>
      <c r="K164" s="62">
        <v>639.26</v>
      </c>
      <c r="L164" s="62">
        <v>0</v>
      </c>
      <c r="M164" s="62">
        <v>-5</v>
      </c>
      <c r="N164" s="62">
        <v>0</v>
      </c>
      <c r="O164" s="62">
        <f t="shared" si="17"/>
        <v>2221.9899999999998</v>
      </c>
      <c r="P164" s="62">
        <f>(-2500/7)*4</f>
        <v>-1428.5714285714287</v>
      </c>
      <c r="Q164" s="62">
        <v>0</v>
      </c>
      <c r="R164" s="62">
        <v>0</v>
      </c>
      <c r="S164" s="62">
        <v>0</v>
      </c>
      <c r="T164" s="62">
        <v>0</v>
      </c>
      <c r="U164" s="62">
        <v>0</v>
      </c>
      <c r="V164" s="62">
        <v>0</v>
      </c>
      <c r="W164" s="62">
        <f t="shared" si="13"/>
        <v>793.41857142857111</v>
      </c>
      <c r="X164" s="62">
        <f t="shared" si="14"/>
        <v>793.41857142857111</v>
      </c>
      <c r="Y164" s="62">
        <f t="shared" si="15"/>
        <v>0</v>
      </c>
      <c r="Z164" s="62">
        <v>0</v>
      </c>
      <c r="AA164" s="62">
        <f t="shared" si="12"/>
        <v>0</v>
      </c>
      <c r="AB164" s="62">
        <f t="shared" si="16"/>
        <v>1428.5714285714287</v>
      </c>
      <c r="AC164" s="62"/>
      <c r="AD164" s="62" t="s">
        <v>747</v>
      </c>
    </row>
    <row r="165" spans="1:30" hidden="1" x14ac:dyDescent="0.3">
      <c r="A165" s="2">
        <v>4</v>
      </c>
      <c r="B165" s="3" t="s">
        <v>98</v>
      </c>
      <c r="C165" s="4" t="s">
        <v>42</v>
      </c>
      <c r="D165" s="4" t="s">
        <v>250</v>
      </c>
      <c r="E165" s="4" t="str">
        <f>VLOOKUP(C165,'[2]CTRL AUTOS'!$E$2:$L$58,8,FALSE)</f>
        <v>ASHC</v>
      </c>
      <c r="F165" s="61" t="str">
        <f>VLOOKUP(C165,'[2]CTRL AUTOS'!$E$2:$K$58,7,FALSE)</f>
        <v>ASHC</v>
      </c>
      <c r="G165" s="4" t="s">
        <v>234</v>
      </c>
      <c r="H165" s="62">
        <v>0</v>
      </c>
      <c r="I165" s="62">
        <v>0</v>
      </c>
      <c r="J165" s="62">
        <v>0</v>
      </c>
      <c r="K165" s="62">
        <v>0</v>
      </c>
      <c r="L165" s="62">
        <v>0</v>
      </c>
      <c r="M165" s="62">
        <v>0</v>
      </c>
      <c r="N165" s="62">
        <v>0</v>
      </c>
      <c r="O165" s="62">
        <f t="shared" si="17"/>
        <v>0</v>
      </c>
      <c r="P165" s="62">
        <f>(-2500/7)*3</f>
        <v>-1071.4285714285716</v>
      </c>
      <c r="Q165" s="62">
        <v>0</v>
      </c>
      <c r="R165" s="62">
        <v>0</v>
      </c>
      <c r="S165" s="62">
        <v>0</v>
      </c>
      <c r="T165" s="62">
        <v>0</v>
      </c>
      <c r="U165" s="62">
        <v>0</v>
      </c>
      <c r="V165" s="62">
        <v>0</v>
      </c>
      <c r="W165" s="62">
        <f t="shared" si="13"/>
        <v>-1071.4285714285716</v>
      </c>
      <c r="X165" s="62">
        <f t="shared" si="14"/>
        <v>0</v>
      </c>
      <c r="Y165" s="62">
        <f t="shared" si="15"/>
        <v>-1071.4285714285716</v>
      </c>
      <c r="Z165" s="62">
        <v>1093</v>
      </c>
      <c r="AA165" s="62">
        <f t="shared" si="12"/>
        <v>21.571428571428442</v>
      </c>
      <c r="AB165" s="62">
        <f t="shared" si="16"/>
        <v>1114.5714285714284</v>
      </c>
      <c r="AC165" s="62"/>
      <c r="AD165" s="62" t="s">
        <v>748</v>
      </c>
    </row>
    <row r="166" spans="1:30" hidden="1" x14ac:dyDescent="0.3">
      <c r="A166" s="2">
        <v>4</v>
      </c>
      <c r="B166" s="3" t="s">
        <v>117</v>
      </c>
      <c r="C166" s="4" t="s">
        <v>118</v>
      </c>
      <c r="D166" s="4"/>
      <c r="E166" s="4" t="str">
        <f>VLOOKUP(C166,'[2]CTRL AUTOS'!$E$2:$L$58,8,FALSE)</f>
        <v>ASHC</v>
      </c>
      <c r="F166" s="61" t="str">
        <f>VLOOKUP(C166,'[2]CTRL AUTOS'!$E$2:$K$58,7,FALSE)</f>
        <v>ASHC</v>
      </c>
      <c r="G166" s="4" t="s">
        <v>234</v>
      </c>
      <c r="H166" s="62">
        <v>2426.34</v>
      </c>
      <c r="I166" s="62">
        <v>-556.28000000000009</v>
      </c>
      <c r="J166" s="62">
        <v>0</v>
      </c>
      <c r="K166" s="62">
        <v>0</v>
      </c>
      <c r="L166" s="62">
        <v>-29.179999999999996</v>
      </c>
      <c r="M166" s="62">
        <v>-35</v>
      </c>
      <c r="N166" s="62">
        <v>0</v>
      </c>
      <c r="O166" s="62">
        <f t="shared" si="17"/>
        <v>1805.8799999999999</v>
      </c>
      <c r="P166" s="62">
        <f>(-2500/7)*2.5</f>
        <v>-892.85714285714289</v>
      </c>
      <c r="Q166" s="62">
        <v>0</v>
      </c>
      <c r="R166" s="62">
        <v>-179</v>
      </c>
      <c r="S166" s="62">
        <v>0</v>
      </c>
      <c r="T166" s="62">
        <v>0</v>
      </c>
      <c r="U166" s="62">
        <v>0</v>
      </c>
      <c r="V166" s="62">
        <v>0</v>
      </c>
      <c r="W166" s="62">
        <f t="shared" si="13"/>
        <v>734.02285714285699</v>
      </c>
      <c r="X166" s="62">
        <f t="shared" si="14"/>
        <v>734.02285714285699</v>
      </c>
      <c r="Y166" s="62">
        <f t="shared" si="15"/>
        <v>0</v>
      </c>
      <c r="Z166" s="62">
        <v>0</v>
      </c>
      <c r="AA166" s="62">
        <f t="shared" ref="AA166:AA197" si="18">+Y166+Z166</f>
        <v>0</v>
      </c>
      <c r="AB166" s="62">
        <f t="shared" si="16"/>
        <v>1071.8571428571429</v>
      </c>
      <c r="AC166" s="62">
        <v>2000</v>
      </c>
      <c r="AD166" s="62" t="s">
        <v>749</v>
      </c>
    </row>
    <row r="167" spans="1:30" hidden="1" x14ac:dyDescent="0.3">
      <c r="A167" s="2">
        <v>4</v>
      </c>
      <c r="B167" s="3" t="s">
        <v>87</v>
      </c>
      <c r="C167" s="4" t="s">
        <v>83</v>
      </c>
      <c r="D167" s="4" t="s">
        <v>592</v>
      </c>
      <c r="E167" s="4" t="str">
        <f>VLOOKUP(C167,'[2]CTRL AUTOS'!$E$2:$L$58,8,FALSE)</f>
        <v>ASHC</v>
      </c>
      <c r="F167" s="61" t="str">
        <f>VLOOKUP(C167,'[2]CTRL AUTOS'!$E$2:$K$58,7,FALSE)</f>
        <v>ASHC</v>
      </c>
      <c r="G167" s="4" t="s">
        <v>234</v>
      </c>
      <c r="H167" s="62">
        <v>4348.4799999999996</v>
      </c>
      <c r="I167" s="62">
        <v>-1462.7600000000002</v>
      </c>
      <c r="J167" s="62">
        <v>-64</v>
      </c>
      <c r="K167" s="62">
        <v>0</v>
      </c>
      <c r="L167" s="62">
        <v>0</v>
      </c>
      <c r="M167" s="62">
        <v>-55</v>
      </c>
      <c r="N167" s="62">
        <v>0</v>
      </c>
      <c r="O167" s="62">
        <f t="shared" si="17"/>
        <v>2766.7199999999993</v>
      </c>
      <c r="P167" s="62">
        <v>-2700</v>
      </c>
      <c r="Q167" s="62">
        <v>0</v>
      </c>
      <c r="R167" s="62">
        <v>-500</v>
      </c>
      <c r="S167" s="62">
        <v>0</v>
      </c>
      <c r="T167" s="62">
        <v>0</v>
      </c>
      <c r="U167" s="62">
        <v>0</v>
      </c>
      <c r="V167" s="62">
        <v>0</v>
      </c>
      <c r="W167" s="62">
        <f t="shared" si="13"/>
        <v>-433.28000000000065</v>
      </c>
      <c r="X167" s="62">
        <f t="shared" si="14"/>
        <v>0</v>
      </c>
      <c r="Y167" s="62">
        <f t="shared" si="15"/>
        <v>-433.28000000000065</v>
      </c>
      <c r="Z167" s="62">
        <v>0</v>
      </c>
      <c r="AA167" s="62">
        <f t="shared" si="18"/>
        <v>-433.28000000000065</v>
      </c>
      <c r="AB167" s="62">
        <f t="shared" si="16"/>
        <v>2333.4399999999987</v>
      </c>
      <c r="AC167" s="62"/>
      <c r="AD167" s="62"/>
    </row>
    <row r="168" spans="1:30" hidden="1" x14ac:dyDescent="0.3">
      <c r="A168" s="2">
        <v>4</v>
      </c>
      <c r="B168" s="3" t="s">
        <v>76</v>
      </c>
      <c r="C168" s="4" t="s">
        <v>8</v>
      </c>
      <c r="D168" s="4"/>
      <c r="E168" s="4" t="s">
        <v>232</v>
      </c>
      <c r="F168" s="61" t="s">
        <v>232</v>
      </c>
      <c r="G168" s="4" t="s">
        <v>234</v>
      </c>
      <c r="H168" s="62">
        <v>0</v>
      </c>
      <c r="I168" s="62">
        <v>0</v>
      </c>
      <c r="J168" s="62">
        <v>0</v>
      </c>
      <c r="K168" s="62">
        <v>0</v>
      </c>
      <c r="L168" s="62">
        <v>0</v>
      </c>
      <c r="M168" s="62">
        <v>0</v>
      </c>
      <c r="N168" s="62">
        <v>0</v>
      </c>
      <c r="O168" s="62">
        <f t="shared" si="17"/>
        <v>0</v>
      </c>
      <c r="P168" s="62">
        <v>0</v>
      </c>
      <c r="Q168" s="62">
        <v>0</v>
      </c>
      <c r="R168" s="62">
        <v>0</v>
      </c>
      <c r="S168" s="62">
        <v>0</v>
      </c>
      <c r="T168" s="62">
        <v>-500</v>
      </c>
      <c r="U168" s="62">
        <v>0</v>
      </c>
      <c r="V168" s="62">
        <v>0</v>
      </c>
      <c r="W168" s="62">
        <f t="shared" si="13"/>
        <v>-500</v>
      </c>
      <c r="X168" s="62">
        <f t="shared" si="14"/>
        <v>0</v>
      </c>
      <c r="Y168" s="62">
        <f t="shared" si="15"/>
        <v>-500</v>
      </c>
      <c r="Z168" s="62">
        <v>0</v>
      </c>
      <c r="AA168" s="62">
        <f t="shared" si="18"/>
        <v>-500</v>
      </c>
      <c r="AB168" s="62">
        <f t="shared" si="16"/>
        <v>-500</v>
      </c>
      <c r="AC168" s="62"/>
      <c r="AD168" s="62" t="s">
        <v>750</v>
      </c>
    </row>
    <row r="169" spans="1:30" hidden="1" x14ac:dyDescent="0.3">
      <c r="A169" s="2">
        <v>4</v>
      </c>
      <c r="B169" s="3" t="s">
        <v>107</v>
      </c>
      <c r="C169" s="4" t="s">
        <v>50</v>
      </c>
      <c r="D169" s="4" t="s">
        <v>480</v>
      </c>
      <c r="E169" s="4" t="str">
        <f>VLOOKUP(C169,'[2]CTRL AUTOS'!$E$2:$L$58,8,FALSE)</f>
        <v>ASHC</v>
      </c>
      <c r="F169" s="61" t="str">
        <f>VLOOKUP(C169,'[2]CTRL AUTOS'!$E$2:$K$58,7,FALSE)</f>
        <v>ASHC</v>
      </c>
      <c r="G169" s="4" t="s">
        <v>234</v>
      </c>
      <c r="H169" s="62">
        <v>3784.05</v>
      </c>
      <c r="I169" s="62">
        <v>-1267.29</v>
      </c>
      <c r="J169" s="62">
        <v>0</v>
      </c>
      <c r="K169" s="62">
        <v>0</v>
      </c>
      <c r="L169" s="62">
        <v>0</v>
      </c>
      <c r="M169" s="62">
        <v>-50</v>
      </c>
      <c r="N169" s="62">
        <v>0</v>
      </c>
      <c r="O169" s="62">
        <f t="shared" si="17"/>
        <v>2466.7600000000002</v>
      </c>
      <c r="P169" s="62">
        <v>-2500</v>
      </c>
      <c r="Q169" s="62">
        <v>0</v>
      </c>
      <c r="R169" s="62">
        <v>-500</v>
      </c>
      <c r="S169" s="62">
        <v>0</v>
      </c>
      <c r="T169" s="62">
        <v>0</v>
      </c>
      <c r="U169" s="62">
        <v>0</v>
      </c>
      <c r="V169" s="62">
        <v>0</v>
      </c>
      <c r="W169" s="62">
        <f t="shared" si="13"/>
        <v>-533.23999999999978</v>
      </c>
      <c r="X169" s="62">
        <f t="shared" si="14"/>
        <v>0</v>
      </c>
      <c r="Y169" s="62">
        <f t="shared" si="15"/>
        <v>-533.23999999999978</v>
      </c>
      <c r="Z169" s="62">
        <v>533</v>
      </c>
      <c r="AA169" s="62">
        <f t="shared" si="18"/>
        <v>-0.23999999999978172</v>
      </c>
      <c r="AB169" s="62">
        <f t="shared" si="16"/>
        <v>2999.5200000000004</v>
      </c>
      <c r="AC169" s="62"/>
      <c r="AD169" s="62" t="s">
        <v>751</v>
      </c>
    </row>
    <row r="170" spans="1:30" hidden="1" x14ac:dyDescent="0.3">
      <c r="A170" s="2">
        <v>4</v>
      </c>
      <c r="B170" s="3" t="s">
        <v>78</v>
      </c>
      <c r="C170" s="4" t="s">
        <v>79</v>
      </c>
      <c r="D170" s="4" t="s">
        <v>475</v>
      </c>
      <c r="E170" s="4" t="str">
        <f>VLOOKUP(C170,'[2]CTRL AUTOS'!$E$2:$L$58,8,FALSE)</f>
        <v>BYER</v>
      </c>
      <c r="F170" s="61" t="str">
        <f>VLOOKUP(C170,'[2]CTRL AUTOS'!$E$2:$K$58,7,FALSE)</f>
        <v>BYER</v>
      </c>
      <c r="G170" s="4" t="s">
        <v>234</v>
      </c>
      <c r="H170" s="62">
        <v>2531.27</v>
      </c>
      <c r="I170" s="62">
        <v>-209.39</v>
      </c>
      <c r="J170" s="62">
        <v>0</v>
      </c>
      <c r="K170" s="62">
        <v>0</v>
      </c>
      <c r="L170" s="62">
        <v>-24.899999999999995</v>
      </c>
      <c r="M170" s="62">
        <f>-2.988-10</f>
        <v>-12.988</v>
      </c>
      <c r="N170" s="62">
        <v>0</v>
      </c>
      <c r="O170" s="62">
        <f t="shared" si="17"/>
        <v>2283.9920000000002</v>
      </c>
      <c r="P170" s="62">
        <v>-2500</v>
      </c>
      <c r="Q170" s="62">
        <v>-4051</v>
      </c>
      <c r="R170" s="62">
        <v>0</v>
      </c>
      <c r="S170" s="62">
        <v>0</v>
      </c>
      <c r="T170" s="62">
        <v>0</v>
      </c>
      <c r="U170" s="62">
        <v>0</v>
      </c>
      <c r="V170" s="62">
        <v>0</v>
      </c>
      <c r="W170" s="62">
        <f t="shared" si="13"/>
        <v>-4267.0079999999998</v>
      </c>
      <c r="X170" s="62">
        <f t="shared" si="14"/>
        <v>0</v>
      </c>
      <c r="Y170" s="62">
        <f t="shared" si="15"/>
        <v>-4267.0079999999998</v>
      </c>
      <c r="Z170" s="62">
        <v>716</v>
      </c>
      <c r="AA170" s="62">
        <f t="shared" si="18"/>
        <v>-3551.0079999999998</v>
      </c>
      <c r="AB170" s="62">
        <f t="shared" si="16"/>
        <v>-551.01599999999962</v>
      </c>
      <c r="AC170" s="62"/>
      <c r="AD170" s="62" t="s">
        <v>752</v>
      </c>
    </row>
    <row r="171" spans="1:30" hidden="1" x14ac:dyDescent="0.3">
      <c r="A171" s="2">
        <v>4</v>
      </c>
      <c r="B171" s="3" t="s">
        <v>53</v>
      </c>
      <c r="C171" s="4" t="s">
        <v>54</v>
      </c>
      <c r="D171" s="4" t="s">
        <v>318</v>
      </c>
      <c r="E171" s="4" t="str">
        <f>VLOOKUP(C171,'[2]CTRL AUTOS'!$E$2:$L$58,8,FALSE)</f>
        <v>ASHC</v>
      </c>
      <c r="F171" s="61" t="str">
        <f>VLOOKUP(C171,'[2]CTRL AUTOS'!$E$2:$K$58,7,FALSE)</f>
        <v>ASHC</v>
      </c>
      <c r="G171" s="4" t="s">
        <v>234</v>
      </c>
      <c r="H171" s="62">
        <v>1247.1500000000001</v>
      </c>
      <c r="I171" s="62">
        <v>-50</v>
      </c>
      <c r="J171" s="62">
        <v>0</v>
      </c>
      <c r="K171" s="62">
        <v>0</v>
      </c>
      <c r="L171" s="62">
        <v>0</v>
      </c>
      <c r="M171" s="62">
        <v>-5</v>
      </c>
      <c r="N171" s="62">
        <v>0</v>
      </c>
      <c r="O171" s="62">
        <f t="shared" si="17"/>
        <v>1192.1500000000001</v>
      </c>
      <c r="P171" s="62">
        <f>(-2500/7)*5.5</f>
        <v>-1964.2857142857144</v>
      </c>
      <c r="Q171" s="62">
        <f>-2806*1.12</f>
        <v>-3142.7200000000003</v>
      </c>
      <c r="R171" s="62">
        <v>0</v>
      </c>
      <c r="S171" s="62">
        <v>0</v>
      </c>
      <c r="T171" s="62">
        <v>0</v>
      </c>
      <c r="U171" s="62">
        <v>0</v>
      </c>
      <c r="V171" s="62">
        <v>0</v>
      </c>
      <c r="W171" s="62">
        <f t="shared" si="13"/>
        <v>-3914.8557142857144</v>
      </c>
      <c r="X171" s="62">
        <f t="shared" si="14"/>
        <v>0</v>
      </c>
      <c r="Y171" s="62">
        <f t="shared" si="15"/>
        <v>-3914.8557142857144</v>
      </c>
      <c r="Z171" s="62">
        <v>0</v>
      </c>
      <c r="AA171" s="62">
        <f t="shared" si="18"/>
        <v>-3914.8557142857144</v>
      </c>
      <c r="AB171" s="62">
        <f t="shared" si="16"/>
        <v>-2722.7057142857143</v>
      </c>
      <c r="AC171" s="62"/>
      <c r="AD171" s="62" t="s">
        <v>753</v>
      </c>
    </row>
    <row r="172" spans="1:30" hidden="1" x14ac:dyDescent="0.3">
      <c r="A172" s="2">
        <v>4</v>
      </c>
      <c r="B172" s="3" t="s">
        <v>51</v>
      </c>
      <c r="C172" s="4" t="s">
        <v>52</v>
      </c>
      <c r="D172" s="4" t="s">
        <v>313</v>
      </c>
      <c r="E172" s="4" t="str">
        <f>VLOOKUP(C172,'[2]CTRL AUTOS'!$E$2:$L$58,8,FALSE)</f>
        <v>ASHC</v>
      </c>
      <c r="F172" s="61" t="str">
        <f>VLOOKUP(C172,'[2]CTRL AUTOS'!$E$2:$K$58,7,FALSE)</f>
        <v>ASHC</v>
      </c>
      <c r="G172" s="4" t="s">
        <v>234</v>
      </c>
      <c r="H172" s="62">
        <v>2656.49</v>
      </c>
      <c r="I172" s="62">
        <v>0</v>
      </c>
      <c r="J172" s="62">
        <v>0</v>
      </c>
      <c r="K172" s="62">
        <v>0</v>
      </c>
      <c r="L172" s="62">
        <v>-22.879999999999995</v>
      </c>
      <c r="M172" s="62">
        <v>0</v>
      </c>
      <c r="N172" s="62">
        <v>0</v>
      </c>
      <c r="O172" s="62">
        <f t="shared" si="17"/>
        <v>2633.6099999999997</v>
      </c>
      <c r="P172" s="62">
        <v>-2500</v>
      </c>
      <c r="Q172" s="62">
        <v>0</v>
      </c>
      <c r="R172" s="62">
        <v>0</v>
      </c>
      <c r="S172" s="62">
        <v>0</v>
      </c>
      <c r="T172" s="62">
        <v>0</v>
      </c>
      <c r="U172" s="62">
        <v>0</v>
      </c>
      <c r="V172" s="62">
        <v>0</v>
      </c>
      <c r="W172" s="62">
        <f t="shared" si="13"/>
        <v>133.60999999999967</v>
      </c>
      <c r="X172" s="62">
        <f t="shared" si="14"/>
        <v>133.60999999999967</v>
      </c>
      <c r="Y172" s="62">
        <f t="shared" si="15"/>
        <v>0</v>
      </c>
      <c r="Z172" s="62">
        <v>0</v>
      </c>
      <c r="AA172" s="62">
        <f t="shared" si="18"/>
        <v>0</v>
      </c>
      <c r="AB172" s="62">
        <f t="shared" si="16"/>
        <v>2500</v>
      </c>
      <c r="AC172" s="62"/>
      <c r="AD172" s="62" t="s">
        <v>678</v>
      </c>
    </row>
    <row r="173" spans="1:30" hidden="1" x14ac:dyDescent="0.3">
      <c r="A173" s="2">
        <v>4</v>
      </c>
      <c r="B173" s="3" t="s">
        <v>74</v>
      </c>
      <c r="C173" s="4" t="s">
        <v>77</v>
      </c>
      <c r="D173" s="4" t="s">
        <v>474</v>
      </c>
      <c r="E173" s="4" t="str">
        <f>VLOOKUP(C173,'[2]CTRL AUTOS'!$E$2:$L$58,8,FALSE)</f>
        <v>ASHC</v>
      </c>
      <c r="F173" s="61" t="str">
        <f>VLOOKUP(C173,'[2]CTRL AUTOS'!$E$2:$K$58,7,FALSE)</f>
        <v>ASHC</v>
      </c>
      <c r="G173" s="4" t="s">
        <v>234</v>
      </c>
      <c r="H173" s="62">
        <v>2971.68</v>
      </c>
      <c r="I173" s="62">
        <v>-717.98</v>
      </c>
      <c r="J173" s="62">
        <v>0</v>
      </c>
      <c r="K173" s="62">
        <v>0</v>
      </c>
      <c r="L173" s="62">
        <v>0</v>
      </c>
      <c r="M173" s="62">
        <v>-30</v>
      </c>
      <c r="N173" s="62">
        <v>0</v>
      </c>
      <c r="O173" s="62">
        <f t="shared" si="17"/>
        <v>2223.6999999999998</v>
      </c>
      <c r="P173" s="62">
        <v>-2500</v>
      </c>
      <c r="Q173" s="62">
        <f>-2800*1.12</f>
        <v>-3136.0000000000005</v>
      </c>
      <c r="R173" s="62">
        <v>0</v>
      </c>
      <c r="S173" s="62">
        <v>0</v>
      </c>
      <c r="T173" s="62">
        <v>0</v>
      </c>
      <c r="U173" s="62">
        <v>0</v>
      </c>
      <c r="V173" s="62">
        <v>0</v>
      </c>
      <c r="W173" s="62">
        <f t="shared" si="13"/>
        <v>-3412.3000000000006</v>
      </c>
      <c r="X173" s="62">
        <f t="shared" si="14"/>
        <v>0</v>
      </c>
      <c r="Y173" s="62">
        <f t="shared" si="15"/>
        <v>-3412.3000000000006</v>
      </c>
      <c r="Z173" s="62">
        <v>1002</v>
      </c>
      <c r="AA173" s="62">
        <f t="shared" si="18"/>
        <v>-2410.3000000000006</v>
      </c>
      <c r="AB173" s="62">
        <f t="shared" si="16"/>
        <v>815.39999999999918</v>
      </c>
      <c r="AC173" s="62"/>
      <c r="AD173" s="62" t="s">
        <v>754</v>
      </c>
    </row>
    <row r="174" spans="1:30" hidden="1" x14ac:dyDescent="0.3">
      <c r="A174" s="2">
        <v>4</v>
      </c>
      <c r="B174" s="3" t="s">
        <v>115</v>
      </c>
      <c r="C174" s="4" t="s">
        <v>116</v>
      </c>
      <c r="D174" s="4" t="s">
        <v>755</v>
      </c>
      <c r="E174" s="4" t="str">
        <f>VLOOKUP(C174,'[2]CTRL AUTOS'!$E$2:$L$58,8,FALSE)</f>
        <v>BYER</v>
      </c>
      <c r="F174" s="61" t="str">
        <f>VLOOKUP(C174,'[2]CTRL AUTOS'!$E$2:$K$58,7,FALSE)</f>
        <v>BYER</v>
      </c>
      <c r="G174" s="4" t="s">
        <v>234</v>
      </c>
      <c r="H174" s="62">
        <v>3205.39</v>
      </c>
      <c r="I174" s="62">
        <v>-1180.6300000000003</v>
      </c>
      <c r="J174" s="62">
        <v>0</v>
      </c>
      <c r="K174" s="62">
        <v>0</v>
      </c>
      <c r="L174" s="62">
        <v>0</v>
      </c>
      <c r="M174" s="62">
        <v>-50</v>
      </c>
      <c r="N174" s="62">
        <v>0</v>
      </c>
      <c r="O174" s="62">
        <f t="shared" si="17"/>
        <v>1974.7599999999995</v>
      </c>
      <c r="P174" s="62">
        <f>(-2500/7)*3</f>
        <v>-1071.4285714285716</v>
      </c>
      <c r="Q174" s="62">
        <v>0</v>
      </c>
      <c r="R174" s="62">
        <v>-214</v>
      </c>
      <c r="S174" s="62">
        <v>0</v>
      </c>
      <c r="T174" s="62">
        <v>0</v>
      </c>
      <c r="U174" s="62">
        <v>0</v>
      </c>
      <c r="V174" s="62">
        <v>0</v>
      </c>
      <c r="W174" s="62">
        <f t="shared" si="13"/>
        <v>689.33142857142798</v>
      </c>
      <c r="X174" s="62">
        <f t="shared" si="14"/>
        <v>689.33142857142798</v>
      </c>
      <c r="Y174" s="62">
        <f t="shared" si="15"/>
        <v>0</v>
      </c>
      <c r="Z174" s="62">
        <v>0</v>
      </c>
      <c r="AA174" s="62">
        <f t="shared" si="18"/>
        <v>0</v>
      </c>
      <c r="AB174" s="62">
        <f t="shared" si="16"/>
        <v>1285.4285714285716</v>
      </c>
      <c r="AC174" s="62">
        <v>2000</v>
      </c>
      <c r="AD174" s="62" t="s">
        <v>756</v>
      </c>
    </row>
    <row r="175" spans="1:30" hidden="1" x14ac:dyDescent="0.3">
      <c r="A175" s="2">
        <v>4</v>
      </c>
      <c r="B175" s="3" t="s">
        <v>49</v>
      </c>
      <c r="C175" s="4" t="s">
        <v>96</v>
      </c>
      <c r="D175" s="4" t="s">
        <v>480</v>
      </c>
      <c r="E175" s="4" t="str">
        <f>VLOOKUP(C175,'[2]CTRL AUTOS'!$E$2:$L$58,8,FALSE)</f>
        <v>ASHC</v>
      </c>
      <c r="F175" s="61" t="str">
        <f>VLOOKUP(C175,'[2]CTRL AUTOS'!$E$2:$K$58,7,FALSE)</f>
        <v>ASHC</v>
      </c>
      <c r="G175" s="4" t="s">
        <v>234</v>
      </c>
      <c r="H175" s="62">
        <v>6223.71</v>
      </c>
      <c r="I175" s="62">
        <v>-628.45000000000005</v>
      </c>
      <c r="J175" s="62">
        <v>-40</v>
      </c>
      <c r="K175" s="62">
        <v>0</v>
      </c>
      <c r="L175" s="62">
        <v>0</v>
      </c>
      <c r="M175" s="62">
        <v>-30</v>
      </c>
      <c r="N175" s="62">
        <v>0</v>
      </c>
      <c r="O175" s="62">
        <f t="shared" si="17"/>
        <v>5525.26</v>
      </c>
      <c r="P175" s="62">
        <v>-2500</v>
      </c>
      <c r="Q175" s="62">
        <v>0</v>
      </c>
      <c r="R175" s="62">
        <v>0</v>
      </c>
      <c r="S175" s="62">
        <v>0</v>
      </c>
      <c r="T175" s="62">
        <v>0</v>
      </c>
      <c r="U175" s="62">
        <v>0</v>
      </c>
      <c r="V175" s="62">
        <v>0</v>
      </c>
      <c r="W175" s="62">
        <f t="shared" si="13"/>
        <v>3025.26</v>
      </c>
      <c r="X175" s="62">
        <f t="shared" si="14"/>
        <v>3025.26</v>
      </c>
      <c r="Y175" s="62">
        <f t="shared" si="15"/>
        <v>0</v>
      </c>
      <c r="Z175" s="62">
        <v>0</v>
      </c>
      <c r="AA175" s="62">
        <f t="shared" si="18"/>
        <v>0</v>
      </c>
      <c r="AB175" s="62">
        <f t="shared" si="16"/>
        <v>2500</v>
      </c>
      <c r="AC175" s="62"/>
      <c r="AD175" s="62"/>
    </row>
    <row r="176" spans="1:30" hidden="1" x14ac:dyDescent="0.3">
      <c r="A176" s="2">
        <v>4</v>
      </c>
      <c r="B176" s="3" t="s">
        <v>49</v>
      </c>
      <c r="C176" s="4" t="s">
        <v>104</v>
      </c>
      <c r="D176" s="4" t="s">
        <v>283</v>
      </c>
      <c r="E176" s="4" t="s">
        <v>232</v>
      </c>
      <c r="F176" s="61" t="s">
        <v>232</v>
      </c>
      <c r="G176" s="4" t="s">
        <v>234</v>
      </c>
      <c r="H176" s="62">
        <v>0</v>
      </c>
      <c r="I176" s="62">
        <v>0</v>
      </c>
      <c r="J176" s="62">
        <v>0</v>
      </c>
      <c r="K176" s="62">
        <v>0</v>
      </c>
      <c r="L176" s="62">
        <v>0</v>
      </c>
      <c r="M176" s="62">
        <v>0</v>
      </c>
      <c r="N176" s="62">
        <v>0</v>
      </c>
      <c r="O176" s="62">
        <f t="shared" si="17"/>
        <v>0</v>
      </c>
      <c r="P176" s="62">
        <v>0</v>
      </c>
      <c r="Q176" s="62">
        <v>0</v>
      </c>
      <c r="R176" s="62">
        <v>0</v>
      </c>
      <c r="S176" s="62">
        <v>0</v>
      </c>
      <c r="T176" s="62">
        <v>-700</v>
      </c>
      <c r="U176" s="62">
        <v>0</v>
      </c>
      <c r="V176" s="62">
        <v>0</v>
      </c>
      <c r="W176" s="62">
        <f t="shared" si="13"/>
        <v>-700</v>
      </c>
      <c r="X176" s="62">
        <f t="shared" si="14"/>
        <v>0</v>
      </c>
      <c r="Y176" s="62">
        <f t="shared" si="15"/>
        <v>-700</v>
      </c>
      <c r="Z176" s="62">
        <v>700</v>
      </c>
      <c r="AA176" s="62">
        <f t="shared" si="18"/>
        <v>0</v>
      </c>
      <c r="AB176" s="62">
        <f t="shared" si="16"/>
        <v>700</v>
      </c>
      <c r="AC176" s="62"/>
      <c r="AD176" s="62" t="s">
        <v>677</v>
      </c>
    </row>
    <row r="177" spans="1:30" hidden="1" x14ac:dyDescent="0.3">
      <c r="A177" s="2">
        <v>4</v>
      </c>
      <c r="B177" s="3" t="s">
        <v>47</v>
      </c>
      <c r="C177" s="4" t="s">
        <v>147</v>
      </c>
      <c r="D177" s="4" t="s">
        <v>283</v>
      </c>
      <c r="E177" s="4" t="str">
        <f>VLOOKUP(C177,'[2]CTRL AUTOS'!$E$2:$L$58,8,FALSE)</f>
        <v>ASHC</v>
      </c>
      <c r="F177" s="61" t="str">
        <f>VLOOKUP(C177,'[2]CTRL AUTOS'!$E$2:$K$58,7,FALSE)</f>
        <v>ASHC</v>
      </c>
      <c r="G177" s="4" t="s">
        <v>234</v>
      </c>
      <c r="H177" s="62">
        <v>7164.3</v>
      </c>
      <c r="I177" s="62">
        <v>-1961.9900000000002</v>
      </c>
      <c r="J177" s="62">
        <v>0</v>
      </c>
      <c r="K177" s="62">
        <v>0</v>
      </c>
      <c r="L177" s="62">
        <v>-74.75</v>
      </c>
      <c r="M177" s="62">
        <v>-55</v>
      </c>
      <c r="N177" s="62">
        <v>0</v>
      </c>
      <c r="O177" s="62">
        <f t="shared" si="17"/>
        <v>5072.5599999999995</v>
      </c>
      <c r="P177" s="62">
        <v>-2700</v>
      </c>
      <c r="Q177" s="62">
        <v>0</v>
      </c>
      <c r="R177" s="62">
        <v>0</v>
      </c>
      <c r="S177" s="62">
        <v>0</v>
      </c>
      <c r="T177" s="62">
        <v>0</v>
      </c>
      <c r="U177" s="62">
        <v>0</v>
      </c>
      <c r="V177" s="62">
        <v>0</v>
      </c>
      <c r="W177" s="62">
        <f t="shared" si="13"/>
        <v>2372.5599999999995</v>
      </c>
      <c r="X177" s="62">
        <f t="shared" si="14"/>
        <v>2372.5599999999995</v>
      </c>
      <c r="Y177" s="62">
        <f t="shared" si="15"/>
        <v>0</v>
      </c>
      <c r="Z177" s="62">
        <v>0</v>
      </c>
      <c r="AA177" s="62">
        <f t="shared" si="18"/>
        <v>0</v>
      </c>
      <c r="AB177" s="62">
        <f t="shared" si="16"/>
        <v>2700</v>
      </c>
      <c r="AC177" s="62"/>
      <c r="AD177" s="62" t="s">
        <v>724</v>
      </c>
    </row>
    <row r="178" spans="1:30" hidden="1" x14ac:dyDescent="0.3">
      <c r="A178" s="2">
        <v>4</v>
      </c>
      <c r="B178" s="3" t="s">
        <v>5</v>
      </c>
      <c r="C178" s="4" t="s">
        <v>6</v>
      </c>
      <c r="D178" s="4" t="s">
        <v>570</v>
      </c>
      <c r="E178" s="4" t="str">
        <f>VLOOKUP(C178,'[2]CTRL AUTOS'!$E$2:$L$58,8,FALSE)</f>
        <v>ASHC</v>
      </c>
      <c r="F178" s="61" t="str">
        <f>VLOOKUP(C178,'[2]CTRL AUTOS'!$E$2:$K$58,7,FALSE)</f>
        <v>ASHC</v>
      </c>
      <c r="G178" s="4" t="s">
        <v>425</v>
      </c>
      <c r="H178" s="62">
        <v>0</v>
      </c>
      <c r="I178" s="62">
        <v>0</v>
      </c>
      <c r="J178" s="62">
        <v>0</v>
      </c>
      <c r="K178" s="62">
        <v>0</v>
      </c>
      <c r="L178" s="62">
        <v>0</v>
      </c>
      <c r="M178" s="62">
        <v>0</v>
      </c>
      <c r="N178" s="62">
        <v>0</v>
      </c>
      <c r="O178" s="62">
        <f t="shared" si="17"/>
        <v>0</v>
      </c>
      <c r="P178" s="62">
        <v>-2500</v>
      </c>
      <c r="Q178" s="62">
        <v>231</v>
      </c>
      <c r="R178" s="62">
        <v>0</v>
      </c>
      <c r="S178" s="62">
        <v>0</v>
      </c>
      <c r="T178" s="62">
        <v>0</v>
      </c>
      <c r="U178" s="62">
        <v>0</v>
      </c>
      <c r="V178" s="62">
        <v>0</v>
      </c>
      <c r="W178" s="62">
        <f t="shared" si="13"/>
        <v>-2269</v>
      </c>
      <c r="X178" s="62">
        <f t="shared" si="14"/>
        <v>0</v>
      </c>
      <c r="Y178" s="62">
        <f t="shared" si="15"/>
        <v>-2269</v>
      </c>
      <c r="Z178" s="62">
        <f>2000+300</f>
        <v>2300</v>
      </c>
      <c r="AA178" s="62">
        <f t="shared" si="18"/>
        <v>31</v>
      </c>
      <c r="AB178" s="62">
        <f t="shared" si="16"/>
        <v>2331</v>
      </c>
      <c r="AC178" s="62"/>
      <c r="AD178" s="62" t="s">
        <v>757</v>
      </c>
    </row>
    <row r="179" spans="1:30" hidden="1" x14ac:dyDescent="0.3">
      <c r="A179" s="2">
        <v>4</v>
      </c>
      <c r="B179" s="3" t="s">
        <v>5</v>
      </c>
      <c r="C179" s="4" t="s">
        <v>42</v>
      </c>
      <c r="D179" s="4" t="s">
        <v>570</v>
      </c>
      <c r="E179" s="4" t="str">
        <f>VLOOKUP(C179,'[2]CTRL AUTOS'!$E$2:$L$58,8,FALSE)</f>
        <v>ASHC</v>
      </c>
      <c r="F179" s="61" t="str">
        <f>VLOOKUP(C179,'[2]CTRL AUTOS'!$E$2:$K$58,7,FALSE)</f>
        <v>ASHC</v>
      </c>
      <c r="G179" s="4" t="s">
        <v>425</v>
      </c>
      <c r="H179" s="62">
        <v>0</v>
      </c>
      <c r="I179" s="62">
        <v>0</v>
      </c>
      <c r="J179" s="62">
        <v>0</v>
      </c>
      <c r="K179" s="62">
        <v>0</v>
      </c>
      <c r="L179" s="62">
        <v>0</v>
      </c>
      <c r="M179" s="62">
        <v>0</v>
      </c>
      <c r="N179" s="62">
        <v>0</v>
      </c>
      <c r="O179" s="62">
        <f t="shared" si="17"/>
        <v>0</v>
      </c>
      <c r="P179" s="62">
        <v>0</v>
      </c>
      <c r="Q179" s="62">
        <v>0</v>
      </c>
      <c r="R179" s="62">
        <v>0</v>
      </c>
      <c r="S179" s="62">
        <v>0</v>
      </c>
      <c r="T179" s="62">
        <v>-500</v>
      </c>
      <c r="U179" s="62">
        <v>0</v>
      </c>
      <c r="V179" s="62">
        <v>0</v>
      </c>
      <c r="W179" s="62">
        <f t="shared" si="13"/>
        <v>-500</v>
      </c>
      <c r="X179" s="62">
        <f t="shared" si="14"/>
        <v>0</v>
      </c>
      <c r="Y179" s="62">
        <f t="shared" si="15"/>
        <v>-500</v>
      </c>
      <c r="Z179" s="62">
        <v>500</v>
      </c>
      <c r="AA179" s="62">
        <f t="shared" si="18"/>
        <v>0</v>
      </c>
      <c r="AB179" s="62">
        <f t="shared" si="16"/>
        <v>500</v>
      </c>
      <c r="AC179" s="62"/>
      <c r="AD179" s="62" t="s">
        <v>758</v>
      </c>
    </row>
    <row r="180" spans="1:30" hidden="1" x14ac:dyDescent="0.3">
      <c r="A180" s="2">
        <v>4</v>
      </c>
      <c r="B180" s="3" t="s">
        <v>123</v>
      </c>
      <c r="C180" s="4" t="s">
        <v>59</v>
      </c>
      <c r="D180" s="4"/>
      <c r="E180" s="4" t="str">
        <f>VLOOKUP(C180,'[2]CTRL AUTOS'!$E$2:$L$58,8,FALSE)</f>
        <v>ASHC</v>
      </c>
      <c r="F180" s="61" t="s">
        <v>232</v>
      </c>
      <c r="G180" s="4" t="s">
        <v>234</v>
      </c>
      <c r="H180" s="62">
        <v>310.02</v>
      </c>
      <c r="I180" s="62">
        <v>0</v>
      </c>
      <c r="J180" s="62">
        <v>0</v>
      </c>
      <c r="K180" s="62">
        <v>0</v>
      </c>
      <c r="L180" s="62">
        <v>0</v>
      </c>
      <c r="M180" s="62">
        <v>0</v>
      </c>
      <c r="N180" s="62">
        <v>0</v>
      </c>
      <c r="O180" s="62">
        <f t="shared" si="17"/>
        <v>310.02</v>
      </c>
      <c r="P180" s="62">
        <f>(-2500/7)*2</f>
        <v>-714.28571428571433</v>
      </c>
      <c r="Q180" s="62">
        <v>0</v>
      </c>
      <c r="R180" s="62">
        <v>-143</v>
      </c>
      <c r="S180" s="62">
        <v>0</v>
      </c>
      <c r="T180" s="62">
        <v>0</v>
      </c>
      <c r="U180" s="62">
        <v>0</v>
      </c>
      <c r="V180" s="62">
        <v>0</v>
      </c>
      <c r="W180" s="62">
        <f t="shared" si="13"/>
        <v>-547.26571428571435</v>
      </c>
      <c r="X180" s="62">
        <f t="shared" si="14"/>
        <v>0</v>
      </c>
      <c r="Y180" s="62">
        <f t="shared" si="15"/>
        <v>-547.26571428571435</v>
      </c>
      <c r="Z180" s="62">
        <v>547</v>
      </c>
      <c r="AA180" s="62">
        <f t="shared" si="18"/>
        <v>-0.26571428571435263</v>
      </c>
      <c r="AB180" s="62">
        <f t="shared" si="16"/>
        <v>856.75428571428563</v>
      </c>
      <c r="AC180" s="62">
        <v>2000</v>
      </c>
      <c r="AD180" s="62" t="s">
        <v>759</v>
      </c>
    </row>
    <row r="181" spans="1:30" hidden="1" x14ac:dyDescent="0.3">
      <c r="A181" s="2">
        <v>4</v>
      </c>
      <c r="B181" s="3" t="s">
        <v>119</v>
      </c>
      <c r="C181" s="4" t="s">
        <v>97</v>
      </c>
      <c r="D181" s="4"/>
      <c r="E181" s="4" t="str">
        <f>VLOOKUP(C181,'[2]CTRL AUTOS'!$E$2:$L$58,8,FALSE)</f>
        <v>ASHC</v>
      </c>
      <c r="F181" s="61" t="str">
        <f>VLOOKUP(C181,'[2]CTRL AUTOS'!$E$2:$K$58,7,FALSE)</f>
        <v>ASHC</v>
      </c>
      <c r="G181" s="4" t="s">
        <v>234</v>
      </c>
      <c r="H181" s="62">
        <v>3091.18</v>
      </c>
      <c r="I181" s="62">
        <v>0</v>
      </c>
      <c r="J181" s="62">
        <v>0</v>
      </c>
      <c r="K181" s="62">
        <v>0</v>
      </c>
      <c r="L181" s="62">
        <v>0</v>
      </c>
      <c r="M181" s="62">
        <v>0</v>
      </c>
      <c r="N181" s="62">
        <v>0</v>
      </c>
      <c r="O181" s="62">
        <f t="shared" si="17"/>
        <v>3091.18</v>
      </c>
      <c r="P181" s="62">
        <f>(-2500/7)*2</f>
        <v>-714.28571428571433</v>
      </c>
      <c r="Q181" s="62">
        <v>0</v>
      </c>
      <c r="R181" s="62">
        <v>-143</v>
      </c>
      <c r="S181" s="62">
        <v>0</v>
      </c>
      <c r="T181" s="62">
        <v>0</v>
      </c>
      <c r="U181" s="62">
        <v>0</v>
      </c>
      <c r="V181" s="62">
        <v>0</v>
      </c>
      <c r="W181" s="62">
        <f t="shared" si="13"/>
        <v>2233.8942857142856</v>
      </c>
      <c r="X181" s="62">
        <f t="shared" si="14"/>
        <v>2233.8942857142856</v>
      </c>
      <c r="Y181" s="62">
        <f t="shared" si="15"/>
        <v>0</v>
      </c>
      <c r="Z181" s="62">
        <v>0</v>
      </c>
      <c r="AA181" s="62">
        <f t="shared" si="18"/>
        <v>0</v>
      </c>
      <c r="AB181" s="62">
        <f t="shared" si="16"/>
        <v>857.28571428571422</v>
      </c>
      <c r="AC181" s="62">
        <v>1000</v>
      </c>
      <c r="AD181" s="62" t="s">
        <v>760</v>
      </c>
    </row>
    <row r="182" spans="1:30" hidden="1" x14ac:dyDescent="0.3">
      <c r="A182" s="2">
        <v>4</v>
      </c>
      <c r="B182" s="3" t="s">
        <v>89</v>
      </c>
      <c r="C182" s="4" t="s">
        <v>4</v>
      </c>
      <c r="D182" s="4" t="s">
        <v>652</v>
      </c>
      <c r="E182" s="4" t="str">
        <f>VLOOKUP(C182,'[2]CTRL AUTOS'!$E$2:$L$58,8,FALSE)</f>
        <v>ASHC</v>
      </c>
      <c r="F182" s="61" t="str">
        <f>VLOOKUP(C182,'[2]CTRL AUTOS'!$E$2:$K$58,7,FALSE)</f>
        <v>ASHC</v>
      </c>
      <c r="G182" s="4" t="s">
        <v>234</v>
      </c>
      <c r="H182" s="62">
        <v>4510.46</v>
      </c>
      <c r="I182" s="62">
        <v>-1748.7700000000004</v>
      </c>
      <c r="J182" s="62">
        <v>0</v>
      </c>
      <c r="K182" s="62">
        <v>0</v>
      </c>
      <c r="L182" s="62">
        <v>0</v>
      </c>
      <c r="M182" s="62">
        <v>-52</v>
      </c>
      <c r="N182" s="62">
        <v>0</v>
      </c>
      <c r="O182" s="62">
        <f t="shared" si="17"/>
        <v>2709.6899999999996</v>
      </c>
      <c r="P182" s="62">
        <v>-2500</v>
      </c>
      <c r="Q182" s="62">
        <v>0</v>
      </c>
      <c r="R182" s="62">
        <v>-500</v>
      </c>
      <c r="S182" s="62">
        <v>0</v>
      </c>
      <c r="T182" s="62">
        <v>0</v>
      </c>
      <c r="U182" s="62">
        <v>0</v>
      </c>
      <c r="V182" s="62">
        <v>0</v>
      </c>
      <c r="W182" s="62">
        <f t="shared" si="13"/>
        <v>-290.3100000000004</v>
      </c>
      <c r="X182" s="62">
        <f t="shared" si="14"/>
        <v>0</v>
      </c>
      <c r="Y182" s="62">
        <f t="shared" si="15"/>
        <v>-290.3100000000004</v>
      </c>
      <c r="Z182" s="62">
        <v>290</v>
      </c>
      <c r="AA182" s="62">
        <f t="shared" si="18"/>
        <v>-0.31000000000040018</v>
      </c>
      <c r="AB182" s="62">
        <f t="shared" si="16"/>
        <v>2999.3799999999992</v>
      </c>
      <c r="AC182" s="62"/>
      <c r="AD182" s="62" t="s">
        <v>761</v>
      </c>
    </row>
    <row r="183" spans="1:30" hidden="1" x14ac:dyDescent="0.3">
      <c r="A183" s="2">
        <v>4</v>
      </c>
      <c r="B183" s="3" t="s">
        <v>84</v>
      </c>
      <c r="C183" s="4" t="s">
        <v>59</v>
      </c>
      <c r="D183" s="4" t="s">
        <v>520</v>
      </c>
      <c r="E183" s="4" t="str">
        <f>VLOOKUP(C183,'[2]CTRL AUTOS'!$E$2:$L$58,8,FALSE)</f>
        <v>ASHC</v>
      </c>
      <c r="F183" s="67" t="s">
        <v>291</v>
      </c>
      <c r="G183" s="4" t="s">
        <v>234</v>
      </c>
      <c r="H183" s="62">
        <v>3124.9</v>
      </c>
      <c r="I183" s="62">
        <v>-1410.47</v>
      </c>
      <c r="J183" s="62">
        <v>0</v>
      </c>
      <c r="K183" s="62">
        <v>0</v>
      </c>
      <c r="L183" s="62">
        <v>0</v>
      </c>
      <c r="M183" s="62">
        <v>-50</v>
      </c>
      <c r="N183" s="62">
        <v>0</v>
      </c>
      <c r="O183" s="62">
        <f t="shared" si="17"/>
        <v>1664.43</v>
      </c>
      <c r="P183" s="62">
        <f>(-2500/7)*4</f>
        <v>-1428.5714285714287</v>
      </c>
      <c r="Q183" s="62">
        <f>-529*1.12</f>
        <v>-592.48</v>
      </c>
      <c r="R183" s="62">
        <v>-500</v>
      </c>
      <c r="S183" s="62">
        <v>0</v>
      </c>
      <c r="T183" s="62">
        <v>0</v>
      </c>
      <c r="U183" s="62">
        <v>0</v>
      </c>
      <c r="V183" s="62">
        <v>0</v>
      </c>
      <c r="W183" s="62">
        <f t="shared" si="13"/>
        <v>-856.62142857142862</v>
      </c>
      <c r="X183" s="62">
        <f t="shared" si="14"/>
        <v>0</v>
      </c>
      <c r="Y183" s="62">
        <f t="shared" si="15"/>
        <v>-856.62142857142862</v>
      </c>
      <c r="Z183" s="62">
        <v>0</v>
      </c>
      <c r="AA183" s="62">
        <f t="shared" si="18"/>
        <v>-856.62142857142862</v>
      </c>
      <c r="AB183" s="62">
        <f t="shared" si="16"/>
        <v>807.80857142857144</v>
      </c>
      <c r="AC183" s="62"/>
      <c r="AD183" s="62" t="s">
        <v>762</v>
      </c>
    </row>
    <row r="184" spans="1:30" hidden="1" x14ac:dyDescent="0.3">
      <c r="A184" s="2">
        <v>4</v>
      </c>
      <c r="B184" s="3" t="s">
        <v>84</v>
      </c>
      <c r="C184" s="4" t="s">
        <v>146</v>
      </c>
      <c r="D184" s="4"/>
      <c r="E184" s="4" t="str">
        <f>VLOOKUP(C184,'[2]CTRL AUTOS'!$E$2:$L$58,8,FALSE)</f>
        <v>ASHC</v>
      </c>
      <c r="F184" s="61" t="str">
        <f>VLOOKUP(C184,'[2]CTRL AUTOS'!$E$2:$K$58,7,FALSE)</f>
        <v>ASHC</v>
      </c>
      <c r="G184" s="4" t="s">
        <v>234</v>
      </c>
      <c r="H184" s="62">
        <v>4595.2</v>
      </c>
      <c r="I184" s="62">
        <v>-2586.3500000000004</v>
      </c>
      <c r="J184" s="62">
        <v>0</v>
      </c>
      <c r="K184" s="62">
        <v>0</v>
      </c>
      <c r="L184" s="62">
        <v>0</v>
      </c>
      <c r="M184" s="62">
        <f>-53.532-65</f>
        <v>-118.532</v>
      </c>
      <c r="N184" s="62">
        <v>-446.1</v>
      </c>
      <c r="O184" s="62">
        <f t="shared" si="17"/>
        <v>1444.2179999999994</v>
      </c>
      <c r="P184" s="62">
        <f>(-2700/7)*3</f>
        <v>-1157.1428571428571</v>
      </c>
      <c r="Q184" s="62">
        <v>0</v>
      </c>
      <c r="R184" s="62">
        <v>0</v>
      </c>
      <c r="S184" s="62">
        <v>0</v>
      </c>
      <c r="T184" s="62">
        <v>0</v>
      </c>
      <c r="U184" s="62">
        <v>0</v>
      </c>
      <c r="V184" s="62">
        <v>0</v>
      </c>
      <c r="W184" s="62">
        <f t="shared" si="13"/>
        <v>287.07514285714228</v>
      </c>
      <c r="X184" s="62">
        <f t="shared" si="14"/>
        <v>287.07514285714228</v>
      </c>
      <c r="Y184" s="62">
        <f t="shared" si="15"/>
        <v>0</v>
      </c>
      <c r="Z184" s="62">
        <v>0</v>
      </c>
      <c r="AA184" s="62">
        <f t="shared" si="18"/>
        <v>0</v>
      </c>
      <c r="AB184" s="62">
        <f t="shared" si="16"/>
        <v>1157.1428571428571</v>
      </c>
      <c r="AC184" s="62"/>
      <c r="AD184" s="62" t="s">
        <v>763</v>
      </c>
    </row>
    <row r="185" spans="1:30" hidden="1" x14ac:dyDescent="0.3">
      <c r="A185" s="2">
        <v>4</v>
      </c>
      <c r="B185" s="3" t="s">
        <v>43</v>
      </c>
      <c r="C185" s="4" t="s">
        <v>44</v>
      </c>
      <c r="D185" s="4" t="s">
        <v>467</v>
      </c>
      <c r="E185" s="4" t="str">
        <f>VLOOKUP(C185,'[2]CTRL AUTOS'!$E$2:$L$58,8,FALSE)</f>
        <v>ASHC</v>
      </c>
      <c r="F185" s="61" t="str">
        <f>VLOOKUP(C185,'[2]CTRL AUTOS'!$E$2:$K$58,7,FALSE)</f>
        <v>ASHC</v>
      </c>
      <c r="G185" s="4" t="s">
        <v>234</v>
      </c>
      <c r="H185" s="62">
        <v>0</v>
      </c>
      <c r="I185" s="62">
        <v>0</v>
      </c>
      <c r="J185" s="62">
        <v>0</v>
      </c>
      <c r="K185" s="62">
        <v>0</v>
      </c>
      <c r="L185" s="62">
        <v>0</v>
      </c>
      <c r="M185" s="62">
        <v>0</v>
      </c>
      <c r="N185" s="62">
        <v>0</v>
      </c>
      <c r="O185" s="62">
        <f t="shared" si="17"/>
        <v>0</v>
      </c>
      <c r="P185" s="62">
        <f>(-2500/7)*4</f>
        <v>-1428.5714285714287</v>
      </c>
      <c r="Q185" s="62">
        <f>-565*1.12</f>
        <v>-632.80000000000007</v>
      </c>
      <c r="R185" s="62">
        <v>-500</v>
      </c>
      <c r="S185" s="62">
        <v>0</v>
      </c>
      <c r="T185" s="62">
        <v>0</v>
      </c>
      <c r="U185" s="62">
        <v>0</v>
      </c>
      <c r="V185" s="62">
        <v>0</v>
      </c>
      <c r="W185" s="62">
        <f t="shared" si="13"/>
        <v>-2561.3714285714286</v>
      </c>
      <c r="X185" s="62">
        <f t="shared" si="14"/>
        <v>0</v>
      </c>
      <c r="Y185" s="62">
        <f t="shared" si="15"/>
        <v>-2561.3714285714286</v>
      </c>
      <c r="Z185" s="62">
        <v>2444</v>
      </c>
      <c r="AA185" s="62">
        <f t="shared" si="18"/>
        <v>-117.37142857142862</v>
      </c>
      <c r="AB185" s="62">
        <f t="shared" si="16"/>
        <v>2326.6285714285714</v>
      </c>
      <c r="AC185" s="62"/>
      <c r="AD185" s="62" t="s">
        <v>764</v>
      </c>
    </row>
    <row r="186" spans="1:30" hidden="1" x14ac:dyDescent="0.3">
      <c r="A186" s="2">
        <v>4</v>
      </c>
      <c r="B186" s="3" t="s">
        <v>43</v>
      </c>
      <c r="C186" s="4" t="s">
        <v>765</v>
      </c>
      <c r="D186" s="4"/>
      <c r="E186" s="4" t="s">
        <v>232</v>
      </c>
      <c r="F186" s="61" t="s">
        <v>232</v>
      </c>
      <c r="G186" s="4" t="s">
        <v>234</v>
      </c>
      <c r="H186" s="62">
        <v>3101.27</v>
      </c>
      <c r="I186" s="62">
        <v>0</v>
      </c>
      <c r="J186" s="62">
        <v>0</v>
      </c>
      <c r="K186" s="62">
        <v>0</v>
      </c>
      <c r="L186" s="62">
        <v>0</v>
      </c>
      <c r="M186" s="62">
        <v>0</v>
      </c>
      <c r="N186" s="62">
        <v>0</v>
      </c>
      <c r="O186" s="62">
        <f t="shared" si="17"/>
        <v>3101.27</v>
      </c>
      <c r="P186" s="62">
        <f>(-2700/7)*3</f>
        <v>-1157.1428571428571</v>
      </c>
      <c r="Q186" s="62">
        <v>0</v>
      </c>
      <c r="R186" s="62">
        <v>0</v>
      </c>
      <c r="S186" s="62">
        <v>0</v>
      </c>
      <c r="T186" s="62">
        <v>0</v>
      </c>
      <c r="U186" s="62">
        <v>0</v>
      </c>
      <c r="V186" s="62">
        <v>0</v>
      </c>
      <c r="W186" s="62">
        <f t="shared" si="13"/>
        <v>1944.1271428571429</v>
      </c>
      <c r="X186" s="62">
        <f t="shared" si="14"/>
        <v>1944.1271428571429</v>
      </c>
      <c r="Y186" s="62">
        <f t="shared" si="15"/>
        <v>0</v>
      </c>
      <c r="Z186" s="62">
        <v>0</v>
      </c>
      <c r="AA186" s="62">
        <f t="shared" si="18"/>
        <v>0</v>
      </c>
      <c r="AB186" s="62">
        <f t="shared" si="16"/>
        <v>1157.1428571428571</v>
      </c>
      <c r="AC186" s="62"/>
      <c r="AD186" s="62" t="s">
        <v>763</v>
      </c>
    </row>
    <row r="187" spans="1:30" hidden="1" x14ac:dyDescent="0.3">
      <c r="A187" s="2">
        <v>4</v>
      </c>
      <c r="B187" s="3" t="s">
        <v>114</v>
      </c>
      <c r="C187" s="4" t="s">
        <v>46</v>
      </c>
      <c r="D187" s="4"/>
      <c r="E187" s="4" t="str">
        <f>VLOOKUP(C187,'[2]CTRL AUTOS'!$E$2:$L$58,8,FALSE)</f>
        <v>ASHC</v>
      </c>
      <c r="F187" s="61" t="str">
        <f>VLOOKUP(C187,'[2]CTRL AUTOS'!$E$2:$K$58,7,FALSE)</f>
        <v>ASHC</v>
      </c>
      <c r="G187" s="4" t="s">
        <v>234</v>
      </c>
      <c r="H187" s="62">
        <v>315.66000000000003</v>
      </c>
      <c r="I187" s="62">
        <v>-84.89</v>
      </c>
      <c r="J187" s="62">
        <v>0</v>
      </c>
      <c r="K187" s="62">
        <v>0</v>
      </c>
      <c r="L187" s="62">
        <v>0</v>
      </c>
      <c r="M187" s="62">
        <v>-5</v>
      </c>
      <c r="N187" s="62">
        <v>0</v>
      </c>
      <c r="O187" s="62">
        <f t="shared" si="17"/>
        <v>225.77000000000004</v>
      </c>
      <c r="P187" s="62">
        <f>(-2500/7)*5.5</f>
        <v>-1964.2857142857144</v>
      </c>
      <c r="Q187" s="62">
        <v>0</v>
      </c>
      <c r="R187" s="62">
        <v>-392.85714285714289</v>
      </c>
      <c r="S187" s="62">
        <v>0</v>
      </c>
      <c r="T187" s="62">
        <v>0</v>
      </c>
      <c r="U187" s="62">
        <v>0</v>
      </c>
      <c r="V187" s="62">
        <v>0</v>
      </c>
      <c r="W187" s="62">
        <f t="shared" si="13"/>
        <v>-2131.3728571428574</v>
      </c>
      <c r="X187" s="62">
        <f t="shared" si="14"/>
        <v>0</v>
      </c>
      <c r="Y187" s="62">
        <f t="shared" si="15"/>
        <v>-2131.3728571428574</v>
      </c>
      <c r="Z187" s="62">
        <v>2357</v>
      </c>
      <c r="AA187" s="62">
        <f t="shared" si="18"/>
        <v>225.62714285714264</v>
      </c>
      <c r="AB187" s="62">
        <f t="shared" si="16"/>
        <v>2808.3971428571426</v>
      </c>
      <c r="AC187" s="62"/>
      <c r="AD187" s="62" t="s">
        <v>766</v>
      </c>
    </row>
    <row r="188" spans="1:30" hidden="1" x14ac:dyDescent="0.3">
      <c r="A188" s="2">
        <v>4</v>
      </c>
      <c r="B188" s="3" t="s">
        <v>39</v>
      </c>
      <c r="C188" s="4" t="s">
        <v>40</v>
      </c>
      <c r="D188" s="4" t="s">
        <v>315</v>
      </c>
      <c r="E188" s="4" t="str">
        <f>VLOOKUP(C188,'[2]CTRL AUTOS'!$E$2:$L$58,8,FALSE)</f>
        <v>ASHC</v>
      </c>
      <c r="F188" s="61" t="str">
        <f>VLOOKUP(C188,'[2]CTRL AUTOS'!$E$2:$K$58,7,FALSE)</f>
        <v>ASHC</v>
      </c>
      <c r="G188" s="4" t="s">
        <v>234</v>
      </c>
      <c r="H188" s="62">
        <v>2272.29</v>
      </c>
      <c r="I188" s="62">
        <v>-1082.3900000000001</v>
      </c>
      <c r="J188" s="62">
        <v>0</v>
      </c>
      <c r="K188" s="62">
        <v>0</v>
      </c>
      <c r="L188" s="62">
        <v>0</v>
      </c>
      <c r="M188" s="62">
        <v>-55</v>
      </c>
      <c r="N188" s="62">
        <v>-71</v>
      </c>
      <c r="O188" s="62">
        <f t="shared" si="17"/>
        <v>1063.8999999999999</v>
      </c>
      <c r="P188" s="62">
        <v>-2500</v>
      </c>
      <c r="Q188" s="62">
        <f>-2227*1.12</f>
        <v>-2494.2400000000002</v>
      </c>
      <c r="R188" s="62">
        <v>-500</v>
      </c>
      <c r="S188" s="62">
        <v>0</v>
      </c>
      <c r="T188" s="62">
        <v>0</v>
      </c>
      <c r="U188" s="62">
        <v>0</v>
      </c>
      <c r="V188" s="62">
        <v>0</v>
      </c>
      <c r="W188" s="62">
        <f t="shared" si="13"/>
        <v>-4430.34</v>
      </c>
      <c r="X188" s="62">
        <f t="shared" si="14"/>
        <v>0</v>
      </c>
      <c r="Y188" s="62">
        <f t="shared" si="15"/>
        <v>-4430.34</v>
      </c>
      <c r="Z188" s="62">
        <v>0</v>
      </c>
      <c r="AA188" s="62">
        <f t="shared" si="18"/>
        <v>-4430.34</v>
      </c>
      <c r="AB188" s="62">
        <f t="shared" si="16"/>
        <v>-3366.4400000000005</v>
      </c>
      <c r="AC188" s="62"/>
      <c r="AD188" s="62" t="s">
        <v>722</v>
      </c>
    </row>
    <row r="189" spans="1:30" hidden="1" x14ac:dyDescent="0.3">
      <c r="A189" s="2">
        <v>4</v>
      </c>
      <c r="B189" s="3" t="s">
        <v>37</v>
      </c>
      <c r="C189" s="4" t="s">
        <v>38</v>
      </c>
      <c r="D189" s="4" t="s">
        <v>579</v>
      </c>
      <c r="E189" s="4" t="str">
        <f>VLOOKUP(C189,'[2]CTRL AUTOS'!$E$2:$L$58,8,FALSE)</f>
        <v>ASHC</v>
      </c>
      <c r="F189" s="61" t="str">
        <f>VLOOKUP(C189,'[2]CTRL AUTOS'!$E$2:$K$58,7,FALSE)</f>
        <v>ASHC</v>
      </c>
      <c r="G189" s="4" t="s">
        <v>234</v>
      </c>
      <c r="H189" s="62">
        <v>109.7</v>
      </c>
      <c r="I189" s="62">
        <v>-55.98</v>
      </c>
      <c r="J189" s="62">
        <v>0</v>
      </c>
      <c r="K189" s="62">
        <v>0</v>
      </c>
      <c r="L189" s="62">
        <v>0</v>
      </c>
      <c r="M189" s="62">
        <v>-10</v>
      </c>
      <c r="N189" s="62">
        <v>0</v>
      </c>
      <c r="O189" s="62">
        <f t="shared" si="17"/>
        <v>43.720000000000006</v>
      </c>
      <c r="P189" s="62">
        <v>0</v>
      </c>
      <c r="Q189" s="62">
        <v>0</v>
      </c>
      <c r="R189" s="62">
        <v>0</v>
      </c>
      <c r="S189" s="62">
        <v>0</v>
      </c>
      <c r="T189" s="62">
        <v>0</v>
      </c>
      <c r="U189" s="62">
        <v>0</v>
      </c>
      <c r="V189" s="62">
        <v>0</v>
      </c>
      <c r="W189" s="62">
        <f t="shared" si="13"/>
        <v>43.720000000000006</v>
      </c>
      <c r="X189" s="62">
        <f t="shared" si="14"/>
        <v>43.720000000000006</v>
      </c>
      <c r="Y189" s="62">
        <f t="shared" si="15"/>
        <v>0</v>
      </c>
      <c r="Z189" s="62">
        <v>0</v>
      </c>
      <c r="AA189" s="62">
        <f t="shared" si="18"/>
        <v>0</v>
      </c>
      <c r="AB189" s="62">
        <f t="shared" si="16"/>
        <v>0</v>
      </c>
      <c r="AC189" s="62"/>
      <c r="AD189" s="62" t="s">
        <v>767</v>
      </c>
    </row>
    <row r="190" spans="1:30" hidden="1" x14ac:dyDescent="0.3">
      <c r="A190" s="2">
        <v>4</v>
      </c>
      <c r="B190" s="3" t="s">
        <v>35</v>
      </c>
      <c r="C190" s="4" t="s">
        <v>36</v>
      </c>
      <c r="D190" s="4" t="s">
        <v>510</v>
      </c>
      <c r="E190" s="4" t="str">
        <f>VLOOKUP(C190,'[2]CTRL AUTOS'!$E$2:$L$58,8,FALSE)</f>
        <v>ASHC</v>
      </c>
      <c r="F190" s="61" t="str">
        <f>VLOOKUP(C190,'[2]CTRL AUTOS'!$E$2:$K$58,7,FALSE)</f>
        <v>ASHC</v>
      </c>
      <c r="G190" s="4" t="s">
        <v>234</v>
      </c>
      <c r="H190" s="62">
        <v>7261.91</v>
      </c>
      <c r="I190" s="62">
        <v>-3818.639999999999</v>
      </c>
      <c r="J190" s="62">
        <v>-104</v>
      </c>
      <c r="K190" s="62">
        <v>0</v>
      </c>
      <c r="L190" s="62">
        <v>0</v>
      </c>
      <c r="M190" s="62">
        <v>-75</v>
      </c>
      <c r="N190" s="62">
        <v>0</v>
      </c>
      <c r="O190" s="62">
        <f t="shared" si="17"/>
        <v>3264.2700000000009</v>
      </c>
      <c r="P190" s="62">
        <v>-2500</v>
      </c>
      <c r="Q190" s="62">
        <v>0</v>
      </c>
      <c r="R190" s="62">
        <v>0</v>
      </c>
      <c r="S190" s="62">
        <v>0</v>
      </c>
      <c r="T190" s="62">
        <v>0</v>
      </c>
      <c r="U190" s="62">
        <v>0</v>
      </c>
      <c r="V190" s="62">
        <v>0</v>
      </c>
      <c r="W190" s="62">
        <f t="shared" si="13"/>
        <v>764.27000000000089</v>
      </c>
      <c r="X190" s="62">
        <f t="shared" si="14"/>
        <v>764.27000000000089</v>
      </c>
      <c r="Y190" s="62">
        <f t="shared" si="15"/>
        <v>0</v>
      </c>
      <c r="Z190" s="62">
        <v>0</v>
      </c>
      <c r="AA190" s="62">
        <f t="shared" si="18"/>
        <v>0</v>
      </c>
      <c r="AB190" s="62">
        <f t="shared" si="16"/>
        <v>2500</v>
      </c>
      <c r="AC190" s="62"/>
      <c r="AD190" s="62" t="s">
        <v>720</v>
      </c>
    </row>
    <row r="191" spans="1:30" hidden="1" x14ac:dyDescent="0.3">
      <c r="A191" s="2">
        <v>4</v>
      </c>
      <c r="B191" s="3" t="s">
        <v>57</v>
      </c>
      <c r="C191" s="4" t="s">
        <v>16</v>
      </c>
      <c r="D191" s="4" t="s">
        <v>314</v>
      </c>
      <c r="E191" s="4" t="str">
        <f>VLOOKUP(C191,'[2]CTRL AUTOS'!$E$2:$L$58,8,FALSE)</f>
        <v>ASHC</v>
      </c>
      <c r="F191" s="61" t="str">
        <f>VLOOKUP(C191,'[2]CTRL AUTOS'!$E$2:$K$58,7,FALSE)</f>
        <v>ASHC</v>
      </c>
      <c r="G191" s="4" t="s">
        <v>234</v>
      </c>
      <c r="H191" s="62">
        <v>0</v>
      </c>
      <c r="I191" s="62">
        <v>0</v>
      </c>
      <c r="J191" s="62">
        <v>0</v>
      </c>
      <c r="K191" s="62">
        <v>0</v>
      </c>
      <c r="L191" s="62">
        <v>0</v>
      </c>
      <c r="M191" s="62">
        <v>0</v>
      </c>
      <c r="N191" s="62">
        <v>0</v>
      </c>
      <c r="O191" s="62">
        <f t="shared" si="17"/>
        <v>0</v>
      </c>
      <c r="P191" s="62">
        <v>0</v>
      </c>
      <c r="Q191" s="62">
        <v>0</v>
      </c>
      <c r="R191" s="62">
        <v>400</v>
      </c>
      <c r="S191" s="62">
        <v>0</v>
      </c>
      <c r="T191" s="62">
        <v>0</v>
      </c>
      <c r="U191" s="62">
        <v>0</v>
      </c>
      <c r="V191" s="62">
        <v>0</v>
      </c>
      <c r="W191" s="62">
        <f t="shared" si="13"/>
        <v>400</v>
      </c>
      <c r="X191" s="62">
        <f t="shared" si="14"/>
        <v>400</v>
      </c>
      <c r="Y191" s="62">
        <f t="shared" si="15"/>
        <v>0</v>
      </c>
      <c r="Z191" s="62">
        <v>0</v>
      </c>
      <c r="AA191" s="62">
        <f t="shared" si="18"/>
        <v>0</v>
      </c>
      <c r="AB191" s="62">
        <f t="shared" si="16"/>
        <v>-400</v>
      </c>
      <c r="AC191" s="62"/>
      <c r="AD191" s="62" t="s">
        <v>768</v>
      </c>
    </row>
    <row r="192" spans="1:30" hidden="1" x14ac:dyDescent="0.3">
      <c r="A192" s="2">
        <v>4</v>
      </c>
      <c r="B192" s="3" t="s">
        <v>33</v>
      </c>
      <c r="C192" s="4" t="s">
        <v>34</v>
      </c>
      <c r="D192" s="4" t="s">
        <v>285</v>
      </c>
      <c r="E192" s="4" t="str">
        <f>VLOOKUP(C192,'[2]CTRL AUTOS'!$E$2:$L$58,8,FALSE)</f>
        <v>ASHC</v>
      </c>
      <c r="F192" s="61" t="str">
        <f>VLOOKUP(C192,'[2]CTRL AUTOS'!$E$2:$K$58,7,FALSE)</f>
        <v>ASHC</v>
      </c>
      <c r="G192" s="4" t="s">
        <v>234</v>
      </c>
      <c r="H192" s="62">
        <v>2895.31</v>
      </c>
      <c r="I192" s="62">
        <v>-89.91</v>
      </c>
      <c r="J192" s="62">
        <v>0</v>
      </c>
      <c r="K192" s="62">
        <v>0</v>
      </c>
      <c r="L192" s="62">
        <v>-26.83</v>
      </c>
      <c r="M192" s="62">
        <v>-10</v>
      </c>
      <c r="N192" s="62">
        <v>0</v>
      </c>
      <c r="O192" s="62">
        <f t="shared" si="17"/>
        <v>2768.57</v>
      </c>
      <c r="P192" s="62">
        <v>-2500</v>
      </c>
      <c r="Q192" s="62">
        <f>-2879*1.12</f>
        <v>-3224.4800000000005</v>
      </c>
      <c r="R192" s="62">
        <v>-500</v>
      </c>
      <c r="S192" s="62">
        <v>0</v>
      </c>
      <c r="T192" s="62">
        <v>0</v>
      </c>
      <c r="U192" s="62">
        <v>0</v>
      </c>
      <c r="V192" s="62">
        <v>0</v>
      </c>
      <c r="W192" s="62">
        <f t="shared" si="13"/>
        <v>-3455.9100000000003</v>
      </c>
      <c r="X192" s="62">
        <f t="shared" si="14"/>
        <v>0</v>
      </c>
      <c r="Y192" s="62">
        <f t="shared" si="15"/>
        <v>-3455.9100000000003</v>
      </c>
      <c r="Z192" s="62">
        <v>0</v>
      </c>
      <c r="AA192" s="62">
        <f t="shared" si="18"/>
        <v>-3455.9100000000003</v>
      </c>
      <c r="AB192" s="62">
        <f t="shared" si="16"/>
        <v>-687.34000000000015</v>
      </c>
      <c r="AC192" s="62"/>
      <c r="AD192" s="62" t="s">
        <v>769</v>
      </c>
    </row>
    <row r="193" spans="1:30" hidden="1" x14ac:dyDescent="0.3">
      <c r="A193" s="2">
        <v>4</v>
      </c>
      <c r="B193" s="3" t="s">
        <v>33</v>
      </c>
      <c r="C193" s="4" t="s">
        <v>56</v>
      </c>
      <c r="D193" s="4"/>
      <c r="E193" s="4" t="str">
        <f>VLOOKUP(C193,'[2]CTRL AUTOS'!$E$2:$L$58,8,FALSE)</f>
        <v>U64</v>
      </c>
      <c r="F193" s="61" t="str">
        <f>VLOOKUP(C193,'[2]CTRL AUTOS'!$E$2:$K$58,7,FALSE)</f>
        <v>BYER</v>
      </c>
      <c r="G193" s="4" t="s">
        <v>234</v>
      </c>
      <c r="H193" s="62">
        <v>0</v>
      </c>
      <c r="I193" s="62">
        <v>0</v>
      </c>
      <c r="J193" s="62">
        <v>0</v>
      </c>
      <c r="K193" s="62">
        <v>0</v>
      </c>
      <c r="L193" s="62">
        <v>0</v>
      </c>
      <c r="M193" s="62">
        <v>0</v>
      </c>
      <c r="N193" s="62">
        <v>0</v>
      </c>
      <c r="O193" s="62">
        <f t="shared" si="17"/>
        <v>0</v>
      </c>
      <c r="P193" s="62">
        <v>0</v>
      </c>
      <c r="Q193" s="62">
        <v>0</v>
      </c>
      <c r="R193" s="62">
        <v>0</v>
      </c>
      <c r="S193" s="62">
        <v>0</v>
      </c>
      <c r="T193" s="62">
        <v>-700</v>
      </c>
      <c r="U193" s="62">
        <v>0</v>
      </c>
      <c r="V193" s="62">
        <v>0</v>
      </c>
      <c r="W193" s="62">
        <f t="shared" si="13"/>
        <v>-700</v>
      </c>
      <c r="X193" s="62">
        <f t="shared" si="14"/>
        <v>0</v>
      </c>
      <c r="Y193" s="62">
        <f t="shared" si="15"/>
        <v>-700</v>
      </c>
      <c r="Z193" s="62">
        <v>0</v>
      </c>
      <c r="AA193" s="62">
        <f t="shared" si="18"/>
        <v>-700</v>
      </c>
      <c r="AB193" s="62">
        <f t="shared" si="16"/>
        <v>-700</v>
      </c>
      <c r="AC193" s="62"/>
      <c r="AD193" s="62" t="s">
        <v>770</v>
      </c>
    </row>
    <row r="194" spans="1:30" hidden="1" x14ac:dyDescent="0.3">
      <c r="A194" s="2">
        <v>4</v>
      </c>
      <c r="B194" s="3" t="s">
        <v>91</v>
      </c>
      <c r="C194" s="4" t="s">
        <v>50</v>
      </c>
      <c r="D194" s="4" t="s">
        <v>318</v>
      </c>
      <c r="E194" s="4" t="str">
        <f>VLOOKUP(C194,'[2]CTRL AUTOS'!$E$2:$L$58,8,FALSE)</f>
        <v>ASHC</v>
      </c>
      <c r="F194" s="61" t="str">
        <f>VLOOKUP(C194,'[2]CTRL AUTOS'!$E$2:$K$58,7,FALSE)</f>
        <v>ASHC</v>
      </c>
      <c r="G194" s="4" t="s">
        <v>234</v>
      </c>
      <c r="H194" s="62">
        <v>0</v>
      </c>
      <c r="I194" s="62">
        <v>0</v>
      </c>
      <c r="J194" s="62">
        <v>0</v>
      </c>
      <c r="K194" s="62">
        <v>0</v>
      </c>
      <c r="L194" s="62">
        <v>0</v>
      </c>
      <c r="M194" s="62">
        <v>0</v>
      </c>
      <c r="N194" s="62">
        <v>0</v>
      </c>
      <c r="O194" s="62">
        <f t="shared" si="17"/>
        <v>0</v>
      </c>
      <c r="P194" s="62">
        <f>(-2500/7)*4</f>
        <v>-1428.5714285714287</v>
      </c>
      <c r="Q194" s="62">
        <v>0</v>
      </c>
      <c r="R194" s="62">
        <v>-500</v>
      </c>
      <c r="S194" s="62">
        <v>0</v>
      </c>
      <c r="T194" s="62">
        <v>0</v>
      </c>
      <c r="U194" s="62">
        <v>0</v>
      </c>
      <c r="V194" s="62">
        <v>0</v>
      </c>
      <c r="W194" s="62">
        <f t="shared" ref="W194:W257" si="19">SUM(O194:V194)</f>
        <v>-1928.5714285714287</v>
      </c>
      <c r="X194" s="62">
        <f t="shared" ref="X194:X257" si="20">IF(W194&gt;=0,W194,0)</f>
        <v>0</v>
      </c>
      <c r="Y194" s="62">
        <f t="shared" ref="Y194:Y257" si="21">IF(W194&lt;=0,W194,0)</f>
        <v>-1928.5714285714287</v>
      </c>
      <c r="Z194" s="62">
        <v>1929</v>
      </c>
      <c r="AA194" s="62">
        <f t="shared" si="18"/>
        <v>0.42857142857133113</v>
      </c>
      <c r="AB194" s="62">
        <f t="shared" ref="AB194:AB257" si="22">+O194-X194+Z194+AA194</f>
        <v>1929.4285714285713</v>
      </c>
      <c r="AC194" s="62"/>
      <c r="AD194" s="62" t="s">
        <v>771</v>
      </c>
    </row>
    <row r="195" spans="1:30" hidden="1" x14ac:dyDescent="0.3">
      <c r="A195" s="2">
        <v>4</v>
      </c>
      <c r="B195" s="3" t="s">
        <v>91</v>
      </c>
      <c r="C195" s="4" t="s">
        <v>144</v>
      </c>
      <c r="D195" s="4"/>
      <c r="E195" s="4" t="str">
        <f>VLOOKUP(C195,'[2]CTRL AUTOS'!$E$2:$L$58,8,FALSE)</f>
        <v>ASHC</v>
      </c>
      <c r="F195" s="61" t="str">
        <f>VLOOKUP(C195,'[2]CTRL AUTOS'!$E$2:$K$58,7,FALSE)</f>
        <v>ASHC</v>
      </c>
      <c r="G195" s="4" t="s">
        <v>234</v>
      </c>
      <c r="H195" s="62">
        <v>3223.49</v>
      </c>
      <c r="I195" s="62">
        <v>0</v>
      </c>
      <c r="J195" s="62">
        <v>0</v>
      </c>
      <c r="K195" s="62">
        <v>0</v>
      </c>
      <c r="L195" s="62">
        <v>0</v>
      </c>
      <c r="M195" s="62">
        <v>0</v>
      </c>
      <c r="N195" s="62">
        <v>0</v>
      </c>
      <c r="O195" s="62">
        <f t="shared" si="17"/>
        <v>3223.49</v>
      </c>
      <c r="P195" s="62">
        <f>(-2700/7)*3</f>
        <v>-1157.1428571428571</v>
      </c>
      <c r="Q195" s="62">
        <v>0</v>
      </c>
      <c r="R195" s="62">
        <v>0</v>
      </c>
      <c r="S195" s="62">
        <v>0</v>
      </c>
      <c r="T195" s="62">
        <v>0</v>
      </c>
      <c r="U195" s="62">
        <v>0</v>
      </c>
      <c r="V195" s="62">
        <v>0</v>
      </c>
      <c r="W195" s="62">
        <f t="shared" si="19"/>
        <v>2066.3471428571429</v>
      </c>
      <c r="X195" s="62">
        <f t="shared" si="20"/>
        <v>2066.3471428571429</v>
      </c>
      <c r="Y195" s="62">
        <f t="shared" si="21"/>
        <v>0</v>
      </c>
      <c r="Z195" s="62">
        <v>0</v>
      </c>
      <c r="AA195" s="62">
        <f t="shared" si="18"/>
        <v>0</v>
      </c>
      <c r="AB195" s="62">
        <f t="shared" si="22"/>
        <v>1157.1428571428569</v>
      </c>
      <c r="AC195" s="62"/>
      <c r="AD195" s="62" t="s">
        <v>763</v>
      </c>
    </row>
    <row r="196" spans="1:30" hidden="1" x14ac:dyDescent="0.3">
      <c r="A196" s="2">
        <v>4</v>
      </c>
      <c r="B196" s="3" t="s">
        <v>31</v>
      </c>
      <c r="C196" s="4" t="s">
        <v>143</v>
      </c>
      <c r="D196" s="4" t="s">
        <v>283</v>
      </c>
      <c r="E196" s="4" t="str">
        <f>VLOOKUP(C196,'[2]CTRL AUTOS'!$E$2:$L$58,8,FALSE)</f>
        <v>ASHC</v>
      </c>
      <c r="F196" s="61" t="str">
        <f>VLOOKUP(C196,'[2]CTRL AUTOS'!$E$2:$K$58,7,FALSE)</f>
        <v>ASHC</v>
      </c>
      <c r="G196" s="4" t="s">
        <v>234</v>
      </c>
      <c r="H196" s="62">
        <v>10655.92</v>
      </c>
      <c r="I196" s="62">
        <v>-4929.0999999999995</v>
      </c>
      <c r="J196" s="62">
        <v>-128</v>
      </c>
      <c r="K196" s="62">
        <v>0</v>
      </c>
      <c r="L196" s="62">
        <v>0</v>
      </c>
      <c r="M196" s="62">
        <v>-90</v>
      </c>
      <c r="N196" s="62">
        <v>0</v>
      </c>
      <c r="O196" s="62">
        <f t="shared" si="17"/>
        <v>5508.8200000000006</v>
      </c>
      <c r="P196" s="62">
        <v>-2700</v>
      </c>
      <c r="Q196" s="62">
        <v>0</v>
      </c>
      <c r="R196" s="62">
        <v>-500</v>
      </c>
      <c r="S196" s="62">
        <v>0</v>
      </c>
      <c r="T196" s="62">
        <v>0</v>
      </c>
      <c r="U196" s="62">
        <v>0</v>
      </c>
      <c r="V196" s="62">
        <v>0</v>
      </c>
      <c r="W196" s="62">
        <f t="shared" si="19"/>
        <v>2308.8200000000006</v>
      </c>
      <c r="X196" s="62">
        <f t="shared" si="20"/>
        <v>2308.8200000000006</v>
      </c>
      <c r="Y196" s="62">
        <f t="shared" si="21"/>
        <v>0</v>
      </c>
      <c r="Z196" s="62">
        <v>0</v>
      </c>
      <c r="AA196" s="62">
        <f t="shared" si="18"/>
        <v>0</v>
      </c>
      <c r="AB196" s="62">
        <f t="shared" si="22"/>
        <v>3200</v>
      </c>
      <c r="AC196" s="62"/>
      <c r="AD196" s="62" t="s">
        <v>718</v>
      </c>
    </row>
    <row r="197" spans="1:30" hidden="1" x14ac:dyDescent="0.3">
      <c r="A197" s="2">
        <v>4</v>
      </c>
      <c r="B197" s="3" t="s">
        <v>105</v>
      </c>
      <c r="C197" s="4" t="s">
        <v>106</v>
      </c>
      <c r="D197" s="4" t="s">
        <v>646</v>
      </c>
      <c r="E197" s="4" t="str">
        <f>VLOOKUP(C197,'[2]CTRL AUTOS'!$E$2:$L$58,8,FALSE)</f>
        <v>ASHC</v>
      </c>
      <c r="F197" s="61" t="str">
        <f>VLOOKUP(C197,'[2]CTRL AUTOS'!$E$2:$K$58,7,FALSE)</f>
        <v>ASHC</v>
      </c>
      <c r="G197" s="4" t="s">
        <v>425</v>
      </c>
      <c r="H197" s="62">
        <v>0</v>
      </c>
      <c r="I197" s="62">
        <v>0</v>
      </c>
      <c r="J197" s="62">
        <v>0</v>
      </c>
      <c r="K197" s="62">
        <v>0</v>
      </c>
      <c r="L197" s="62">
        <v>0</v>
      </c>
      <c r="M197" s="62">
        <v>0</v>
      </c>
      <c r="N197" s="62">
        <v>0</v>
      </c>
      <c r="O197" s="62">
        <f t="shared" si="17"/>
        <v>0</v>
      </c>
      <c r="P197" s="62">
        <v>-2500</v>
      </c>
      <c r="Q197" s="62">
        <v>0</v>
      </c>
      <c r="R197" s="62">
        <v>0</v>
      </c>
      <c r="S197" s="62">
        <v>0</v>
      </c>
      <c r="T197" s="62">
        <v>0</v>
      </c>
      <c r="U197" s="62">
        <v>-100</v>
      </c>
      <c r="V197" s="62">
        <v>0</v>
      </c>
      <c r="W197" s="62">
        <f t="shared" si="19"/>
        <v>-2600</v>
      </c>
      <c r="X197" s="62">
        <f t="shared" si="20"/>
        <v>0</v>
      </c>
      <c r="Y197" s="62">
        <f t="shared" si="21"/>
        <v>-2600</v>
      </c>
      <c r="Z197" s="62">
        <v>2600</v>
      </c>
      <c r="AA197" s="62">
        <f t="shared" si="18"/>
        <v>0</v>
      </c>
      <c r="AB197" s="62">
        <f t="shared" si="22"/>
        <v>2600</v>
      </c>
      <c r="AC197" s="62"/>
      <c r="AD197" s="62" t="s">
        <v>772</v>
      </c>
    </row>
    <row r="198" spans="1:30" hidden="1" x14ac:dyDescent="0.3">
      <c r="A198" s="2">
        <v>4</v>
      </c>
      <c r="B198" s="3" t="s">
        <v>92</v>
      </c>
      <c r="C198" s="4" t="s">
        <v>30</v>
      </c>
      <c r="D198" s="4" t="s">
        <v>521</v>
      </c>
      <c r="E198" s="4" t="str">
        <f>VLOOKUP(C198,'[2]CTRL AUTOS'!$E$2:$L$58,8,FALSE)</f>
        <v>ASHC</v>
      </c>
      <c r="F198" s="61" t="str">
        <f>VLOOKUP(C198,'[2]CTRL AUTOS'!$E$2:$K$58,7,FALSE)</f>
        <v>ASHC</v>
      </c>
      <c r="G198" s="4" t="s">
        <v>234</v>
      </c>
      <c r="H198" s="62">
        <v>5512.13</v>
      </c>
      <c r="I198" s="62">
        <v>-2334.98</v>
      </c>
      <c r="J198" s="62">
        <v>0</v>
      </c>
      <c r="K198" s="62">
        <v>0</v>
      </c>
      <c r="L198" s="62">
        <v>0</v>
      </c>
      <c r="M198" s="62">
        <v>-65</v>
      </c>
      <c r="N198" s="62">
        <v>0</v>
      </c>
      <c r="O198" s="62">
        <f t="shared" si="17"/>
        <v>3112.15</v>
      </c>
      <c r="P198" s="62">
        <v>-2500</v>
      </c>
      <c r="Q198" s="62">
        <v>0</v>
      </c>
      <c r="R198" s="62">
        <v>-500</v>
      </c>
      <c r="S198" s="62">
        <v>0</v>
      </c>
      <c r="T198" s="62">
        <v>0</v>
      </c>
      <c r="U198" s="62">
        <v>0</v>
      </c>
      <c r="V198" s="62">
        <v>0</v>
      </c>
      <c r="W198" s="62">
        <f t="shared" si="19"/>
        <v>112.15000000000009</v>
      </c>
      <c r="X198" s="62">
        <f t="shared" si="20"/>
        <v>112.15000000000009</v>
      </c>
      <c r="Y198" s="62">
        <f t="shared" si="21"/>
        <v>0</v>
      </c>
      <c r="Z198" s="62">
        <v>0</v>
      </c>
      <c r="AA198" s="62">
        <f>+Y198+Z198</f>
        <v>0</v>
      </c>
      <c r="AB198" s="62">
        <f t="shared" si="22"/>
        <v>3000</v>
      </c>
      <c r="AC198" s="62"/>
      <c r="AD198" s="62" t="s">
        <v>706</v>
      </c>
    </row>
    <row r="199" spans="1:30" hidden="1" x14ac:dyDescent="0.3">
      <c r="A199" s="2">
        <v>4</v>
      </c>
      <c r="B199" s="3" t="s">
        <v>72</v>
      </c>
      <c r="C199" s="4" t="s">
        <v>73</v>
      </c>
      <c r="D199" s="4" t="s">
        <v>368</v>
      </c>
      <c r="E199" s="4" t="str">
        <f>VLOOKUP(C199,'[2]CTRL AUTOS'!$E$2:$L$58,8,FALSE)</f>
        <v>U64</v>
      </c>
      <c r="F199" s="61" t="str">
        <f>VLOOKUP(C199,'[2]CTRL AUTOS'!$E$2:$K$58,7,FALSE)</f>
        <v>BYER</v>
      </c>
      <c r="G199" s="4" t="s">
        <v>234</v>
      </c>
      <c r="H199" s="62">
        <v>9873.41</v>
      </c>
      <c r="I199" s="62">
        <v>-4849.7099999999982</v>
      </c>
      <c r="J199" s="62">
        <v>-80</v>
      </c>
      <c r="K199" s="62">
        <v>0</v>
      </c>
      <c r="L199" s="62">
        <v>-93.38</v>
      </c>
      <c r="M199" s="62">
        <f>-18-90</f>
        <v>-108</v>
      </c>
      <c r="N199" s="62">
        <v>-150</v>
      </c>
      <c r="O199" s="62">
        <f t="shared" ref="O199:O261" si="23">IF(H199+I199&lt;0,SUM(J199:N199),SUM(H199:N199))</f>
        <v>4592.3200000000015</v>
      </c>
      <c r="P199" s="62">
        <v>-2500</v>
      </c>
      <c r="Q199" s="62">
        <v>0</v>
      </c>
      <c r="R199" s="62">
        <v>0</v>
      </c>
      <c r="S199" s="62">
        <v>-700</v>
      </c>
      <c r="T199" s="62">
        <v>0</v>
      </c>
      <c r="U199" s="62">
        <v>0</v>
      </c>
      <c r="V199" s="62">
        <v>0</v>
      </c>
      <c r="W199" s="62">
        <f t="shared" si="19"/>
        <v>1392.3200000000015</v>
      </c>
      <c r="X199" s="62">
        <f t="shared" si="20"/>
        <v>1392.3200000000015</v>
      </c>
      <c r="Y199" s="62">
        <f t="shared" si="21"/>
        <v>0</v>
      </c>
      <c r="Z199" s="62">
        <v>0</v>
      </c>
      <c r="AA199" s="62">
        <f>+Y199+Z199</f>
        <v>0</v>
      </c>
      <c r="AB199" s="62">
        <f t="shared" si="22"/>
        <v>3200</v>
      </c>
      <c r="AC199" s="62"/>
      <c r="AD199" s="62" t="s">
        <v>737</v>
      </c>
    </row>
    <row r="200" spans="1:30" hidden="1" x14ac:dyDescent="0.3">
      <c r="A200" s="2">
        <v>4</v>
      </c>
      <c r="B200" s="3" t="s">
        <v>109</v>
      </c>
      <c r="C200" s="4" t="s">
        <v>142</v>
      </c>
      <c r="D200" s="4" t="s">
        <v>657</v>
      </c>
      <c r="E200" s="4" t="str">
        <f>VLOOKUP(C200,'[2]CTRL AUTOS'!$E$2:$L$58,8,FALSE)</f>
        <v>ASHC</v>
      </c>
      <c r="F200" s="61" t="str">
        <f>VLOOKUP(C200,'[2]CTRL AUTOS'!$E$2:$K$58,7,FALSE)</f>
        <v>ASHC</v>
      </c>
      <c r="G200" s="4" t="s">
        <v>425</v>
      </c>
      <c r="H200" s="62">
        <v>4616.3100000000004</v>
      </c>
      <c r="I200" s="62">
        <v>-1585.52</v>
      </c>
      <c r="J200" s="62">
        <f>-159</f>
        <v>-159</v>
      </c>
      <c r="K200" s="62">
        <v>0</v>
      </c>
      <c r="L200" s="62">
        <v>0</v>
      </c>
      <c r="M200" s="62">
        <v>-52</v>
      </c>
      <c r="N200" s="62">
        <v>0</v>
      </c>
      <c r="O200" s="62">
        <f t="shared" si="23"/>
        <v>2819.7900000000004</v>
      </c>
      <c r="P200" s="62">
        <v>-2700</v>
      </c>
      <c r="Q200" s="62">
        <v>0</v>
      </c>
      <c r="R200" s="62">
        <v>-500</v>
      </c>
      <c r="S200" s="62">
        <v>0</v>
      </c>
      <c r="T200" s="62">
        <v>0</v>
      </c>
      <c r="U200" s="62">
        <v>0</v>
      </c>
      <c r="V200" s="62">
        <v>0</v>
      </c>
      <c r="W200" s="62">
        <f t="shared" si="19"/>
        <v>-380.20999999999958</v>
      </c>
      <c r="X200" s="62">
        <f t="shared" si="20"/>
        <v>0</v>
      </c>
      <c r="Y200" s="62">
        <f t="shared" si="21"/>
        <v>-380.20999999999958</v>
      </c>
      <c r="Z200" s="62">
        <v>380</v>
      </c>
      <c r="AA200" s="62">
        <f>+Y200+Z200</f>
        <v>-0.20999999999958163</v>
      </c>
      <c r="AB200" s="62">
        <f t="shared" si="22"/>
        <v>3199.5800000000008</v>
      </c>
      <c r="AC200" s="62"/>
      <c r="AD200" s="62" t="s">
        <v>773</v>
      </c>
    </row>
    <row r="201" spans="1:30" hidden="1" x14ac:dyDescent="0.3">
      <c r="A201" s="2">
        <v>4</v>
      </c>
      <c r="B201" s="3" t="s">
        <v>29</v>
      </c>
      <c r="C201" s="4" t="s">
        <v>141</v>
      </c>
      <c r="D201" s="4" t="s">
        <v>283</v>
      </c>
      <c r="E201" s="4" t="str">
        <f>VLOOKUP(C201,'[2]CTRL AUTOS'!$E$2:$L$58,8,FALSE)</f>
        <v>ASHC</v>
      </c>
      <c r="F201" s="61" t="str">
        <f>VLOOKUP(C201,'[2]CTRL AUTOS'!$E$2:$K$58,7,FALSE)</f>
        <v>ASHC</v>
      </c>
      <c r="G201" s="4" t="s">
        <v>234</v>
      </c>
      <c r="H201" s="62">
        <v>3897</v>
      </c>
      <c r="I201" s="62">
        <v>-758.78</v>
      </c>
      <c r="J201" s="62">
        <v>0</v>
      </c>
      <c r="K201" s="62">
        <v>0</v>
      </c>
      <c r="L201" s="62">
        <v>0</v>
      </c>
      <c r="M201" s="62">
        <v>-60</v>
      </c>
      <c r="N201" s="62">
        <v>0</v>
      </c>
      <c r="O201" s="62">
        <f t="shared" si="23"/>
        <v>3078.2200000000003</v>
      </c>
      <c r="P201" s="62">
        <v>-2700</v>
      </c>
      <c r="Q201" s="62">
        <v>0</v>
      </c>
      <c r="R201" s="62">
        <v>-500</v>
      </c>
      <c r="S201" s="62">
        <v>0</v>
      </c>
      <c r="T201" s="62">
        <v>0</v>
      </c>
      <c r="U201" s="62">
        <v>0</v>
      </c>
      <c r="V201" s="62">
        <v>0</v>
      </c>
      <c r="W201" s="62">
        <f t="shared" si="19"/>
        <v>-121.77999999999975</v>
      </c>
      <c r="X201" s="62">
        <f t="shared" si="20"/>
        <v>0</v>
      </c>
      <c r="Y201" s="62">
        <f t="shared" si="21"/>
        <v>-121.77999999999975</v>
      </c>
      <c r="Z201" s="62">
        <v>122</v>
      </c>
      <c r="AA201" s="62">
        <f>+Y201+Z201</f>
        <v>0.22000000000025466</v>
      </c>
      <c r="AB201" s="62">
        <f t="shared" si="22"/>
        <v>3200.4400000000005</v>
      </c>
      <c r="AC201" s="62"/>
      <c r="AD201" s="62" t="s">
        <v>774</v>
      </c>
    </row>
    <row r="202" spans="1:30" hidden="1" x14ac:dyDescent="0.3">
      <c r="A202" s="2">
        <v>4</v>
      </c>
      <c r="B202" s="3" t="s">
        <v>70</v>
      </c>
      <c r="C202" s="4" t="s">
        <v>71</v>
      </c>
      <c r="D202" s="4" t="s">
        <v>588</v>
      </c>
      <c r="E202" s="4" t="str">
        <f>VLOOKUP(C202,'[2]CTRL AUTOS'!$E$2:$L$58,8,FALSE)</f>
        <v>ASHC</v>
      </c>
      <c r="F202" s="67" t="s">
        <v>291</v>
      </c>
      <c r="G202" s="4" t="s">
        <v>234</v>
      </c>
      <c r="H202" s="62">
        <v>2478.44</v>
      </c>
      <c r="I202" s="62">
        <v>0</v>
      </c>
      <c r="J202" s="62">
        <v>0</v>
      </c>
      <c r="K202" s="62">
        <v>0</v>
      </c>
      <c r="L202" s="62">
        <v>0</v>
      </c>
      <c r="M202" s="62">
        <v>0</v>
      </c>
      <c r="N202" s="62">
        <v>0</v>
      </c>
      <c r="O202" s="62">
        <f t="shared" si="23"/>
        <v>2478.44</v>
      </c>
      <c r="P202" s="62">
        <v>-2478</v>
      </c>
      <c r="Q202" s="62">
        <v>0</v>
      </c>
      <c r="R202" s="62">
        <v>0</v>
      </c>
      <c r="S202" s="62">
        <v>0</v>
      </c>
      <c r="T202" s="62">
        <v>0</v>
      </c>
      <c r="U202" s="62">
        <v>0</v>
      </c>
      <c r="V202" s="62">
        <v>0</v>
      </c>
      <c r="W202" s="62">
        <f t="shared" si="19"/>
        <v>0.44000000000005457</v>
      </c>
      <c r="X202" s="62">
        <f t="shared" si="20"/>
        <v>0.44000000000005457</v>
      </c>
      <c r="Y202" s="62">
        <f t="shared" si="21"/>
        <v>0</v>
      </c>
      <c r="Z202" s="62">
        <v>0</v>
      </c>
      <c r="AA202" s="62">
        <v>0</v>
      </c>
      <c r="AB202" s="62">
        <f t="shared" si="22"/>
        <v>2478</v>
      </c>
      <c r="AC202" s="62"/>
      <c r="AD202" s="62" t="s">
        <v>736</v>
      </c>
    </row>
    <row r="203" spans="1:30" hidden="1" x14ac:dyDescent="0.3">
      <c r="A203" s="2">
        <v>4</v>
      </c>
      <c r="B203" s="3" t="s">
        <v>9</v>
      </c>
      <c r="C203" s="4" t="s">
        <v>10</v>
      </c>
      <c r="D203" s="4" t="s">
        <v>343</v>
      </c>
      <c r="E203" s="4" t="str">
        <f>VLOOKUP(C203,'[2]CTRL AUTOS'!$E$2:$L$58,8,FALSE)</f>
        <v>ASHC</v>
      </c>
      <c r="F203" s="61" t="str">
        <f>VLOOKUP(C203,'[2]CTRL AUTOS'!$E$2:$K$58,7,FALSE)</f>
        <v>ASHC</v>
      </c>
      <c r="G203" s="4" t="s">
        <v>425</v>
      </c>
      <c r="H203" s="62">
        <v>42.41</v>
      </c>
      <c r="I203" s="62">
        <v>-4353.72</v>
      </c>
      <c r="J203" s="62">
        <v>-539.89</v>
      </c>
      <c r="K203" s="62">
        <v>0</v>
      </c>
      <c r="L203" s="62">
        <v>0</v>
      </c>
      <c r="M203" s="62">
        <v>-75</v>
      </c>
      <c r="N203" s="62">
        <v>0</v>
      </c>
      <c r="O203" s="62">
        <f t="shared" si="23"/>
        <v>-614.89</v>
      </c>
      <c r="P203" s="62">
        <v>-2600</v>
      </c>
      <c r="Q203" s="62">
        <f>-532*1.12</f>
        <v>-595.84</v>
      </c>
      <c r="R203" s="62">
        <v>0</v>
      </c>
      <c r="S203" s="62">
        <v>0</v>
      </c>
      <c r="T203" s="62">
        <v>0</v>
      </c>
      <c r="U203" s="62">
        <v>0</v>
      </c>
      <c r="V203" s="62">
        <v>0</v>
      </c>
      <c r="W203" s="62">
        <f t="shared" si="19"/>
        <v>-3810.73</v>
      </c>
      <c r="X203" s="62">
        <f t="shared" si="20"/>
        <v>0</v>
      </c>
      <c r="Y203" s="62">
        <f t="shared" si="21"/>
        <v>-3810.73</v>
      </c>
      <c r="Z203" s="62">
        <f>1429+1600+500+1200</f>
        <v>4729</v>
      </c>
      <c r="AA203" s="62">
        <f t="shared" ref="AA203:AA266" si="24">+Y203+Z203</f>
        <v>918.27</v>
      </c>
      <c r="AB203" s="62">
        <f t="shared" si="22"/>
        <v>5032.3799999999992</v>
      </c>
      <c r="AC203" s="62"/>
      <c r="AD203" s="62" t="s">
        <v>775</v>
      </c>
    </row>
    <row r="204" spans="1:30" hidden="1" x14ac:dyDescent="0.3">
      <c r="A204" s="2">
        <v>4</v>
      </c>
      <c r="B204" s="3" t="s">
        <v>27</v>
      </c>
      <c r="C204" s="4" t="s">
        <v>28</v>
      </c>
      <c r="D204" s="4" t="s">
        <v>274</v>
      </c>
      <c r="E204" s="4" t="str">
        <f>VLOOKUP(C204,'[2]CTRL AUTOS'!$E$2:$L$58,8,FALSE)</f>
        <v>ASHC</v>
      </c>
      <c r="F204" s="61" t="str">
        <f>VLOOKUP(C204,'[2]CTRL AUTOS'!$E$2:$K$58,7,FALSE)</f>
        <v>ASHC</v>
      </c>
      <c r="G204" s="4" t="s">
        <v>234</v>
      </c>
      <c r="H204" s="62">
        <v>6713.59</v>
      </c>
      <c r="I204" s="62">
        <v>-2138.8599999999997</v>
      </c>
      <c r="J204" s="62">
        <v>0</v>
      </c>
      <c r="K204" s="62">
        <v>0</v>
      </c>
      <c r="L204" s="62">
        <v>0</v>
      </c>
      <c r="M204" s="62">
        <v>-75</v>
      </c>
      <c r="N204" s="62">
        <v>0</v>
      </c>
      <c r="O204" s="62">
        <f t="shared" si="23"/>
        <v>4499.7300000000005</v>
      </c>
      <c r="P204" s="62">
        <f>(-2500/7)*4</f>
        <v>-1428.5714285714287</v>
      </c>
      <c r="Q204" s="62">
        <v>0</v>
      </c>
      <c r="R204" s="62">
        <v>-500</v>
      </c>
      <c r="S204" s="62">
        <v>0</v>
      </c>
      <c r="T204" s="62">
        <v>0</v>
      </c>
      <c r="U204" s="62">
        <v>0</v>
      </c>
      <c r="V204" s="62">
        <v>0</v>
      </c>
      <c r="W204" s="62">
        <f t="shared" si="19"/>
        <v>2571.158571428572</v>
      </c>
      <c r="X204" s="62">
        <f t="shared" si="20"/>
        <v>2571.158571428572</v>
      </c>
      <c r="Y204" s="62">
        <f t="shared" si="21"/>
        <v>0</v>
      </c>
      <c r="Z204" s="62">
        <v>0</v>
      </c>
      <c r="AA204" s="62">
        <f t="shared" si="24"/>
        <v>0</v>
      </c>
      <c r="AB204" s="62">
        <f t="shared" si="22"/>
        <v>1928.5714285714284</v>
      </c>
      <c r="AC204" s="62"/>
      <c r="AD204" s="62" t="s">
        <v>716</v>
      </c>
    </row>
    <row r="205" spans="1:30" hidden="1" x14ac:dyDescent="0.3">
      <c r="A205" s="2">
        <v>4</v>
      </c>
      <c r="B205" s="3" t="s">
        <v>27</v>
      </c>
      <c r="C205" s="4" t="s">
        <v>137</v>
      </c>
      <c r="D205" s="4"/>
      <c r="E205" s="4" t="str">
        <f>VLOOKUP(C205,'[2]CTRL AUTOS'!$E$2:$L$58,8,FALSE)</f>
        <v>ASHC</v>
      </c>
      <c r="F205" s="61" t="str">
        <f>VLOOKUP(C205,'[2]CTRL AUTOS'!$E$2:$K$58,7,FALSE)</f>
        <v>ASHC</v>
      </c>
      <c r="G205" s="4" t="s">
        <v>234</v>
      </c>
      <c r="H205" s="62">
        <v>0</v>
      </c>
      <c r="I205" s="62">
        <v>0</v>
      </c>
      <c r="J205" s="62">
        <v>0</v>
      </c>
      <c r="K205" s="62">
        <v>0</v>
      </c>
      <c r="L205" s="62">
        <v>0</v>
      </c>
      <c r="M205" s="62">
        <v>0</v>
      </c>
      <c r="N205" s="62">
        <v>0</v>
      </c>
      <c r="O205" s="62">
        <f t="shared" si="23"/>
        <v>0</v>
      </c>
      <c r="P205" s="62">
        <f>(-2700/7)*3</f>
        <v>-1157.1428571428571</v>
      </c>
      <c r="Q205" s="62">
        <v>0</v>
      </c>
      <c r="R205" s="62">
        <v>0</v>
      </c>
      <c r="S205" s="62">
        <v>0</v>
      </c>
      <c r="T205" s="62">
        <v>0</v>
      </c>
      <c r="U205" s="62">
        <v>0</v>
      </c>
      <c r="V205" s="62">
        <v>0</v>
      </c>
      <c r="W205" s="62">
        <f t="shared" si="19"/>
        <v>-1157.1428571428571</v>
      </c>
      <c r="X205" s="62">
        <f t="shared" si="20"/>
        <v>0</v>
      </c>
      <c r="Y205" s="62">
        <f t="shared" si="21"/>
        <v>-1157.1428571428571</v>
      </c>
      <c r="Z205" s="62">
        <v>1157</v>
      </c>
      <c r="AA205" s="62">
        <f t="shared" si="24"/>
        <v>-0.14285714285711038</v>
      </c>
      <c r="AB205" s="62">
        <f t="shared" si="22"/>
        <v>1156.8571428571429</v>
      </c>
      <c r="AC205" s="62"/>
      <c r="AD205" s="62" t="s">
        <v>776</v>
      </c>
    </row>
    <row r="206" spans="1:30" hidden="1" x14ac:dyDescent="0.3">
      <c r="A206" s="2">
        <v>4</v>
      </c>
      <c r="B206" s="3" t="s">
        <v>60</v>
      </c>
      <c r="C206" s="4" t="s">
        <v>28</v>
      </c>
      <c r="D206" s="4" t="s">
        <v>274</v>
      </c>
      <c r="E206" s="4" t="str">
        <f>VLOOKUP(C206,'[2]CTRL AUTOS'!$E$2:$L$58,8,FALSE)</f>
        <v>ASHC</v>
      </c>
      <c r="F206" s="61" t="str">
        <f>VLOOKUP(C206,'[2]CTRL AUTOS'!$E$2:$K$58,7,FALSE)</f>
        <v>ASHC</v>
      </c>
      <c r="G206" s="4" t="s">
        <v>234</v>
      </c>
      <c r="H206" s="62">
        <v>0</v>
      </c>
      <c r="I206" s="62">
        <v>0</v>
      </c>
      <c r="J206" s="62">
        <v>0</v>
      </c>
      <c r="K206" s="62">
        <v>0</v>
      </c>
      <c r="L206" s="62">
        <v>0</v>
      </c>
      <c r="M206" s="62">
        <v>0</v>
      </c>
      <c r="N206" s="62">
        <v>0</v>
      </c>
      <c r="O206" s="62">
        <f t="shared" si="23"/>
        <v>0</v>
      </c>
      <c r="P206" s="62">
        <v>0</v>
      </c>
      <c r="Q206" s="62">
        <v>0</v>
      </c>
      <c r="R206" s="62">
        <v>500</v>
      </c>
      <c r="S206" s="62">
        <v>0</v>
      </c>
      <c r="T206" s="62">
        <v>0</v>
      </c>
      <c r="U206" s="62">
        <v>0</v>
      </c>
      <c r="V206" s="62">
        <v>0</v>
      </c>
      <c r="W206" s="62">
        <f t="shared" si="19"/>
        <v>500</v>
      </c>
      <c r="X206" s="62">
        <f t="shared" si="20"/>
        <v>500</v>
      </c>
      <c r="Y206" s="62">
        <f t="shared" si="21"/>
        <v>0</v>
      </c>
      <c r="Z206" s="62">
        <v>0</v>
      </c>
      <c r="AA206" s="62">
        <f t="shared" si="24"/>
        <v>0</v>
      </c>
      <c r="AB206" s="62">
        <f t="shared" si="22"/>
        <v>-500</v>
      </c>
      <c r="AC206" s="62"/>
      <c r="AD206" s="62" t="s">
        <v>777</v>
      </c>
    </row>
    <row r="207" spans="1:30" hidden="1" x14ac:dyDescent="0.3">
      <c r="A207" s="2">
        <v>4</v>
      </c>
      <c r="B207" s="3" t="s">
        <v>68</v>
      </c>
      <c r="C207" s="4" t="s">
        <v>69</v>
      </c>
      <c r="D207" s="4" t="s">
        <v>370</v>
      </c>
      <c r="E207" s="4" t="str">
        <f>VLOOKUP(C207,'[2]CTRL AUTOS'!$E$2:$L$58,8,FALSE)</f>
        <v>U64</v>
      </c>
      <c r="F207" s="61" t="str">
        <f>VLOOKUP(C207,'[2]CTRL AUTOS'!$E$2:$K$58,7,FALSE)</f>
        <v>BYER</v>
      </c>
      <c r="G207" s="4" t="s">
        <v>234</v>
      </c>
      <c r="H207" s="62">
        <v>1397.39</v>
      </c>
      <c r="I207" s="62">
        <v>-135.94</v>
      </c>
      <c r="J207" s="62">
        <v>0</v>
      </c>
      <c r="K207" s="62">
        <v>0</v>
      </c>
      <c r="L207" s="62">
        <v>0</v>
      </c>
      <c r="M207" s="62">
        <v>-10</v>
      </c>
      <c r="N207" s="62">
        <v>0</v>
      </c>
      <c r="O207" s="62">
        <f t="shared" si="23"/>
        <v>1251.45</v>
      </c>
      <c r="P207" s="62">
        <f>(-2500/7)*3.5</f>
        <v>-1250</v>
      </c>
      <c r="Q207" s="62">
        <v>0</v>
      </c>
      <c r="R207" s="62">
        <v>0</v>
      </c>
      <c r="S207" s="62">
        <v>0</v>
      </c>
      <c r="T207" s="62">
        <v>0</v>
      </c>
      <c r="U207" s="62">
        <v>0</v>
      </c>
      <c r="V207" s="62">
        <v>0</v>
      </c>
      <c r="W207" s="62">
        <f t="shared" si="19"/>
        <v>1.4500000000000455</v>
      </c>
      <c r="X207" s="62">
        <f t="shared" si="20"/>
        <v>1.4500000000000455</v>
      </c>
      <c r="Y207" s="62">
        <f t="shared" si="21"/>
        <v>0</v>
      </c>
      <c r="Z207" s="62">
        <v>0</v>
      </c>
      <c r="AA207" s="62">
        <f t="shared" si="24"/>
        <v>0</v>
      </c>
      <c r="AB207" s="62">
        <f t="shared" si="22"/>
        <v>1250</v>
      </c>
      <c r="AC207" s="62"/>
      <c r="AD207" s="62" t="s">
        <v>778</v>
      </c>
    </row>
    <row r="208" spans="1:30" hidden="1" x14ac:dyDescent="0.3">
      <c r="A208" s="2">
        <v>4</v>
      </c>
      <c r="B208" s="3" t="s">
        <v>25</v>
      </c>
      <c r="C208" s="4" t="s">
        <v>26</v>
      </c>
      <c r="D208" s="4" t="s">
        <v>575</v>
      </c>
      <c r="E208" s="4" t="str">
        <f>VLOOKUP(C208,'[2]CTRL AUTOS'!$E$2:$L$58,8,FALSE)</f>
        <v>ASHC</v>
      </c>
      <c r="F208" s="61" t="str">
        <f>VLOOKUP(C208,'[2]CTRL AUTOS'!$E$2:$K$58,7,FALSE)</f>
        <v>ASHC</v>
      </c>
      <c r="G208" s="4" t="s">
        <v>234</v>
      </c>
      <c r="H208" s="62">
        <v>4229.34</v>
      </c>
      <c r="I208" s="62">
        <v>-238.41</v>
      </c>
      <c r="J208" s="62">
        <v>0</v>
      </c>
      <c r="K208" s="62">
        <v>0</v>
      </c>
      <c r="L208" s="62">
        <v>0</v>
      </c>
      <c r="M208" s="62">
        <v>-15</v>
      </c>
      <c r="N208" s="62">
        <v>0</v>
      </c>
      <c r="O208" s="62">
        <f t="shared" si="23"/>
        <v>3975.9300000000003</v>
      </c>
      <c r="P208" s="62">
        <v>-2500</v>
      </c>
      <c r="Q208" s="62">
        <f>-1715*1.12</f>
        <v>-1920.8000000000002</v>
      </c>
      <c r="R208" s="62">
        <v>0</v>
      </c>
      <c r="S208" s="62">
        <v>0</v>
      </c>
      <c r="T208" s="62">
        <v>0</v>
      </c>
      <c r="U208" s="62">
        <v>0</v>
      </c>
      <c r="V208" s="62">
        <v>0</v>
      </c>
      <c r="W208" s="62">
        <f t="shared" si="19"/>
        <v>-444.86999999999989</v>
      </c>
      <c r="X208" s="62">
        <f t="shared" si="20"/>
        <v>0</v>
      </c>
      <c r="Y208" s="62">
        <f t="shared" si="21"/>
        <v>-444.86999999999989</v>
      </c>
      <c r="Z208" s="62">
        <v>0</v>
      </c>
      <c r="AA208" s="62">
        <f t="shared" si="24"/>
        <v>-444.86999999999989</v>
      </c>
      <c r="AB208" s="62">
        <f t="shared" si="22"/>
        <v>3531.0600000000004</v>
      </c>
      <c r="AC208" s="62"/>
      <c r="AD208" s="62" t="s">
        <v>714</v>
      </c>
    </row>
    <row r="209" spans="1:30" hidden="1" x14ac:dyDescent="0.3">
      <c r="A209" s="2">
        <v>4</v>
      </c>
      <c r="B209" s="3" t="s">
        <v>25</v>
      </c>
      <c r="C209" s="4" t="s">
        <v>67</v>
      </c>
      <c r="D209" s="4" t="s">
        <v>511</v>
      </c>
      <c r="E209" s="4" t="str">
        <f>VLOOKUP(C209,'[2]CTRL AUTOS'!$E$2:$L$58,8,FALSE)</f>
        <v>ASHC</v>
      </c>
      <c r="F209" s="61" t="str">
        <f>VLOOKUP(C209,'[2]CTRL AUTOS'!$E$2:$K$58,7,FALSE)</f>
        <v>ASHC</v>
      </c>
      <c r="G209" s="4" t="s">
        <v>234</v>
      </c>
      <c r="H209" s="62">
        <v>0</v>
      </c>
      <c r="I209" s="62">
        <v>0</v>
      </c>
      <c r="J209" s="62">
        <v>0</v>
      </c>
      <c r="K209" s="62">
        <v>0</v>
      </c>
      <c r="L209" s="62">
        <v>0</v>
      </c>
      <c r="M209" s="62">
        <v>0</v>
      </c>
      <c r="N209" s="62">
        <v>0</v>
      </c>
      <c r="O209" s="62">
        <f t="shared" si="23"/>
        <v>0</v>
      </c>
      <c r="P209" s="62">
        <v>0</v>
      </c>
      <c r="Q209" s="62">
        <v>0</v>
      </c>
      <c r="R209" s="62">
        <v>0</v>
      </c>
      <c r="S209" s="62">
        <v>0</v>
      </c>
      <c r="T209" s="62">
        <v>-500</v>
      </c>
      <c r="U209" s="62">
        <v>0</v>
      </c>
      <c r="V209" s="62">
        <v>0</v>
      </c>
      <c r="W209" s="62">
        <f t="shared" si="19"/>
        <v>-500</v>
      </c>
      <c r="X209" s="62">
        <f t="shared" si="20"/>
        <v>0</v>
      </c>
      <c r="Y209" s="62">
        <f t="shared" si="21"/>
        <v>-500</v>
      </c>
      <c r="Z209" s="62">
        <v>0</v>
      </c>
      <c r="AA209" s="62">
        <f t="shared" si="24"/>
        <v>-500</v>
      </c>
      <c r="AB209" s="62">
        <f t="shared" si="22"/>
        <v>-500</v>
      </c>
      <c r="AC209" s="62"/>
      <c r="AD209" s="62" t="s">
        <v>715</v>
      </c>
    </row>
    <row r="210" spans="1:30" hidden="1" x14ac:dyDescent="0.3">
      <c r="A210" s="2">
        <v>4</v>
      </c>
      <c r="B210" s="3" t="s">
        <v>66</v>
      </c>
      <c r="C210" s="4" t="s">
        <v>67</v>
      </c>
      <c r="D210" s="4" t="s">
        <v>511</v>
      </c>
      <c r="E210" s="4" t="str">
        <f>VLOOKUP(C210,'[2]CTRL AUTOS'!$E$2:$L$58,8,FALSE)</f>
        <v>ASHC</v>
      </c>
      <c r="F210" s="61" t="str">
        <f>VLOOKUP(C210,'[2]CTRL AUTOS'!$E$2:$K$58,7,FALSE)</f>
        <v>ASHC</v>
      </c>
      <c r="G210" s="4" t="s">
        <v>234</v>
      </c>
      <c r="H210" s="62">
        <v>6644.71</v>
      </c>
      <c r="I210" s="62">
        <v>-2588.39</v>
      </c>
      <c r="J210" s="62">
        <v>-72</v>
      </c>
      <c r="K210" s="62">
        <v>0</v>
      </c>
      <c r="L210" s="62">
        <v>-72.519999999999968</v>
      </c>
      <c r="M210" s="62">
        <v>-60</v>
      </c>
      <c r="N210" s="62">
        <v>0</v>
      </c>
      <c r="O210" s="62">
        <f t="shared" si="23"/>
        <v>3851.8</v>
      </c>
      <c r="P210" s="62">
        <v>-2500</v>
      </c>
      <c r="Q210" s="62">
        <f>-1196*1.12</f>
        <v>-1339.5200000000002</v>
      </c>
      <c r="R210" s="62">
        <v>-500</v>
      </c>
      <c r="S210" s="62">
        <v>0</v>
      </c>
      <c r="T210" s="62">
        <v>0</v>
      </c>
      <c r="U210" s="62">
        <v>-1500</v>
      </c>
      <c r="V210" s="62">
        <v>0</v>
      </c>
      <c r="W210" s="62">
        <f t="shared" si="19"/>
        <v>-1987.72</v>
      </c>
      <c r="X210" s="62">
        <f t="shared" si="20"/>
        <v>0</v>
      </c>
      <c r="Y210" s="62">
        <f t="shared" si="21"/>
        <v>-1987.72</v>
      </c>
      <c r="Z210" s="62">
        <v>0</v>
      </c>
      <c r="AA210" s="62">
        <f t="shared" si="24"/>
        <v>-1987.72</v>
      </c>
      <c r="AB210" s="62">
        <f t="shared" si="22"/>
        <v>1864.0800000000002</v>
      </c>
      <c r="AC210" s="62"/>
      <c r="AD210" s="62" t="s">
        <v>682</v>
      </c>
    </row>
    <row r="211" spans="1:30" hidden="1" x14ac:dyDescent="0.3">
      <c r="A211" s="2">
        <v>4</v>
      </c>
      <c r="B211" s="3" t="s">
        <v>108</v>
      </c>
      <c r="C211" s="4" t="s">
        <v>75</v>
      </c>
      <c r="D211" s="4" t="s">
        <v>744</v>
      </c>
      <c r="E211" s="4" t="str">
        <f>VLOOKUP(C211,'[2]CTRL AUTOS'!$E$2:$L$58,8,FALSE)</f>
        <v>U64</v>
      </c>
      <c r="F211" s="61" t="str">
        <f>VLOOKUP(C211,'[2]CTRL AUTOS'!$E$2:$K$58,7,FALSE)</f>
        <v>BYER</v>
      </c>
      <c r="G211" s="4" t="s">
        <v>234</v>
      </c>
      <c r="H211" s="62">
        <v>5150.8999999999996</v>
      </c>
      <c r="I211" s="62">
        <v>-2048.98</v>
      </c>
      <c r="J211" s="62">
        <v>0</v>
      </c>
      <c r="K211" s="62">
        <v>152.58000000000001</v>
      </c>
      <c r="L211" s="62">
        <v>0</v>
      </c>
      <c r="M211" s="62">
        <v>-60</v>
      </c>
      <c r="N211" s="62">
        <v>0</v>
      </c>
      <c r="O211" s="62">
        <f t="shared" si="23"/>
        <v>3194.4999999999995</v>
      </c>
      <c r="P211" s="62">
        <v>-2500</v>
      </c>
      <c r="Q211" s="62">
        <v>0</v>
      </c>
      <c r="R211" s="62">
        <v>-500</v>
      </c>
      <c r="S211" s="62">
        <v>0</v>
      </c>
      <c r="T211" s="62">
        <v>0</v>
      </c>
      <c r="U211" s="62">
        <v>0</v>
      </c>
      <c r="V211" s="62">
        <v>0</v>
      </c>
      <c r="W211" s="62">
        <f t="shared" si="19"/>
        <v>194.49999999999955</v>
      </c>
      <c r="X211" s="62">
        <f t="shared" si="20"/>
        <v>194.49999999999955</v>
      </c>
      <c r="Y211" s="62">
        <f t="shared" si="21"/>
        <v>0</v>
      </c>
      <c r="Z211" s="62">
        <v>0</v>
      </c>
      <c r="AA211" s="62">
        <f t="shared" si="24"/>
        <v>0</v>
      </c>
      <c r="AB211" s="62">
        <f t="shared" si="22"/>
        <v>3000</v>
      </c>
      <c r="AC211" s="62"/>
      <c r="AD211" s="62"/>
    </row>
    <row r="212" spans="1:30" hidden="1" x14ac:dyDescent="0.3">
      <c r="A212" s="2">
        <v>4</v>
      </c>
      <c r="B212" s="3" t="s">
        <v>23</v>
      </c>
      <c r="C212" s="4" t="s">
        <v>24</v>
      </c>
      <c r="D212" s="4" t="s">
        <v>515</v>
      </c>
      <c r="E212" s="4" t="str">
        <f>VLOOKUP(C212,'[2]CTRL AUTOS'!$E$2:$L$58,8,FALSE)</f>
        <v>ASHC</v>
      </c>
      <c r="F212" s="61" t="str">
        <f>VLOOKUP(C212,'[2]CTRL AUTOS'!$E$2:$K$58,7,FALSE)</f>
        <v>ASHC</v>
      </c>
      <c r="G212" s="4" t="s">
        <v>234</v>
      </c>
      <c r="H212" s="62">
        <v>2359.11</v>
      </c>
      <c r="I212" s="62">
        <v>-1756.58</v>
      </c>
      <c r="J212" s="62">
        <v>0</v>
      </c>
      <c r="K212" s="62">
        <v>0</v>
      </c>
      <c r="L212" s="62">
        <v>0</v>
      </c>
      <c r="M212" s="62">
        <f>-9.5292-52</f>
        <v>-61.529200000000003</v>
      </c>
      <c r="N212" s="62">
        <v>-79.41</v>
      </c>
      <c r="O212" s="62">
        <f t="shared" si="23"/>
        <v>461.59080000000029</v>
      </c>
      <c r="P212" s="62">
        <v>-2700</v>
      </c>
      <c r="Q212" s="62">
        <f>-1109*1.12</f>
        <v>-1242.0800000000002</v>
      </c>
      <c r="R212" s="62">
        <v>0</v>
      </c>
      <c r="S212" s="62">
        <v>0</v>
      </c>
      <c r="T212" s="62">
        <v>0</v>
      </c>
      <c r="U212" s="62">
        <v>0</v>
      </c>
      <c r="V212" s="62">
        <v>0</v>
      </c>
      <c r="W212" s="62">
        <f t="shared" si="19"/>
        <v>-3480.4892</v>
      </c>
      <c r="X212" s="62">
        <f t="shared" si="20"/>
        <v>0</v>
      </c>
      <c r="Y212" s="62">
        <f t="shared" si="21"/>
        <v>-3480.4892</v>
      </c>
      <c r="Z212" s="62">
        <f>700+500</f>
        <v>1200</v>
      </c>
      <c r="AA212" s="62">
        <f t="shared" si="24"/>
        <v>-2280.4892</v>
      </c>
      <c r="AB212" s="62">
        <f t="shared" si="22"/>
        <v>-618.89839999999958</v>
      </c>
      <c r="AC212" s="62"/>
      <c r="AD212" s="62" t="s">
        <v>779</v>
      </c>
    </row>
    <row r="213" spans="1:30" hidden="1" x14ac:dyDescent="0.3">
      <c r="A213" s="2">
        <v>4</v>
      </c>
      <c r="B213" s="3" t="s">
        <v>23</v>
      </c>
      <c r="C213" s="4" t="s">
        <v>22</v>
      </c>
      <c r="D213" s="4" t="s">
        <v>319</v>
      </c>
      <c r="E213" s="4" t="str">
        <f>VLOOKUP(C213,'[2]CTRL AUTOS'!$E$2:$L$58,8,FALSE)</f>
        <v>ASHC</v>
      </c>
      <c r="F213" s="61" t="str">
        <f>VLOOKUP(C213,'[2]CTRL AUTOS'!$E$2:$K$58,7,FALSE)</f>
        <v>ASHC</v>
      </c>
      <c r="G213" s="4" t="s">
        <v>234</v>
      </c>
      <c r="H213" s="62">
        <v>0</v>
      </c>
      <c r="I213" s="62">
        <v>0</v>
      </c>
      <c r="J213" s="62">
        <v>0</v>
      </c>
      <c r="K213" s="62">
        <v>0</v>
      </c>
      <c r="L213" s="62">
        <v>0</v>
      </c>
      <c r="M213" s="62">
        <v>0</v>
      </c>
      <c r="N213" s="62">
        <v>0</v>
      </c>
      <c r="O213" s="62">
        <f t="shared" si="23"/>
        <v>0</v>
      </c>
      <c r="P213" s="62">
        <v>0</v>
      </c>
      <c r="Q213" s="62">
        <v>0</v>
      </c>
      <c r="R213" s="62">
        <v>0</v>
      </c>
      <c r="S213" s="62">
        <v>0</v>
      </c>
      <c r="T213" s="62">
        <v>-500</v>
      </c>
      <c r="U213" s="62">
        <v>0</v>
      </c>
      <c r="V213" s="62">
        <v>0</v>
      </c>
      <c r="W213" s="62">
        <f t="shared" si="19"/>
        <v>-500</v>
      </c>
      <c r="X213" s="62">
        <f t="shared" si="20"/>
        <v>0</v>
      </c>
      <c r="Y213" s="62">
        <f t="shared" si="21"/>
        <v>-500</v>
      </c>
      <c r="Z213" s="62">
        <v>500</v>
      </c>
      <c r="AA213" s="62">
        <f t="shared" si="24"/>
        <v>0</v>
      </c>
      <c r="AB213" s="62">
        <f t="shared" si="22"/>
        <v>500</v>
      </c>
      <c r="AC213" s="62"/>
      <c r="AD213" s="62"/>
    </row>
    <row r="214" spans="1:30" hidden="1" x14ac:dyDescent="0.3">
      <c r="A214" s="2">
        <v>4</v>
      </c>
      <c r="B214" s="3" t="s">
        <v>90</v>
      </c>
      <c r="C214" s="4" t="s">
        <v>16</v>
      </c>
      <c r="D214" s="4" t="s">
        <v>314</v>
      </c>
      <c r="E214" s="4" t="str">
        <f>VLOOKUP(C214,'[2]CTRL AUTOS'!$E$2:$L$58,8,FALSE)</f>
        <v>ASHC</v>
      </c>
      <c r="F214" s="61" t="str">
        <f>VLOOKUP(C214,'[2]CTRL AUTOS'!$E$2:$K$58,7,FALSE)</f>
        <v>ASHC</v>
      </c>
      <c r="G214" s="4" t="s">
        <v>234</v>
      </c>
      <c r="H214" s="62">
        <v>4861.72</v>
      </c>
      <c r="I214" s="62">
        <v>-1401.2300000000002</v>
      </c>
      <c r="J214" s="62">
        <v>-32</v>
      </c>
      <c r="K214" s="62">
        <v>0</v>
      </c>
      <c r="L214" s="62">
        <v>0</v>
      </c>
      <c r="M214" s="62">
        <f>-2.8092-52</f>
        <v>-54.809199999999997</v>
      </c>
      <c r="N214" s="62">
        <v>-23.410000000000025</v>
      </c>
      <c r="O214" s="62">
        <f t="shared" si="23"/>
        <v>3350.2707999999998</v>
      </c>
      <c r="P214" s="62">
        <v>-2500</v>
      </c>
      <c r="Q214" s="62">
        <v>0</v>
      </c>
      <c r="R214" s="62">
        <v>-500</v>
      </c>
      <c r="S214" s="62">
        <v>0</v>
      </c>
      <c r="T214" s="62">
        <v>0</v>
      </c>
      <c r="U214" s="62">
        <v>0</v>
      </c>
      <c r="V214" s="62">
        <v>0</v>
      </c>
      <c r="W214" s="62">
        <f t="shared" si="19"/>
        <v>350.27079999999978</v>
      </c>
      <c r="X214" s="62">
        <f t="shared" si="20"/>
        <v>350.27079999999978</v>
      </c>
      <c r="Y214" s="62">
        <f t="shared" si="21"/>
        <v>0</v>
      </c>
      <c r="Z214" s="62">
        <v>0</v>
      </c>
      <c r="AA214" s="62">
        <f t="shared" si="24"/>
        <v>0</v>
      </c>
      <c r="AB214" s="62">
        <f t="shared" si="22"/>
        <v>3000</v>
      </c>
      <c r="AC214" s="62"/>
      <c r="AD214" s="62" t="s">
        <v>706</v>
      </c>
    </row>
    <row r="215" spans="1:30" hidden="1" x14ac:dyDescent="0.3">
      <c r="A215" s="2">
        <v>4</v>
      </c>
      <c r="B215" s="3" t="s">
        <v>64</v>
      </c>
      <c r="C215" s="4" t="s">
        <v>140</v>
      </c>
      <c r="D215" s="4" t="s">
        <v>680</v>
      </c>
      <c r="E215" s="4" t="str">
        <f>VLOOKUP(C215,'[2]CTRL AUTOS'!$E$2:$L$58,8,FALSE)</f>
        <v>ASHC</v>
      </c>
      <c r="F215" s="61" t="str">
        <f>VLOOKUP(C215,'[2]CTRL AUTOS'!$E$2:$K$58,7,FALSE)</f>
        <v>ASHC</v>
      </c>
      <c r="G215" s="4" t="s">
        <v>234</v>
      </c>
      <c r="H215" s="62">
        <v>4737.03</v>
      </c>
      <c r="I215" s="62">
        <v>0</v>
      </c>
      <c r="J215" s="62">
        <v>-48</v>
      </c>
      <c r="K215" s="62">
        <v>0</v>
      </c>
      <c r="L215" s="62">
        <v>0</v>
      </c>
      <c r="M215" s="62">
        <v>0</v>
      </c>
      <c r="N215" s="62">
        <v>0</v>
      </c>
      <c r="O215" s="62">
        <f t="shared" si="23"/>
        <v>4689.03</v>
      </c>
      <c r="P215" s="62">
        <v>-2700</v>
      </c>
      <c r="Q215" s="62">
        <v>0</v>
      </c>
      <c r="R215" s="62">
        <v>-500</v>
      </c>
      <c r="S215" s="62">
        <v>0</v>
      </c>
      <c r="T215" s="62">
        <v>0</v>
      </c>
      <c r="U215" s="62">
        <v>0</v>
      </c>
      <c r="V215" s="62">
        <v>0</v>
      </c>
      <c r="W215" s="62">
        <f t="shared" si="19"/>
        <v>1489.0299999999997</v>
      </c>
      <c r="X215" s="62">
        <f t="shared" si="20"/>
        <v>1489.0299999999997</v>
      </c>
      <c r="Y215" s="62">
        <f t="shared" si="21"/>
        <v>0</v>
      </c>
      <c r="Z215" s="62">
        <v>0</v>
      </c>
      <c r="AA215" s="62">
        <f t="shared" si="24"/>
        <v>0</v>
      </c>
      <c r="AB215" s="62">
        <f t="shared" si="22"/>
        <v>3200</v>
      </c>
      <c r="AC215" s="62"/>
      <c r="AD215" s="62" t="s">
        <v>726</v>
      </c>
    </row>
    <row r="216" spans="1:30" hidden="1" x14ac:dyDescent="0.3">
      <c r="A216" s="2">
        <v>4</v>
      </c>
      <c r="B216" s="3" t="s">
        <v>21</v>
      </c>
      <c r="C216" s="4" t="s">
        <v>22</v>
      </c>
      <c r="D216" s="4" t="s">
        <v>319</v>
      </c>
      <c r="E216" s="4" t="str">
        <f>VLOOKUP(C216,'[2]CTRL AUTOS'!$E$2:$L$58,8,FALSE)</f>
        <v>ASHC</v>
      </c>
      <c r="F216" s="61" t="str">
        <f>VLOOKUP(C216,'[2]CTRL AUTOS'!$E$2:$K$58,7,FALSE)</f>
        <v>ASHC</v>
      </c>
      <c r="G216" s="4" t="s">
        <v>234</v>
      </c>
      <c r="H216" s="62">
        <v>906.13</v>
      </c>
      <c r="I216" s="62">
        <v>-259.78999999999996</v>
      </c>
      <c r="J216" s="62">
        <v>0</v>
      </c>
      <c r="K216" s="62">
        <v>0</v>
      </c>
      <c r="L216" s="62">
        <v>0</v>
      </c>
      <c r="M216" s="62">
        <v>-10</v>
      </c>
      <c r="N216" s="62">
        <v>0</v>
      </c>
      <c r="O216" s="62">
        <f t="shared" si="23"/>
        <v>636.34</v>
      </c>
      <c r="P216" s="62">
        <v>-2500</v>
      </c>
      <c r="Q216" s="62">
        <v>0</v>
      </c>
      <c r="R216" s="62">
        <v>-500</v>
      </c>
      <c r="S216" s="62">
        <v>0</v>
      </c>
      <c r="T216" s="62">
        <v>0</v>
      </c>
      <c r="U216" s="62">
        <v>0</v>
      </c>
      <c r="V216" s="62">
        <v>0</v>
      </c>
      <c r="W216" s="62">
        <f t="shared" si="19"/>
        <v>-2363.66</v>
      </c>
      <c r="X216" s="62">
        <f t="shared" si="20"/>
        <v>0</v>
      </c>
      <c r="Y216" s="62">
        <f t="shared" si="21"/>
        <v>-2363.66</v>
      </c>
      <c r="Z216" s="62">
        <f>7+2364</f>
        <v>2371</v>
      </c>
      <c r="AA216" s="62">
        <f t="shared" si="24"/>
        <v>7.3400000000001455</v>
      </c>
      <c r="AB216" s="62">
        <f t="shared" si="22"/>
        <v>3014.6800000000003</v>
      </c>
      <c r="AC216" s="62"/>
      <c r="AD216" s="62" t="s">
        <v>780</v>
      </c>
    </row>
    <row r="217" spans="1:30" hidden="1" x14ac:dyDescent="0.3">
      <c r="A217" s="2">
        <v>4</v>
      </c>
      <c r="B217" s="3" t="s">
        <v>128</v>
      </c>
      <c r="C217" s="4" t="s">
        <v>69</v>
      </c>
      <c r="D217" s="4" t="s">
        <v>781</v>
      </c>
      <c r="E217" s="4" t="str">
        <f>VLOOKUP(C217,'[2]CTRL AUTOS'!$E$2:$L$58,8,FALSE)</f>
        <v>U64</v>
      </c>
      <c r="F217" s="61" t="str">
        <f>VLOOKUP(C217,'[2]CTRL AUTOS'!$E$2:$K$58,7,FALSE)</f>
        <v>BYER</v>
      </c>
      <c r="G217" s="4" t="s">
        <v>234</v>
      </c>
      <c r="H217" s="62">
        <v>1588.8</v>
      </c>
      <c r="I217" s="62">
        <v>0</v>
      </c>
      <c r="J217" s="62">
        <v>0</v>
      </c>
      <c r="K217" s="62">
        <v>0</v>
      </c>
      <c r="L217" s="62">
        <v>0</v>
      </c>
      <c r="M217" s="62">
        <v>0</v>
      </c>
      <c r="N217" s="62">
        <v>0</v>
      </c>
      <c r="O217" s="62">
        <f t="shared" si="23"/>
        <v>1588.8</v>
      </c>
      <c r="P217" s="62">
        <f>(-2500/7)*1.5</f>
        <v>-535.71428571428578</v>
      </c>
      <c r="Q217" s="62">
        <v>0</v>
      </c>
      <c r="R217" s="62">
        <f>-107</f>
        <v>-107</v>
      </c>
      <c r="S217" s="62">
        <v>0</v>
      </c>
      <c r="T217" s="62">
        <v>0</v>
      </c>
      <c r="U217" s="62">
        <v>0</v>
      </c>
      <c r="V217" s="62">
        <v>0</v>
      </c>
      <c r="W217" s="62">
        <f t="shared" si="19"/>
        <v>946.08571428571418</v>
      </c>
      <c r="X217" s="62">
        <f t="shared" si="20"/>
        <v>946.08571428571418</v>
      </c>
      <c r="Y217" s="62">
        <f t="shared" si="21"/>
        <v>0</v>
      </c>
      <c r="Z217" s="62">
        <v>0</v>
      </c>
      <c r="AA217" s="62">
        <f t="shared" si="24"/>
        <v>0</v>
      </c>
      <c r="AB217" s="62">
        <f t="shared" si="22"/>
        <v>642.71428571428578</v>
      </c>
      <c r="AC217" s="62">
        <v>2000</v>
      </c>
      <c r="AD217" s="62" t="s">
        <v>782</v>
      </c>
    </row>
    <row r="218" spans="1:30" hidden="1" x14ac:dyDescent="0.3">
      <c r="A218" s="2">
        <v>4</v>
      </c>
      <c r="B218" s="3" t="s">
        <v>19</v>
      </c>
      <c r="C218" s="4" t="s">
        <v>20</v>
      </c>
      <c r="D218" s="4" t="s">
        <v>239</v>
      </c>
      <c r="E218" s="4" t="str">
        <f>VLOOKUP(C218,'[2]CTRL AUTOS'!$E$2:$L$58,8,FALSE)</f>
        <v>ASHC</v>
      </c>
      <c r="F218" s="61" t="str">
        <f>VLOOKUP(C218,'[2]CTRL AUTOS'!$E$2:$K$58,7,FALSE)</f>
        <v>ASHC</v>
      </c>
      <c r="G218" s="4" t="s">
        <v>234</v>
      </c>
      <c r="H218" s="62">
        <v>5051.8999999999996</v>
      </c>
      <c r="I218" s="62">
        <v>-1322.94</v>
      </c>
      <c r="J218" s="62">
        <v>0</v>
      </c>
      <c r="K218" s="62">
        <v>0</v>
      </c>
      <c r="L218" s="62">
        <v>-45.070000000000007</v>
      </c>
      <c r="M218" s="62">
        <v>-50</v>
      </c>
      <c r="N218" s="62">
        <v>0</v>
      </c>
      <c r="O218" s="62">
        <f t="shared" si="23"/>
        <v>3633.8899999999994</v>
      </c>
      <c r="P218" s="62">
        <v>-2500</v>
      </c>
      <c r="Q218" s="62">
        <v>0</v>
      </c>
      <c r="R218" s="62">
        <v>0</v>
      </c>
      <c r="S218" s="62">
        <v>0</v>
      </c>
      <c r="T218" s="62">
        <v>-600</v>
      </c>
      <c r="U218" s="62">
        <v>0</v>
      </c>
      <c r="V218" s="62">
        <v>0</v>
      </c>
      <c r="W218" s="62">
        <f t="shared" si="19"/>
        <v>533.88999999999942</v>
      </c>
      <c r="X218" s="62">
        <f t="shared" si="20"/>
        <v>533.88999999999942</v>
      </c>
      <c r="Y218" s="62">
        <f t="shared" si="21"/>
        <v>0</v>
      </c>
      <c r="Z218" s="62">
        <v>0</v>
      </c>
      <c r="AA218" s="62">
        <f t="shared" si="24"/>
        <v>0</v>
      </c>
      <c r="AB218" s="62">
        <f t="shared" si="22"/>
        <v>3100</v>
      </c>
      <c r="AC218" s="62"/>
      <c r="AD218" s="62" t="s">
        <v>783</v>
      </c>
    </row>
    <row r="219" spans="1:30" hidden="1" x14ac:dyDescent="0.3">
      <c r="A219" s="2">
        <v>4</v>
      </c>
      <c r="B219" s="3" t="s">
        <v>17</v>
      </c>
      <c r="C219" s="4" t="s">
        <v>18</v>
      </c>
      <c r="D219" s="4" t="s">
        <v>572</v>
      </c>
      <c r="E219" s="4" t="str">
        <f>VLOOKUP(C219,'[2]CTRL AUTOS'!$E$2:$L$58,8,FALSE)</f>
        <v>ASHC</v>
      </c>
      <c r="F219" s="61" t="str">
        <f>VLOOKUP(C219,'[2]CTRL AUTOS'!$E$2:$K$58,7,FALSE)</f>
        <v>ASHC</v>
      </c>
      <c r="G219" s="4" t="s">
        <v>234</v>
      </c>
      <c r="H219" s="62">
        <v>1986.57</v>
      </c>
      <c r="I219" s="62">
        <v>-1219.5100000000002</v>
      </c>
      <c r="J219" s="62">
        <v>0</v>
      </c>
      <c r="K219" s="62">
        <v>0</v>
      </c>
      <c r="L219" s="62">
        <v>0</v>
      </c>
      <c r="M219" s="62">
        <v>-52</v>
      </c>
      <c r="N219" s="62">
        <v>0</v>
      </c>
      <c r="O219" s="62">
        <f t="shared" si="23"/>
        <v>715.05999999999972</v>
      </c>
      <c r="P219" s="62">
        <v>-2700</v>
      </c>
      <c r="Q219" s="62">
        <v>0</v>
      </c>
      <c r="R219" s="62">
        <v>0</v>
      </c>
      <c r="S219" s="62">
        <v>0</v>
      </c>
      <c r="T219" s="62">
        <v>0</v>
      </c>
      <c r="U219" s="62">
        <v>0</v>
      </c>
      <c r="V219" s="62">
        <v>0</v>
      </c>
      <c r="W219" s="62">
        <f t="shared" si="19"/>
        <v>-1984.9400000000003</v>
      </c>
      <c r="X219" s="62">
        <f t="shared" si="20"/>
        <v>0</v>
      </c>
      <c r="Y219" s="62">
        <f t="shared" si="21"/>
        <v>-1984.9400000000003</v>
      </c>
      <c r="Z219" s="62">
        <v>0</v>
      </c>
      <c r="AA219" s="62">
        <f t="shared" si="24"/>
        <v>-1984.9400000000003</v>
      </c>
      <c r="AB219" s="62">
        <f t="shared" si="22"/>
        <v>-1269.8800000000006</v>
      </c>
      <c r="AC219" s="62"/>
      <c r="AD219" s="62" t="s">
        <v>709</v>
      </c>
    </row>
    <row r="220" spans="1:30" hidden="1" x14ac:dyDescent="0.3">
      <c r="A220" s="2">
        <v>4</v>
      </c>
      <c r="B220" s="3" t="s">
        <v>121</v>
      </c>
      <c r="C220" s="4" t="s">
        <v>122</v>
      </c>
      <c r="D220" s="4" t="s">
        <v>885</v>
      </c>
      <c r="E220" s="4" t="str">
        <f>VLOOKUP(C220,'[2]CTRL AUTOS'!$E$2:$L$58,8,FALSE)</f>
        <v>ASHC</v>
      </c>
      <c r="F220" s="61" t="str">
        <f>VLOOKUP(C220,'[2]CTRL AUTOS'!$E$2:$K$58,7,FALSE)</f>
        <v>ASHC</v>
      </c>
      <c r="G220" s="4" t="s">
        <v>234</v>
      </c>
      <c r="H220" s="62">
        <v>5680.72</v>
      </c>
      <c r="I220" s="62">
        <v>-2117.98</v>
      </c>
      <c r="J220" s="62">
        <v>-32</v>
      </c>
      <c r="K220" s="62">
        <v>0</v>
      </c>
      <c r="L220" s="62">
        <v>0</v>
      </c>
      <c r="M220" s="62">
        <v>-65</v>
      </c>
      <c r="N220" s="62">
        <v>0</v>
      </c>
      <c r="O220" s="62">
        <f t="shared" si="23"/>
        <v>3465.7400000000002</v>
      </c>
      <c r="P220" s="62">
        <f>(-2600/7)*4.5</f>
        <v>-1671.4285714285716</v>
      </c>
      <c r="Q220" s="62">
        <v>0</v>
      </c>
      <c r="R220" s="62">
        <v>-321</v>
      </c>
      <c r="S220" s="62">
        <v>0</v>
      </c>
      <c r="T220" s="62">
        <v>0</v>
      </c>
      <c r="U220" s="62">
        <v>0</v>
      </c>
      <c r="V220" s="62">
        <v>0</v>
      </c>
      <c r="W220" s="62">
        <f t="shared" si="19"/>
        <v>1473.3114285714287</v>
      </c>
      <c r="X220" s="62">
        <f t="shared" si="20"/>
        <v>1473.3114285714287</v>
      </c>
      <c r="Y220" s="62">
        <f t="shared" si="21"/>
        <v>0</v>
      </c>
      <c r="Z220" s="62">
        <v>0</v>
      </c>
      <c r="AA220" s="62">
        <f t="shared" si="24"/>
        <v>0</v>
      </c>
      <c r="AB220" s="62">
        <f t="shared" si="22"/>
        <v>1992.4285714285716</v>
      </c>
      <c r="AC220" s="62">
        <v>2000</v>
      </c>
      <c r="AD220" s="62" t="s">
        <v>749</v>
      </c>
    </row>
    <row r="221" spans="1:30" hidden="1" x14ac:dyDescent="0.3">
      <c r="A221" s="2">
        <v>4</v>
      </c>
      <c r="B221" s="3" t="s">
        <v>111</v>
      </c>
      <c r="C221" s="4" t="s">
        <v>63</v>
      </c>
      <c r="D221" s="4" t="s">
        <v>374</v>
      </c>
      <c r="E221" s="4" t="str">
        <f>VLOOKUP(C221,'[2]CTRL AUTOS'!$E$2:$L$58,8,FALSE)</f>
        <v>BYER</v>
      </c>
      <c r="F221" s="61" t="str">
        <f>VLOOKUP(C221,'[2]CTRL AUTOS'!$E$2:$K$58,7,FALSE)</f>
        <v>BYER</v>
      </c>
      <c r="G221" s="4" t="s">
        <v>234</v>
      </c>
      <c r="H221" s="62">
        <v>5320.39</v>
      </c>
      <c r="I221" s="62">
        <v>-1904.2500000000002</v>
      </c>
      <c r="J221" s="62">
        <v>0</v>
      </c>
      <c r="K221" s="62">
        <v>0</v>
      </c>
      <c r="L221" s="62">
        <v>0</v>
      </c>
      <c r="M221" s="62">
        <v>-55</v>
      </c>
      <c r="N221" s="62">
        <v>0</v>
      </c>
      <c r="O221" s="62">
        <f t="shared" si="23"/>
        <v>3361.1400000000003</v>
      </c>
      <c r="P221" s="62">
        <v>-2500</v>
      </c>
      <c r="Q221" s="62">
        <v>0</v>
      </c>
      <c r="R221" s="62">
        <v>0</v>
      </c>
      <c r="S221" s="62">
        <v>0</v>
      </c>
      <c r="T221" s="62">
        <v>0</v>
      </c>
      <c r="U221" s="62">
        <v>0</v>
      </c>
      <c r="V221" s="62">
        <v>0</v>
      </c>
      <c r="W221" s="62">
        <f t="shared" si="19"/>
        <v>861.14000000000033</v>
      </c>
      <c r="X221" s="62">
        <f t="shared" si="20"/>
        <v>861.14000000000033</v>
      </c>
      <c r="Y221" s="62">
        <f t="shared" si="21"/>
        <v>0</v>
      </c>
      <c r="Z221" s="62">
        <v>0</v>
      </c>
      <c r="AA221" s="62">
        <f t="shared" si="24"/>
        <v>0</v>
      </c>
      <c r="AB221" s="62">
        <f t="shared" si="22"/>
        <v>2500</v>
      </c>
      <c r="AC221" s="62"/>
      <c r="AD221" s="62" t="s">
        <v>692</v>
      </c>
    </row>
    <row r="222" spans="1:30" hidden="1" x14ac:dyDescent="0.3">
      <c r="A222" s="2">
        <v>4</v>
      </c>
      <c r="B222" s="3" t="s">
        <v>120</v>
      </c>
      <c r="C222" s="4" t="s">
        <v>44</v>
      </c>
      <c r="D222" s="4"/>
      <c r="E222" s="4" t="str">
        <f>VLOOKUP(C222,'[2]CTRL AUTOS'!$E$2:$L$58,8,FALSE)</f>
        <v>ASHC</v>
      </c>
      <c r="F222" s="61" t="str">
        <f>VLOOKUP(C222,'[2]CTRL AUTOS'!$E$2:$K$58,7,FALSE)</f>
        <v>ASHC</v>
      </c>
      <c r="G222" s="4" t="s">
        <v>234</v>
      </c>
      <c r="H222" s="62">
        <v>1822.85</v>
      </c>
      <c r="I222" s="62">
        <v>-439.67</v>
      </c>
      <c r="J222" s="62">
        <v>0</v>
      </c>
      <c r="K222" s="62">
        <v>0</v>
      </c>
      <c r="L222" s="62">
        <v>0</v>
      </c>
      <c r="M222" s="62">
        <v>-35</v>
      </c>
      <c r="N222" s="62">
        <v>0</v>
      </c>
      <c r="O222" s="62">
        <f t="shared" si="23"/>
        <v>1348.1799999999998</v>
      </c>
      <c r="P222" s="62">
        <f>(-2500/7)*3</f>
        <v>-1071.4285714285716</v>
      </c>
      <c r="Q222" s="62">
        <v>0</v>
      </c>
      <c r="R222" s="62">
        <v>-214</v>
      </c>
      <c r="S222" s="62">
        <v>0</v>
      </c>
      <c r="T222" s="62">
        <v>0</v>
      </c>
      <c r="U222" s="62">
        <v>0</v>
      </c>
      <c r="V222" s="62">
        <v>0</v>
      </c>
      <c r="W222" s="62">
        <f t="shared" si="19"/>
        <v>62.751428571428278</v>
      </c>
      <c r="X222" s="62">
        <f t="shared" si="20"/>
        <v>62.751428571428278</v>
      </c>
      <c r="Y222" s="62">
        <f t="shared" si="21"/>
        <v>0</v>
      </c>
      <c r="Z222" s="62">
        <v>0</v>
      </c>
      <c r="AA222" s="62">
        <f t="shared" si="24"/>
        <v>0</v>
      </c>
      <c r="AB222" s="62">
        <f t="shared" si="22"/>
        <v>1285.4285714285716</v>
      </c>
      <c r="AC222" s="62">
        <v>2000</v>
      </c>
      <c r="AD222" s="62" t="s">
        <v>784</v>
      </c>
    </row>
    <row r="223" spans="1:30" hidden="1" x14ac:dyDescent="0.3">
      <c r="A223" s="2">
        <v>4</v>
      </c>
      <c r="B223" s="3" t="s">
        <v>113</v>
      </c>
      <c r="C223" s="4" t="s">
        <v>38</v>
      </c>
      <c r="D223" s="4"/>
      <c r="E223" s="4" t="str">
        <f>VLOOKUP(C223,'[2]CTRL AUTOS'!$E$2:$L$58,8,FALSE)</f>
        <v>ASHC</v>
      </c>
      <c r="F223" s="61" t="str">
        <f>VLOOKUP(C223,'[2]CTRL AUTOS'!$E$2:$K$58,7,FALSE)</f>
        <v>ASHC</v>
      </c>
      <c r="G223" s="4" t="s">
        <v>234</v>
      </c>
      <c r="H223" s="62">
        <v>2111.48</v>
      </c>
      <c r="I223" s="62">
        <v>-1870.4400000000003</v>
      </c>
      <c r="J223" s="62">
        <v>0</v>
      </c>
      <c r="K223" s="62">
        <v>0</v>
      </c>
      <c r="L223" s="62">
        <v>0</v>
      </c>
      <c r="M223" s="62">
        <v>-55</v>
      </c>
      <c r="N223" s="62">
        <v>0</v>
      </c>
      <c r="O223" s="62">
        <f t="shared" si="23"/>
        <v>186.03999999999974</v>
      </c>
      <c r="P223" s="62">
        <f>(-2500/7)*5</f>
        <v>-1785.7142857142858</v>
      </c>
      <c r="Q223" s="62">
        <v>0</v>
      </c>
      <c r="R223" s="62">
        <f>-1857.14285714286+1500</f>
        <v>-357.14285714286007</v>
      </c>
      <c r="S223" s="62">
        <v>0</v>
      </c>
      <c r="T223" s="62">
        <v>0</v>
      </c>
      <c r="U223" s="62">
        <v>0</v>
      </c>
      <c r="V223" s="62">
        <v>0</v>
      </c>
      <c r="W223" s="62">
        <f t="shared" si="19"/>
        <v>-1956.8171428571461</v>
      </c>
      <c r="X223" s="62">
        <f t="shared" si="20"/>
        <v>0</v>
      </c>
      <c r="Y223" s="62">
        <f t="shared" si="21"/>
        <v>-1956.8171428571461</v>
      </c>
      <c r="Z223" s="62">
        <f>1200+700</f>
        <v>1900</v>
      </c>
      <c r="AA223" s="62">
        <f t="shared" si="24"/>
        <v>-56.817142857146109</v>
      </c>
      <c r="AB223" s="62">
        <f t="shared" si="22"/>
        <v>2029.2228571428539</v>
      </c>
      <c r="AC223" s="62">
        <v>1500</v>
      </c>
      <c r="AD223" s="62" t="s">
        <v>785</v>
      </c>
    </row>
    <row r="224" spans="1:30" hidden="1" x14ac:dyDescent="0.3">
      <c r="A224" s="2">
        <v>4</v>
      </c>
      <c r="B224" s="3" t="s">
        <v>13</v>
      </c>
      <c r="C224" s="4" t="s">
        <v>14</v>
      </c>
      <c r="D224" s="4" t="s">
        <v>505</v>
      </c>
      <c r="E224" s="4" t="str">
        <f>VLOOKUP(C224,'[2]CTRL AUTOS'!$E$2:$L$58,8,FALSE)</f>
        <v>ASHC</v>
      </c>
      <c r="F224" s="61" t="str">
        <f>VLOOKUP(C224,'[2]CTRL AUTOS'!$E$2:$K$58,7,FALSE)</f>
        <v>ASHC</v>
      </c>
      <c r="G224" s="4" t="s">
        <v>234</v>
      </c>
      <c r="H224" s="62">
        <v>4427.37</v>
      </c>
      <c r="I224" s="62">
        <v>0</v>
      </c>
      <c r="J224" s="62">
        <v>0</v>
      </c>
      <c r="K224" s="62">
        <v>0</v>
      </c>
      <c r="L224" s="62">
        <v>0</v>
      </c>
      <c r="M224" s="62">
        <v>-15</v>
      </c>
      <c r="N224" s="62">
        <v>0</v>
      </c>
      <c r="O224" s="62">
        <f t="shared" si="23"/>
        <v>4412.37</v>
      </c>
      <c r="P224" s="62">
        <v>-2700</v>
      </c>
      <c r="Q224" s="62">
        <v>0</v>
      </c>
      <c r="R224" s="62">
        <v>0</v>
      </c>
      <c r="S224" s="62">
        <v>0</v>
      </c>
      <c r="T224" s="62">
        <v>0</v>
      </c>
      <c r="U224" s="62">
        <v>0</v>
      </c>
      <c r="V224" s="62">
        <v>0</v>
      </c>
      <c r="W224" s="62">
        <f t="shared" si="19"/>
        <v>1712.37</v>
      </c>
      <c r="X224" s="62">
        <f t="shared" si="20"/>
        <v>1712.37</v>
      </c>
      <c r="Y224" s="62">
        <f t="shared" si="21"/>
        <v>0</v>
      </c>
      <c r="Z224" s="62">
        <v>0</v>
      </c>
      <c r="AA224" s="62">
        <f t="shared" si="24"/>
        <v>0</v>
      </c>
      <c r="AB224" s="62">
        <f t="shared" si="22"/>
        <v>2700</v>
      </c>
      <c r="AC224" s="62"/>
      <c r="AD224" s="62"/>
    </row>
    <row r="225" spans="1:30" hidden="1" x14ac:dyDescent="0.3">
      <c r="A225" s="2">
        <v>4</v>
      </c>
      <c r="B225" s="3" t="s">
        <v>80</v>
      </c>
      <c r="C225" s="4" t="s">
        <v>81</v>
      </c>
      <c r="D225" s="4" t="s">
        <v>317</v>
      </c>
      <c r="E225" s="4" t="str">
        <f>VLOOKUP(C225,'[2]CTRL AUTOS'!$E$2:$L$58,8,FALSE)</f>
        <v>ASHC</v>
      </c>
      <c r="F225" s="61" t="str">
        <f>VLOOKUP(C225,'[2]CTRL AUTOS'!$E$2:$K$58,7,FALSE)</f>
        <v>ASHC</v>
      </c>
      <c r="G225" s="4" t="s">
        <v>234</v>
      </c>
      <c r="H225" s="62">
        <v>0</v>
      </c>
      <c r="I225" s="62">
        <v>0</v>
      </c>
      <c r="J225" s="62">
        <v>0</v>
      </c>
      <c r="K225" s="62">
        <v>0</v>
      </c>
      <c r="L225" s="62">
        <v>0</v>
      </c>
      <c r="M225" s="62">
        <v>0</v>
      </c>
      <c r="N225" s="62">
        <v>0</v>
      </c>
      <c r="O225" s="62">
        <f t="shared" si="23"/>
        <v>0</v>
      </c>
      <c r="P225" s="62">
        <v>-2500</v>
      </c>
      <c r="Q225" s="62">
        <v>0</v>
      </c>
      <c r="R225" s="62">
        <v>0</v>
      </c>
      <c r="S225" s="62">
        <v>0</v>
      </c>
      <c r="T225" s="62">
        <v>0</v>
      </c>
      <c r="U225" s="62">
        <v>0</v>
      </c>
      <c r="V225" s="62">
        <v>0</v>
      </c>
      <c r="W225" s="62">
        <f t="shared" si="19"/>
        <v>-2500</v>
      </c>
      <c r="X225" s="62">
        <f t="shared" si="20"/>
        <v>0</v>
      </c>
      <c r="Y225" s="62">
        <f t="shared" si="21"/>
        <v>-2500</v>
      </c>
      <c r="Z225" s="62">
        <v>2500</v>
      </c>
      <c r="AA225" s="62">
        <f t="shared" si="24"/>
        <v>0</v>
      </c>
      <c r="AB225" s="62">
        <f t="shared" si="22"/>
        <v>2500</v>
      </c>
      <c r="AC225" s="62"/>
      <c r="AD225" s="62" t="s">
        <v>786</v>
      </c>
    </row>
    <row r="226" spans="1:30" hidden="1" x14ac:dyDescent="0.3">
      <c r="A226" s="2">
        <v>4</v>
      </c>
      <c r="B226" s="3" t="s">
        <v>11</v>
      </c>
      <c r="C226" s="4" t="s">
        <v>12</v>
      </c>
      <c r="D226" s="4" t="s">
        <v>509</v>
      </c>
      <c r="E226" s="4" t="str">
        <f>VLOOKUP(C226,'[2]CTRL AUTOS'!$E$2:$L$58,8,FALSE)</f>
        <v>ASHC</v>
      </c>
      <c r="F226" s="61" t="str">
        <f>VLOOKUP(C226,'[2]CTRL AUTOS'!$E$2:$K$58,7,FALSE)</f>
        <v>ASHC</v>
      </c>
      <c r="G226" s="4" t="s">
        <v>234</v>
      </c>
      <c r="H226" s="62">
        <v>9334.27</v>
      </c>
      <c r="I226" s="62">
        <v>-4432.91</v>
      </c>
      <c r="J226" s="62">
        <v>-24</v>
      </c>
      <c r="K226" s="62">
        <v>0</v>
      </c>
      <c r="L226" s="62">
        <v>0</v>
      </c>
      <c r="M226" s="62">
        <v>-75</v>
      </c>
      <c r="N226" s="62">
        <v>0</v>
      </c>
      <c r="O226" s="62">
        <f t="shared" si="23"/>
        <v>4802.3600000000006</v>
      </c>
      <c r="P226" s="62">
        <v>-2700</v>
      </c>
      <c r="Q226" s="62">
        <v>0</v>
      </c>
      <c r="R226" s="62">
        <v>0</v>
      </c>
      <c r="S226" s="62">
        <v>0</v>
      </c>
      <c r="T226" s="62">
        <v>0</v>
      </c>
      <c r="U226" s="62">
        <v>0</v>
      </c>
      <c r="V226" s="62">
        <v>0</v>
      </c>
      <c r="W226" s="62">
        <f t="shared" si="19"/>
        <v>2102.3600000000006</v>
      </c>
      <c r="X226" s="62">
        <f t="shared" si="20"/>
        <v>2102.3600000000006</v>
      </c>
      <c r="Y226" s="62">
        <f t="shared" si="21"/>
        <v>0</v>
      </c>
      <c r="Z226" s="62">
        <v>0</v>
      </c>
      <c r="AA226" s="62">
        <f t="shared" si="24"/>
        <v>0</v>
      </c>
      <c r="AB226" s="62">
        <f t="shared" si="22"/>
        <v>2700</v>
      </c>
      <c r="AC226" s="62"/>
      <c r="AD226" s="62"/>
    </row>
    <row r="227" spans="1:30" ht="12.75" hidden="1" customHeight="1" x14ac:dyDescent="0.3">
      <c r="A227" s="2">
        <v>5</v>
      </c>
      <c r="B227" s="3" t="s">
        <v>98</v>
      </c>
      <c r="C227" s="4" t="s">
        <v>112</v>
      </c>
      <c r="D227" s="4" t="s">
        <v>336</v>
      </c>
      <c r="E227" s="4" t="str">
        <f>VLOOKUP(C227,'[2]CTRL AUTOS'!$E$2:$L$58,8,FALSE)</f>
        <v>ASHC</v>
      </c>
      <c r="F227" s="61" t="str">
        <f>VLOOKUP(C227,'[2]CTRL AUTOS'!$E$2:$K$58,7,FALSE)</f>
        <v>ASHC</v>
      </c>
      <c r="G227" s="4" t="s">
        <v>234</v>
      </c>
      <c r="H227" s="62">
        <v>3050.2</v>
      </c>
      <c r="I227" s="62">
        <v>-22.45</v>
      </c>
      <c r="J227" s="62">
        <v>0</v>
      </c>
      <c r="K227" s="62">
        <v>0</v>
      </c>
      <c r="L227" s="62">
        <v>0</v>
      </c>
      <c r="M227" s="62">
        <v>-7.9005448460928864</v>
      </c>
      <c r="N227" s="62">
        <v>-62</v>
      </c>
      <c r="O227" s="62">
        <f t="shared" si="23"/>
        <v>2957.849455153907</v>
      </c>
      <c r="P227" s="62">
        <v>-2500</v>
      </c>
      <c r="Q227" s="62">
        <v>0</v>
      </c>
      <c r="R227" s="62">
        <v>0</v>
      </c>
      <c r="S227" s="62">
        <v>0</v>
      </c>
      <c r="T227" s="62">
        <v>-2500</v>
      </c>
      <c r="U227" s="62">
        <v>2500</v>
      </c>
      <c r="V227" s="62">
        <v>0</v>
      </c>
      <c r="W227" s="62">
        <f t="shared" si="19"/>
        <v>457.849455153907</v>
      </c>
      <c r="X227" s="62">
        <f t="shared" si="20"/>
        <v>457.849455153907</v>
      </c>
      <c r="Y227" s="62">
        <f t="shared" si="21"/>
        <v>0</v>
      </c>
      <c r="Z227" s="62">
        <v>0</v>
      </c>
      <c r="AA227" s="62">
        <f t="shared" si="24"/>
        <v>0</v>
      </c>
      <c r="AB227" s="62">
        <f t="shared" si="22"/>
        <v>2500</v>
      </c>
      <c r="AC227" s="62"/>
      <c r="AD227" s="62" t="s">
        <v>787</v>
      </c>
    </row>
    <row r="228" spans="1:30" ht="12.75" hidden="1" customHeight="1" x14ac:dyDescent="0.3">
      <c r="A228" s="2">
        <v>5</v>
      </c>
      <c r="B228" s="3" t="s">
        <v>98</v>
      </c>
      <c r="C228" s="4" t="s">
        <v>42</v>
      </c>
      <c r="D228" s="4" t="s">
        <v>250</v>
      </c>
      <c r="E228" s="4" t="str">
        <f>VLOOKUP(C228,'[2]CTRL AUTOS'!$E$2:$L$58,8,FALSE)</f>
        <v>ASHC</v>
      </c>
      <c r="F228" s="61" t="str">
        <f>VLOOKUP(C228,'[2]CTRL AUTOS'!$E$2:$K$58,7,FALSE)</f>
        <v>ASHC</v>
      </c>
      <c r="G228" s="4" t="s">
        <v>234</v>
      </c>
      <c r="H228" s="62">
        <v>0</v>
      </c>
      <c r="I228" s="62">
        <v>0</v>
      </c>
      <c r="J228" s="62">
        <v>0</v>
      </c>
      <c r="K228" s="62">
        <v>0</v>
      </c>
      <c r="L228" s="62">
        <v>0</v>
      </c>
      <c r="M228" s="62">
        <v>0</v>
      </c>
      <c r="N228" s="62">
        <v>0</v>
      </c>
      <c r="O228" s="62">
        <f t="shared" si="23"/>
        <v>0</v>
      </c>
      <c r="P228" s="62">
        <v>0</v>
      </c>
      <c r="Q228" s="62">
        <v>0</v>
      </c>
      <c r="R228" s="62">
        <v>0</v>
      </c>
      <c r="S228" s="62">
        <v>0</v>
      </c>
      <c r="T228" s="62">
        <v>0</v>
      </c>
      <c r="U228" s="62">
        <v>0</v>
      </c>
      <c r="V228" s="62">
        <v>0</v>
      </c>
      <c r="W228" s="62">
        <f t="shared" si="19"/>
        <v>0</v>
      </c>
      <c r="X228" s="62">
        <f t="shared" si="20"/>
        <v>0</v>
      </c>
      <c r="Y228" s="62">
        <f t="shared" si="21"/>
        <v>0</v>
      </c>
      <c r="Z228" s="62">
        <v>0</v>
      </c>
      <c r="AA228" s="62">
        <f t="shared" si="24"/>
        <v>0</v>
      </c>
      <c r="AB228" s="62">
        <f t="shared" si="22"/>
        <v>0</v>
      </c>
      <c r="AC228" s="62"/>
      <c r="AD228" s="62"/>
    </row>
    <row r="229" spans="1:30" ht="12.75" hidden="1" customHeight="1" x14ac:dyDescent="0.3">
      <c r="A229" s="2">
        <v>5</v>
      </c>
      <c r="B229" s="3" t="s">
        <v>117</v>
      </c>
      <c r="C229" s="4" t="s">
        <v>118</v>
      </c>
      <c r="D229" s="4"/>
      <c r="E229" s="4" t="str">
        <f>VLOOKUP(C229,'[2]CTRL AUTOS'!$E$2:$L$58,8,FALSE)</f>
        <v>ASHC</v>
      </c>
      <c r="F229" s="61" t="str">
        <f>VLOOKUP(C229,'[2]CTRL AUTOS'!$E$2:$K$58,7,FALSE)</f>
        <v>ASHC</v>
      </c>
      <c r="G229" s="4" t="s">
        <v>234</v>
      </c>
      <c r="H229" s="62">
        <v>2271.39</v>
      </c>
      <c r="I229" s="62">
        <v>-1524.6300000000003</v>
      </c>
      <c r="J229" s="62">
        <v>0</v>
      </c>
      <c r="K229" s="62">
        <v>0</v>
      </c>
      <c r="L229" s="62">
        <v>-25.58</v>
      </c>
      <c r="M229" s="62">
        <v>-81.276636467643598</v>
      </c>
      <c r="N229" s="62">
        <v>0</v>
      </c>
      <c r="O229" s="62">
        <f t="shared" si="23"/>
        <v>639.90336353235591</v>
      </c>
      <c r="P229" s="62">
        <v>-2500</v>
      </c>
      <c r="Q229" s="62">
        <v>0</v>
      </c>
      <c r="R229" s="62">
        <v>-500</v>
      </c>
      <c r="S229" s="62">
        <v>0</v>
      </c>
      <c r="T229" s="62">
        <v>0</v>
      </c>
      <c r="U229" s="62">
        <v>0</v>
      </c>
      <c r="V229" s="62">
        <v>0</v>
      </c>
      <c r="W229" s="62">
        <f t="shared" si="19"/>
        <v>-2360.0966364676442</v>
      </c>
      <c r="X229" s="62">
        <f t="shared" si="20"/>
        <v>0</v>
      </c>
      <c r="Y229" s="62">
        <f t="shared" si="21"/>
        <v>-2360.0966364676442</v>
      </c>
      <c r="Z229" s="62">
        <v>2360</v>
      </c>
      <c r="AA229" s="62">
        <f t="shared" si="24"/>
        <v>-9.6636467644202639E-2</v>
      </c>
      <c r="AB229" s="62">
        <f t="shared" si="22"/>
        <v>2999.8067270647116</v>
      </c>
      <c r="AC229" s="62"/>
      <c r="AD229" s="62" t="s">
        <v>788</v>
      </c>
    </row>
    <row r="230" spans="1:30" ht="12.75" hidden="1" customHeight="1" x14ac:dyDescent="0.3">
      <c r="A230" s="2">
        <v>5</v>
      </c>
      <c r="B230" s="3" t="s">
        <v>87</v>
      </c>
      <c r="C230" s="4" t="s">
        <v>83</v>
      </c>
      <c r="D230" s="4" t="s">
        <v>592</v>
      </c>
      <c r="E230" s="4" t="str">
        <f>VLOOKUP(C230,'[2]CTRL AUTOS'!$E$2:$L$58,8,FALSE)</f>
        <v>ASHC</v>
      </c>
      <c r="F230" s="61" t="str">
        <f>VLOOKUP(C230,'[2]CTRL AUTOS'!$E$2:$K$58,7,FALSE)</f>
        <v>ASHC</v>
      </c>
      <c r="G230" s="4" t="s">
        <v>234</v>
      </c>
      <c r="H230" s="62">
        <v>5121.7</v>
      </c>
      <c r="I230" s="62">
        <v>-715.95999999999992</v>
      </c>
      <c r="J230" s="62">
        <v>-96.800000000000011</v>
      </c>
      <c r="K230" s="62">
        <v>0</v>
      </c>
      <c r="L230" s="62">
        <v>0</v>
      </c>
      <c r="M230" s="62">
        <v>-33</v>
      </c>
      <c r="N230" s="62">
        <v>0</v>
      </c>
      <c r="O230" s="62">
        <f t="shared" si="23"/>
        <v>4275.9399999999996</v>
      </c>
      <c r="P230" s="62">
        <v>-2700</v>
      </c>
      <c r="Q230" s="62">
        <f>-433*1.12</f>
        <v>-484.96000000000004</v>
      </c>
      <c r="R230" s="62">
        <v>-429</v>
      </c>
      <c r="S230" s="62">
        <v>0</v>
      </c>
      <c r="T230" s="62">
        <v>0</v>
      </c>
      <c r="U230" s="62">
        <v>0</v>
      </c>
      <c r="V230" s="62">
        <v>0</v>
      </c>
      <c r="W230" s="62">
        <f t="shared" si="19"/>
        <v>661.97999999999956</v>
      </c>
      <c r="X230" s="62">
        <f t="shared" si="20"/>
        <v>661.97999999999956</v>
      </c>
      <c r="Y230" s="62">
        <f t="shared" si="21"/>
        <v>0</v>
      </c>
      <c r="Z230" s="62">
        <v>0</v>
      </c>
      <c r="AA230" s="62">
        <f t="shared" si="24"/>
        <v>0</v>
      </c>
      <c r="AB230" s="62">
        <f t="shared" si="22"/>
        <v>3613.96</v>
      </c>
      <c r="AC230" s="62"/>
      <c r="AD230" s="62" t="s">
        <v>789</v>
      </c>
    </row>
    <row r="231" spans="1:30" ht="12.75" hidden="1" customHeight="1" x14ac:dyDescent="0.3">
      <c r="A231" s="2">
        <v>5</v>
      </c>
      <c r="B231" s="3" t="s">
        <v>76</v>
      </c>
      <c r="C231" s="4" t="s">
        <v>8</v>
      </c>
      <c r="D231" s="4"/>
      <c r="E231" s="4" t="s">
        <v>232</v>
      </c>
      <c r="F231" s="61" t="s">
        <v>232</v>
      </c>
      <c r="G231" s="4" t="s">
        <v>234</v>
      </c>
      <c r="H231" s="62">
        <v>0</v>
      </c>
      <c r="I231" s="62">
        <v>0</v>
      </c>
      <c r="J231" s="62">
        <v>0</v>
      </c>
      <c r="K231" s="62">
        <v>0</v>
      </c>
      <c r="L231" s="62">
        <v>0</v>
      </c>
      <c r="M231" s="62">
        <v>0</v>
      </c>
      <c r="N231" s="62">
        <v>0</v>
      </c>
      <c r="O231" s="62">
        <f t="shared" si="23"/>
        <v>0</v>
      </c>
      <c r="P231" s="62">
        <v>0</v>
      </c>
      <c r="Q231" s="62">
        <v>0</v>
      </c>
      <c r="R231" s="62">
        <v>0</v>
      </c>
      <c r="S231" s="62">
        <v>0</v>
      </c>
      <c r="T231" s="62">
        <f>VLOOKUP(B231,[2]HOJALATERÍA!$A$4:$BO$48,67,0)</f>
        <v>0</v>
      </c>
      <c r="U231" s="62">
        <v>0</v>
      </c>
      <c r="V231" s="62">
        <v>0</v>
      </c>
      <c r="W231" s="62">
        <f t="shared" si="19"/>
        <v>0</v>
      </c>
      <c r="X231" s="62">
        <f t="shared" si="20"/>
        <v>0</v>
      </c>
      <c r="Y231" s="62">
        <f t="shared" si="21"/>
        <v>0</v>
      </c>
      <c r="Z231" s="62">
        <v>0</v>
      </c>
      <c r="AA231" s="62">
        <f t="shared" si="24"/>
        <v>0</v>
      </c>
      <c r="AB231" s="62">
        <f t="shared" si="22"/>
        <v>0</v>
      </c>
      <c r="AC231" s="62"/>
      <c r="AD231" s="62" t="s">
        <v>790</v>
      </c>
    </row>
    <row r="232" spans="1:30" ht="12.75" hidden="1" customHeight="1" x14ac:dyDescent="0.3">
      <c r="A232" s="2">
        <v>5</v>
      </c>
      <c r="B232" s="3" t="s">
        <v>107</v>
      </c>
      <c r="C232" s="4" t="s">
        <v>50</v>
      </c>
      <c r="D232" s="4" t="s">
        <v>480</v>
      </c>
      <c r="E232" s="4" t="str">
        <f>VLOOKUP(C232,'[2]CTRL AUTOS'!$E$2:$L$58,8,FALSE)</f>
        <v>ASHC</v>
      </c>
      <c r="F232" s="61" t="str">
        <f>VLOOKUP(C232,'[2]CTRL AUTOS'!$E$2:$K$58,7,FALSE)</f>
        <v>ASHC</v>
      </c>
      <c r="G232" s="4" t="s">
        <v>234</v>
      </c>
      <c r="H232" s="62">
        <v>0</v>
      </c>
      <c r="I232" s="62">
        <v>0</v>
      </c>
      <c r="J232" s="62">
        <v>0</v>
      </c>
      <c r="K232" s="62">
        <v>0</v>
      </c>
      <c r="L232" s="62">
        <v>0</v>
      </c>
      <c r="M232" s="62">
        <v>-10</v>
      </c>
      <c r="N232" s="62">
        <v>0</v>
      </c>
      <c r="O232" s="62">
        <f t="shared" si="23"/>
        <v>-10</v>
      </c>
      <c r="P232" s="62">
        <f>(-2500/7)*1.5</f>
        <v>-535.71428571428578</v>
      </c>
      <c r="Q232" s="62">
        <v>0</v>
      </c>
      <c r="R232" s="62">
        <v>0</v>
      </c>
      <c r="S232" s="62">
        <v>0</v>
      </c>
      <c r="T232" s="62">
        <v>0</v>
      </c>
      <c r="U232" s="62">
        <v>0</v>
      </c>
      <c r="V232" s="62">
        <v>0</v>
      </c>
      <c r="W232" s="62">
        <f t="shared" si="19"/>
        <v>-545.71428571428578</v>
      </c>
      <c r="X232" s="62">
        <f t="shared" si="20"/>
        <v>0</v>
      </c>
      <c r="Y232" s="62">
        <f t="shared" si="21"/>
        <v>-545.71428571428578</v>
      </c>
      <c r="Z232" s="62">
        <v>460.5</v>
      </c>
      <c r="AA232" s="62">
        <f t="shared" si="24"/>
        <v>-85.214285714285779</v>
      </c>
      <c r="AB232" s="62">
        <f t="shared" si="22"/>
        <v>365.28571428571422</v>
      </c>
      <c r="AC232" s="62"/>
      <c r="AD232" s="62" t="s">
        <v>791</v>
      </c>
    </row>
    <row r="233" spans="1:30" ht="12.75" hidden="1" customHeight="1" x14ac:dyDescent="0.3">
      <c r="A233" s="2">
        <v>5</v>
      </c>
      <c r="B233" s="3" t="s">
        <v>107</v>
      </c>
      <c r="C233" s="4" t="s">
        <v>148</v>
      </c>
      <c r="D233" s="4"/>
      <c r="E233" s="4" t="str">
        <f>VLOOKUP(C233,'[2]CTRL AUTOS'!$E$2:$L$58,8,FALSE)</f>
        <v>ASHC</v>
      </c>
      <c r="F233" s="61" t="str">
        <f>VLOOKUP(C233,'[2]CTRL AUTOS'!$E$2:$K$58,7,FALSE)</f>
        <v>ASHC</v>
      </c>
      <c r="G233" s="4" t="s">
        <v>234</v>
      </c>
      <c r="H233" s="62">
        <v>4108.33</v>
      </c>
      <c r="I233" s="62">
        <v>-1513.49</v>
      </c>
      <c r="J233" s="62">
        <v>0</v>
      </c>
      <c r="K233" s="62">
        <v>0</v>
      </c>
      <c r="L233" s="62">
        <v>0</v>
      </c>
      <c r="M233" s="62">
        <v>-81.048107755595709</v>
      </c>
      <c r="N233" s="62">
        <v>0</v>
      </c>
      <c r="O233" s="62">
        <f t="shared" si="23"/>
        <v>2513.7918922444046</v>
      </c>
      <c r="P233" s="62">
        <f>(-2700/7)*5</f>
        <v>-1928.5714285714287</v>
      </c>
      <c r="Q233" s="62">
        <v>0</v>
      </c>
      <c r="R233" s="62">
        <v>-500</v>
      </c>
      <c r="S233" s="62">
        <v>0</v>
      </c>
      <c r="T233" s="62">
        <v>0</v>
      </c>
      <c r="U233" s="62">
        <v>0</v>
      </c>
      <c r="V233" s="62">
        <v>0</v>
      </c>
      <c r="W233" s="62">
        <f t="shared" si="19"/>
        <v>85.220463672975939</v>
      </c>
      <c r="X233" s="62">
        <f t="shared" si="20"/>
        <v>85.220463672975939</v>
      </c>
      <c r="Y233" s="62">
        <f t="shared" si="21"/>
        <v>0</v>
      </c>
      <c r="Z233" s="62">
        <v>85</v>
      </c>
      <c r="AA233" s="62">
        <f t="shared" si="24"/>
        <v>85</v>
      </c>
      <c r="AB233" s="62">
        <f t="shared" si="22"/>
        <v>2598.5714285714284</v>
      </c>
      <c r="AC233" s="62"/>
      <c r="AD233" s="62" t="s">
        <v>792</v>
      </c>
    </row>
    <row r="234" spans="1:30" ht="12.75" hidden="1" customHeight="1" x14ac:dyDescent="0.3">
      <c r="A234" s="2">
        <v>5</v>
      </c>
      <c r="B234" s="3" t="s">
        <v>78</v>
      </c>
      <c r="C234" s="4" t="s">
        <v>79</v>
      </c>
      <c r="D234" s="4" t="s">
        <v>475</v>
      </c>
      <c r="E234" s="4" t="str">
        <f>VLOOKUP(C234,'[2]CTRL AUTOS'!$E$2:$L$58,8,FALSE)</f>
        <v>BYER</v>
      </c>
      <c r="F234" s="61" t="str">
        <f>VLOOKUP(C234,'[2]CTRL AUTOS'!$E$2:$K$58,7,FALSE)</f>
        <v>BYER</v>
      </c>
      <c r="G234" s="4" t="s">
        <v>234</v>
      </c>
      <c r="H234" s="62">
        <v>3202.66</v>
      </c>
      <c r="I234" s="62">
        <v>-484.6</v>
      </c>
      <c r="J234" s="62">
        <v>0</v>
      </c>
      <c r="K234" s="62">
        <v>0</v>
      </c>
      <c r="L234" s="62">
        <v>-34.290000000000006</v>
      </c>
      <c r="M234" s="62">
        <v>-18.617910229861653</v>
      </c>
      <c r="N234" s="62">
        <v>0</v>
      </c>
      <c r="O234" s="62">
        <f t="shared" si="23"/>
        <v>2665.1520897701384</v>
      </c>
      <c r="P234" s="62">
        <v>-2500</v>
      </c>
      <c r="Q234" s="62">
        <v>-3551</v>
      </c>
      <c r="R234" s="62">
        <v>0</v>
      </c>
      <c r="S234" s="62">
        <v>0</v>
      </c>
      <c r="T234" s="62">
        <v>0</v>
      </c>
      <c r="U234" s="62">
        <v>0</v>
      </c>
      <c r="V234" s="62">
        <v>0</v>
      </c>
      <c r="W234" s="62">
        <f t="shared" si="19"/>
        <v>-3385.8479102298616</v>
      </c>
      <c r="X234" s="62">
        <f t="shared" si="20"/>
        <v>0</v>
      </c>
      <c r="Y234" s="62">
        <f t="shared" si="21"/>
        <v>-3385.8479102298616</v>
      </c>
      <c r="Z234" s="62">
        <v>335</v>
      </c>
      <c r="AA234" s="62">
        <f t="shared" si="24"/>
        <v>-3050.8479102298616</v>
      </c>
      <c r="AB234" s="62">
        <f t="shared" si="22"/>
        <v>-50.695820459723109</v>
      </c>
      <c r="AC234" s="62"/>
      <c r="AD234" s="62" t="s">
        <v>793</v>
      </c>
    </row>
    <row r="235" spans="1:30" ht="12.75" hidden="1" customHeight="1" x14ac:dyDescent="0.3">
      <c r="A235" s="2">
        <v>5</v>
      </c>
      <c r="B235" s="3" t="s">
        <v>51</v>
      </c>
      <c r="C235" s="4" t="s">
        <v>52</v>
      </c>
      <c r="D235" s="4" t="s">
        <v>313</v>
      </c>
      <c r="E235" s="4" t="str">
        <f>VLOOKUP(C235,'[2]CTRL AUTOS'!$E$2:$L$58,8,FALSE)</f>
        <v>ASHC</v>
      </c>
      <c r="F235" s="61" t="str">
        <f>VLOOKUP(C235,'[2]CTRL AUTOS'!$E$2:$K$58,7,FALSE)</f>
        <v>ASHC</v>
      </c>
      <c r="G235" s="4" t="s">
        <v>234</v>
      </c>
      <c r="H235" s="62">
        <v>3451.78</v>
      </c>
      <c r="I235" s="62">
        <v>0</v>
      </c>
      <c r="J235" s="62">
        <v>0</v>
      </c>
      <c r="K235" s="62">
        <v>0</v>
      </c>
      <c r="L235" s="62">
        <v>-27.5</v>
      </c>
      <c r="M235" s="62">
        <v>-10</v>
      </c>
      <c r="N235" s="62">
        <v>0</v>
      </c>
      <c r="O235" s="62">
        <f t="shared" si="23"/>
        <v>3414.28</v>
      </c>
      <c r="P235" s="62">
        <v>-2500</v>
      </c>
      <c r="Q235" s="62">
        <v>0</v>
      </c>
      <c r="R235" s="62">
        <v>0</v>
      </c>
      <c r="S235" s="62">
        <v>0</v>
      </c>
      <c r="T235" s="62">
        <v>-700</v>
      </c>
      <c r="U235" s="62">
        <v>0</v>
      </c>
      <c r="V235" s="62">
        <v>0</v>
      </c>
      <c r="W235" s="62">
        <f t="shared" si="19"/>
        <v>214.2800000000002</v>
      </c>
      <c r="X235" s="62">
        <f t="shared" si="20"/>
        <v>214.2800000000002</v>
      </c>
      <c r="Y235" s="62">
        <f t="shared" si="21"/>
        <v>0</v>
      </c>
      <c r="Z235" s="62">
        <v>0</v>
      </c>
      <c r="AA235" s="62">
        <f t="shared" si="24"/>
        <v>0</v>
      </c>
      <c r="AB235" s="62">
        <f t="shared" si="22"/>
        <v>3200</v>
      </c>
      <c r="AC235" s="62"/>
      <c r="AD235" s="62" t="s">
        <v>794</v>
      </c>
    </row>
    <row r="236" spans="1:30" ht="12.75" hidden="1" customHeight="1" x14ac:dyDescent="0.3">
      <c r="A236" s="2">
        <v>5</v>
      </c>
      <c r="B236" s="3" t="s">
        <v>74</v>
      </c>
      <c r="C236" s="4" t="s">
        <v>77</v>
      </c>
      <c r="D236" s="4" t="s">
        <v>474</v>
      </c>
      <c r="E236" s="4" t="str">
        <f>VLOOKUP(C236,'[2]CTRL AUTOS'!$E$2:$L$58,8,FALSE)</f>
        <v>ASHC</v>
      </c>
      <c r="F236" s="61" t="str">
        <f>VLOOKUP(C236,'[2]CTRL AUTOS'!$E$2:$K$58,7,FALSE)</f>
        <v>ASHC</v>
      </c>
      <c r="G236" s="4" t="s">
        <v>234</v>
      </c>
      <c r="H236" s="62">
        <v>726.54</v>
      </c>
      <c r="I236" s="62">
        <v>-303.81</v>
      </c>
      <c r="J236" s="62">
        <v>0</v>
      </c>
      <c r="K236" s="62">
        <v>0</v>
      </c>
      <c r="L236" s="62">
        <v>0</v>
      </c>
      <c r="M236" s="62">
        <v>-23</v>
      </c>
      <c r="N236" s="62">
        <v>0</v>
      </c>
      <c r="O236" s="62">
        <f t="shared" si="23"/>
        <v>399.72999999999996</v>
      </c>
      <c r="P236" s="62">
        <v>-2500</v>
      </c>
      <c r="Q236" s="62">
        <f>-2410*1.12</f>
        <v>-2699.2000000000003</v>
      </c>
      <c r="R236" s="62">
        <v>0</v>
      </c>
      <c r="S236" s="62">
        <v>0</v>
      </c>
      <c r="T236" s="62">
        <f>VLOOKUP(B236,[2]HOJALATERÍA!$A$4:$BO$48,67,0)</f>
        <v>0</v>
      </c>
      <c r="U236" s="62">
        <v>0</v>
      </c>
      <c r="V236" s="62">
        <v>0</v>
      </c>
      <c r="W236" s="62">
        <f t="shared" si="19"/>
        <v>-4799.47</v>
      </c>
      <c r="X236" s="62">
        <f t="shared" si="20"/>
        <v>0</v>
      </c>
      <c r="Y236" s="62">
        <f t="shared" si="21"/>
        <v>-4799.47</v>
      </c>
      <c r="Z236" s="62">
        <f>1100+630+1339</f>
        <v>3069</v>
      </c>
      <c r="AA236" s="62">
        <f t="shared" si="24"/>
        <v>-1730.4700000000003</v>
      </c>
      <c r="AB236" s="62">
        <f t="shared" si="22"/>
        <v>1738.2599999999998</v>
      </c>
      <c r="AC236" s="62"/>
      <c r="AD236" s="62" t="s">
        <v>795</v>
      </c>
    </row>
    <row r="237" spans="1:30" ht="12.75" hidden="1" customHeight="1" x14ac:dyDescent="0.3">
      <c r="A237" s="2">
        <v>5</v>
      </c>
      <c r="B237" s="3" t="s">
        <v>115</v>
      </c>
      <c r="C237" s="4" t="s">
        <v>116</v>
      </c>
      <c r="D237" s="4" t="s">
        <v>755</v>
      </c>
      <c r="E237" s="4" t="str">
        <f>VLOOKUP(C237,'[2]CTRL AUTOS'!$E$2:$L$58,8,FALSE)</f>
        <v>BYER</v>
      </c>
      <c r="F237" s="61" t="str">
        <f>VLOOKUP(C237,'[2]CTRL AUTOS'!$E$2:$K$58,7,FALSE)</f>
        <v>BYER</v>
      </c>
      <c r="G237" s="4" t="s">
        <v>234</v>
      </c>
      <c r="H237" s="62">
        <v>483.94</v>
      </c>
      <c r="I237" s="62">
        <v>-269.95999999999998</v>
      </c>
      <c r="J237" s="62">
        <v>0</v>
      </c>
      <c r="K237" s="62">
        <v>0</v>
      </c>
      <c r="L237" s="62">
        <v>0</v>
      </c>
      <c r="M237" s="62">
        <v>-10.371628241133823</v>
      </c>
      <c r="N237" s="62">
        <v>0</v>
      </c>
      <c r="O237" s="62">
        <f t="shared" si="23"/>
        <v>203.60837175886618</v>
      </c>
      <c r="P237" s="62">
        <f>(-2500/7)*1</f>
        <v>-357.14285714285717</v>
      </c>
      <c r="Q237" s="62">
        <v>0</v>
      </c>
      <c r="R237" s="62">
        <v>0</v>
      </c>
      <c r="S237" s="62">
        <v>0</v>
      </c>
      <c r="T237" s="62">
        <v>0</v>
      </c>
      <c r="U237" s="62">
        <v>0</v>
      </c>
      <c r="V237" s="62">
        <v>0</v>
      </c>
      <c r="W237" s="62">
        <f t="shared" si="19"/>
        <v>-153.53448538399098</v>
      </c>
      <c r="X237" s="62">
        <f t="shared" si="20"/>
        <v>0</v>
      </c>
      <c r="Y237" s="62">
        <f t="shared" si="21"/>
        <v>-153.53448538399098</v>
      </c>
      <c r="Z237" s="62">
        <v>154</v>
      </c>
      <c r="AA237" s="62">
        <f t="shared" si="24"/>
        <v>0.46551461600901689</v>
      </c>
      <c r="AB237" s="62">
        <f t="shared" si="22"/>
        <v>358.0738863748752</v>
      </c>
      <c r="AC237" s="62"/>
      <c r="AD237" s="62" t="s">
        <v>796</v>
      </c>
    </row>
    <row r="238" spans="1:30" ht="12.75" hidden="1" customHeight="1" x14ac:dyDescent="0.3">
      <c r="A238" s="2">
        <v>5</v>
      </c>
      <c r="B238" s="3" t="s">
        <v>49</v>
      </c>
      <c r="C238" s="4" t="s">
        <v>96</v>
      </c>
      <c r="D238" s="4" t="s">
        <v>480</v>
      </c>
      <c r="E238" s="4" t="str">
        <f>VLOOKUP(C238,'[2]CTRL AUTOS'!$E$2:$L$58,8,FALSE)</f>
        <v>ASHC</v>
      </c>
      <c r="F238" s="61" t="str">
        <f>VLOOKUP(C238,'[2]CTRL AUTOS'!$E$2:$K$58,7,FALSE)</f>
        <v>ASHC</v>
      </c>
      <c r="G238" s="4" t="s">
        <v>234</v>
      </c>
      <c r="H238" s="62">
        <v>6799.64</v>
      </c>
      <c r="I238" s="62">
        <v>0</v>
      </c>
      <c r="J238" s="62">
        <v>-40</v>
      </c>
      <c r="K238" s="62">
        <v>0</v>
      </c>
      <c r="L238" s="62">
        <v>0</v>
      </c>
      <c r="M238" s="62">
        <v>-10</v>
      </c>
      <c r="N238" s="62">
        <v>0</v>
      </c>
      <c r="O238" s="62">
        <f t="shared" si="23"/>
        <v>6749.64</v>
      </c>
      <c r="P238" s="62">
        <v>-2500</v>
      </c>
      <c r="Q238" s="62">
        <v>0</v>
      </c>
      <c r="R238" s="62">
        <v>0</v>
      </c>
      <c r="S238" s="62">
        <v>0</v>
      </c>
      <c r="T238" s="62">
        <v>0</v>
      </c>
      <c r="U238" s="62">
        <v>0</v>
      </c>
      <c r="V238" s="62">
        <v>0</v>
      </c>
      <c r="W238" s="62">
        <f t="shared" si="19"/>
        <v>4249.6400000000003</v>
      </c>
      <c r="X238" s="62">
        <f t="shared" si="20"/>
        <v>4249.6400000000003</v>
      </c>
      <c r="Y238" s="62">
        <f t="shared" si="21"/>
        <v>0</v>
      </c>
      <c r="Z238" s="62">
        <v>0</v>
      </c>
      <c r="AA238" s="62">
        <f t="shared" si="24"/>
        <v>0</v>
      </c>
      <c r="AB238" s="62">
        <f t="shared" si="22"/>
        <v>2500</v>
      </c>
      <c r="AC238" s="62"/>
      <c r="AD238" s="62" t="s">
        <v>797</v>
      </c>
    </row>
    <row r="239" spans="1:30" ht="12.75" hidden="1" customHeight="1" x14ac:dyDescent="0.3">
      <c r="A239" s="2">
        <v>5</v>
      </c>
      <c r="B239" s="3" t="s">
        <v>49</v>
      </c>
      <c r="C239" s="4" t="s">
        <v>104</v>
      </c>
      <c r="D239" s="4" t="s">
        <v>283</v>
      </c>
      <c r="E239" s="4" t="s">
        <v>232</v>
      </c>
      <c r="F239" s="61" t="s">
        <v>232</v>
      </c>
      <c r="G239" s="4" t="s">
        <v>234</v>
      </c>
      <c r="H239" s="62">
        <v>0</v>
      </c>
      <c r="I239" s="62">
        <v>0</v>
      </c>
      <c r="J239" s="62">
        <v>0</v>
      </c>
      <c r="K239" s="62">
        <v>0</v>
      </c>
      <c r="L239" s="62">
        <v>0</v>
      </c>
      <c r="M239" s="62">
        <v>0</v>
      </c>
      <c r="N239" s="62">
        <v>0</v>
      </c>
      <c r="O239" s="62">
        <f t="shared" si="23"/>
        <v>0</v>
      </c>
      <c r="P239" s="62">
        <v>0</v>
      </c>
      <c r="Q239" s="62">
        <v>0</v>
      </c>
      <c r="R239" s="62">
        <v>0</v>
      </c>
      <c r="S239" s="62">
        <v>0</v>
      </c>
      <c r="T239" s="62">
        <v>-700</v>
      </c>
      <c r="U239" s="62">
        <v>0</v>
      </c>
      <c r="V239" s="62">
        <v>0</v>
      </c>
      <c r="W239" s="62">
        <f t="shared" si="19"/>
        <v>-700</v>
      </c>
      <c r="X239" s="62">
        <f t="shared" si="20"/>
        <v>0</v>
      </c>
      <c r="Y239" s="62">
        <f t="shared" si="21"/>
        <v>-700</v>
      </c>
      <c r="Z239" s="62">
        <v>700</v>
      </c>
      <c r="AA239" s="62">
        <f t="shared" si="24"/>
        <v>0</v>
      </c>
      <c r="AB239" s="62">
        <f t="shared" si="22"/>
        <v>700</v>
      </c>
      <c r="AC239" s="62"/>
      <c r="AD239" s="62" t="s">
        <v>798</v>
      </c>
    </row>
    <row r="240" spans="1:30" ht="12.75" hidden="1" customHeight="1" x14ac:dyDescent="0.3">
      <c r="A240" s="2">
        <v>5</v>
      </c>
      <c r="B240" s="3" t="s">
        <v>47</v>
      </c>
      <c r="C240" s="4" t="s">
        <v>147</v>
      </c>
      <c r="D240" s="4" t="s">
        <v>283</v>
      </c>
      <c r="E240" s="4" t="str">
        <f>VLOOKUP(C240,'[2]CTRL AUTOS'!$E$2:$L$58,8,FALSE)</f>
        <v>ASHC</v>
      </c>
      <c r="F240" s="61" t="str">
        <f>VLOOKUP(C240,'[2]CTRL AUTOS'!$E$2:$K$58,7,FALSE)</f>
        <v>ASHC</v>
      </c>
      <c r="G240" s="4" t="s">
        <v>234</v>
      </c>
      <c r="H240" s="62">
        <v>4606.07</v>
      </c>
      <c r="I240" s="62">
        <v>-1448.0900000000001</v>
      </c>
      <c r="J240" s="62">
        <v>0</v>
      </c>
      <c r="K240" s="62">
        <v>0</v>
      </c>
      <c r="L240" s="62">
        <v>-61.820000000000007</v>
      </c>
      <c r="M240" s="62">
        <v>-79.706475999049005</v>
      </c>
      <c r="N240" s="62">
        <v>0</v>
      </c>
      <c r="O240" s="62">
        <f t="shared" si="23"/>
        <v>3016.4535240009504</v>
      </c>
      <c r="P240" s="62">
        <v>-2700</v>
      </c>
      <c r="Q240" s="62">
        <v>0</v>
      </c>
      <c r="R240" s="62">
        <v>0</v>
      </c>
      <c r="S240" s="62">
        <v>0</v>
      </c>
      <c r="T240" s="62">
        <v>0</v>
      </c>
      <c r="U240" s="62">
        <v>0</v>
      </c>
      <c r="V240" s="62">
        <v>0</v>
      </c>
      <c r="W240" s="62">
        <f t="shared" si="19"/>
        <v>316.45352400095044</v>
      </c>
      <c r="X240" s="62">
        <f t="shared" si="20"/>
        <v>316.45352400095044</v>
      </c>
      <c r="Y240" s="62">
        <f t="shared" si="21"/>
        <v>0</v>
      </c>
      <c r="Z240" s="62">
        <v>0</v>
      </c>
      <c r="AA240" s="62">
        <f t="shared" si="24"/>
        <v>0</v>
      </c>
      <c r="AB240" s="62">
        <f t="shared" si="22"/>
        <v>2700</v>
      </c>
      <c r="AC240" s="62"/>
      <c r="AD240" s="62" t="s">
        <v>799</v>
      </c>
    </row>
    <row r="241" spans="1:30" ht="12.75" hidden="1" customHeight="1" x14ac:dyDescent="0.3">
      <c r="A241" s="2">
        <v>5</v>
      </c>
      <c r="B241" s="3" t="s">
        <v>5</v>
      </c>
      <c r="C241" s="4" t="s">
        <v>6</v>
      </c>
      <c r="D241" s="4" t="s">
        <v>570</v>
      </c>
      <c r="E241" s="4" t="str">
        <f>VLOOKUP(C241,'[2]CTRL AUTOS'!$E$2:$L$58,8,FALSE)</f>
        <v>ASHC</v>
      </c>
      <c r="F241" s="61" t="str">
        <f>VLOOKUP(C241,'[2]CTRL AUTOS'!$E$2:$K$58,7,FALSE)</f>
        <v>ASHC</v>
      </c>
      <c r="G241" s="4" t="s">
        <v>425</v>
      </c>
      <c r="H241" s="62">
        <v>0</v>
      </c>
      <c r="I241" s="62">
        <v>0</v>
      </c>
      <c r="J241" s="62">
        <v>0</v>
      </c>
      <c r="K241" s="62">
        <v>0</v>
      </c>
      <c r="L241" s="62">
        <v>0</v>
      </c>
      <c r="M241" s="62">
        <v>0</v>
      </c>
      <c r="N241" s="62">
        <v>0</v>
      </c>
      <c r="O241" s="62">
        <f t="shared" si="23"/>
        <v>0</v>
      </c>
      <c r="P241" s="62">
        <v>-2500</v>
      </c>
      <c r="Q241" s="62">
        <v>31</v>
      </c>
      <c r="R241" s="62">
        <v>0</v>
      </c>
      <c r="S241" s="62">
        <v>0</v>
      </c>
      <c r="T241" s="62">
        <v>0</v>
      </c>
      <c r="U241" s="62">
        <v>0</v>
      </c>
      <c r="V241" s="62">
        <v>0</v>
      </c>
      <c r="W241" s="62">
        <f t="shared" si="19"/>
        <v>-2469</v>
      </c>
      <c r="X241" s="62">
        <f t="shared" si="20"/>
        <v>0</v>
      </c>
      <c r="Y241" s="62">
        <f t="shared" si="21"/>
        <v>-2469</v>
      </c>
      <c r="Z241" s="62">
        <f>2400+31</f>
        <v>2431</v>
      </c>
      <c r="AA241" s="62">
        <f t="shared" si="24"/>
        <v>-38</v>
      </c>
      <c r="AB241" s="62">
        <f t="shared" si="22"/>
        <v>2393</v>
      </c>
      <c r="AC241" s="62"/>
      <c r="AD241" s="62" t="s">
        <v>800</v>
      </c>
    </row>
    <row r="242" spans="1:30" ht="12.75" hidden="1" customHeight="1" x14ac:dyDescent="0.3">
      <c r="A242" s="2">
        <v>5</v>
      </c>
      <c r="B242" s="3" t="s">
        <v>5</v>
      </c>
      <c r="C242" s="4" t="s">
        <v>42</v>
      </c>
      <c r="D242" s="4" t="s">
        <v>570</v>
      </c>
      <c r="E242" s="4" t="str">
        <f>VLOOKUP(C242,'[2]CTRL AUTOS'!$E$2:$L$58,8,FALSE)</f>
        <v>ASHC</v>
      </c>
      <c r="F242" s="61" t="str">
        <f>VLOOKUP(C242,'[2]CTRL AUTOS'!$E$2:$K$58,7,FALSE)</f>
        <v>ASHC</v>
      </c>
      <c r="G242" s="4" t="s">
        <v>425</v>
      </c>
      <c r="H242" s="62">
        <v>0</v>
      </c>
      <c r="I242" s="62">
        <v>0</v>
      </c>
      <c r="J242" s="62">
        <v>0</v>
      </c>
      <c r="K242" s="62">
        <v>0</v>
      </c>
      <c r="L242" s="62">
        <v>0</v>
      </c>
      <c r="M242" s="62">
        <v>0</v>
      </c>
      <c r="N242" s="62">
        <v>0</v>
      </c>
      <c r="O242" s="62">
        <f t="shared" si="23"/>
        <v>0</v>
      </c>
      <c r="P242" s="62">
        <v>0</v>
      </c>
      <c r="Q242" s="62">
        <v>0</v>
      </c>
      <c r="R242" s="62">
        <v>0</v>
      </c>
      <c r="S242" s="62">
        <v>0</v>
      </c>
      <c r="T242" s="62">
        <v>-500</v>
      </c>
      <c r="U242" s="62">
        <v>0</v>
      </c>
      <c r="V242" s="62">
        <v>0</v>
      </c>
      <c r="W242" s="62">
        <f t="shared" si="19"/>
        <v>-500</v>
      </c>
      <c r="X242" s="62">
        <f t="shared" si="20"/>
        <v>0</v>
      </c>
      <c r="Y242" s="62">
        <f t="shared" si="21"/>
        <v>-500</v>
      </c>
      <c r="Z242" s="62">
        <v>500</v>
      </c>
      <c r="AA242" s="62">
        <f t="shared" si="24"/>
        <v>0</v>
      </c>
      <c r="AB242" s="62">
        <f t="shared" si="22"/>
        <v>500</v>
      </c>
      <c r="AC242" s="62"/>
      <c r="AD242" s="62" t="s">
        <v>410</v>
      </c>
    </row>
    <row r="243" spans="1:30" ht="12.75" hidden="1" customHeight="1" x14ac:dyDescent="0.3">
      <c r="A243" s="2">
        <v>5</v>
      </c>
      <c r="B243" s="3" t="s">
        <v>123</v>
      </c>
      <c r="C243" s="4" t="s">
        <v>59</v>
      </c>
      <c r="D243" s="4"/>
      <c r="E243" s="4" t="str">
        <f>VLOOKUP(C243,'[2]CTRL AUTOS'!$E$2:$L$58,8,FALSE)</f>
        <v>ASHC</v>
      </c>
      <c r="F243" s="61" t="str">
        <f>VLOOKUP(C243,'[2]CTRL AUTOS'!$E$2:$K$58,7,FALSE)</f>
        <v>ASHC</v>
      </c>
      <c r="G243" s="4" t="s">
        <v>234</v>
      </c>
      <c r="H243" s="62">
        <v>3976.24</v>
      </c>
      <c r="I243" s="62">
        <v>-1376.8800000000003</v>
      </c>
      <c r="J243" s="62">
        <v>0</v>
      </c>
      <c r="K243" s="62">
        <v>0</v>
      </c>
      <c r="L243" s="62">
        <v>0</v>
      </c>
      <c r="M243" s="62">
        <v>-238.32805646718799</v>
      </c>
      <c r="N243" s="62">
        <v>0</v>
      </c>
      <c r="O243" s="62">
        <f t="shared" si="23"/>
        <v>2361.0319435328115</v>
      </c>
      <c r="P243" s="62">
        <v>-2500</v>
      </c>
      <c r="Q243" s="62">
        <v>0</v>
      </c>
      <c r="R243" s="62">
        <v>-500</v>
      </c>
      <c r="S243" s="62">
        <v>0</v>
      </c>
      <c r="T243" s="62">
        <v>0</v>
      </c>
      <c r="U243" s="62">
        <v>0</v>
      </c>
      <c r="V243" s="62">
        <v>0</v>
      </c>
      <c r="W243" s="62">
        <f t="shared" si="19"/>
        <v>-638.96805646718849</v>
      </c>
      <c r="X243" s="62">
        <f t="shared" si="20"/>
        <v>0</v>
      </c>
      <c r="Y243" s="62">
        <f t="shared" si="21"/>
        <v>-638.96805646718849</v>
      </c>
      <c r="Z243" s="62">
        <v>639</v>
      </c>
      <c r="AA243" s="62">
        <f t="shared" si="24"/>
        <v>3.1943532811510522E-2</v>
      </c>
      <c r="AB243" s="62">
        <f t="shared" si="22"/>
        <v>3000.063887065623</v>
      </c>
      <c r="AC243" s="62"/>
      <c r="AD243" s="62" t="s">
        <v>801</v>
      </c>
    </row>
    <row r="244" spans="1:30" ht="12.75" hidden="1" customHeight="1" x14ac:dyDescent="0.3">
      <c r="A244" s="2">
        <v>5</v>
      </c>
      <c r="B244" s="3" t="s">
        <v>119</v>
      </c>
      <c r="C244" s="4" t="s">
        <v>97</v>
      </c>
      <c r="D244" s="4"/>
      <c r="E244" s="4" t="str">
        <f>VLOOKUP(C244,'[2]CTRL AUTOS'!$E$2:$L$58,8,FALSE)</f>
        <v>ASHC</v>
      </c>
      <c r="F244" s="61" t="str">
        <f>VLOOKUP(C244,'[2]CTRL AUTOS'!$E$2:$K$58,7,FALSE)</f>
        <v>ASHC</v>
      </c>
      <c r="G244" s="4" t="s">
        <v>234</v>
      </c>
      <c r="H244" s="62">
        <v>9178.7900000000009</v>
      </c>
      <c r="I244" s="62">
        <v>0</v>
      </c>
      <c r="J244" s="62">
        <v>-200</v>
      </c>
      <c r="K244" s="62">
        <v>0</v>
      </c>
      <c r="L244" s="62">
        <v>0</v>
      </c>
      <c r="M244" s="62">
        <v>-12.52</v>
      </c>
      <c r="N244" s="62">
        <v>-21</v>
      </c>
      <c r="O244" s="62">
        <f t="shared" si="23"/>
        <v>8945.27</v>
      </c>
      <c r="P244" s="62">
        <v>-2500</v>
      </c>
      <c r="Q244" s="62">
        <v>0</v>
      </c>
      <c r="R244" s="62">
        <v>-500</v>
      </c>
      <c r="S244" s="62">
        <v>0</v>
      </c>
      <c r="T244" s="62">
        <v>0</v>
      </c>
      <c r="U244" s="62">
        <v>-693</v>
      </c>
      <c r="V244" s="62">
        <v>0</v>
      </c>
      <c r="W244" s="62">
        <f t="shared" si="19"/>
        <v>5252.27</v>
      </c>
      <c r="X244" s="62">
        <f t="shared" si="20"/>
        <v>5252.27</v>
      </c>
      <c r="Y244" s="62">
        <f t="shared" si="21"/>
        <v>0</v>
      </c>
      <c r="Z244" s="62">
        <v>0</v>
      </c>
      <c r="AA244" s="62">
        <f t="shared" si="24"/>
        <v>0</v>
      </c>
      <c r="AB244" s="62">
        <f t="shared" si="22"/>
        <v>3693</v>
      </c>
      <c r="AC244" s="62"/>
      <c r="AD244" s="62" t="s">
        <v>802</v>
      </c>
    </row>
    <row r="245" spans="1:30" ht="12.75" hidden="1" customHeight="1" x14ac:dyDescent="0.3">
      <c r="A245" s="2">
        <v>5</v>
      </c>
      <c r="B245" s="3" t="s">
        <v>89</v>
      </c>
      <c r="C245" s="4" t="s">
        <v>4</v>
      </c>
      <c r="D245" s="4" t="s">
        <v>652</v>
      </c>
      <c r="E245" s="4" t="str">
        <f>VLOOKUP(C245,'[2]CTRL AUTOS'!$E$2:$L$58,8,FALSE)</f>
        <v>ASHC</v>
      </c>
      <c r="F245" s="61" t="str">
        <f>VLOOKUP(C245,'[2]CTRL AUTOS'!$E$2:$K$58,7,FALSE)</f>
        <v>ASHC</v>
      </c>
      <c r="G245" s="4" t="s">
        <v>234</v>
      </c>
      <c r="H245" s="62">
        <v>3155.12</v>
      </c>
      <c r="I245" s="62">
        <v>-1056.9300000000003</v>
      </c>
      <c r="J245" s="62">
        <v>0</v>
      </c>
      <c r="K245" s="62">
        <v>0</v>
      </c>
      <c r="L245" s="62">
        <v>0</v>
      </c>
      <c r="M245" s="62">
        <v>-71.682123126100493</v>
      </c>
      <c r="N245" s="62">
        <v>0</v>
      </c>
      <c r="O245" s="62">
        <f t="shared" si="23"/>
        <v>2026.507876873899</v>
      </c>
      <c r="P245" s="62">
        <v>-2500</v>
      </c>
      <c r="Q245" s="62">
        <v>0</v>
      </c>
      <c r="R245" s="62">
        <v>-500</v>
      </c>
      <c r="S245" s="62">
        <v>0</v>
      </c>
      <c r="T245" s="62">
        <v>0</v>
      </c>
      <c r="U245" s="62">
        <v>0</v>
      </c>
      <c r="V245" s="62">
        <v>0</v>
      </c>
      <c r="W245" s="62">
        <f t="shared" si="19"/>
        <v>-973.49212312610098</v>
      </c>
      <c r="X245" s="62">
        <f t="shared" si="20"/>
        <v>0</v>
      </c>
      <c r="Y245" s="62">
        <f t="shared" si="21"/>
        <v>-973.49212312610098</v>
      </c>
      <c r="Z245" s="62">
        <v>973</v>
      </c>
      <c r="AA245" s="62">
        <f t="shared" si="24"/>
        <v>-0.49212312610097797</v>
      </c>
      <c r="AB245" s="62">
        <f t="shared" si="22"/>
        <v>2999.015753747798</v>
      </c>
      <c r="AC245" s="62"/>
      <c r="AD245" s="62" t="s">
        <v>803</v>
      </c>
    </row>
    <row r="246" spans="1:30" ht="12.75" hidden="1" customHeight="1" x14ac:dyDescent="0.3">
      <c r="A246" s="2">
        <v>5</v>
      </c>
      <c r="B246" s="3" t="s">
        <v>84</v>
      </c>
      <c r="C246" s="4" t="s">
        <v>146</v>
      </c>
      <c r="D246" s="4"/>
      <c r="E246" s="4" t="str">
        <f>VLOOKUP(C246,'[2]CTRL AUTOS'!$E$2:$L$58,8,FALSE)</f>
        <v>ASHC</v>
      </c>
      <c r="F246" s="61" t="str">
        <f>VLOOKUP(C246,'[2]CTRL AUTOS'!$E$2:$K$58,7,FALSE)</f>
        <v>ASHC</v>
      </c>
      <c r="G246" s="4" t="s">
        <v>234</v>
      </c>
      <c r="H246" s="62">
        <v>9264.8799999999992</v>
      </c>
      <c r="I246" s="62">
        <v>-5168.8599999999988</v>
      </c>
      <c r="J246" s="62">
        <v>0</v>
      </c>
      <c r="K246" s="62">
        <v>36.21</v>
      </c>
      <c r="L246" s="62">
        <v>0</v>
      </c>
      <c r="M246" s="62">
        <v>-80</v>
      </c>
      <c r="N246" s="62">
        <v>0</v>
      </c>
      <c r="O246" s="62">
        <f t="shared" si="23"/>
        <v>4052.2300000000005</v>
      </c>
      <c r="P246" s="62">
        <v>-2700</v>
      </c>
      <c r="Q246" s="62">
        <v>0</v>
      </c>
      <c r="R246" s="62">
        <v>-500</v>
      </c>
      <c r="S246" s="62">
        <v>0</v>
      </c>
      <c r="T246" s="62">
        <v>0</v>
      </c>
      <c r="U246" s="62">
        <v>0</v>
      </c>
      <c r="V246" s="62">
        <v>0</v>
      </c>
      <c r="W246" s="62">
        <f t="shared" si="19"/>
        <v>852.23000000000047</v>
      </c>
      <c r="X246" s="62">
        <f t="shared" si="20"/>
        <v>852.23000000000047</v>
      </c>
      <c r="Y246" s="62">
        <f t="shared" si="21"/>
        <v>0</v>
      </c>
      <c r="Z246" s="62">
        <v>0</v>
      </c>
      <c r="AA246" s="62">
        <f t="shared" si="24"/>
        <v>0</v>
      </c>
      <c r="AB246" s="62">
        <f t="shared" si="22"/>
        <v>3200</v>
      </c>
      <c r="AC246" s="62"/>
      <c r="AD246" s="62" t="s">
        <v>804</v>
      </c>
    </row>
    <row r="247" spans="1:30" ht="12.75" hidden="1" customHeight="1" x14ac:dyDescent="0.3">
      <c r="A247" s="2">
        <v>5</v>
      </c>
      <c r="B247" s="3" t="s">
        <v>43</v>
      </c>
      <c r="C247" s="4" t="s">
        <v>765</v>
      </c>
      <c r="D247" s="4"/>
      <c r="E247" s="4" t="s">
        <v>232</v>
      </c>
      <c r="F247" s="61" t="s">
        <v>232</v>
      </c>
      <c r="G247" s="4" t="s">
        <v>234</v>
      </c>
      <c r="H247" s="62">
        <v>2478.6999999999998</v>
      </c>
      <c r="I247" s="62">
        <v>0</v>
      </c>
      <c r="J247" s="62">
        <v>0</v>
      </c>
      <c r="K247" s="62">
        <v>0</v>
      </c>
      <c r="L247" s="62">
        <v>0</v>
      </c>
      <c r="M247" s="62">
        <v>-10</v>
      </c>
      <c r="N247" s="62">
        <v>0</v>
      </c>
      <c r="O247" s="62">
        <f t="shared" si="23"/>
        <v>2468.6999999999998</v>
      </c>
      <c r="P247" s="62">
        <v>-2700</v>
      </c>
      <c r="Q247" s="62">
        <f>-117*1.12</f>
        <v>-131.04000000000002</v>
      </c>
      <c r="R247" s="62">
        <v>-500</v>
      </c>
      <c r="S247" s="62">
        <v>0</v>
      </c>
      <c r="T247" s="62">
        <v>0</v>
      </c>
      <c r="U247" s="62">
        <v>0</v>
      </c>
      <c r="V247" s="62">
        <v>0</v>
      </c>
      <c r="W247" s="62">
        <f t="shared" si="19"/>
        <v>-862.34000000000015</v>
      </c>
      <c r="X247" s="62">
        <f t="shared" si="20"/>
        <v>0</v>
      </c>
      <c r="Y247" s="62">
        <f t="shared" si="21"/>
        <v>-862.34000000000015</v>
      </c>
      <c r="Z247" s="62">
        <v>500</v>
      </c>
      <c r="AA247" s="62">
        <f t="shared" si="24"/>
        <v>-362.34000000000015</v>
      </c>
      <c r="AB247" s="62">
        <f t="shared" si="22"/>
        <v>2606.3599999999997</v>
      </c>
      <c r="AC247" s="62"/>
      <c r="AD247" s="62" t="s">
        <v>805</v>
      </c>
    </row>
    <row r="248" spans="1:30" ht="12.75" hidden="1" customHeight="1" x14ac:dyDescent="0.3">
      <c r="A248" s="2">
        <v>5</v>
      </c>
      <c r="B248" s="3" t="s">
        <v>114</v>
      </c>
      <c r="C248" s="4" t="s">
        <v>46</v>
      </c>
      <c r="D248" s="4"/>
      <c r="E248" s="4" t="str">
        <f>VLOOKUP(C248,'[2]CTRL AUTOS'!$E$2:$L$58,8,FALSE)</f>
        <v>ASHC</v>
      </c>
      <c r="F248" s="61" t="str">
        <f>VLOOKUP(C248,'[2]CTRL AUTOS'!$E$2:$K$58,7,FALSE)</f>
        <v>ASHC</v>
      </c>
      <c r="G248" s="4" t="s">
        <v>234</v>
      </c>
      <c r="H248" s="62">
        <v>1281.68</v>
      </c>
      <c r="I248" s="62">
        <v>-342.78000000000003</v>
      </c>
      <c r="J248" s="62">
        <v>0</v>
      </c>
      <c r="K248" s="62">
        <v>0</v>
      </c>
      <c r="L248" s="62">
        <v>0</v>
      </c>
      <c r="M248" s="62">
        <v>-23</v>
      </c>
      <c r="N248" s="62">
        <v>0</v>
      </c>
      <c r="O248" s="62">
        <f t="shared" si="23"/>
        <v>915.90000000000009</v>
      </c>
      <c r="P248" s="62">
        <v>-2500</v>
      </c>
      <c r="Q248" s="62">
        <v>0</v>
      </c>
      <c r="R248" s="62">
        <v>-500</v>
      </c>
      <c r="S248" s="62">
        <v>0</v>
      </c>
      <c r="T248" s="62">
        <v>0</v>
      </c>
      <c r="U248" s="62">
        <v>0</v>
      </c>
      <c r="V248" s="62">
        <v>0</v>
      </c>
      <c r="W248" s="62">
        <f t="shared" si="19"/>
        <v>-2084.1</v>
      </c>
      <c r="X248" s="62">
        <f t="shared" si="20"/>
        <v>0</v>
      </c>
      <c r="Y248" s="62">
        <f t="shared" si="21"/>
        <v>-2084.1</v>
      </c>
      <c r="Z248" s="62">
        <v>2335.08</v>
      </c>
      <c r="AA248" s="62">
        <f t="shared" si="24"/>
        <v>250.98000000000002</v>
      </c>
      <c r="AB248" s="62">
        <f t="shared" si="22"/>
        <v>3501.96</v>
      </c>
      <c r="AC248" s="62"/>
      <c r="AD248" s="62" t="s">
        <v>806</v>
      </c>
    </row>
    <row r="249" spans="1:30" ht="12.75" hidden="1" customHeight="1" x14ac:dyDescent="0.3">
      <c r="A249" s="2">
        <v>5</v>
      </c>
      <c r="B249" s="3" t="s">
        <v>35</v>
      </c>
      <c r="C249" s="4" t="s">
        <v>36</v>
      </c>
      <c r="D249" s="4" t="s">
        <v>510</v>
      </c>
      <c r="E249" s="4" t="str">
        <f>VLOOKUP(C249,'[2]CTRL AUTOS'!$E$2:$L$58,8,FALSE)</f>
        <v>ASHC</v>
      </c>
      <c r="F249" s="61" t="str">
        <f>VLOOKUP(C249,'[2]CTRL AUTOS'!$E$2:$K$58,7,FALSE)</f>
        <v>ASHC</v>
      </c>
      <c r="G249" s="4" t="s">
        <v>234</v>
      </c>
      <c r="H249" s="62">
        <v>7358.8</v>
      </c>
      <c r="I249" s="62">
        <v>-3046.3399999999997</v>
      </c>
      <c r="J249" s="62">
        <v>-56</v>
      </c>
      <c r="K249" s="62">
        <v>0</v>
      </c>
      <c r="L249" s="62">
        <v>0</v>
      </c>
      <c r="M249" s="62">
        <v>-87.4933713339246</v>
      </c>
      <c r="N249" s="62">
        <v>0</v>
      </c>
      <c r="O249" s="62">
        <f t="shared" si="23"/>
        <v>4168.9666286660768</v>
      </c>
      <c r="P249" s="62">
        <v>-2500</v>
      </c>
      <c r="Q249" s="62">
        <v>0</v>
      </c>
      <c r="R249" s="62">
        <v>0</v>
      </c>
      <c r="S249" s="62">
        <v>0</v>
      </c>
      <c r="T249" s="62">
        <f>VLOOKUP(B249,[2]HOJALATERÍA!$A$4:$BO$48,67,0)</f>
        <v>0</v>
      </c>
      <c r="U249" s="62">
        <v>0</v>
      </c>
      <c r="V249" s="62">
        <v>0</v>
      </c>
      <c r="W249" s="62">
        <f t="shared" si="19"/>
        <v>1668.9666286660768</v>
      </c>
      <c r="X249" s="62">
        <f t="shared" si="20"/>
        <v>1668.9666286660768</v>
      </c>
      <c r="Y249" s="62">
        <f t="shared" si="21"/>
        <v>0</v>
      </c>
      <c r="Z249" s="62">
        <v>0</v>
      </c>
      <c r="AA249" s="62">
        <f t="shared" si="24"/>
        <v>0</v>
      </c>
      <c r="AB249" s="62">
        <f t="shared" si="22"/>
        <v>2500</v>
      </c>
      <c r="AC249" s="62"/>
      <c r="AD249" s="62" t="s">
        <v>807</v>
      </c>
    </row>
    <row r="250" spans="1:30" ht="12.75" hidden="1" customHeight="1" x14ac:dyDescent="0.3">
      <c r="A250" s="2">
        <v>5</v>
      </c>
      <c r="B250" s="3" t="s">
        <v>33</v>
      </c>
      <c r="C250" s="4" t="s">
        <v>34</v>
      </c>
      <c r="D250" s="4" t="s">
        <v>285</v>
      </c>
      <c r="E250" s="4" t="str">
        <f>VLOOKUP(C250,'[2]CTRL AUTOS'!$E$2:$L$58,8,FALSE)</f>
        <v>ASHC</v>
      </c>
      <c r="F250" s="61" t="str">
        <f>VLOOKUP(C250,'[2]CTRL AUTOS'!$E$2:$K$58,7,FALSE)</f>
        <v>ASHC</v>
      </c>
      <c r="G250" s="4" t="s">
        <v>234</v>
      </c>
      <c r="H250" s="62">
        <v>4328.72</v>
      </c>
      <c r="I250" s="62">
        <v>-192.05</v>
      </c>
      <c r="J250" s="62">
        <v>0</v>
      </c>
      <c r="K250" s="62">
        <v>0</v>
      </c>
      <c r="L250" s="62">
        <v>-48.11</v>
      </c>
      <c r="M250" s="62">
        <v>-3.9397611444159923</v>
      </c>
      <c r="N250" s="62">
        <v>0</v>
      </c>
      <c r="O250" s="62">
        <f t="shared" si="23"/>
        <v>4084.6202388555839</v>
      </c>
      <c r="P250" s="62">
        <v>-2500</v>
      </c>
      <c r="Q250" s="62">
        <f>-4156*1.12</f>
        <v>-4654.72</v>
      </c>
      <c r="R250" s="62">
        <v>-500</v>
      </c>
      <c r="S250" s="62">
        <v>0</v>
      </c>
      <c r="T250" s="62">
        <v>0</v>
      </c>
      <c r="U250" s="62">
        <v>0</v>
      </c>
      <c r="V250" s="62">
        <v>0</v>
      </c>
      <c r="W250" s="62">
        <f t="shared" si="19"/>
        <v>-3570.0997611444163</v>
      </c>
      <c r="X250" s="62">
        <f t="shared" si="20"/>
        <v>0</v>
      </c>
      <c r="Y250" s="62">
        <f t="shared" si="21"/>
        <v>-3570.0997611444163</v>
      </c>
      <c r="Z250" s="62">
        <v>0</v>
      </c>
      <c r="AA250" s="62">
        <f t="shared" si="24"/>
        <v>-3570.0997611444163</v>
      </c>
      <c r="AB250" s="62">
        <f t="shared" si="22"/>
        <v>514.52047771116759</v>
      </c>
      <c r="AC250" s="62"/>
      <c r="AD250" s="62"/>
    </row>
    <row r="251" spans="1:30" ht="12.75" hidden="1" customHeight="1" x14ac:dyDescent="0.3">
      <c r="A251" s="2">
        <v>5</v>
      </c>
      <c r="B251" s="3" t="s">
        <v>33</v>
      </c>
      <c r="C251" s="4" t="s">
        <v>56</v>
      </c>
      <c r="D251" s="4"/>
      <c r="E251" s="4" t="str">
        <f>VLOOKUP(C251,'[2]CTRL AUTOS'!$E$2:$L$58,8,FALSE)</f>
        <v>U64</v>
      </c>
      <c r="F251" s="61" t="str">
        <f>VLOOKUP(C251,'[2]CTRL AUTOS'!$E$2:$K$58,7,FALSE)</f>
        <v>BYER</v>
      </c>
      <c r="G251" s="4" t="s">
        <v>234</v>
      </c>
      <c r="H251" s="62">
        <v>0</v>
      </c>
      <c r="I251" s="62">
        <v>0</v>
      </c>
      <c r="J251" s="62">
        <v>0</v>
      </c>
      <c r="K251" s="62">
        <v>0</v>
      </c>
      <c r="L251" s="62">
        <v>0</v>
      </c>
      <c r="M251" s="62">
        <v>-13.939761144415989</v>
      </c>
      <c r="N251" s="62">
        <v>0</v>
      </c>
      <c r="O251" s="62">
        <f t="shared" si="23"/>
        <v>-13.939761144415989</v>
      </c>
      <c r="P251" s="62">
        <v>0</v>
      </c>
      <c r="Q251" s="62">
        <v>0</v>
      </c>
      <c r="R251" s="62">
        <v>0</v>
      </c>
      <c r="S251" s="62">
        <v>0</v>
      </c>
      <c r="T251" s="62">
        <v>-700</v>
      </c>
      <c r="U251" s="62">
        <v>0</v>
      </c>
      <c r="V251" s="62">
        <v>0</v>
      </c>
      <c r="W251" s="62">
        <f t="shared" si="19"/>
        <v>-713.93976114441602</v>
      </c>
      <c r="X251" s="62">
        <f t="shared" si="20"/>
        <v>0</v>
      </c>
      <c r="Y251" s="62">
        <f t="shared" si="21"/>
        <v>-713.93976114441602</v>
      </c>
      <c r="Z251" s="62">
        <v>200</v>
      </c>
      <c r="AA251" s="62">
        <f t="shared" si="24"/>
        <v>-513.93976114441602</v>
      </c>
      <c r="AB251" s="62">
        <f t="shared" si="22"/>
        <v>-327.87952228883205</v>
      </c>
      <c r="AC251" s="62"/>
      <c r="AD251" s="62" t="s">
        <v>808</v>
      </c>
    </row>
    <row r="252" spans="1:30" ht="12.75" hidden="1" customHeight="1" x14ac:dyDescent="0.3">
      <c r="A252" s="2">
        <v>5</v>
      </c>
      <c r="B252" s="3" t="s">
        <v>91</v>
      </c>
      <c r="C252" s="4" t="s">
        <v>50</v>
      </c>
      <c r="D252" s="4" t="s">
        <v>318</v>
      </c>
      <c r="E252" s="4" t="str">
        <f>VLOOKUP(C252,'[2]CTRL AUTOS'!$E$2:$L$58,8,FALSE)</f>
        <v>ASHC</v>
      </c>
      <c r="F252" s="61" t="str">
        <f>VLOOKUP(C252,'[2]CTRL AUTOS'!$E$2:$K$58,7,FALSE)</f>
        <v>ASHC</v>
      </c>
      <c r="G252" s="4" t="s">
        <v>234</v>
      </c>
      <c r="H252" s="62">
        <v>3254.52</v>
      </c>
      <c r="I252" s="62">
        <v>-89.91</v>
      </c>
      <c r="J252" s="62">
        <v>0</v>
      </c>
      <c r="K252" s="62">
        <v>0</v>
      </c>
      <c r="L252" s="62">
        <v>0</v>
      </c>
      <c r="M252" s="62">
        <v>-1.8444359515461695</v>
      </c>
      <c r="N252" s="62">
        <v>0</v>
      </c>
      <c r="O252" s="62">
        <f t="shared" si="23"/>
        <v>3162.7655640484541</v>
      </c>
      <c r="P252" s="62">
        <v>-2700</v>
      </c>
      <c r="Q252" s="62">
        <v>0</v>
      </c>
      <c r="R252" s="62">
        <v>0</v>
      </c>
      <c r="S252" s="62">
        <v>0</v>
      </c>
      <c r="T252" s="62">
        <v>0</v>
      </c>
      <c r="U252" s="62">
        <v>0</v>
      </c>
      <c r="V252" s="62">
        <v>0</v>
      </c>
      <c r="W252" s="62">
        <f t="shared" si="19"/>
        <v>462.76556404845405</v>
      </c>
      <c r="X252" s="62">
        <f t="shared" si="20"/>
        <v>462.76556404845405</v>
      </c>
      <c r="Y252" s="62">
        <f t="shared" si="21"/>
        <v>0</v>
      </c>
      <c r="Z252" s="62">
        <v>463</v>
      </c>
      <c r="AA252" s="62">
        <f t="shared" si="24"/>
        <v>463</v>
      </c>
      <c r="AB252" s="62">
        <f t="shared" si="22"/>
        <v>3626</v>
      </c>
      <c r="AC252" s="62"/>
      <c r="AD252" s="62" t="s">
        <v>809</v>
      </c>
    </row>
    <row r="253" spans="1:30" ht="12.75" hidden="1" customHeight="1" x14ac:dyDescent="0.3">
      <c r="A253" s="2">
        <v>5</v>
      </c>
      <c r="B253" s="3" t="s">
        <v>91</v>
      </c>
      <c r="C253" s="4" t="s">
        <v>144</v>
      </c>
      <c r="D253" s="4"/>
      <c r="E253" s="4" t="str">
        <f>VLOOKUP(C253,'[2]CTRL AUTOS'!$E$2:$L$58,8,FALSE)</f>
        <v>ASHC</v>
      </c>
      <c r="F253" s="61" t="str">
        <f>VLOOKUP(C253,'[2]CTRL AUTOS'!$E$2:$K$58,7,FALSE)</f>
        <v>ASHC</v>
      </c>
      <c r="G253" s="4" t="s">
        <v>234</v>
      </c>
      <c r="H253" s="62">
        <v>0</v>
      </c>
      <c r="I253" s="62">
        <v>0</v>
      </c>
      <c r="J253" s="62">
        <v>0</v>
      </c>
      <c r="K253" s="62">
        <v>0</v>
      </c>
      <c r="L253" s="62">
        <v>0</v>
      </c>
      <c r="M253" s="62">
        <v>-11.844435951546171</v>
      </c>
      <c r="N253" s="62">
        <v>0</v>
      </c>
      <c r="O253" s="62">
        <f t="shared" si="23"/>
        <v>-11.844435951546171</v>
      </c>
      <c r="P253" s="62">
        <v>0</v>
      </c>
      <c r="Q253" s="62">
        <v>0</v>
      </c>
      <c r="R253" s="62">
        <v>-500</v>
      </c>
      <c r="S253" s="62">
        <v>0</v>
      </c>
      <c r="T253" s="62">
        <v>0</v>
      </c>
      <c r="U253" s="62">
        <v>0</v>
      </c>
      <c r="V253" s="62">
        <v>0</v>
      </c>
      <c r="W253" s="62">
        <f t="shared" si="19"/>
        <v>-511.84443595154619</v>
      </c>
      <c r="X253" s="62">
        <f t="shared" si="20"/>
        <v>0</v>
      </c>
      <c r="Y253" s="62">
        <f t="shared" si="21"/>
        <v>-511.84443595154619</v>
      </c>
      <c r="Z253" s="62">
        <v>50</v>
      </c>
      <c r="AA253" s="62">
        <f t="shared" si="24"/>
        <v>-461.84443595154619</v>
      </c>
      <c r="AB253" s="62">
        <f t="shared" si="22"/>
        <v>-423.68887190309238</v>
      </c>
      <c r="AC253" s="62"/>
      <c r="AD253" s="62" t="s">
        <v>810</v>
      </c>
    </row>
    <row r="254" spans="1:30" ht="12.75" hidden="1" customHeight="1" x14ac:dyDescent="0.3">
      <c r="A254" s="2">
        <v>5</v>
      </c>
      <c r="B254" s="3" t="s">
        <v>31</v>
      </c>
      <c r="C254" s="4" t="s">
        <v>143</v>
      </c>
      <c r="D254" s="4" t="s">
        <v>283</v>
      </c>
      <c r="E254" s="4" t="str">
        <f>VLOOKUP(C254,'[2]CTRL AUTOS'!$E$2:$L$58,8,FALSE)</f>
        <v>ASHC</v>
      </c>
      <c r="F254" s="61" t="str">
        <f>VLOOKUP(C254,'[2]CTRL AUTOS'!$E$2:$K$58,7,FALSE)</f>
        <v>ASHC</v>
      </c>
      <c r="G254" s="4" t="s">
        <v>234</v>
      </c>
      <c r="H254" s="62">
        <v>11158.34</v>
      </c>
      <c r="I254" s="62">
        <v>-5843.4199999999955</v>
      </c>
      <c r="J254" s="62">
        <v>-67.2</v>
      </c>
      <c r="K254" s="62">
        <v>0</v>
      </c>
      <c r="L254" s="62">
        <v>0</v>
      </c>
      <c r="M254" s="62">
        <v>-174.87336145016002</v>
      </c>
      <c r="N254" s="62">
        <v>0</v>
      </c>
      <c r="O254" s="62">
        <f t="shared" si="23"/>
        <v>5072.846638549845</v>
      </c>
      <c r="P254" s="62">
        <v>-2700</v>
      </c>
      <c r="Q254" s="62">
        <v>0</v>
      </c>
      <c r="R254" s="62">
        <v>-500</v>
      </c>
      <c r="S254" s="62">
        <v>0</v>
      </c>
      <c r="T254" s="62">
        <v>0</v>
      </c>
      <c r="U254" s="62">
        <v>0</v>
      </c>
      <c r="V254" s="62">
        <v>0</v>
      </c>
      <c r="W254" s="62">
        <f t="shared" si="19"/>
        <v>1872.846638549845</v>
      </c>
      <c r="X254" s="62">
        <f t="shared" si="20"/>
        <v>1872.846638549845</v>
      </c>
      <c r="Y254" s="62">
        <f t="shared" si="21"/>
        <v>0</v>
      </c>
      <c r="Z254" s="62">
        <v>0</v>
      </c>
      <c r="AA254" s="62">
        <f t="shared" si="24"/>
        <v>0</v>
      </c>
      <c r="AB254" s="62">
        <f t="shared" si="22"/>
        <v>3200</v>
      </c>
      <c r="AC254" s="62"/>
      <c r="AD254" s="62" t="s">
        <v>811</v>
      </c>
    </row>
    <row r="255" spans="1:30" ht="12.75" hidden="1" customHeight="1" x14ac:dyDescent="0.3">
      <c r="A255" s="2">
        <v>5</v>
      </c>
      <c r="B255" s="3" t="s">
        <v>105</v>
      </c>
      <c r="C255" s="4" t="s">
        <v>106</v>
      </c>
      <c r="D255" s="4" t="s">
        <v>646</v>
      </c>
      <c r="E255" s="4" t="str">
        <f>VLOOKUP(C255,'[2]CTRL AUTOS'!$E$2:$L$58,8,FALSE)</f>
        <v>ASHC</v>
      </c>
      <c r="F255" s="61" t="str">
        <f>VLOOKUP(C255,'[2]CTRL AUTOS'!$E$2:$K$58,7,FALSE)</f>
        <v>ASHC</v>
      </c>
      <c r="G255" s="4" t="s">
        <v>425</v>
      </c>
      <c r="H255" s="62">
        <v>0</v>
      </c>
      <c r="I255" s="62">
        <v>0</v>
      </c>
      <c r="J255" s="62">
        <v>0</v>
      </c>
      <c r="K255" s="62">
        <v>0</v>
      </c>
      <c r="L255" s="62">
        <v>0</v>
      </c>
      <c r="M255" s="62">
        <v>0</v>
      </c>
      <c r="N255" s="62">
        <v>0</v>
      </c>
      <c r="O255" s="62">
        <f t="shared" si="23"/>
        <v>0</v>
      </c>
      <c r="P255" s="62">
        <v>-2500</v>
      </c>
      <c r="Q255" s="62">
        <v>0</v>
      </c>
      <c r="R255" s="62">
        <v>0</v>
      </c>
      <c r="S255" s="62">
        <v>0</v>
      </c>
      <c r="T255" s="62">
        <v>0</v>
      </c>
      <c r="U255" s="62">
        <v>-100</v>
      </c>
      <c r="V255" s="62">
        <v>0</v>
      </c>
      <c r="W255" s="62">
        <f t="shared" si="19"/>
        <v>-2600</v>
      </c>
      <c r="X255" s="62">
        <f t="shared" si="20"/>
        <v>0</v>
      </c>
      <c r="Y255" s="62">
        <f t="shared" si="21"/>
        <v>-2600</v>
      </c>
      <c r="Z255" s="62">
        <f>2500+100</f>
        <v>2600</v>
      </c>
      <c r="AA255" s="62">
        <f t="shared" si="24"/>
        <v>0</v>
      </c>
      <c r="AB255" s="62">
        <f t="shared" si="22"/>
        <v>2600</v>
      </c>
      <c r="AC255" s="62"/>
      <c r="AD255" s="62" t="s">
        <v>812</v>
      </c>
    </row>
    <row r="256" spans="1:30" ht="12.75" hidden="1" customHeight="1" x14ac:dyDescent="0.3">
      <c r="A256" s="2">
        <v>5</v>
      </c>
      <c r="B256" s="3" t="s">
        <v>92</v>
      </c>
      <c r="C256" s="4" t="s">
        <v>30</v>
      </c>
      <c r="D256" s="4" t="s">
        <v>521</v>
      </c>
      <c r="E256" s="4" t="str">
        <f>VLOOKUP(C256,'[2]CTRL AUTOS'!$E$2:$L$58,8,FALSE)</f>
        <v>ASHC</v>
      </c>
      <c r="F256" s="61" t="str">
        <f>VLOOKUP(C256,'[2]CTRL AUTOS'!$E$2:$K$58,7,FALSE)</f>
        <v>ASHC</v>
      </c>
      <c r="G256" s="4" t="s">
        <v>234</v>
      </c>
      <c r="H256" s="62">
        <v>6242.19</v>
      </c>
      <c r="I256" s="62">
        <v>-4240.6399999999994</v>
      </c>
      <c r="J256" s="62">
        <v>0</v>
      </c>
      <c r="K256" s="62">
        <v>0</v>
      </c>
      <c r="L256" s="62">
        <v>0</v>
      </c>
      <c r="M256" s="62">
        <v>-126.9935365761845</v>
      </c>
      <c r="N256" s="62">
        <v>0</v>
      </c>
      <c r="O256" s="62">
        <f t="shared" si="23"/>
        <v>1874.5564634238158</v>
      </c>
      <c r="P256" s="62">
        <v>-2500</v>
      </c>
      <c r="Q256" s="62">
        <v>0</v>
      </c>
      <c r="R256" s="62">
        <v>-500</v>
      </c>
      <c r="S256" s="62">
        <v>0</v>
      </c>
      <c r="T256" s="62">
        <v>0</v>
      </c>
      <c r="U256" s="62">
        <v>0</v>
      </c>
      <c r="V256" s="62">
        <v>0</v>
      </c>
      <c r="W256" s="62">
        <f t="shared" si="19"/>
        <v>-1125.4435365761842</v>
      </c>
      <c r="X256" s="62">
        <f t="shared" si="20"/>
        <v>0</v>
      </c>
      <c r="Y256" s="62">
        <f t="shared" si="21"/>
        <v>-1125.4435365761842</v>
      </c>
      <c r="Z256" s="62">
        <v>0</v>
      </c>
      <c r="AA256" s="62">
        <f t="shared" si="24"/>
        <v>-1125.4435365761842</v>
      </c>
      <c r="AB256" s="62">
        <f t="shared" si="22"/>
        <v>749.11292684763157</v>
      </c>
      <c r="AC256" s="62"/>
      <c r="AD256" s="62"/>
    </row>
    <row r="257" spans="1:30" ht="12.75" hidden="1" customHeight="1" x14ac:dyDescent="0.3">
      <c r="A257" s="2">
        <v>5</v>
      </c>
      <c r="B257" s="3" t="s">
        <v>72</v>
      </c>
      <c r="C257" s="4" t="s">
        <v>73</v>
      </c>
      <c r="D257" s="4" t="s">
        <v>368</v>
      </c>
      <c r="E257" s="4" t="str">
        <f>VLOOKUP(C257,'[2]CTRL AUTOS'!$E$2:$L$58,8,FALSE)</f>
        <v>U64</v>
      </c>
      <c r="F257" s="61" t="str">
        <f>VLOOKUP(C257,'[2]CTRL AUTOS'!$E$2:$K$58,7,FALSE)</f>
        <v>BYER</v>
      </c>
      <c r="G257" s="4" t="s">
        <v>234</v>
      </c>
      <c r="H257" s="62">
        <v>11593.49</v>
      </c>
      <c r="I257" s="62">
        <v>-4869.9399999999996</v>
      </c>
      <c r="J257" s="62">
        <v>-107.2</v>
      </c>
      <c r="K257" s="62">
        <v>0</v>
      </c>
      <c r="L257" s="62">
        <v>-110.11000000000004</v>
      </c>
      <c r="M257" s="62">
        <v>-250</v>
      </c>
      <c r="N257" s="62">
        <v>-73</v>
      </c>
      <c r="O257" s="62">
        <f t="shared" si="23"/>
        <v>6183.2400000000007</v>
      </c>
      <c r="P257" s="62">
        <v>-2500</v>
      </c>
      <c r="Q257" s="62">
        <v>0</v>
      </c>
      <c r="R257" s="62">
        <v>0</v>
      </c>
      <c r="S257" s="62">
        <v>-700</v>
      </c>
      <c r="T257" s="62">
        <f>VLOOKUP(B257,[2]HOJALATERÍA!$A$4:$BO$48,67,0)</f>
        <v>0</v>
      </c>
      <c r="U257" s="62">
        <v>0</v>
      </c>
      <c r="V257" s="62">
        <v>0</v>
      </c>
      <c r="W257" s="62">
        <f t="shared" si="19"/>
        <v>2983.2400000000007</v>
      </c>
      <c r="X257" s="62">
        <f t="shared" si="20"/>
        <v>2983.2400000000007</v>
      </c>
      <c r="Y257" s="62">
        <f t="shared" si="21"/>
        <v>0</v>
      </c>
      <c r="Z257" s="62">
        <v>0</v>
      </c>
      <c r="AA257" s="62">
        <f t="shared" si="24"/>
        <v>0</v>
      </c>
      <c r="AB257" s="62">
        <f t="shared" si="22"/>
        <v>3200</v>
      </c>
      <c r="AC257" s="62"/>
      <c r="AD257" s="62" t="s">
        <v>813</v>
      </c>
    </row>
    <row r="258" spans="1:30" ht="12.75" hidden="1" customHeight="1" x14ac:dyDescent="0.3">
      <c r="A258" s="2">
        <v>5</v>
      </c>
      <c r="B258" s="3" t="s">
        <v>109</v>
      </c>
      <c r="C258" s="4" t="s">
        <v>142</v>
      </c>
      <c r="D258" s="4" t="s">
        <v>657</v>
      </c>
      <c r="E258" s="4" t="str">
        <f>VLOOKUP(C258,'[2]CTRL AUTOS'!$E$2:$L$58,8,FALSE)</f>
        <v>ASHC</v>
      </c>
      <c r="F258" s="61" t="str">
        <f>VLOOKUP(C258,'[2]CTRL AUTOS'!$E$2:$K$58,7,FALSE)</f>
        <v>ASHC</v>
      </c>
      <c r="G258" s="4" t="s">
        <v>425</v>
      </c>
      <c r="H258" s="62">
        <v>0</v>
      </c>
      <c r="I258" s="62">
        <v>0</v>
      </c>
      <c r="J258" s="62">
        <v>0</v>
      </c>
      <c r="K258" s="62">
        <v>0</v>
      </c>
      <c r="L258" s="62">
        <v>0</v>
      </c>
      <c r="M258" s="62">
        <v>0</v>
      </c>
      <c r="N258" s="62">
        <v>0</v>
      </c>
      <c r="O258" s="62">
        <f t="shared" si="23"/>
        <v>0</v>
      </c>
      <c r="P258" s="62">
        <v>-2700</v>
      </c>
      <c r="Q258" s="62">
        <v>0</v>
      </c>
      <c r="R258" s="62">
        <v>-500</v>
      </c>
      <c r="S258" s="62">
        <v>0</v>
      </c>
      <c r="T258" s="62">
        <v>0</v>
      </c>
      <c r="U258" s="62">
        <v>0</v>
      </c>
      <c r="V258" s="62">
        <v>0</v>
      </c>
      <c r="W258" s="62">
        <f t="shared" ref="W258:W321" si="25">SUM(O258:V258)</f>
        <v>-3200</v>
      </c>
      <c r="X258" s="62">
        <f t="shared" ref="X258:X286" si="26">IF(W258&gt;=0,W258,0)</f>
        <v>0</v>
      </c>
      <c r="Y258" s="62">
        <f t="shared" ref="Y258:Y286" si="27">IF(W258&lt;=0,W258,0)</f>
        <v>-3200</v>
      </c>
      <c r="Z258" s="62">
        <v>2000</v>
      </c>
      <c r="AA258" s="62">
        <f t="shared" si="24"/>
        <v>-1200</v>
      </c>
      <c r="AB258" s="62">
        <f t="shared" ref="AB258:AB321" si="28">+O258-X258+Z258+AA258</f>
        <v>800</v>
      </c>
      <c r="AC258" s="62"/>
      <c r="AD258" s="62" t="s">
        <v>814</v>
      </c>
    </row>
    <row r="259" spans="1:30" ht="12.75" hidden="1" customHeight="1" x14ac:dyDescent="0.3">
      <c r="A259" s="2">
        <v>5</v>
      </c>
      <c r="B259" s="3" t="s">
        <v>130</v>
      </c>
      <c r="C259" s="4" t="s">
        <v>50</v>
      </c>
      <c r="D259" s="4"/>
      <c r="E259" s="4" t="str">
        <f>VLOOKUP(C259,'[2]CTRL AUTOS'!$E$2:$L$58,8,FALSE)</f>
        <v>ASHC</v>
      </c>
      <c r="F259" s="61" t="str">
        <f>VLOOKUP(C259,'[2]CTRL AUTOS'!$E$2:$K$58,7,FALSE)</f>
        <v>ASHC</v>
      </c>
      <c r="G259" s="4" t="s">
        <v>234</v>
      </c>
      <c r="H259" s="62">
        <v>3413.12</v>
      </c>
      <c r="I259" s="62">
        <v>-1984.63</v>
      </c>
      <c r="J259" s="62">
        <v>0</v>
      </c>
      <c r="K259" s="62">
        <v>0</v>
      </c>
      <c r="L259" s="62">
        <v>0</v>
      </c>
      <c r="M259" s="62">
        <v>-112.9931901069634</v>
      </c>
      <c r="N259" s="62">
        <v>-269</v>
      </c>
      <c r="O259" s="62">
        <f t="shared" si="23"/>
        <v>1046.4968098930365</v>
      </c>
      <c r="P259" s="62">
        <f>(-2500/7)*4.5</f>
        <v>-1607.1428571428573</v>
      </c>
      <c r="Q259" s="62">
        <v>0</v>
      </c>
      <c r="R259" s="62">
        <f>(-500/7)*4.5</f>
        <v>-321.42857142857144</v>
      </c>
      <c r="S259" s="62">
        <v>0</v>
      </c>
      <c r="T259" s="62">
        <v>0</v>
      </c>
      <c r="U259" s="62">
        <v>0</v>
      </c>
      <c r="V259" s="62">
        <v>0</v>
      </c>
      <c r="W259" s="62">
        <f t="shared" si="25"/>
        <v>-882.07461867839231</v>
      </c>
      <c r="X259" s="62">
        <f t="shared" si="26"/>
        <v>0</v>
      </c>
      <c r="Y259" s="62">
        <f t="shared" si="27"/>
        <v>-882.07461867839231</v>
      </c>
      <c r="Z259" s="62">
        <v>0</v>
      </c>
      <c r="AA259" s="62">
        <f t="shared" si="24"/>
        <v>-882.07461867839231</v>
      </c>
      <c r="AB259" s="62">
        <f t="shared" si="28"/>
        <v>164.42219121464416</v>
      </c>
      <c r="AC259" s="62">
        <v>2000</v>
      </c>
      <c r="AD259" s="62"/>
    </row>
    <row r="260" spans="1:30" ht="12.75" hidden="1" customHeight="1" x14ac:dyDescent="0.3">
      <c r="A260" s="2">
        <v>5</v>
      </c>
      <c r="B260" s="3" t="s">
        <v>29</v>
      </c>
      <c r="C260" s="4" t="s">
        <v>141</v>
      </c>
      <c r="D260" s="4" t="s">
        <v>283</v>
      </c>
      <c r="E260" s="4" t="str">
        <f>VLOOKUP(C260,'[2]CTRL AUTOS'!$E$2:$L$58,8,FALSE)</f>
        <v>ASHC</v>
      </c>
      <c r="F260" s="61" t="str">
        <f>VLOOKUP(C260,'[2]CTRL AUTOS'!$E$2:$K$58,7,FALSE)</f>
        <v>ASHC</v>
      </c>
      <c r="G260" s="4" t="s">
        <v>234</v>
      </c>
      <c r="H260" s="62">
        <v>2055.96</v>
      </c>
      <c r="I260" s="62">
        <v>-244.57999999999998</v>
      </c>
      <c r="J260" s="62">
        <v>0</v>
      </c>
      <c r="K260" s="62">
        <v>0</v>
      </c>
      <c r="L260" s="62">
        <v>0</v>
      </c>
      <c r="M260" s="62">
        <v>-50.816574541532212</v>
      </c>
      <c r="N260" s="62">
        <v>-381.65999999999997</v>
      </c>
      <c r="O260" s="62">
        <f t="shared" si="23"/>
        <v>1378.9034254584681</v>
      </c>
      <c r="P260" s="62">
        <v>-2700</v>
      </c>
      <c r="Q260" s="62">
        <v>0</v>
      </c>
      <c r="R260" s="62">
        <v>-500</v>
      </c>
      <c r="S260" s="62">
        <v>0</v>
      </c>
      <c r="T260" s="62">
        <v>0</v>
      </c>
      <c r="U260" s="62">
        <v>0</v>
      </c>
      <c r="V260" s="62">
        <v>0</v>
      </c>
      <c r="W260" s="62">
        <f t="shared" si="25"/>
        <v>-1821.0965745415319</v>
      </c>
      <c r="X260" s="62">
        <f t="shared" si="26"/>
        <v>0</v>
      </c>
      <c r="Y260" s="62">
        <f>IF(W260&lt;=0,W260,0)-879</f>
        <v>-2700.0965745415319</v>
      </c>
      <c r="Z260" s="62">
        <f>2318+382</f>
        <v>2700</v>
      </c>
      <c r="AA260" s="62">
        <f t="shared" si="24"/>
        <v>-9.657454153193612E-2</v>
      </c>
      <c r="AB260" s="62">
        <f t="shared" si="28"/>
        <v>4078.8068509169361</v>
      </c>
      <c r="AC260" s="62"/>
      <c r="AD260" s="62" t="s">
        <v>815</v>
      </c>
    </row>
    <row r="261" spans="1:30" ht="12.75" hidden="1" customHeight="1" x14ac:dyDescent="0.3">
      <c r="A261" s="2">
        <v>5</v>
      </c>
      <c r="B261" s="3" t="s">
        <v>70</v>
      </c>
      <c r="C261" s="4" t="s">
        <v>71</v>
      </c>
      <c r="D261" s="4" t="s">
        <v>588</v>
      </c>
      <c r="E261" s="4" t="str">
        <f>VLOOKUP(C261,'[2]CTRL AUTOS'!$E$2:$L$58,8,FALSE)</f>
        <v>ASHC</v>
      </c>
      <c r="F261" s="67" t="s">
        <v>291</v>
      </c>
      <c r="G261" s="4" t="s">
        <v>234</v>
      </c>
      <c r="H261" s="62">
        <v>0</v>
      </c>
      <c r="I261" s="62">
        <v>0</v>
      </c>
      <c r="J261" s="62">
        <v>0</v>
      </c>
      <c r="K261" s="62">
        <v>0</v>
      </c>
      <c r="L261" s="62">
        <v>0</v>
      </c>
      <c r="M261" s="62">
        <v>0</v>
      </c>
      <c r="N261" s="62">
        <v>0</v>
      </c>
      <c r="O261" s="62">
        <f t="shared" si="23"/>
        <v>0</v>
      </c>
      <c r="P261" s="62">
        <v>0</v>
      </c>
      <c r="Q261" s="62">
        <v>0</v>
      </c>
      <c r="R261" s="62">
        <v>0</v>
      </c>
      <c r="S261" s="62">
        <v>0</v>
      </c>
      <c r="T261" s="62">
        <v>0</v>
      </c>
      <c r="U261" s="62">
        <v>0</v>
      </c>
      <c r="V261" s="62">
        <v>0</v>
      </c>
      <c r="W261" s="62">
        <f t="shared" si="25"/>
        <v>0</v>
      </c>
      <c r="X261" s="62">
        <f t="shared" si="26"/>
        <v>0</v>
      </c>
      <c r="Y261" s="62">
        <f t="shared" si="27"/>
        <v>0</v>
      </c>
      <c r="Z261" s="62">
        <v>0</v>
      </c>
      <c r="AA261" s="62">
        <f t="shared" si="24"/>
        <v>0</v>
      </c>
      <c r="AB261" s="62">
        <f t="shared" si="28"/>
        <v>0</v>
      </c>
      <c r="AC261" s="62"/>
      <c r="AD261" s="62"/>
    </row>
    <row r="262" spans="1:30" ht="12.75" hidden="1" customHeight="1" x14ac:dyDescent="0.3">
      <c r="A262" s="2">
        <v>5</v>
      </c>
      <c r="B262" s="3" t="s">
        <v>9</v>
      </c>
      <c r="C262" s="4" t="s">
        <v>10</v>
      </c>
      <c r="D262" s="4" t="s">
        <v>343</v>
      </c>
      <c r="E262" s="4" t="str">
        <f>VLOOKUP(C262,'[2]CTRL AUTOS'!$E$2:$L$58,8,FALSE)</f>
        <v>ASHC</v>
      </c>
      <c r="F262" s="61" t="str">
        <f>VLOOKUP(C262,'[2]CTRL AUTOS'!$E$2:$K$58,7,FALSE)</f>
        <v>ASHC</v>
      </c>
      <c r="G262" s="4" t="s">
        <v>425</v>
      </c>
      <c r="H262" s="62">
        <v>0</v>
      </c>
      <c r="I262" s="62">
        <v>-30</v>
      </c>
      <c r="J262" s="62">
        <v>0</v>
      </c>
      <c r="K262" s="62">
        <v>0</v>
      </c>
      <c r="L262" s="62">
        <v>0</v>
      </c>
      <c r="M262" s="62">
        <v>0</v>
      </c>
      <c r="N262" s="62">
        <v>0</v>
      </c>
      <c r="O262" s="62">
        <f>IF(H262+I262&lt;0,SUM(J262:N262),SUM(H262:N262))</f>
        <v>0</v>
      </c>
      <c r="P262" s="62">
        <f>(-2600/7)*5</f>
        <v>-1857.1428571428573</v>
      </c>
      <c r="Q262" s="62">
        <v>918</v>
      </c>
      <c r="R262" s="62">
        <v>0</v>
      </c>
      <c r="S262" s="62">
        <v>0</v>
      </c>
      <c r="T262" s="62">
        <v>-700</v>
      </c>
      <c r="U262" s="62">
        <v>0</v>
      </c>
      <c r="V262" s="62">
        <v>0</v>
      </c>
      <c r="W262" s="62">
        <f t="shared" si="25"/>
        <v>-1639.1428571428573</v>
      </c>
      <c r="X262" s="62">
        <f t="shared" si="26"/>
        <v>0</v>
      </c>
      <c r="Y262" s="62">
        <f t="shared" si="27"/>
        <v>-1639.1428571428573</v>
      </c>
      <c r="Z262" s="62">
        <f>500+710+429</f>
        <v>1639</v>
      </c>
      <c r="AA262" s="62">
        <f t="shared" si="24"/>
        <v>-0.14285714285733775</v>
      </c>
      <c r="AB262" s="62">
        <f t="shared" si="28"/>
        <v>1638.8571428571427</v>
      </c>
      <c r="AC262" s="62"/>
      <c r="AD262" s="62" t="s">
        <v>816</v>
      </c>
    </row>
    <row r="263" spans="1:30" ht="12.75" hidden="1" customHeight="1" x14ac:dyDescent="0.3">
      <c r="A263" s="2">
        <v>5</v>
      </c>
      <c r="B263" s="3" t="s">
        <v>27</v>
      </c>
      <c r="C263" s="4" t="s">
        <v>137</v>
      </c>
      <c r="D263" s="4"/>
      <c r="E263" s="4" t="str">
        <f>VLOOKUP(C263,'[2]CTRL AUTOS'!$E$2:$L$58,8,FALSE)</f>
        <v>ASHC</v>
      </c>
      <c r="F263" s="61" t="str">
        <f>VLOOKUP(C263,'[2]CTRL AUTOS'!$E$2:$K$58,7,FALSE)</f>
        <v>ASHC</v>
      </c>
      <c r="G263" s="4" t="s">
        <v>234</v>
      </c>
      <c r="H263" s="62">
        <v>4133.72</v>
      </c>
      <c r="I263" s="62">
        <v>-925.11000000000035</v>
      </c>
      <c r="J263" s="62">
        <v>0</v>
      </c>
      <c r="K263" s="62">
        <v>0</v>
      </c>
      <c r="L263" s="62">
        <v>0</v>
      </c>
      <c r="M263" s="62">
        <v>-32</v>
      </c>
      <c r="N263" s="62">
        <v>0</v>
      </c>
      <c r="O263" s="62">
        <f t="shared" ref="O263:O286" si="29">IF(H263+I263&lt;0,SUM(J263:N263),SUM(H263:N263))</f>
        <v>3176.6099999999997</v>
      </c>
      <c r="P263" s="62">
        <f>(-2700/7)*4</f>
        <v>-1542.8571428571429</v>
      </c>
      <c r="Q263" s="62">
        <v>0</v>
      </c>
      <c r="R263" s="62">
        <v>0</v>
      </c>
      <c r="S263" s="62">
        <v>0</v>
      </c>
      <c r="T263" s="62">
        <v>0</v>
      </c>
      <c r="U263" s="62">
        <v>0</v>
      </c>
      <c r="V263" s="62">
        <v>0</v>
      </c>
      <c r="W263" s="62">
        <f t="shared" si="25"/>
        <v>1633.7528571428568</v>
      </c>
      <c r="X263" s="62">
        <f t="shared" si="26"/>
        <v>1633.7528571428568</v>
      </c>
      <c r="Y263" s="62">
        <f t="shared" si="27"/>
        <v>0</v>
      </c>
      <c r="Z263" s="62">
        <v>0</v>
      </c>
      <c r="AA263" s="62">
        <f t="shared" si="24"/>
        <v>0</v>
      </c>
      <c r="AB263" s="62">
        <f t="shared" si="28"/>
        <v>1542.8571428571429</v>
      </c>
      <c r="AC263" s="62"/>
      <c r="AD263" s="62" t="s">
        <v>817</v>
      </c>
    </row>
    <row r="264" spans="1:30" ht="12.75" hidden="1" customHeight="1" x14ac:dyDescent="0.3">
      <c r="A264" s="2">
        <v>5</v>
      </c>
      <c r="B264" s="3" t="s">
        <v>60</v>
      </c>
      <c r="C264" s="4" t="s">
        <v>28</v>
      </c>
      <c r="D264" s="4" t="s">
        <v>274</v>
      </c>
      <c r="E264" s="4" t="str">
        <f>VLOOKUP(C264,'[2]CTRL AUTOS'!$E$2:$L$58,8,FALSE)</f>
        <v>ASHC</v>
      </c>
      <c r="F264" s="61" t="str">
        <f>VLOOKUP(C264,'[2]CTRL AUTOS'!$E$2:$K$58,7,FALSE)</f>
        <v>ASHC</v>
      </c>
      <c r="G264" s="4" t="s">
        <v>234</v>
      </c>
      <c r="H264" s="62">
        <v>0</v>
      </c>
      <c r="I264" s="62">
        <v>0</v>
      </c>
      <c r="J264" s="62">
        <v>0</v>
      </c>
      <c r="K264" s="62">
        <v>0</v>
      </c>
      <c r="L264" s="62">
        <v>0</v>
      </c>
      <c r="M264" s="62">
        <v>0</v>
      </c>
      <c r="N264" s="62">
        <v>0</v>
      </c>
      <c r="O264" s="62">
        <f t="shared" si="29"/>
        <v>0</v>
      </c>
      <c r="P264" s="62">
        <v>0</v>
      </c>
      <c r="Q264" s="62">
        <v>0</v>
      </c>
      <c r="R264" s="62">
        <v>500</v>
      </c>
      <c r="S264" s="62">
        <v>0</v>
      </c>
      <c r="T264" s="62">
        <v>0</v>
      </c>
      <c r="U264" s="62">
        <v>0</v>
      </c>
      <c r="V264" s="62">
        <v>0</v>
      </c>
      <c r="W264" s="62">
        <f t="shared" si="25"/>
        <v>500</v>
      </c>
      <c r="X264" s="62">
        <f t="shared" si="26"/>
        <v>500</v>
      </c>
      <c r="Y264" s="62">
        <f t="shared" si="27"/>
        <v>0</v>
      </c>
      <c r="Z264" s="62">
        <v>0</v>
      </c>
      <c r="AA264" s="62">
        <f t="shared" si="24"/>
        <v>0</v>
      </c>
      <c r="AB264" s="62">
        <f t="shared" si="28"/>
        <v>-500</v>
      </c>
      <c r="AC264" s="62"/>
      <c r="AD264" s="62" t="s">
        <v>818</v>
      </c>
    </row>
    <row r="265" spans="1:30" ht="12.75" hidden="1" customHeight="1" x14ac:dyDescent="0.3">
      <c r="A265" s="2">
        <v>5</v>
      </c>
      <c r="B265" s="3" t="s">
        <v>25</v>
      </c>
      <c r="C265" s="4" t="s">
        <v>26</v>
      </c>
      <c r="D265" s="4" t="s">
        <v>575</v>
      </c>
      <c r="E265" s="4" t="str">
        <f>VLOOKUP(C265,'[2]CTRL AUTOS'!$E$2:$L$58,8,FALSE)</f>
        <v>ASHC</v>
      </c>
      <c r="F265" s="61" t="str">
        <f>VLOOKUP(C265,'[2]CTRL AUTOS'!$E$2:$K$58,7,FALSE)</f>
        <v>ASHC</v>
      </c>
      <c r="G265" s="4" t="s">
        <v>234</v>
      </c>
      <c r="H265" s="62">
        <v>2735.45</v>
      </c>
      <c r="I265" s="62">
        <v>0</v>
      </c>
      <c r="J265" s="62">
        <v>0</v>
      </c>
      <c r="K265" s="62">
        <v>0</v>
      </c>
      <c r="L265" s="62">
        <v>0</v>
      </c>
      <c r="M265" s="62">
        <v>-10</v>
      </c>
      <c r="N265" s="62">
        <v>0</v>
      </c>
      <c r="O265" s="62">
        <f t="shared" si="29"/>
        <v>2725.45</v>
      </c>
      <c r="P265" s="62">
        <v>-2500</v>
      </c>
      <c r="Q265" s="62">
        <f>-945*1.15</f>
        <v>-1086.75</v>
      </c>
      <c r="R265" s="62">
        <v>0</v>
      </c>
      <c r="S265" s="62">
        <v>0</v>
      </c>
      <c r="T265" s="62">
        <v>0</v>
      </c>
      <c r="U265" s="62">
        <v>0</v>
      </c>
      <c r="V265" s="62">
        <v>0</v>
      </c>
      <c r="W265" s="62">
        <f t="shared" si="25"/>
        <v>-861.30000000000018</v>
      </c>
      <c r="X265" s="62">
        <f t="shared" si="26"/>
        <v>0</v>
      </c>
      <c r="Y265" s="62">
        <f t="shared" si="27"/>
        <v>-861.30000000000018</v>
      </c>
      <c r="Z265" s="62">
        <v>861</v>
      </c>
      <c r="AA265" s="62">
        <f t="shared" si="24"/>
        <v>-0.3000000000001819</v>
      </c>
      <c r="AB265" s="62">
        <f t="shared" si="28"/>
        <v>3586.1499999999996</v>
      </c>
      <c r="AC265" s="62"/>
      <c r="AD265" s="62" t="s">
        <v>819</v>
      </c>
    </row>
    <row r="266" spans="1:30" ht="12.75" hidden="1" customHeight="1" x14ac:dyDescent="0.3">
      <c r="A266" s="2">
        <v>5</v>
      </c>
      <c r="B266" s="3" t="s">
        <v>25</v>
      </c>
      <c r="C266" s="4" t="s">
        <v>67</v>
      </c>
      <c r="D266" s="4" t="s">
        <v>511</v>
      </c>
      <c r="E266" s="4" t="str">
        <f>VLOOKUP(C266,'[2]CTRL AUTOS'!$E$2:$L$58,8,FALSE)</f>
        <v>ASHC</v>
      </c>
      <c r="F266" s="61" t="str">
        <f>VLOOKUP(C266,'[2]CTRL AUTOS'!$E$2:$K$58,7,FALSE)</f>
        <v>ASHC</v>
      </c>
      <c r="G266" s="4" t="s">
        <v>234</v>
      </c>
      <c r="H266" s="62">
        <v>0</v>
      </c>
      <c r="I266" s="62">
        <v>0</v>
      </c>
      <c r="J266" s="62">
        <v>0</v>
      </c>
      <c r="K266" s="62">
        <v>0</v>
      </c>
      <c r="L266" s="62">
        <v>0</v>
      </c>
      <c r="M266" s="62">
        <v>0</v>
      </c>
      <c r="N266" s="62">
        <v>0</v>
      </c>
      <c r="O266" s="62">
        <f t="shared" si="29"/>
        <v>0</v>
      </c>
      <c r="P266" s="62">
        <v>0</v>
      </c>
      <c r="Q266" s="62">
        <v>0</v>
      </c>
      <c r="R266" s="62">
        <v>0</v>
      </c>
      <c r="S266" s="62">
        <v>0</v>
      </c>
      <c r="T266" s="62">
        <v>-500</v>
      </c>
      <c r="U266" s="62">
        <v>0</v>
      </c>
      <c r="V266" s="62">
        <v>0</v>
      </c>
      <c r="W266" s="62">
        <f t="shared" si="25"/>
        <v>-500</v>
      </c>
      <c r="X266" s="62">
        <f t="shared" si="26"/>
        <v>0</v>
      </c>
      <c r="Y266" s="62">
        <f t="shared" si="27"/>
        <v>-500</v>
      </c>
      <c r="Z266" s="62">
        <v>159</v>
      </c>
      <c r="AA266" s="62">
        <f t="shared" si="24"/>
        <v>-341</v>
      </c>
      <c r="AB266" s="62">
        <f t="shared" si="28"/>
        <v>-182</v>
      </c>
      <c r="AC266" s="62"/>
      <c r="AD266" s="62"/>
    </row>
    <row r="267" spans="1:30" ht="12.75" hidden="1" customHeight="1" x14ac:dyDescent="0.3">
      <c r="A267" s="2">
        <v>5</v>
      </c>
      <c r="B267" s="3" t="s">
        <v>66</v>
      </c>
      <c r="C267" s="4" t="s">
        <v>67</v>
      </c>
      <c r="D267" s="4" t="s">
        <v>511</v>
      </c>
      <c r="E267" s="4" t="str">
        <f>VLOOKUP(C267,'[2]CTRL AUTOS'!$E$2:$L$58,8,FALSE)</f>
        <v>ASHC</v>
      </c>
      <c r="F267" s="61" t="str">
        <f>VLOOKUP(C267,'[2]CTRL AUTOS'!$E$2:$K$58,7,FALSE)</f>
        <v>ASHC</v>
      </c>
      <c r="G267" s="4" t="s">
        <v>234</v>
      </c>
      <c r="H267" s="62">
        <v>5321.58</v>
      </c>
      <c r="I267" s="62">
        <v>-3685.2099999999996</v>
      </c>
      <c r="J267" s="62">
        <v>-41.599999999999994</v>
      </c>
      <c r="K267" s="62">
        <v>0</v>
      </c>
      <c r="L267" s="62">
        <v>-55.4</v>
      </c>
      <c r="M267" s="62">
        <v>-135.59930834164669</v>
      </c>
      <c r="N267" s="62">
        <v>0</v>
      </c>
      <c r="O267" s="62">
        <f t="shared" si="29"/>
        <v>1403.7706916583536</v>
      </c>
      <c r="P267" s="62">
        <v>-2500</v>
      </c>
      <c r="Q267" s="62">
        <v>-994</v>
      </c>
      <c r="R267" s="62">
        <v>-500</v>
      </c>
      <c r="S267" s="62">
        <v>0</v>
      </c>
      <c r="T267" s="62">
        <v>0</v>
      </c>
      <c r="U267" s="62">
        <v>0</v>
      </c>
      <c r="V267" s="62">
        <v>0</v>
      </c>
      <c r="W267" s="62">
        <f t="shared" si="25"/>
        <v>-2590.2293083416462</v>
      </c>
      <c r="X267" s="62">
        <f t="shared" si="26"/>
        <v>0</v>
      </c>
      <c r="Y267" s="62">
        <f t="shared" si="27"/>
        <v>-2590.2293083416462</v>
      </c>
      <c r="Z267" s="62">
        <v>2590</v>
      </c>
      <c r="AA267" s="62">
        <f t="shared" ref="AA267:AA286" si="30">+Y267+Z267</f>
        <v>-0.22930834164617409</v>
      </c>
      <c r="AB267" s="62">
        <f t="shared" si="28"/>
        <v>3993.5413833167077</v>
      </c>
      <c r="AC267" s="62"/>
      <c r="AD267" s="62" t="s">
        <v>820</v>
      </c>
    </row>
    <row r="268" spans="1:30" ht="12.75" hidden="1" customHeight="1" x14ac:dyDescent="0.3">
      <c r="A268" s="2">
        <v>5</v>
      </c>
      <c r="B268" s="3" t="s">
        <v>85</v>
      </c>
      <c r="C268" s="4" t="s">
        <v>86</v>
      </c>
      <c r="D268" s="4" t="s">
        <v>519</v>
      </c>
      <c r="E268" s="4" t="str">
        <f>VLOOKUP(C268,'[2]CTRL AUTOS'!$E$2:$L$58,8,FALSE)</f>
        <v>ASHC</v>
      </c>
      <c r="F268" s="61" t="str">
        <f>VLOOKUP(C268,'[2]CTRL AUTOS'!$E$2:$K$58,7,FALSE)</f>
        <v>ASHC</v>
      </c>
      <c r="G268" s="4" t="s">
        <v>234</v>
      </c>
      <c r="H268" s="62">
        <v>3659.82</v>
      </c>
      <c r="I268" s="62">
        <v>-1477.75</v>
      </c>
      <c r="J268" s="62">
        <v>0</v>
      </c>
      <c r="K268" s="62">
        <v>0</v>
      </c>
      <c r="L268" s="62">
        <v>0</v>
      </c>
      <c r="M268" s="62">
        <v>-80.314928566314705</v>
      </c>
      <c r="N268" s="62">
        <v>0</v>
      </c>
      <c r="O268" s="62">
        <f t="shared" si="29"/>
        <v>2101.7550714336853</v>
      </c>
      <c r="P268" s="62">
        <v>-2500</v>
      </c>
      <c r="Q268" s="62">
        <v>0</v>
      </c>
      <c r="R268" s="62">
        <v>-500</v>
      </c>
      <c r="S268" s="62">
        <v>0</v>
      </c>
      <c r="T268" s="62">
        <v>0</v>
      </c>
      <c r="U268" s="62">
        <v>0</v>
      </c>
      <c r="V268" s="62">
        <v>0</v>
      </c>
      <c r="W268" s="62">
        <f t="shared" si="25"/>
        <v>-898.24492856631468</v>
      </c>
      <c r="X268" s="62">
        <f t="shared" si="26"/>
        <v>0</v>
      </c>
      <c r="Y268" s="62">
        <f t="shared" si="27"/>
        <v>-898.24492856631468</v>
      </c>
      <c r="Z268" s="62">
        <v>898</v>
      </c>
      <c r="AA268" s="62">
        <f t="shared" si="30"/>
        <v>-0.24492856631468385</v>
      </c>
      <c r="AB268" s="62">
        <f t="shared" si="28"/>
        <v>2999.5101428673706</v>
      </c>
      <c r="AC268" s="62"/>
      <c r="AD268" s="62" t="s">
        <v>821</v>
      </c>
    </row>
    <row r="269" spans="1:30" ht="12.75" hidden="1" customHeight="1" x14ac:dyDescent="0.3">
      <c r="A269" s="2">
        <v>5</v>
      </c>
      <c r="B269" s="3" t="s">
        <v>108</v>
      </c>
      <c r="C269" s="4" t="s">
        <v>75</v>
      </c>
      <c r="D269" s="4" t="s">
        <v>744</v>
      </c>
      <c r="E269" s="4" t="str">
        <f>VLOOKUP(C269,'[2]CTRL AUTOS'!$E$2:$L$58,8,FALSE)</f>
        <v>U64</v>
      </c>
      <c r="F269" s="61" t="str">
        <f>VLOOKUP(C269,'[2]CTRL AUTOS'!$E$2:$K$58,7,FALSE)</f>
        <v>BYER</v>
      </c>
      <c r="G269" s="4" t="s">
        <v>234</v>
      </c>
      <c r="H269" s="62">
        <v>8153.08</v>
      </c>
      <c r="I269" s="62">
        <v>-2240.77</v>
      </c>
      <c r="J269" s="62">
        <v>-240</v>
      </c>
      <c r="K269" s="62">
        <v>0</v>
      </c>
      <c r="L269" s="62">
        <v>0</v>
      </c>
      <c r="M269" s="62">
        <v>-86.088433152635361</v>
      </c>
      <c r="N269" s="62">
        <v>0</v>
      </c>
      <c r="O269" s="62">
        <f t="shared" si="29"/>
        <v>5586.2215668473646</v>
      </c>
      <c r="P269" s="62">
        <v>-2500</v>
      </c>
      <c r="Q269" s="62">
        <v>0</v>
      </c>
      <c r="R269" s="62">
        <v>-500</v>
      </c>
      <c r="S269" s="62">
        <v>0</v>
      </c>
      <c r="T269" s="62">
        <v>-700</v>
      </c>
      <c r="U269" s="62">
        <v>0</v>
      </c>
      <c r="V269" s="62">
        <v>0</v>
      </c>
      <c r="W269" s="62">
        <f t="shared" si="25"/>
        <v>1886.2215668473646</v>
      </c>
      <c r="X269" s="62">
        <f t="shared" si="26"/>
        <v>1886.2215668473646</v>
      </c>
      <c r="Y269" s="62">
        <f t="shared" si="27"/>
        <v>0</v>
      </c>
      <c r="Z269" s="62">
        <v>0</v>
      </c>
      <c r="AA269" s="62">
        <f t="shared" si="30"/>
        <v>0</v>
      </c>
      <c r="AB269" s="62">
        <f t="shared" si="28"/>
        <v>3700</v>
      </c>
      <c r="AC269" s="62"/>
      <c r="AD269" s="62" t="s">
        <v>822</v>
      </c>
    </row>
    <row r="270" spans="1:30" ht="12.75" hidden="1" customHeight="1" x14ac:dyDescent="0.3">
      <c r="A270" s="2">
        <v>5</v>
      </c>
      <c r="B270" s="3" t="s">
        <v>23</v>
      </c>
      <c r="C270" s="4" t="s">
        <v>24</v>
      </c>
      <c r="D270" s="4" t="s">
        <v>515</v>
      </c>
      <c r="E270" s="4" t="str">
        <f>VLOOKUP(C270,'[2]CTRL AUTOS'!$E$2:$L$58,8,FALSE)</f>
        <v>ASHC</v>
      </c>
      <c r="F270" s="61" t="str">
        <f>VLOOKUP(C270,'[2]CTRL AUTOS'!$E$2:$K$58,7,FALSE)</f>
        <v>ASHC</v>
      </c>
      <c r="G270" s="4" t="s">
        <v>234</v>
      </c>
      <c r="H270" s="62">
        <v>3273.57</v>
      </c>
      <c r="I270" s="62">
        <v>-2067.02</v>
      </c>
      <c r="J270" s="62">
        <v>0</v>
      </c>
      <c r="K270" s="62">
        <v>0</v>
      </c>
      <c r="L270" s="62">
        <v>0</v>
      </c>
      <c r="M270" s="62">
        <v>-203.862558920754</v>
      </c>
      <c r="N270" s="62">
        <v>-887.16000000000008</v>
      </c>
      <c r="O270" s="62">
        <f t="shared" si="29"/>
        <v>115.52744107924605</v>
      </c>
      <c r="P270" s="62">
        <v>-2700</v>
      </c>
      <c r="Q270" s="62">
        <f>-2280*1.12</f>
        <v>-2553.6000000000004</v>
      </c>
      <c r="R270" s="62">
        <v>0</v>
      </c>
      <c r="S270" s="62">
        <v>0</v>
      </c>
      <c r="T270" s="62">
        <v>0</v>
      </c>
      <c r="U270" s="62">
        <v>0</v>
      </c>
      <c r="V270" s="62">
        <v>0</v>
      </c>
      <c r="W270" s="62">
        <f t="shared" si="25"/>
        <v>-5138.0725589207541</v>
      </c>
      <c r="X270" s="62">
        <f t="shared" si="26"/>
        <v>0</v>
      </c>
      <c r="Y270" s="62">
        <f t="shared" si="27"/>
        <v>-5138.0725589207541</v>
      </c>
      <c r="Z270" s="62">
        <f>1500+1000+1000+800</f>
        <v>4300</v>
      </c>
      <c r="AA270" s="62">
        <f t="shared" si="30"/>
        <v>-838.07255892075409</v>
      </c>
      <c r="AB270" s="62">
        <f t="shared" si="28"/>
        <v>3577.4548821584922</v>
      </c>
      <c r="AC270" s="62"/>
      <c r="AD270" s="62" t="s">
        <v>823</v>
      </c>
    </row>
    <row r="271" spans="1:30" ht="12.75" hidden="1" customHeight="1" x14ac:dyDescent="0.3">
      <c r="A271" s="2">
        <v>5</v>
      </c>
      <c r="B271" s="3" t="s">
        <v>23</v>
      </c>
      <c r="C271" s="4" t="s">
        <v>22</v>
      </c>
      <c r="D271" s="4" t="s">
        <v>319</v>
      </c>
      <c r="E271" s="4" t="str">
        <f>VLOOKUP(C271,'[2]CTRL AUTOS'!$E$2:$L$58,8,FALSE)</f>
        <v>ASHC</v>
      </c>
      <c r="F271" s="61" t="str">
        <f>VLOOKUP(C271,'[2]CTRL AUTOS'!$E$2:$K$58,7,FALSE)</f>
        <v>ASHC</v>
      </c>
      <c r="G271" s="4" t="s">
        <v>234</v>
      </c>
      <c r="H271" s="62">
        <v>0</v>
      </c>
      <c r="I271" s="62">
        <v>0</v>
      </c>
      <c r="J271" s="62">
        <v>0</v>
      </c>
      <c r="K271" s="62">
        <v>0</v>
      </c>
      <c r="L271" s="62">
        <v>0</v>
      </c>
      <c r="M271" s="62">
        <v>0</v>
      </c>
      <c r="N271" s="62">
        <v>0</v>
      </c>
      <c r="O271" s="62">
        <f t="shared" si="29"/>
        <v>0</v>
      </c>
      <c r="P271" s="62">
        <v>0</v>
      </c>
      <c r="Q271" s="62">
        <v>0</v>
      </c>
      <c r="R271" s="62">
        <v>0</v>
      </c>
      <c r="S271" s="62">
        <v>0</v>
      </c>
      <c r="T271" s="62">
        <v>-700</v>
      </c>
      <c r="U271" s="62">
        <v>0</v>
      </c>
      <c r="V271" s="62">
        <v>0</v>
      </c>
      <c r="W271" s="62">
        <f t="shared" si="25"/>
        <v>-700</v>
      </c>
      <c r="X271" s="62">
        <f t="shared" si="26"/>
        <v>0</v>
      </c>
      <c r="Y271" s="62">
        <f t="shared" si="27"/>
        <v>-700</v>
      </c>
      <c r="Z271" s="62">
        <v>700</v>
      </c>
      <c r="AA271" s="62">
        <f t="shared" si="30"/>
        <v>0</v>
      </c>
      <c r="AB271" s="62">
        <f t="shared" si="28"/>
        <v>700</v>
      </c>
      <c r="AC271" s="62"/>
      <c r="AD271" s="62"/>
    </row>
    <row r="272" spans="1:30" ht="12.75" hidden="1" customHeight="1" x14ac:dyDescent="0.3">
      <c r="A272" s="2">
        <v>5</v>
      </c>
      <c r="B272" s="3" t="s">
        <v>90</v>
      </c>
      <c r="C272" s="4" t="s">
        <v>16</v>
      </c>
      <c r="D272" s="4" t="s">
        <v>314</v>
      </c>
      <c r="E272" s="4" t="str">
        <f>VLOOKUP(C272,'[2]CTRL AUTOS'!$E$2:$L$58,8,FALSE)</f>
        <v>ASHC</v>
      </c>
      <c r="F272" s="61" t="str">
        <f>VLOOKUP(C272,'[2]CTRL AUTOS'!$E$2:$K$58,7,FALSE)</f>
        <v>ASHC</v>
      </c>
      <c r="G272" s="4" t="s">
        <v>234</v>
      </c>
      <c r="H272" s="62">
        <v>8122.56</v>
      </c>
      <c r="I272" s="62">
        <v>-2971.78</v>
      </c>
      <c r="J272" s="62">
        <v>-75.2</v>
      </c>
      <c r="K272" s="62">
        <v>-5.67</v>
      </c>
      <c r="L272" s="62">
        <v>0</v>
      </c>
      <c r="M272" s="62">
        <v>-119.3202290744731</v>
      </c>
      <c r="N272" s="62">
        <v>-27.970000000000013</v>
      </c>
      <c r="O272" s="62">
        <f t="shared" si="29"/>
        <v>4922.6197709255275</v>
      </c>
      <c r="P272" s="62">
        <v>-2500</v>
      </c>
      <c r="Q272" s="62">
        <v>0</v>
      </c>
      <c r="R272" s="62">
        <v>-500</v>
      </c>
      <c r="S272" s="62">
        <v>0</v>
      </c>
      <c r="T272" s="62">
        <v>0</v>
      </c>
      <c r="U272" s="62">
        <v>0</v>
      </c>
      <c r="V272" s="62">
        <v>0</v>
      </c>
      <c r="W272" s="62">
        <f t="shared" si="25"/>
        <v>1922.6197709255275</v>
      </c>
      <c r="X272" s="62">
        <f t="shared" si="26"/>
        <v>1922.6197709255275</v>
      </c>
      <c r="Y272" s="62">
        <f t="shared" si="27"/>
        <v>0</v>
      </c>
      <c r="Z272" s="62">
        <v>0</v>
      </c>
      <c r="AA272" s="62">
        <f t="shared" si="30"/>
        <v>0</v>
      </c>
      <c r="AB272" s="62">
        <f t="shared" si="28"/>
        <v>3000</v>
      </c>
      <c r="AC272" s="62"/>
      <c r="AD272" s="62" t="s">
        <v>824</v>
      </c>
    </row>
    <row r="273" spans="1:42" ht="12.75" hidden="1" customHeight="1" x14ac:dyDescent="0.3">
      <c r="A273" s="2">
        <v>5</v>
      </c>
      <c r="B273" s="3" t="s">
        <v>64</v>
      </c>
      <c r="C273" s="4" t="s">
        <v>140</v>
      </c>
      <c r="D273" s="4" t="s">
        <v>680</v>
      </c>
      <c r="E273" s="4" t="str">
        <f>VLOOKUP(C273,'[2]CTRL AUTOS'!$E$2:$L$58,8,FALSE)</f>
        <v>ASHC</v>
      </c>
      <c r="F273" s="61" t="str">
        <f>VLOOKUP(C273,'[2]CTRL AUTOS'!$E$2:$K$58,7,FALSE)</f>
        <v>ASHC</v>
      </c>
      <c r="G273" s="4" t="s">
        <v>234</v>
      </c>
      <c r="H273" s="62">
        <v>4654.03</v>
      </c>
      <c r="I273" s="62">
        <v>0</v>
      </c>
      <c r="J273" s="62">
        <v>-40</v>
      </c>
      <c r="K273" s="62">
        <v>0</v>
      </c>
      <c r="L273" s="62">
        <v>0</v>
      </c>
      <c r="M273" s="62">
        <v>-10</v>
      </c>
      <c r="N273" s="62">
        <v>0</v>
      </c>
      <c r="O273" s="62">
        <f t="shared" si="29"/>
        <v>4604.03</v>
      </c>
      <c r="P273" s="62">
        <v>-2700</v>
      </c>
      <c r="Q273" s="62">
        <v>0</v>
      </c>
      <c r="R273" s="62">
        <v>-500</v>
      </c>
      <c r="S273" s="62">
        <v>0</v>
      </c>
      <c r="T273" s="62">
        <v>0</v>
      </c>
      <c r="U273" s="62">
        <v>0</v>
      </c>
      <c r="V273" s="62">
        <v>0</v>
      </c>
      <c r="W273" s="62">
        <f t="shared" si="25"/>
        <v>1404.0299999999997</v>
      </c>
      <c r="X273" s="62">
        <f t="shared" si="26"/>
        <v>1404.0299999999997</v>
      </c>
      <c r="Y273" s="62">
        <f t="shared" si="27"/>
        <v>0</v>
      </c>
      <c r="Z273" s="62">
        <v>0</v>
      </c>
      <c r="AA273" s="62">
        <f t="shared" si="30"/>
        <v>0</v>
      </c>
      <c r="AB273" s="62">
        <f t="shared" si="28"/>
        <v>3200</v>
      </c>
      <c r="AC273" s="62"/>
      <c r="AD273" s="62" t="s">
        <v>825</v>
      </c>
    </row>
    <row r="274" spans="1:42" ht="12.75" hidden="1" customHeight="1" x14ac:dyDescent="0.3">
      <c r="A274" s="2">
        <v>5</v>
      </c>
      <c r="B274" s="3" t="s">
        <v>21</v>
      </c>
      <c r="C274" s="4" t="s">
        <v>22</v>
      </c>
      <c r="D274" s="4" t="s">
        <v>319</v>
      </c>
      <c r="E274" s="4" t="str">
        <f>VLOOKUP(C274,'[2]CTRL AUTOS'!$E$2:$L$58,8,FALSE)</f>
        <v>ASHC</v>
      </c>
      <c r="F274" s="61" t="str">
        <f>VLOOKUP(C274,'[2]CTRL AUTOS'!$E$2:$K$58,7,FALSE)</f>
        <v>ASHC</v>
      </c>
      <c r="G274" s="4" t="s">
        <v>234</v>
      </c>
      <c r="H274" s="62">
        <v>3220.84</v>
      </c>
      <c r="I274" s="62">
        <v>-779.63000000000011</v>
      </c>
      <c r="J274" s="62">
        <v>0</v>
      </c>
      <c r="K274" s="62">
        <v>0</v>
      </c>
      <c r="L274" s="62">
        <v>0</v>
      </c>
      <c r="M274" s="62">
        <v>-42</v>
      </c>
      <c r="N274" s="62">
        <v>0</v>
      </c>
      <c r="O274" s="62">
        <f t="shared" si="29"/>
        <v>2399.21</v>
      </c>
      <c r="P274" s="62">
        <v>-2500</v>
      </c>
      <c r="Q274" s="62">
        <v>0</v>
      </c>
      <c r="R274" s="62">
        <v>-500</v>
      </c>
      <c r="S274" s="62">
        <v>0</v>
      </c>
      <c r="T274" s="62">
        <v>0</v>
      </c>
      <c r="U274" s="62">
        <v>0</v>
      </c>
      <c r="V274" s="62">
        <v>0</v>
      </c>
      <c r="W274" s="62">
        <f t="shared" si="25"/>
        <v>-600.79</v>
      </c>
      <c r="X274" s="62">
        <f t="shared" si="26"/>
        <v>0</v>
      </c>
      <c r="Y274" s="62">
        <f t="shared" si="27"/>
        <v>-600.79</v>
      </c>
      <c r="Z274" s="62">
        <v>0</v>
      </c>
      <c r="AA274" s="62">
        <f t="shared" si="30"/>
        <v>-600.79</v>
      </c>
      <c r="AB274" s="62">
        <f t="shared" si="28"/>
        <v>1798.42</v>
      </c>
      <c r="AC274" s="62"/>
      <c r="AD274" s="62"/>
    </row>
    <row r="275" spans="1:42" ht="12.75" hidden="1" customHeight="1" x14ac:dyDescent="0.3">
      <c r="A275" s="2">
        <v>5</v>
      </c>
      <c r="B275" s="3" t="s">
        <v>128</v>
      </c>
      <c r="C275" s="4" t="s">
        <v>69</v>
      </c>
      <c r="D275" s="4" t="s">
        <v>781</v>
      </c>
      <c r="E275" s="4" t="str">
        <f>VLOOKUP(C275,'[2]CTRL AUTOS'!$E$2:$L$58,8,FALSE)</f>
        <v>U64</v>
      </c>
      <c r="F275" s="61" t="str">
        <f>VLOOKUP(C275,'[2]CTRL AUTOS'!$E$2:$K$58,7,FALSE)</f>
        <v>BYER</v>
      </c>
      <c r="G275" s="4" t="s">
        <v>234</v>
      </c>
      <c r="H275" s="62">
        <v>8065.95</v>
      </c>
      <c r="I275" s="62">
        <v>-1994.8500000000004</v>
      </c>
      <c r="J275" s="62">
        <v>-45.6</v>
      </c>
      <c r="K275" s="62">
        <v>129.79</v>
      </c>
      <c r="L275" s="62">
        <v>0</v>
      </c>
      <c r="M275" s="62">
        <v>-76.640400788360552</v>
      </c>
      <c r="N275" s="62">
        <v>0</v>
      </c>
      <c r="O275" s="62">
        <f t="shared" si="29"/>
        <v>6078.6495992116388</v>
      </c>
      <c r="P275" s="62">
        <v>-2500</v>
      </c>
      <c r="Q275" s="62">
        <v>0</v>
      </c>
      <c r="R275" s="62">
        <v>-500</v>
      </c>
      <c r="S275" s="62">
        <v>0</v>
      </c>
      <c r="T275" s="62">
        <v>0</v>
      </c>
      <c r="U275" s="62">
        <v>0</v>
      </c>
      <c r="V275" s="62">
        <v>0</v>
      </c>
      <c r="W275" s="62">
        <f t="shared" si="25"/>
        <v>3078.6495992116388</v>
      </c>
      <c r="X275" s="62">
        <f t="shared" si="26"/>
        <v>3078.6495992116388</v>
      </c>
      <c r="Y275" s="62">
        <f t="shared" si="27"/>
        <v>0</v>
      </c>
      <c r="Z275" s="62">
        <v>0</v>
      </c>
      <c r="AA275" s="62">
        <f t="shared" si="30"/>
        <v>0</v>
      </c>
      <c r="AB275" s="62">
        <f t="shared" si="28"/>
        <v>3000</v>
      </c>
      <c r="AC275" s="62"/>
      <c r="AD275" s="62" t="s">
        <v>826</v>
      </c>
      <c r="AP275" s="50">
        <f>1968-2026</f>
        <v>-58</v>
      </c>
    </row>
    <row r="276" spans="1:42" ht="12.75" hidden="1" customHeight="1" x14ac:dyDescent="0.3">
      <c r="A276" s="2">
        <v>5</v>
      </c>
      <c r="B276" s="3" t="s">
        <v>19</v>
      </c>
      <c r="C276" s="4" t="s">
        <v>20</v>
      </c>
      <c r="D276" s="4" t="s">
        <v>239</v>
      </c>
      <c r="E276" s="4" t="str">
        <f>VLOOKUP(C276,'[2]CTRL AUTOS'!$E$2:$L$58,8,FALSE)</f>
        <v>ASHC</v>
      </c>
      <c r="F276" s="61" t="str">
        <f>VLOOKUP(C276,'[2]CTRL AUTOS'!$E$2:$K$58,7,FALSE)</f>
        <v>ASHC</v>
      </c>
      <c r="G276" s="4" t="s">
        <v>234</v>
      </c>
      <c r="H276" s="62">
        <v>5508.33</v>
      </c>
      <c r="I276" s="62">
        <v>-870.83</v>
      </c>
      <c r="J276" s="62">
        <v>-24</v>
      </c>
      <c r="K276" s="62">
        <v>0</v>
      </c>
      <c r="L276" s="62">
        <v>-46.47</v>
      </c>
      <c r="M276" s="62">
        <v>-42.92</v>
      </c>
      <c r="N276" s="62">
        <v>-41</v>
      </c>
      <c r="O276" s="62">
        <f t="shared" si="29"/>
        <v>4483.1099999999997</v>
      </c>
      <c r="P276" s="62">
        <v>-2500</v>
      </c>
      <c r="Q276" s="62">
        <v>0</v>
      </c>
      <c r="R276" s="62">
        <v>0</v>
      </c>
      <c r="S276" s="62">
        <v>0</v>
      </c>
      <c r="T276" s="62">
        <f>VLOOKUP(B276,[2]HOJALATERÍA!$A$4:$BO$48,67,0)</f>
        <v>-600</v>
      </c>
      <c r="U276" s="62">
        <v>0</v>
      </c>
      <c r="V276" s="62">
        <v>0</v>
      </c>
      <c r="W276" s="62">
        <f t="shared" si="25"/>
        <v>1383.1099999999997</v>
      </c>
      <c r="X276" s="62">
        <f t="shared" si="26"/>
        <v>1383.1099999999997</v>
      </c>
      <c r="Y276" s="62">
        <f t="shared" si="27"/>
        <v>0</v>
      </c>
      <c r="Z276" s="62">
        <v>0</v>
      </c>
      <c r="AA276" s="62">
        <f t="shared" si="30"/>
        <v>0</v>
      </c>
      <c r="AB276" s="62">
        <f t="shared" si="28"/>
        <v>3100</v>
      </c>
      <c r="AC276" s="62"/>
      <c r="AD276" s="62" t="s">
        <v>827</v>
      </c>
    </row>
    <row r="277" spans="1:42" ht="12.75" hidden="1" customHeight="1" x14ac:dyDescent="0.3">
      <c r="A277" s="2">
        <v>5</v>
      </c>
      <c r="B277" s="3" t="s">
        <v>17</v>
      </c>
      <c r="C277" s="4" t="s">
        <v>18</v>
      </c>
      <c r="D277" s="4" t="s">
        <v>572</v>
      </c>
      <c r="E277" s="4" t="str">
        <f>VLOOKUP(C277,'[2]CTRL AUTOS'!$E$2:$L$58,8,FALSE)</f>
        <v>ASHC</v>
      </c>
      <c r="F277" s="61" t="str">
        <f>VLOOKUP(C277,'[2]CTRL AUTOS'!$E$2:$K$58,7,FALSE)</f>
        <v>ASHC</v>
      </c>
      <c r="G277" s="4" t="s">
        <v>234</v>
      </c>
      <c r="H277" s="62">
        <v>2882.63</v>
      </c>
      <c r="I277" s="62">
        <v>-590.6</v>
      </c>
      <c r="J277" s="62">
        <v>0</v>
      </c>
      <c r="K277" s="62">
        <v>0</v>
      </c>
      <c r="L277" s="62">
        <v>0</v>
      </c>
      <c r="M277" s="62">
        <v>-38</v>
      </c>
      <c r="N277" s="62">
        <v>0</v>
      </c>
      <c r="O277" s="62">
        <f t="shared" si="29"/>
        <v>2254.0300000000002</v>
      </c>
      <c r="P277" s="62">
        <v>-2700</v>
      </c>
      <c r="Q277" s="62">
        <f>-1985*1.12</f>
        <v>-2223.2000000000003</v>
      </c>
      <c r="R277" s="62">
        <v>0</v>
      </c>
      <c r="S277" s="62">
        <v>0</v>
      </c>
      <c r="T277" s="62">
        <v>0</v>
      </c>
      <c r="U277" s="62">
        <v>0</v>
      </c>
      <c r="V277" s="62">
        <v>0</v>
      </c>
      <c r="W277" s="62">
        <f t="shared" si="25"/>
        <v>-2669.17</v>
      </c>
      <c r="X277" s="62">
        <f t="shared" si="26"/>
        <v>0</v>
      </c>
      <c r="Y277" s="62">
        <f t="shared" si="27"/>
        <v>-2669.17</v>
      </c>
      <c r="Z277" s="62">
        <v>2000</v>
      </c>
      <c r="AA277" s="62">
        <f t="shared" si="30"/>
        <v>-669.17000000000007</v>
      </c>
      <c r="AB277" s="62">
        <f t="shared" si="28"/>
        <v>3584.8600000000006</v>
      </c>
      <c r="AC277" s="62"/>
      <c r="AD277" s="62" t="s">
        <v>828</v>
      </c>
    </row>
    <row r="278" spans="1:42" ht="12.75" hidden="1" customHeight="1" x14ac:dyDescent="0.3">
      <c r="A278" s="2">
        <v>5</v>
      </c>
      <c r="B278" s="3" t="s">
        <v>121</v>
      </c>
      <c r="C278" s="4" t="s">
        <v>122</v>
      </c>
      <c r="D278" s="4" t="s">
        <v>885</v>
      </c>
      <c r="E278" s="4" t="str">
        <f>VLOOKUP(C278,'[2]CTRL AUTOS'!$E$2:$L$58,8,FALSE)</f>
        <v>ASHC</v>
      </c>
      <c r="F278" s="61" t="str">
        <f>VLOOKUP(C278,'[2]CTRL AUTOS'!$E$2:$K$58,7,FALSE)</f>
        <v>ASHC</v>
      </c>
      <c r="G278" s="4" t="s">
        <v>234</v>
      </c>
      <c r="H278" s="62">
        <v>6732.66</v>
      </c>
      <c r="I278" s="62">
        <v>-1123.46</v>
      </c>
      <c r="J278" s="62">
        <v>-35.200000000000003</v>
      </c>
      <c r="K278" s="62">
        <v>0</v>
      </c>
      <c r="L278" s="62">
        <v>0</v>
      </c>
      <c r="M278" s="62">
        <v>-73.046935981804694</v>
      </c>
      <c r="N278" s="62">
        <v>0</v>
      </c>
      <c r="O278" s="62">
        <f t="shared" si="29"/>
        <v>5500.9530640181956</v>
      </c>
      <c r="P278" s="62">
        <v>-2600</v>
      </c>
      <c r="Q278" s="62">
        <v>0</v>
      </c>
      <c r="R278" s="62">
        <v>-500</v>
      </c>
      <c r="S278" s="62">
        <v>0</v>
      </c>
      <c r="T278" s="62">
        <v>0</v>
      </c>
      <c r="U278" s="62">
        <v>0</v>
      </c>
      <c r="V278" s="62">
        <v>0</v>
      </c>
      <c r="W278" s="62">
        <f t="shared" si="25"/>
        <v>2400.9530640181956</v>
      </c>
      <c r="X278" s="62">
        <f t="shared" si="26"/>
        <v>2400.9530640181956</v>
      </c>
      <c r="Y278" s="62">
        <f t="shared" si="27"/>
        <v>0</v>
      </c>
      <c r="Z278" s="62">
        <v>0</v>
      </c>
      <c r="AA278" s="62">
        <f t="shared" si="30"/>
        <v>0</v>
      </c>
      <c r="AB278" s="62">
        <f t="shared" si="28"/>
        <v>3100</v>
      </c>
      <c r="AC278" s="62"/>
      <c r="AD278" s="62" t="s">
        <v>829</v>
      </c>
    </row>
    <row r="279" spans="1:42" ht="12.75" hidden="1" customHeight="1" x14ac:dyDescent="0.3">
      <c r="A279" s="2">
        <v>5</v>
      </c>
      <c r="B279" s="3" t="s">
        <v>111</v>
      </c>
      <c r="C279" s="4" t="s">
        <v>63</v>
      </c>
      <c r="D279" s="4" t="s">
        <v>374</v>
      </c>
      <c r="E279" s="4" t="str">
        <f>VLOOKUP(C279,'[2]CTRL AUTOS'!$E$2:$L$58,8,FALSE)</f>
        <v>BYER</v>
      </c>
      <c r="F279" s="61" t="str">
        <f>VLOOKUP(C279,'[2]CTRL AUTOS'!$E$2:$K$58,7,FALSE)</f>
        <v>BYER</v>
      </c>
      <c r="G279" s="4" t="s">
        <v>234</v>
      </c>
      <c r="H279" s="62">
        <v>6194.76</v>
      </c>
      <c r="I279" s="62">
        <v>-2675.09</v>
      </c>
      <c r="J279" s="62">
        <v>0</v>
      </c>
      <c r="K279" s="62">
        <v>0</v>
      </c>
      <c r="L279" s="62">
        <v>0</v>
      </c>
      <c r="M279" s="62">
        <v>-200</v>
      </c>
      <c r="N279" s="62">
        <v>0</v>
      </c>
      <c r="O279" s="62">
        <f t="shared" si="29"/>
        <v>3319.67</v>
      </c>
      <c r="P279" s="62">
        <v>-2500</v>
      </c>
      <c r="Q279" s="62">
        <v>0</v>
      </c>
      <c r="R279" s="62">
        <v>0</v>
      </c>
      <c r="S279" s="62">
        <v>0</v>
      </c>
      <c r="T279" s="62">
        <f>VLOOKUP(B279,[2]HOJALATERÍA!$A$4:$BO$48,67,0)</f>
        <v>0</v>
      </c>
      <c r="U279" s="62">
        <v>0</v>
      </c>
      <c r="V279" s="62">
        <v>0</v>
      </c>
      <c r="W279" s="62">
        <f t="shared" si="25"/>
        <v>819.67000000000007</v>
      </c>
      <c r="X279" s="62">
        <f t="shared" si="26"/>
        <v>819.67000000000007</v>
      </c>
      <c r="Y279" s="62">
        <f t="shared" si="27"/>
        <v>0</v>
      </c>
      <c r="Z279" s="62">
        <v>0</v>
      </c>
      <c r="AA279" s="62">
        <f t="shared" si="30"/>
        <v>0</v>
      </c>
      <c r="AB279" s="62">
        <f t="shared" si="28"/>
        <v>2500</v>
      </c>
      <c r="AC279" s="62"/>
      <c r="AD279" s="62" t="s">
        <v>830</v>
      </c>
    </row>
    <row r="280" spans="1:42" ht="12.75" hidden="1" customHeight="1" x14ac:dyDescent="0.3">
      <c r="A280" s="2">
        <v>5</v>
      </c>
      <c r="B280" s="3" t="s">
        <v>120</v>
      </c>
      <c r="C280" s="4" t="s">
        <v>44</v>
      </c>
      <c r="D280" s="4"/>
      <c r="E280" s="4" t="str">
        <f>VLOOKUP(C280,'[2]CTRL AUTOS'!$E$2:$L$58,8,FALSE)</f>
        <v>ASHC</v>
      </c>
      <c r="F280" s="61" t="str">
        <f>VLOOKUP(C280,'[2]CTRL AUTOS'!$E$2:$K$58,7,FALSE)</f>
        <v>ASHC</v>
      </c>
      <c r="G280" s="4" t="s">
        <v>234</v>
      </c>
      <c r="H280" s="62">
        <v>4016.34</v>
      </c>
      <c r="I280" s="62">
        <v>-292.07</v>
      </c>
      <c r="J280" s="62">
        <v>-138.4</v>
      </c>
      <c r="K280" s="62">
        <v>0</v>
      </c>
      <c r="L280" s="62">
        <v>0</v>
      </c>
      <c r="M280" s="62">
        <v>-5.9915961335567758</v>
      </c>
      <c r="N280" s="62">
        <v>0</v>
      </c>
      <c r="O280" s="62">
        <f t="shared" si="29"/>
        <v>3579.878403866443</v>
      </c>
      <c r="P280" s="62">
        <v>-2500</v>
      </c>
      <c r="Q280" s="62">
        <v>0</v>
      </c>
      <c r="R280" s="62">
        <v>-500</v>
      </c>
      <c r="S280" s="62">
        <v>0</v>
      </c>
      <c r="T280" s="62">
        <v>0</v>
      </c>
      <c r="U280" s="62">
        <v>0</v>
      </c>
      <c r="V280" s="62">
        <v>0</v>
      </c>
      <c r="W280" s="62">
        <f t="shared" si="25"/>
        <v>579.87840386644302</v>
      </c>
      <c r="X280" s="62">
        <f t="shared" si="26"/>
        <v>579.87840386644302</v>
      </c>
      <c r="Y280" s="62">
        <f t="shared" si="27"/>
        <v>0</v>
      </c>
      <c r="Z280" s="62">
        <v>0</v>
      </c>
      <c r="AA280" s="62">
        <f t="shared" si="30"/>
        <v>0</v>
      </c>
      <c r="AB280" s="62">
        <f t="shared" si="28"/>
        <v>3000</v>
      </c>
      <c r="AC280" s="62"/>
      <c r="AD280" s="62" t="s">
        <v>831</v>
      </c>
    </row>
    <row r="281" spans="1:42" ht="12.75" hidden="1" customHeight="1" x14ac:dyDescent="0.3">
      <c r="A281" s="2">
        <v>5</v>
      </c>
      <c r="B281" s="3" t="s">
        <v>113</v>
      </c>
      <c r="C281" s="4" t="s">
        <v>38</v>
      </c>
      <c r="D281" s="4"/>
      <c r="E281" s="4" t="str">
        <f>VLOOKUP(C281,'[2]CTRL AUTOS'!$E$2:$L$58,8,FALSE)</f>
        <v>ASHC</v>
      </c>
      <c r="F281" s="61" t="str">
        <f>VLOOKUP(C281,'[2]CTRL AUTOS'!$E$2:$K$58,7,FALSE)</f>
        <v>ASHC</v>
      </c>
      <c r="G281" s="4" t="s">
        <v>234</v>
      </c>
      <c r="H281" s="62">
        <v>1546.18</v>
      </c>
      <c r="I281" s="62">
        <v>-1125.5</v>
      </c>
      <c r="J281" s="62">
        <v>0</v>
      </c>
      <c r="K281" s="62">
        <v>0</v>
      </c>
      <c r="L281" s="62">
        <v>0</v>
      </c>
      <c r="M281" s="62">
        <v>-89.728785045770394</v>
      </c>
      <c r="N281" s="62">
        <v>-222</v>
      </c>
      <c r="O281" s="62">
        <f t="shared" si="29"/>
        <v>108.95121495422967</v>
      </c>
      <c r="P281" s="62">
        <v>-2500</v>
      </c>
      <c r="Q281" s="62">
        <f>-57*1.12</f>
        <v>-63.84</v>
      </c>
      <c r="R281" s="62">
        <v>0</v>
      </c>
      <c r="S281" s="62">
        <v>0</v>
      </c>
      <c r="T281" s="62">
        <v>0</v>
      </c>
      <c r="U281" s="62">
        <v>0</v>
      </c>
      <c r="V281" s="62">
        <v>0</v>
      </c>
      <c r="W281" s="62">
        <f t="shared" si="25"/>
        <v>-2454.8887850457704</v>
      </c>
      <c r="X281" s="62">
        <f t="shared" si="26"/>
        <v>0</v>
      </c>
      <c r="Y281" s="62">
        <f t="shared" si="27"/>
        <v>-2454.8887850457704</v>
      </c>
      <c r="Z281" s="62">
        <v>2564</v>
      </c>
      <c r="AA281" s="62">
        <f t="shared" si="30"/>
        <v>109.11121495422958</v>
      </c>
      <c r="AB281" s="62">
        <f t="shared" si="28"/>
        <v>2782.0624299084593</v>
      </c>
      <c r="AC281" s="62"/>
      <c r="AD281" s="62" t="s">
        <v>832</v>
      </c>
    </row>
    <row r="282" spans="1:42" ht="12.75" hidden="1" customHeight="1" x14ac:dyDescent="0.3">
      <c r="A282" s="2">
        <v>5</v>
      </c>
      <c r="B282" s="3" t="s">
        <v>13</v>
      </c>
      <c r="C282" s="4" t="s">
        <v>14</v>
      </c>
      <c r="D282" s="4" t="s">
        <v>505</v>
      </c>
      <c r="E282" s="4" t="str">
        <f>VLOOKUP(C282,'[2]CTRL AUTOS'!$E$2:$L$58,8,FALSE)</f>
        <v>ASHC</v>
      </c>
      <c r="F282" s="61" t="str">
        <f>VLOOKUP(C282,'[2]CTRL AUTOS'!$E$2:$K$58,7,FALSE)</f>
        <v>ASHC</v>
      </c>
      <c r="G282" s="4" t="s">
        <v>234</v>
      </c>
      <c r="H282" s="62">
        <v>5763.66</v>
      </c>
      <c r="I282" s="62">
        <v>0</v>
      </c>
      <c r="J282" s="62">
        <v>0</v>
      </c>
      <c r="K282" s="62">
        <v>0</v>
      </c>
      <c r="L282" s="62">
        <v>0</v>
      </c>
      <c r="M282" s="62">
        <v>-27.88</v>
      </c>
      <c r="N282" s="62">
        <v>-149.00000000000003</v>
      </c>
      <c r="O282" s="62">
        <f t="shared" si="29"/>
        <v>5586.78</v>
      </c>
      <c r="P282" s="62">
        <v>-2700</v>
      </c>
      <c r="Q282" s="62">
        <v>0</v>
      </c>
      <c r="R282" s="62">
        <v>0</v>
      </c>
      <c r="S282" s="62">
        <v>0</v>
      </c>
      <c r="T282" s="62">
        <v>0</v>
      </c>
      <c r="U282" s="62">
        <v>0</v>
      </c>
      <c r="V282" s="62">
        <v>0</v>
      </c>
      <c r="W282" s="62">
        <f t="shared" si="25"/>
        <v>2886.7799999999997</v>
      </c>
      <c r="X282" s="62">
        <f t="shared" si="26"/>
        <v>2886.7799999999997</v>
      </c>
      <c r="Y282" s="62">
        <f t="shared" si="27"/>
        <v>0</v>
      </c>
      <c r="Z282" s="62">
        <v>0</v>
      </c>
      <c r="AA282" s="62">
        <f t="shared" si="30"/>
        <v>0</v>
      </c>
      <c r="AB282" s="62">
        <f t="shared" si="28"/>
        <v>2700</v>
      </c>
      <c r="AC282" s="62"/>
      <c r="AD282" s="62" t="s">
        <v>833</v>
      </c>
    </row>
    <row r="283" spans="1:42" ht="12.75" hidden="1" customHeight="1" x14ac:dyDescent="0.3">
      <c r="A283" s="2">
        <v>5</v>
      </c>
      <c r="B283" s="3" t="s">
        <v>80</v>
      </c>
      <c r="C283" s="4" t="s">
        <v>81</v>
      </c>
      <c r="D283" s="4" t="s">
        <v>317</v>
      </c>
      <c r="E283" s="4" t="str">
        <f>VLOOKUP(C283,'[2]CTRL AUTOS'!$E$2:$L$58,8,FALSE)</f>
        <v>ASHC</v>
      </c>
      <c r="F283" s="61" t="str">
        <f>VLOOKUP(C283,'[2]CTRL AUTOS'!$E$2:$K$58,7,FALSE)</f>
        <v>ASHC</v>
      </c>
      <c r="G283" s="4" t="s">
        <v>234</v>
      </c>
      <c r="H283" s="62">
        <v>0</v>
      </c>
      <c r="I283" s="62">
        <v>0</v>
      </c>
      <c r="J283" s="62">
        <v>0</v>
      </c>
      <c r="K283" s="62">
        <v>0</v>
      </c>
      <c r="L283" s="62">
        <v>0</v>
      </c>
      <c r="M283" s="62">
        <v>0</v>
      </c>
      <c r="N283" s="62">
        <v>0</v>
      </c>
      <c r="O283" s="62">
        <f t="shared" si="29"/>
        <v>0</v>
      </c>
      <c r="P283" s="62">
        <v>-2500</v>
      </c>
      <c r="Q283" s="62">
        <v>0</v>
      </c>
      <c r="R283" s="62">
        <v>0</v>
      </c>
      <c r="S283" s="62">
        <v>0</v>
      </c>
      <c r="T283" s="62">
        <f>VLOOKUP(B283,[2]HOJALATERÍA!$A$4:$BO$48,67,0)</f>
        <v>0</v>
      </c>
      <c r="U283" s="62">
        <v>0</v>
      </c>
      <c r="V283" s="62">
        <v>0</v>
      </c>
      <c r="W283" s="62">
        <f t="shared" si="25"/>
        <v>-2500</v>
      </c>
      <c r="X283" s="62">
        <f t="shared" si="26"/>
        <v>0</v>
      </c>
      <c r="Y283" s="62">
        <f t="shared" si="27"/>
        <v>-2500</v>
      </c>
      <c r="Z283" s="62">
        <v>2500</v>
      </c>
      <c r="AA283" s="62">
        <f t="shared" si="30"/>
        <v>0</v>
      </c>
      <c r="AB283" s="62">
        <f t="shared" si="28"/>
        <v>2500</v>
      </c>
      <c r="AC283" s="62"/>
      <c r="AD283" s="62" t="s">
        <v>834</v>
      </c>
    </row>
    <row r="284" spans="1:42" ht="12.75" hidden="1" customHeight="1" x14ac:dyDescent="0.3">
      <c r="A284" s="2">
        <v>5</v>
      </c>
      <c r="B284" s="3" t="s">
        <v>11</v>
      </c>
      <c r="C284" s="4" t="s">
        <v>12</v>
      </c>
      <c r="D284" s="4" t="s">
        <v>509</v>
      </c>
      <c r="E284" s="4" t="str">
        <f>VLOOKUP(C284,'[2]CTRL AUTOS'!$E$2:$L$58,8,FALSE)</f>
        <v>ASHC</v>
      </c>
      <c r="F284" s="61" t="str">
        <f>VLOOKUP(C284,'[2]CTRL AUTOS'!$E$2:$K$58,7,FALSE)</f>
        <v>ASHC</v>
      </c>
      <c r="G284" s="4" t="s">
        <v>234</v>
      </c>
      <c r="H284" s="62">
        <v>7751.88</v>
      </c>
      <c r="I284" s="62">
        <v>-2871.59</v>
      </c>
      <c r="J284" s="62">
        <v>0</v>
      </c>
      <c r="K284" s="62">
        <v>-7.16</v>
      </c>
      <c r="L284" s="62">
        <v>0</v>
      </c>
      <c r="M284" s="62">
        <v>-79.960000000000008</v>
      </c>
      <c r="N284" s="62">
        <v>-107.99999999999994</v>
      </c>
      <c r="O284" s="62">
        <f t="shared" si="29"/>
        <v>4685.17</v>
      </c>
      <c r="P284" s="62">
        <f>+(-385.714285714286)*6.5</f>
        <v>-2507.1428571428592</v>
      </c>
      <c r="Q284" s="62">
        <v>0</v>
      </c>
      <c r="R284" s="62">
        <v>0</v>
      </c>
      <c r="S284" s="62">
        <v>0</v>
      </c>
      <c r="T284" s="62">
        <v>0</v>
      </c>
      <c r="U284" s="62">
        <v>0</v>
      </c>
      <c r="V284" s="62">
        <v>0</v>
      </c>
      <c r="W284" s="62">
        <f t="shared" si="25"/>
        <v>2178.0271428571409</v>
      </c>
      <c r="X284" s="62">
        <f t="shared" si="26"/>
        <v>2178.0271428571409</v>
      </c>
      <c r="Y284" s="62">
        <f t="shared" si="27"/>
        <v>0</v>
      </c>
      <c r="Z284" s="62">
        <v>0</v>
      </c>
      <c r="AA284" s="62">
        <f t="shared" si="30"/>
        <v>0</v>
      </c>
      <c r="AB284" s="62">
        <f t="shared" si="28"/>
        <v>2507.1428571428592</v>
      </c>
      <c r="AC284" s="62"/>
      <c r="AD284" s="62" t="s">
        <v>835</v>
      </c>
    </row>
    <row r="285" spans="1:42" ht="12.75" hidden="1" customHeight="1" x14ac:dyDescent="0.3">
      <c r="A285" s="2">
        <v>5</v>
      </c>
      <c r="B285" s="3" t="s">
        <v>131</v>
      </c>
      <c r="C285" s="4" t="s">
        <v>116</v>
      </c>
      <c r="D285" s="4"/>
      <c r="E285" s="4" t="str">
        <f>VLOOKUP(C285,'[2]CTRL AUTOS'!$E$2:$L$58,8,FALSE)</f>
        <v>BYER</v>
      </c>
      <c r="F285" s="61" t="str">
        <f>VLOOKUP(C285,'[2]CTRL AUTOS'!$E$2:$K$58,7,FALSE)</f>
        <v>BYER</v>
      </c>
      <c r="G285" s="4" t="s">
        <v>234</v>
      </c>
      <c r="H285" s="62">
        <v>1562.9</v>
      </c>
      <c r="I285" s="62">
        <v>-479.14000000000004</v>
      </c>
      <c r="J285" s="62">
        <v>0</v>
      </c>
      <c r="K285" s="62">
        <v>0</v>
      </c>
      <c r="L285" s="62">
        <v>0</v>
      </c>
      <c r="M285" s="62">
        <v>-18.408141781956072</v>
      </c>
      <c r="N285" s="62">
        <v>0</v>
      </c>
      <c r="O285" s="62">
        <f t="shared" si="29"/>
        <v>1065.3518582180438</v>
      </c>
      <c r="P285" s="62">
        <f>(-2500/7)*1.15</f>
        <v>-410.71428571428572</v>
      </c>
      <c r="Q285" s="62">
        <v>0</v>
      </c>
      <c r="R285" s="62">
        <f>(-500/7)*1.5</f>
        <v>-107.14285714285714</v>
      </c>
      <c r="S285" s="62">
        <v>0</v>
      </c>
      <c r="T285" s="62">
        <v>0</v>
      </c>
      <c r="U285" s="62">
        <v>0</v>
      </c>
      <c r="V285" s="62">
        <v>0</v>
      </c>
      <c r="W285" s="62">
        <f t="shared" si="25"/>
        <v>547.49471536090095</v>
      </c>
      <c r="X285" s="62">
        <f t="shared" si="26"/>
        <v>547.49471536090095</v>
      </c>
      <c r="Y285" s="62">
        <f t="shared" si="27"/>
        <v>0</v>
      </c>
      <c r="Z285" s="62">
        <v>0</v>
      </c>
      <c r="AA285" s="62">
        <f t="shared" si="30"/>
        <v>0</v>
      </c>
      <c r="AB285" s="62">
        <f t="shared" si="28"/>
        <v>517.85714285714289</v>
      </c>
      <c r="AC285" s="62">
        <v>2000</v>
      </c>
      <c r="AD285" s="62" t="s">
        <v>836</v>
      </c>
    </row>
    <row r="286" spans="1:42" ht="12.75" hidden="1" customHeight="1" x14ac:dyDescent="0.3">
      <c r="A286" s="2">
        <v>5</v>
      </c>
      <c r="B286" s="3" t="s">
        <v>132</v>
      </c>
      <c r="C286" s="4" t="s">
        <v>54</v>
      </c>
      <c r="D286" s="4"/>
      <c r="E286" s="4" t="str">
        <f>VLOOKUP(C286,'[2]CTRL AUTOS'!$E$2:$L$58,8,FALSE)</f>
        <v>ASHC</v>
      </c>
      <c r="F286" s="61" t="str">
        <f>VLOOKUP(C286,'[2]CTRL AUTOS'!$E$2:$K$58,7,FALSE)</f>
        <v>ASHC</v>
      </c>
      <c r="G286" s="4" t="s">
        <v>234</v>
      </c>
      <c r="H286" s="62">
        <v>0</v>
      </c>
      <c r="I286" s="62">
        <v>0</v>
      </c>
      <c r="J286" s="62">
        <v>0</v>
      </c>
      <c r="K286" s="62">
        <v>0</v>
      </c>
      <c r="L286" s="62">
        <v>0</v>
      </c>
      <c r="M286" s="62">
        <v>0</v>
      </c>
      <c r="N286" s="62">
        <v>0</v>
      </c>
      <c r="O286" s="62">
        <f t="shared" si="29"/>
        <v>0</v>
      </c>
      <c r="P286" s="62">
        <f>(-2500/7)*1.15</f>
        <v>-410.71428571428572</v>
      </c>
      <c r="Q286" s="62">
        <v>0</v>
      </c>
      <c r="R286" s="62">
        <f>(-500/7)*1.5</f>
        <v>-107.14285714285714</v>
      </c>
      <c r="S286" s="62">
        <v>0</v>
      </c>
      <c r="T286" s="62">
        <v>0</v>
      </c>
      <c r="U286" s="62">
        <v>0</v>
      </c>
      <c r="V286" s="62">
        <v>0</v>
      </c>
      <c r="W286" s="62">
        <f t="shared" si="25"/>
        <v>-517.85714285714289</v>
      </c>
      <c r="X286" s="62">
        <f t="shared" si="26"/>
        <v>0</v>
      </c>
      <c r="Y286" s="62">
        <f t="shared" si="27"/>
        <v>-517.85714285714289</v>
      </c>
      <c r="Z286" s="62">
        <v>580</v>
      </c>
      <c r="AA286" s="62">
        <f t="shared" si="30"/>
        <v>62.14285714285711</v>
      </c>
      <c r="AB286" s="62">
        <f t="shared" si="28"/>
        <v>642.14285714285711</v>
      </c>
      <c r="AC286" s="62"/>
      <c r="AD286" s="62" t="s">
        <v>837</v>
      </c>
    </row>
    <row r="287" spans="1:42" ht="12.75" hidden="1" customHeight="1" x14ac:dyDescent="0.3">
      <c r="A287" s="2">
        <v>5</v>
      </c>
      <c r="B287" s="3" t="s">
        <v>115</v>
      </c>
      <c r="C287" s="4" t="s">
        <v>42</v>
      </c>
      <c r="D287" s="4" t="s">
        <v>755</v>
      </c>
      <c r="E287" s="4" t="str">
        <f>VLOOKUP(C287,'[2]CTRL AUTOS'!$E$2:$L$58,8,FALSE)</f>
        <v>ASHC</v>
      </c>
      <c r="F287" s="61" t="str">
        <f>VLOOKUP(C287,'[2]CTRL AUTOS'!$E$2:$K$58,7,FALSE)</f>
        <v>ASHC</v>
      </c>
      <c r="G287" s="4" t="s">
        <v>234</v>
      </c>
      <c r="H287" s="62">
        <v>5606.09</v>
      </c>
      <c r="I287" s="62">
        <v>-820.67000000000007</v>
      </c>
      <c r="J287" s="62">
        <v>-24</v>
      </c>
      <c r="K287" s="62">
        <v>0</v>
      </c>
      <c r="L287" s="62">
        <v>0</v>
      </c>
      <c r="M287" s="62">
        <v>-23</v>
      </c>
      <c r="N287" s="62">
        <v>0</v>
      </c>
      <c r="O287" s="62">
        <f>IF(H287+I287&lt;0,SUM(J287:N287),SUM(H287:N287))</f>
        <v>4738.42</v>
      </c>
      <c r="P287" s="62">
        <f>(-2500/7)*6</f>
        <v>-2142.8571428571431</v>
      </c>
      <c r="Q287" s="62">
        <v>0</v>
      </c>
      <c r="R287" s="62">
        <v>-500</v>
      </c>
      <c r="S287" s="62">
        <v>0</v>
      </c>
      <c r="T287" s="62">
        <v>0</v>
      </c>
      <c r="U287" s="62">
        <v>0</v>
      </c>
      <c r="V287" s="62">
        <v>0</v>
      </c>
      <c r="W287" s="62">
        <f t="shared" si="25"/>
        <v>2095.562857142857</v>
      </c>
      <c r="X287" s="62">
        <f>IF(W287&gt;=0,W287,0)</f>
        <v>2095.562857142857</v>
      </c>
      <c r="Y287" s="62">
        <f>IF(W287&lt;=0,W287,0)</f>
        <v>0</v>
      </c>
      <c r="Z287" s="62">
        <v>0</v>
      </c>
      <c r="AA287" s="62">
        <f>+Y287+Z287</f>
        <v>0</v>
      </c>
      <c r="AB287" s="62">
        <f t="shared" si="28"/>
        <v>2642.8571428571431</v>
      </c>
      <c r="AC287" s="62"/>
      <c r="AD287" s="62" t="s">
        <v>796</v>
      </c>
    </row>
    <row r="288" spans="1:42" ht="12.75" hidden="1" customHeight="1" x14ac:dyDescent="0.3">
      <c r="A288" s="2">
        <v>5</v>
      </c>
      <c r="B288" s="3" t="s">
        <v>61</v>
      </c>
      <c r="C288" s="4" t="s">
        <v>34</v>
      </c>
      <c r="D288" s="4" t="s">
        <v>285</v>
      </c>
      <c r="E288" s="4" t="str">
        <f>VLOOKUP(C288,'[2]CTRL AUTOS'!$E$2:$L$58,8,FALSE)</f>
        <v>ASHC</v>
      </c>
      <c r="F288" s="61" t="str">
        <f>VLOOKUP(C288,'[2]CTRL AUTOS'!$E$2:$K$58,7,FALSE)</f>
        <v>ASHC</v>
      </c>
      <c r="G288" s="4" t="s">
        <v>234</v>
      </c>
      <c r="H288" s="62">
        <v>0</v>
      </c>
      <c r="I288" s="62">
        <v>0</v>
      </c>
      <c r="J288" s="62">
        <v>0</v>
      </c>
      <c r="K288" s="62">
        <v>0</v>
      </c>
      <c r="L288" s="62">
        <v>0</v>
      </c>
      <c r="M288" s="62">
        <v>0</v>
      </c>
      <c r="N288" s="62">
        <v>0</v>
      </c>
      <c r="O288" s="62">
        <f>IF(H288+I288&lt;0,SUM(J288:N288),SUM(H288:N288))</f>
        <v>0</v>
      </c>
      <c r="P288" s="62">
        <v>0</v>
      </c>
      <c r="Q288" s="62">
        <v>0</v>
      </c>
      <c r="R288" s="62">
        <v>0</v>
      </c>
      <c r="S288" s="62">
        <v>0</v>
      </c>
      <c r="T288" s="62">
        <v>250</v>
      </c>
      <c r="U288" s="62">
        <v>0</v>
      </c>
      <c r="V288" s="62">
        <v>0</v>
      </c>
      <c r="W288" s="62">
        <f t="shared" si="25"/>
        <v>250</v>
      </c>
      <c r="X288" s="62">
        <f>IF(W288&gt;=0,W288,0)</f>
        <v>250</v>
      </c>
      <c r="Y288" s="62">
        <f>IF(W288&lt;=0,W288,0)</f>
        <v>0</v>
      </c>
      <c r="Z288" s="62">
        <v>0</v>
      </c>
      <c r="AA288" s="62">
        <f>+Y288+Z288</f>
        <v>0</v>
      </c>
      <c r="AB288" s="62">
        <f t="shared" si="28"/>
        <v>-250</v>
      </c>
      <c r="AC288" s="62"/>
      <c r="AD288" s="62" t="s">
        <v>838</v>
      </c>
    </row>
    <row r="289" spans="1:31" ht="12.75" hidden="1" customHeight="1" x14ac:dyDescent="0.3">
      <c r="A289" s="2">
        <v>5</v>
      </c>
      <c r="B289" s="3" t="s">
        <v>150</v>
      </c>
      <c r="C289" s="4" t="s">
        <v>104</v>
      </c>
      <c r="D289" s="4" t="s">
        <v>283</v>
      </c>
      <c r="E289" s="4" t="s">
        <v>232</v>
      </c>
      <c r="F289" s="61" t="s">
        <v>232</v>
      </c>
      <c r="G289" s="4" t="s">
        <v>425</v>
      </c>
      <c r="H289" s="62">
        <v>0</v>
      </c>
      <c r="I289" s="62">
        <v>0</v>
      </c>
      <c r="J289" s="62">
        <v>0</v>
      </c>
      <c r="K289" s="62">
        <v>0</v>
      </c>
      <c r="L289" s="62">
        <v>0</v>
      </c>
      <c r="M289" s="62">
        <v>0</v>
      </c>
      <c r="N289" s="62">
        <v>0</v>
      </c>
      <c r="O289" s="62">
        <f>IF(H289+I289&lt;0,SUM(J289:N289),SUM(H289:N289))</f>
        <v>0</v>
      </c>
      <c r="P289" s="62">
        <v>-357</v>
      </c>
      <c r="Q289" s="62">
        <v>0</v>
      </c>
      <c r="R289" s="62">
        <v>-71</v>
      </c>
      <c r="S289" s="62">
        <v>0</v>
      </c>
      <c r="T289" s="62">
        <v>0</v>
      </c>
      <c r="U289" s="62">
        <v>0</v>
      </c>
      <c r="V289" s="62">
        <v>0</v>
      </c>
      <c r="W289" s="62">
        <f t="shared" si="25"/>
        <v>-428</v>
      </c>
      <c r="X289" s="62">
        <f>IF(W289&gt;=0,W289,0)</f>
        <v>0</v>
      </c>
      <c r="Y289" s="62">
        <f>IF(W289&lt;=0,W289,0)</f>
        <v>-428</v>
      </c>
      <c r="Z289" s="62">
        <v>357</v>
      </c>
      <c r="AA289" s="62">
        <f>+Y289+Z289</f>
        <v>-71</v>
      </c>
      <c r="AB289" s="62">
        <f t="shared" si="28"/>
        <v>286</v>
      </c>
      <c r="AC289" s="62">
        <v>1000</v>
      </c>
      <c r="AD289" s="62" t="s">
        <v>839</v>
      </c>
    </row>
    <row r="290" spans="1:31" ht="12.75" hidden="1" customHeight="1" x14ac:dyDescent="0.3">
      <c r="A290" s="2">
        <v>6</v>
      </c>
      <c r="B290" s="3" t="s">
        <v>134</v>
      </c>
      <c r="C290" s="4" t="s">
        <v>52</v>
      </c>
      <c r="D290" s="4"/>
      <c r="E290" s="4" t="str">
        <f>VLOOKUP(C290,'[2]CTRL AUTOS'!$E$2:$L$58,8,FALSE)</f>
        <v>ASHC</v>
      </c>
      <c r="F290" s="61" t="str">
        <f>VLOOKUP(C290,'[2]CTRL AUTOS'!$E$2:$K$58,7,FALSE)</f>
        <v>ASHC</v>
      </c>
      <c r="G290" s="4" t="s">
        <v>234</v>
      </c>
      <c r="H290" s="62">
        <v>3774.54</v>
      </c>
      <c r="I290" s="62">
        <v>-122.54</v>
      </c>
      <c r="J290" s="62">
        <v>-54.4</v>
      </c>
      <c r="K290" s="62">
        <v>0</v>
      </c>
      <c r="L290" s="62">
        <v>0</v>
      </c>
      <c r="M290" s="62">
        <v>-15</v>
      </c>
      <c r="N290" s="62">
        <v>0</v>
      </c>
      <c r="O290" s="62">
        <f>IF(H290+I290&lt;0,SUM(J290:N290),SUM(H290:N290))</f>
        <v>3582.6</v>
      </c>
      <c r="P290" s="62">
        <f>(-2500/7)*6</f>
        <v>-2142.8571428571431</v>
      </c>
      <c r="Q290" s="62">
        <v>0</v>
      </c>
      <c r="R290" s="62">
        <f>(-500/7)*6</f>
        <v>-428.57142857142856</v>
      </c>
      <c r="S290" s="62">
        <v>0</v>
      </c>
      <c r="T290" s="62">
        <v>0</v>
      </c>
      <c r="U290" s="62">
        <v>-1031.02</v>
      </c>
      <c r="V290" s="62">
        <v>0</v>
      </c>
      <c r="W290" s="62">
        <f t="shared" si="25"/>
        <v>-19.848571428571745</v>
      </c>
      <c r="X290" s="62">
        <f>IF(W290&gt;=0,W290,0)</f>
        <v>0</v>
      </c>
      <c r="Y290" s="62">
        <f t="shared" ref="Y290:Y350" si="31">IF(W290&lt;=0,W290,0)</f>
        <v>-19.848571428571745</v>
      </c>
      <c r="Z290" s="62">
        <f>1000+20</f>
        <v>1020</v>
      </c>
      <c r="AA290" s="62">
        <f t="shared" ref="AA290:AA350" si="32">+Y290+Z290</f>
        <v>1000.1514285714283</v>
      </c>
      <c r="AB290" s="62">
        <f t="shared" si="28"/>
        <v>5602.7514285714287</v>
      </c>
      <c r="AC290" s="62"/>
      <c r="AD290" s="62" t="s">
        <v>840</v>
      </c>
    </row>
    <row r="291" spans="1:31" hidden="1" x14ac:dyDescent="0.3">
      <c r="A291" s="2">
        <v>6</v>
      </c>
      <c r="B291" s="3" t="s">
        <v>66</v>
      </c>
      <c r="C291" s="4" t="s">
        <v>67</v>
      </c>
      <c r="D291" s="4" t="s">
        <v>511</v>
      </c>
      <c r="E291" s="4" t="str">
        <f>VLOOKUP(C291,'[2]CTRL AUTOS'!$E$2:$L$58,8,FALSE)</f>
        <v>ASHC</v>
      </c>
      <c r="F291" s="61" t="str">
        <f>VLOOKUP(C291,'[2]CTRL AUTOS'!$E$2:$K$58,7,FALSE)</f>
        <v>ASHC</v>
      </c>
      <c r="G291" s="4" t="s">
        <v>234</v>
      </c>
      <c r="H291" s="62">
        <v>383.32</v>
      </c>
      <c r="I291" s="62">
        <v>-124.59</v>
      </c>
      <c r="J291" s="62">
        <v>0</v>
      </c>
      <c r="K291" s="62">
        <v>0</v>
      </c>
      <c r="L291" s="62">
        <v>-3.08</v>
      </c>
      <c r="M291" s="62">
        <v>-15</v>
      </c>
      <c r="N291" s="62">
        <v>0</v>
      </c>
      <c r="O291" s="62">
        <f>IF(H291+I291&lt;0,SUM(J291:N291),SUM(H291:N291))</f>
        <v>240.65</v>
      </c>
      <c r="P291" s="62">
        <f>(-2500/7)*2.5</f>
        <v>-892.85714285714289</v>
      </c>
      <c r="Q291" s="62">
        <f>-2590*1.12</f>
        <v>-2900.8</v>
      </c>
      <c r="R291" s="62">
        <v>4179</v>
      </c>
      <c r="S291" s="62">
        <v>0</v>
      </c>
      <c r="T291" s="62">
        <v>0</v>
      </c>
      <c r="U291" s="62">
        <v>-835.8</v>
      </c>
      <c r="V291" s="62">
        <v>0</v>
      </c>
      <c r="W291" s="62">
        <f t="shared" si="25"/>
        <v>-209.80714285714316</v>
      </c>
      <c r="X291" s="62">
        <v>0</v>
      </c>
      <c r="Y291" s="62">
        <f t="shared" si="31"/>
        <v>-209.80714285714316</v>
      </c>
      <c r="Z291" s="62">
        <v>0</v>
      </c>
      <c r="AA291" s="62">
        <f t="shared" si="32"/>
        <v>-209.80714285714316</v>
      </c>
      <c r="AB291" s="62">
        <f t="shared" si="28"/>
        <v>30.842857142856843</v>
      </c>
      <c r="AC291" s="62"/>
      <c r="AD291" s="62" t="s">
        <v>841</v>
      </c>
      <c r="AE291" s="50" t="s">
        <v>410</v>
      </c>
    </row>
    <row r="292" spans="1:31" hidden="1" x14ac:dyDescent="0.3">
      <c r="A292" s="2">
        <v>6</v>
      </c>
      <c r="B292" s="3" t="s">
        <v>135</v>
      </c>
      <c r="C292" s="4" t="s">
        <v>10</v>
      </c>
      <c r="D292" s="4" t="s">
        <v>343</v>
      </c>
      <c r="E292" s="4" t="str">
        <f>VLOOKUP(C292,'[2]CTRL AUTOS'!$E$2:$L$58,8,FALSE)</f>
        <v>ASHC</v>
      </c>
      <c r="F292" s="61" t="str">
        <f>VLOOKUP(C292,'[2]CTRL AUTOS'!$E$2:$K$58,7,FALSE)</f>
        <v>ASHC</v>
      </c>
      <c r="G292" s="4" t="s">
        <v>234</v>
      </c>
      <c r="H292" s="62">
        <v>4309.24</v>
      </c>
      <c r="I292" s="62">
        <v>-2152.4100000000003</v>
      </c>
      <c r="J292" s="62">
        <v>-54.4</v>
      </c>
      <c r="K292" s="62">
        <v>0</v>
      </c>
      <c r="L292" s="62">
        <v>0</v>
      </c>
      <c r="M292" s="62">
        <v>-180</v>
      </c>
      <c r="N292" s="62">
        <v>0</v>
      </c>
      <c r="O292" s="62">
        <f t="shared" ref="O292:O350" si="33">IF(H292+I292&lt;0,SUM(J292:N292),SUM(H292:N292))</f>
        <v>1922.4299999999994</v>
      </c>
      <c r="P292" s="62">
        <f>(-2500/7)*4.5</f>
        <v>-1607.1428571428573</v>
      </c>
      <c r="Q292" s="62">
        <v>0</v>
      </c>
      <c r="R292" s="62">
        <f>(-500/7)*4.5</f>
        <v>-321.42857142857144</v>
      </c>
      <c r="S292" s="62">
        <v>0</v>
      </c>
      <c r="T292" s="62">
        <v>0</v>
      </c>
      <c r="U292" s="62">
        <v>0</v>
      </c>
      <c r="V292" s="62">
        <v>0</v>
      </c>
      <c r="W292" s="62">
        <f t="shared" si="25"/>
        <v>-6.141428571429401</v>
      </c>
      <c r="X292" s="62">
        <v>0</v>
      </c>
      <c r="Y292" s="62">
        <f t="shared" si="31"/>
        <v>-6.141428571429401</v>
      </c>
      <c r="Z292" s="62">
        <v>6</v>
      </c>
      <c r="AA292" s="62">
        <f t="shared" si="32"/>
        <v>-0.14142857142940102</v>
      </c>
      <c r="AB292" s="62">
        <f t="shared" si="28"/>
        <v>1928.2885714285699</v>
      </c>
      <c r="AC292" s="62">
        <v>2000</v>
      </c>
      <c r="AD292" s="62" t="s">
        <v>842</v>
      </c>
    </row>
    <row r="293" spans="1:31" hidden="1" x14ac:dyDescent="0.3">
      <c r="A293" s="2">
        <v>6</v>
      </c>
      <c r="B293" s="3" t="s">
        <v>33</v>
      </c>
      <c r="C293" s="4" t="s">
        <v>67</v>
      </c>
      <c r="D293" s="4" t="s">
        <v>504</v>
      </c>
      <c r="E293" s="4" t="str">
        <f>VLOOKUP(C293,'[2]CTRL AUTOS'!$E$2:$L$58,8,FALSE)</f>
        <v>ASHC</v>
      </c>
      <c r="F293" s="61" t="str">
        <f>VLOOKUP(C293,'[2]CTRL AUTOS'!$E$2:$K$58,7,FALSE)</f>
        <v>ASHC</v>
      </c>
      <c r="G293" s="4" t="s">
        <v>234</v>
      </c>
      <c r="H293" s="62">
        <v>3370.8</v>
      </c>
      <c r="I293" s="62">
        <v>-565.26</v>
      </c>
      <c r="J293" s="62">
        <v>0</v>
      </c>
      <c r="K293" s="62">
        <v>0</v>
      </c>
      <c r="L293" s="62">
        <v>-35.700000000000003</v>
      </c>
      <c r="M293" s="62">
        <f>-75-8.28</f>
        <v>-83.28</v>
      </c>
      <c r="N293" s="62">
        <v>-69</v>
      </c>
      <c r="O293" s="62">
        <f t="shared" si="33"/>
        <v>2617.56</v>
      </c>
      <c r="P293" s="62">
        <f>(-2500/7)*4.5</f>
        <v>-1607.1428571428573</v>
      </c>
      <c r="Q293" s="62">
        <v>-4084</v>
      </c>
      <c r="R293" s="62">
        <v>-500</v>
      </c>
      <c r="S293" s="62">
        <v>0</v>
      </c>
      <c r="T293" s="62">
        <v>0</v>
      </c>
      <c r="U293" s="62">
        <v>0</v>
      </c>
      <c r="V293" s="62">
        <v>0</v>
      </c>
      <c r="W293" s="62">
        <f t="shared" si="25"/>
        <v>-3573.5828571428574</v>
      </c>
      <c r="X293" s="62">
        <f t="shared" ref="X293:X350" si="34">IF(W293&gt;=0,W293,0)</f>
        <v>0</v>
      </c>
      <c r="Y293" s="62">
        <f t="shared" si="31"/>
        <v>-3573.5828571428574</v>
      </c>
      <c r="Z293" s="62">
        <v>0</v>
      </c>
      <c r="AA293" s="62">
        <f t="shared" si="32"/>
        <v>-3573.5828571428574</v>
      </c>
      <c r="AB293" s="62">
        <f t="shared" si="28"/>
        <v>-956.02285714285745</v>
      </c>
      <c r="AC293" s="62"/>
      <c r="AD293" s="62" t="s">
        <v>843</v>
      </c>
    </row>
    <row r="294" spans="1:31" hidden="1" x14ac:dyDescent="0.3">
      <c r="A294" s="2">
        <v>6</v>
      </c>
      <c r="B294" s="3" t="s">
        <v>120</v>
      </c>
      <c r="C294" s="4" t="s">
        <v>44</v>
      </c>
      <c r="D294" s="4"/>
      <c r="E294" s="4" t="str">
        <f>VLOOKUP(C294,'[2]CTRL AUTOS'!$E$2:$L$58,8,FALSE)</f>
        <v>ASHC</v>
      </c>
      <c r="F294" s="61" t="str">
        <f>VLOOKUP(C294,'[2]CTRL AUTOS'!$E$2:$K$58,7,FALSE)</f>
        <v>ASHC</v>
      </c>
      <c r="G294" s="4" t="s">
        <v>234</v>
      </c>
      <c r="H294" s="62">
        <v>0</v>
      </c>
      <c r="I294" s="62">
        <v>0</v>
      </c>
      <c r="J294" s="62">
        <v>0</v>
      </c>
      <c r="K294" s="62">
        <v>0</v>
      </c>
      <c r="L294" s="62">
        <v>0</v>
      </c>
      <c r="M294" s="62">
        <v>0</v>
      </c>
      <c r="N294" s="62">
        <v>0</v>
      </c>
      <c r="O294" s="62">
        <f t="shared" si="33"/>
        <v>0</v>
      </c>
      <c r="P294" s="62">
        <f>(-2500/7)*0.5</f>
        <v>-178.57142857142858</v>
      </c>
      <c r="Q294" s="62">
        <v>0</v>
      </c>
      <c r="R294" s="62">
        <v>0</v>
      </c>
      <c r="S294" s="62">
        <v>0</v>
      </c>
      <c r="T294" s="62">
        <v>0</v>
      </c>
      <c r="U294" s="62">
        <v>0</v>
      </c>
      <c r="V294" s="62">
        <v>0</v>
      </c>
      <c r="W294" s="62">
        <f t="shared" si="25"/>
        <v>-178.57142857142858</v>
      </c>
      <c r="X294" s="62">
        <f t="shared" si="34"/>
        <v>0</v>
      </c>
      <c r="Y294" s="62">
        <f t="shared" si="31"/>
        <v>-178.57142857142858</v>
      </c>
      <c r="Z294" s="62">
        <v>179</v>
      </c>
      <c r="AA294" s="62">
        <f t="shared" si="32"/>
        <v>0.42857142857141639</v>
      </c>
      <c r="AB294" s="62">
        <f t="shared" si="28"/>
        <v>179.42857142857142</v>
      </c>
      <c r="AC294" s="62"/>
      <c r="AD294" s="62" t="s">
        <v>844</v>
      </c>
    </row>
    <row r="295" spans="1:31" hidden="1" x14ac:dyDescent="0.3">
      <c r="A295" s="2">
        <v>6</v>
      </c>
      <c r="B295" s="3" t="s">
        <v>120</v>
      </c>
      <c r="C295" s="4" t="s">
        <v>38</v>
      </c>
      <c r="D295" s="4"/>
      <c r="E295" s="4" t="str">
        <f>VLOOKUP(C295,'[2]CTRL AUTOS'!$E$2:$L$58,8,FALSE)</f>
        <v>ASHC</v>
      </c>
      <c r="F295" s="61" t="str">
        <f>VLOOKUP(C295,'[2]CTRL AUTOS'!$E$2:$K$58,7,FALSE)</f>
        <v>ASHC</v>
      </c>
      <c r="G295" s="4" t="s">
        <v>234</v>
      </c>
      <c r="H295" s="62">
        <v>3605.3</v>
      </c>
      <c r="I295" s="62">
        <v>-997.6400000000001</v>
      </c>
      <c r="J295" s="62">
        <v>-108</v>
      </c>
      <c r="K295" s="62">
        <v>0</v>
      </c>
      <c r="L295" s="62">
        <v>0</v>
      </c>
      <c r="M295" s="62">
        <f>-85-39.12</f>
        <v>-124.12</v>
      </c>
      <c r="N295" s="62">
        <v>-326</v>
      </c>
      <c r="O295" s="62">
        <f t="shared" si="33"/>
        <v>2049.54</v>
      </c>
      <c r="P295" s="62">
        <f>(-2500/7)*6.5</f>
        <v>-2321.4285714285716</v>
      </c>
      <c r="Q295" s="62">
        <v>0</v>
      </c>
      <c r="R295" s="62">
        <v>-500</v>
      </c>
      <c r="S295" s="62">
        <v>0</v>
      </c>
      <c r="T295" s="62">
        <v>0</v>
      </c>
      <c r="U295" s="62">
        <v>0</v>
      </c>
      <c r="V295" s="62">
        <v>0</v>
      </c>
      <c r="W295" s="62">
        <f t="shared" si="25"/>
        <v>-771.88857142857159</v>
      </c>
      <c r="X295" s="62">
        <f t="shared" si="34"/>
        <v>0</v>
      </c>
      <c r="Y295" s="62">
        <f t="shared" si="31"/>
        <v>-771.88857142857159</v>
      </c>
      <c r="Z295" s="62">
        <f>621+151</f>
        <v>772</v>
      </c>
      <c r="AA295" s="62">
        <f t="shared" si="32"/>
        <v>0.11142857142840512</v>
      </c>
      <c r="AB295" s="62">
        <f t="shared" si="28"/>
        <v>2821.6514285714284</v>
      </c>
      <c r="AC295" s="62"/>
      <c r="AD295" s="62"/>
    </row>
    <row r="296" spans="1:31" hidden="1" x14ac:dyDescent="0.3">
      <c r="A296" s="2">
        <v>6</v>
      </c>
      <c r="B296" s="3" t="s">
        <v>33</v>
      </c>
      <c r="C296" s="4" t="s">
        <v>34</v>
      </c>
      <c r="D296" s="4"/>
      <c r="E296" s="4" t="str">
        <f>VLOOKUP(C296,'[2]CTRL AUTOS'!$E$2:$L$58,8,FALSE)</f>
        <v>ASHC</v>
      </c>
      <c r="F296" s="61" t="str">
        <f>VLOOKUP(C296,'[2]CTRL AUTOS'!$E$2:$K$58,7,FALSE)</f>
        <v>ASHC</v>
      </c>
      <c r="G296" s="4" t="s">
        <v>234</v>
      </c>
      <c r="H296" s="62">
        <v>0</v>
      </c>
      <c r="I296" s="62">
        <v>0</v>
      </c>
      <c r="J296" s="62">
        <v>0</v>
      </c>
      <c r="K296" s="62">
        <v>0</v>
      </c>
      <c r="L296" s="62">
        <v>0</v>
      </c>
      <c r="M296" s="62">
        <v>0</v>
      </c>
      <c r="N296" s="62">
        <v>0</v>
      </c>
      <c r="O296" s="62">
        <f t="shared" si="33"/>
        <v>0</v>
      </c>
      <c r="P296" s="62">
        <f>(-2500/7)*2.5</f>
        <v>-892.85714285714289</v>
      </c>
      <c r="Q296" s="62">
        <v>0</v>
      </c>
      <c r="R296" s="62">
        <v>0</v>
      </c>
      <c r="S296" s="62">
        <v>0</v>
      </c>
      <c r="T296" s="62">
        <v>0</v>
      </c>
      <c r="U296" s="62">
        <v>0</v>
      </c>
      <c r="V296" s="62">
        <v>0</v>
      </c>
      <c r="W296" s="62">
        <f t="shared" si="25"/>
        <v>-892.85714285714289</v>
      </c>
      <c r="X296" s="62">
        <f t="shared" si="34"/>
        <v>0</v>
      </c>
      <c r="Y296" s="62">
        <f t="shared" si="31"/>
        <v>-892.85714285714289</v>
      </c>
      <c r="Z296" s="62">
        <v>500</v>
      </c>
      <c r="AA296" s="62">
        <f t="shared" si="32"/>
        <v>-392.85714285714289</v>
      </c>
      <c r="AB296" s="62">
        <f t="shared" si="28"/>
        <v>107.14285714285711</v>
      </c>
      <c r="AC296" s="62"/>
      <c r="AD296" s="62"/>
    </row>
    <row r="297" spans="1:31" hidden="1" x14ac:dyDescent="0.3">
      <c r="A297" s="2">
        <v>6</v>
      </c>
      <c r="B297" s="3" t="s">
        <v>136</v>
      </c>
      <c r="C297" s="4" t="s">
        <v>56</v>
      </c>
      <c r="D297" s="4"/>
      <c r="E297" s="4" t="str">
        <f>VLOOKUP(C297,'[2]CTRL AUTOS'!$E$2:$L$58,8,FALSE)</f>
        <v>U64</v>
      </c>
      <c r="F297" s="61" t="str">
        <f>VLOOKUP(C297,'[2]CTRL AUTOS'!$E$2:$K$58,7,FALSE)</f>
        <v>BYER</v>
      </c>
      <c r="G297" s="4" t="s">
        <v>234</v>
      </c>
      <c r="H297" s="62">
        <v>7030.31</v>
      </c>
      <c r="I297" s="62">
        <v>-2922.15</v>
      </c>
      <c r="J297" s="62">
        <v>-246.4</v>
      </c>
      <c r="K297" s="62">
        <v>0</v>
      </c>
      <c r="L297" s="62">
        <v>0</v>
      </c>
      <c r="M297" s="62">
        <v>-101</v>
      </c>
      <c r="N297" s="62">
        <v>0</v>
      </c>
      <c r="O297" s="62">
        <f t="shared" si="33"/>
        <v>3760.7599999999998</v>
      </c>
      <c r="P297" s="62">
        <f>(-2500/7)*4</f>
        <v>-1428.5714285714287</v>
      </c>
      <c r="Q297" s="62">
        <v>0</v>
      </c>
      <c r="R297" s="62">
        <f>+(-500/7)*4</f>
        <v>-285.71428571428572</v>
      </c>
      <c r="S297" s="62">
        <v>0</v>
      </c>
      <c r="T297" s="62">
        <v>0</v>
      </c>
      <c r="U297" s="62">
        <v>0</v>
      </c>
      <c r="V297" s="62">
        <v>0</v>
      </c>
      <c r="W297" s="62">
        <f t="shared" si="25"/>
        <v>2046.4742857142851</v>
      </c>
      <c r="X297" s="62">
        <f t="shared" si="34"/>
        <v>2046.4742857142851</v>
      </c>
      <c r="Y297" s="62">
        <f t="shared" si="31"/>
        <v>0</v>
      </c>
      <c r="Z297" s="62">
        <v>0</v>
      </c>
      <c r="AA297" s="62">
        <f t="shared" si="32"/>
        <v>0</v>
      </c>
      <c r="AB297" s="62">
        <f t="shared" si="28"/>
        <v>1714.2857142857147</v>
      </c>
      <c r="AC297" s="62">
        <v>2000</v>
      </c>
      <c r="AD297" s="62" t="s">
        <v>845</v>
      </c>
    </row>
    <row r="298" spans="1:31" hidden="1" x14ac:dyDescent="0.3">
      <c r="A298" s="2">
        <v>6</v>
      </c>
      <c r="B298" s="3" t="s">
        <v>37</v>
      </c>
      <c r="C298" s="4" t="s">
        <v>24</v>
      </c>
      <c r="D298" s="4"/>
      <c r="E298" s="4" t="str">
        <f>VLOOKUP(C298,'[2]CTRL AUTOS'!$E$2:$L$58,8,FALSE)</f>
        <v>ASHC</v>
      </c>
      <c r="F298" s="61" t="str">
        <f>VLOOKUP(C298,'[2]CTRL AUTOS'!$E$2:$K$58,7,FALSE)</f>
        <v>ASHC</v>
      </c>
      <c r="G298" s="4" t="s">
        <v>234</v>
      </c>
      <c r="H298" s="62">
        <v>3405.77</v>
      </c>
      <c r="I298" s="62">
        <v>-1044.8399999999999</v>
      </c>
      <c r="J298" s="62">
        <v>0</v>
      </c>
      <c r="K298" s="62">
        <v>0</v>
      </c>
      <c r="L298" s="62">
        <v>0</v>
      </c>
      <c r="M298" s="62">
        <v>-98</v>
      </c>
      <c r="N298" s="62">
        <v>0</v>
      </c>
      <c r="O298" s="62">
        <f t="shared" si="33"/>
        <v>2262.9300000000003</v>
      </c>
      <c r="P298" s="62">
        <f>(-2500/7)*4</f>
        <v>-1428.5714285714287</v>
      </c>
      <c r="Q298" s="62">
        <v>0</v>
      </c>
      <c r="R298" s="62">
        <v>0</v>
      </c>
      <c r="S298" s="62">
        <v>0</v>
      </c>
      <c r="T298" s="62">
        <v>0</v>
      </c>
      <c r="U298" s="62">
        <v>0</v>
      </c>
      <c r="V298" s="62">
        <v>0</v>
      </c>
      <c r="W298" s="62">
        <f t="shared" si="25"/>
        <v>834.35857142857162</v>
      </c>
      <c r="X298" s="62">
        <f t="shared" si="34"/>
        <v>834.35857142857162</v>
      </c>
      <c r="Y298" s="62">
        <f t="shared" si="31"/>
        <v>0</v>
      </c>
      <c r="Z298" s="62">
        <v>0</v>
      </c>
      <c r="AA298" s="62">
        <f t="shared" si="32"/>
        <v>0</v>
      </c>
      <c r="AB298" s="62">
        <f t="shared" si="28"/>
        <v>1428.5714285714287</v>
      </c>
      <c r="AC298" s="62"/>
      <c r="AD298" s="62" t="s">
        <v>846</v>
      </c>
    </row>
    <row r="299" spans="1:31" hidden="1" x14ac:dyDescent="0.3">
      <c r="A299" s="2">
        <v>6</v>
      </c>
      <c r="B299" s="3" t="s">
        <v>11</v>
      </c>
      <c r="C299" s="4" t="s">
        <v>12</v>
      </c>
      <c r="D299" s="4" t="s">
        <v>509</v>
      </c>
      <c r="E299" s="4" t="str">
        <f>VLOOKUP(C299,'[2]CTRL AUTOS'!$E$2:$L$58,8,FALSE)</f>
        <v>ASHC</v>
      </c>
      <c r="F299" s="61" t="str">
        <f>VLOOKUP(C299,'[2]CTRL AUTOS'!$E$2:$K$58,7,FALSE)</f>
        <v>ASHC</v>
      </c>
      <c r="G299" s="4" t="s">
        <v>234</v>
      </c>
      <c r="H299" s="62">
        <v>6054.92</v>
      </c>
      <c r="I299" s="62">
        <v>-1875.88</v>
      </c>
      <c r="J299" s="62">
        <v>0</v>
      </c>
      <c r="K299" s="62">
        <v>0</v>
      </c>
      <c r="L299" s="62">
        <v>0</v>
      </c>
      <c r="M299" s="62">
        <v>-98</v>
      </c>
      <c r="N299" s="62">
        <v>0</v>
      </c>
      <c r="O299" s="62">
        <f t="shared" si="33"/>
        <v>4081.04</v>
      </c>
      <c r="P299" s="62">
        <v>-2700</v>
      </c>
      <c r="Q299" s="62">
        <v>0</v>
      </c>
      <c r="R299" s="62">
        <v>0</v>
      </c>
      <c r="S299" s="62">
        <v>0</v>
      </c>
      <c r="T299" s="62">
        <v>0</v>
      </c>
      <c r="U299" s="62">
        <v>0</v>
      </c>
      <c r="V299" s="62">
        <v>0</v>
      </c>
      <c r="W299" s="62">
        <f t="shared" si="25"/>
        <v>1381.04</v>
      </c>
      <c r="X299" s="62">
        <f t="shared" si="34"/>
        <v>1381.04</v>
      </c>
      <c r="Y299" s="62">
        <f t="shared" si="31"/>
        <v>0</v>
      </c>
      <c r="Z299" s="62">
        <v>0</v>
      </c>
      <c r="AA299" s="62">
        <f t="shared" si="32"/>
        <v>0</v>
      </c>
      <c r="AB299" s="62">
        <f t="shared" si="28"/>
        <v>2700</v>
      </c>
      <c r="AC299" s="62"/>
      <c r="AD299" s="62"/>
    </row>
    <row r="300" spans="1:31" hidden="1" x14ac:dyDescent="0.3">
      <c r="A300" s="2">
        <v>6</v>
      </c>
      <c r="B300" s="3" t="s">
        <v>80</v>
      </c>
      <c r="C300" s="4" t="s">
        <v>81</v>
      </c>
      <c r="D300" s="4" t="s">
        <v>317</v>
      </c>
      <c r="E300" s="4" t="str">
        <f>VLOOKUP(C300,'[2]CTRL AUTOS'!$E$2:$L$58,8,FALSE)</f>
        <v>ASHC</v>
      </c>
      <c r="F300" s="61" t="str">
        <f>VLOOKUP(C300,'[2]CTRL AUTOS'!$E$2:$K$58,7,FALSE)</f>
        <v>ASHC</v>
      </c>
      <c r="G300" s="4" t="s">
        <v>234</v>
      </c>
      <c r="H300" s="62">
        <v>0</v>
      </c>
      <c r="I300" s="62">
        <v>0</v>
      </c>
      <c r="J300" s="62">
        <v>0</v>
      </c>
      <c r="K300" s="62">
        <v>0</v>
      </c>
      <c r="L300" s="62">
        <v>0</v>
      </c>
      <c r="M300" s="62">
        <v>0</v>
      </c>
      <c r="N300" s="62">
        <v>0</v>
      </c>
      <c r="O300" s="62">
        <f t="shared" si="33"/>
        <v>0</v>
      </c>
      <c r="P300" s="62">
        <v>-2500</v>
      </c>
      <c r="Q300" s="62">
        <v>0</v>
      </c>
      <c r="R300" s="62">
        <v>0</v>
      </c>
      <c r="S300" s="62">
        <v>0</v>
      </c>
      <c r="T300" s="62">
        <v>0</v>
      </c>
      <c r="U300" s="62">
        <v>0</v>
      </c>
      <c r="V300" s="62">
        <v>0</v>
      </c>
      <c r="W300" s="62">
        <f t="shared" si="25"/>
        <v>-2500</v>
      </c>
      <c r="X300" s="62">
        <f t="shared" si="34"/>
        <v>0</v>
      </c>
      <c r="Y300" s="62">
        <f t="shared" si="31"/>
        <v>-2500</v>
      </c>
      <c r="Z300" s="62">
        <v>2500</v>
      </c>
      <c r="AA300" s="62">
        <f t="shared" si="32"/>
        <v>0</v>
      </c>
      <c r="AB300" s="62">
        <f t="shared" si="28"/>
        <v>2500</v>
      </c>
      <c r="AC300" s="62"/>
      <c r="AD300" s="62" t="s">
        <v>847</v>
      </c>
    </row>
    <row r="301" spans="1:31" hidden="1" x14ac:dyDescent="0.3">
      <c r="A301" s="2">
        <v>6</v>
      </c>
      <c r="B301" s="3" t="s">
        <v>13</v>
      </c>
      <c r="C301" s="4" t="s">
        <v>14</v>
      </c>
      <c r="D301" s="4" t="s">
        <v>505</v>
      </c>
      <c r="E301" s="4" t="str">
        <f>VLOOKUP(C301,'[2]CTRL AUTOS'!$E$2:$L$58,8,FALSE)</f>
        <v>ASHC</v>
      </c>
      <c r="F301" s="61" t="str">
        <f>VLOOKUP(C301,'[2]CTRL AUTOS'!$E$2:$K$58,7,FALSE)</f>
        <v>ASHC</v>
      </c>
      <c r="G301" s="4" t="s">
        <v>234</v>
      </c>
      <c r="H301" s="62">
        <v>5664.12</v>
      </c>
      <c r="I301" s="62">
        <v>0</v>
      </c>
      <c r="J301" s="62">
        <v>0</v>
      </c>
      <c r="K301" s="62">
        <v>0</v>
      </c>
      <c r="L301" s="62">
        <v>0</v>
      </c>
      <c r="M301" s="62">
        <v>-5</v>
      </c>
      <c r="N301" s="62">
        <v>-35</v>
      </c>
      <c r="O301" s="62">
        <f t="shared" si="33"/>
        <v>5624.12</v>
      </c>
      <c r="P301" s="62">
        <v>-2700</v>
      </c>
      <c r="Q301" s="62">
        <v>0</v>
      </c>
      <c r="R301" s="62">
        <v>0</v>
      </c>
      <c r="S301" s="62">
        <v>0</v>
      </c>
      <c r="T301" s="62">
        <v>0</v>
      </c>
      <c r="U301" s="62">
        <v>0</v>
      </c>
      <c r="V301" s="62">
        <v>0</v>
      </c>
      <c r="W301" s="62">
        <f t="shared" si="25"/>
        <v>2924.12</v>
      </c>
      <c r="X301" s="62">
        <f t="shared" si="34"/>
        <v>2924.12</v>
      </c>
      <c r="Y301" s="62">
        <f t="shared" si="31"/>
        <v>0</v>
      </c>
      <c r="Z301" s="62">
        <v>0</v>
      </c>
      <c r="AA301" s="62">
        <f t="shared" si="32"/>
        <v>0</v>
      </c>
      <c r="AB301" s="62">
        <f t="shared" si="28"/>
        <v>2700</v>
      </c>
      <c r="AC301" s="62"/>
      <c r="AD301" s="62"/>
    </row>
    <row r="302" spans="1:31" hidden="1" x14ac:dyDescent="0.3">
      <c r="A302" s="2">
        <v>6</v>
      </c>
      <c r="B302" s="3" t="s">
        <v>111</v>
      </c>
      <c r="C302" s="4" t="s">
        <v>63</v>
      </c>
      <c r="D302" s="4" t="s">
        <v>374</v>
      </c>
      <c r="E302" s="4" t="str">
        <f>VLOOKUP(C302,'[2]CTRL AUTOS'!$E$2:$L$58,8,FALSE)</f>
        <v>BYER</v>
      </c>
      <c r="F302" s="61" t="str">
        <f>VLOOKUP(C302,'[2]CTRL AUTOS'!$E$2:$K$58,7,FALSE)</f>
        <v>BYER</v>
      </c>
      <c r="G302" s="4" t="s">
        <v>234</v>
      </c>
      <c r="H302" s="62">
        <v>3380.53</v>
      </c>
      <c r="I302" s="62">
        <v>-771.51</v>
      </c>
      <c r="J302" s="62">
        <v>0</v>
      </c>
      <c r="K302" s="62">
        <v>14.68</v>
      </c>
      <c r="L302" s="62">
        <v>0</v>
      </c>
      <c r="M302" s="62">
        <f>I302*0.05</f>
        <v>-38.575500000000005</v>
      </c>
      <c r="N302" s="62">
        <v>0</v>
      </c>
      <c r="O302" s="62">
        <f t="shared" si="33"/>
        <v>2585.1245000000004</v>
      </c>
      <c r="P302" s="62">
        <v>-2500</v>
      </c>
      <c r="Q302" s="62">
        <v>0</v>
      </c>
      <c r="R302" s="62">
        <v>0</v>
      </c>
      <c r="S302" s="62">
        <v>0</v>
      </c>
      <c r="T302" s="62">
        <v>0</v>
      </c>
      <c r="U302" s="62">
        <v>0</v>
      </c>
      <c r="V302" s="62">
        <v>0</v>
      </c>
      <c r="W302" s="62">
        <f t="shared" si="25"/>
        <v>85.124500000000353</v>
      </c>
      <c r="X302" s="62">
        <f t="shared" si="34"/>
        <v>85.124500000000353</v>
      </c>
      <c r="Y302" s="62">
        <f t="shared" si="31"/>
        <v>0</v>
      </c>
      <c r="Z302" s="62">
        <v>0</v>
      </c>
      <c r="AA302" s="62">
        <f t="shared" si="32"/>
        <v>0</v>
      </c>
      <c r="AB302" s="62">
        <f t="shared" si="28"/>
        <v>2500</v>
      </c>
      <c r="AC302" s="62"/>
      <c r="AD302" s="62"/>
    </row>
    <row r="303" spans="1:31" hidden="1" x14ac:dyDescent="0.3">
      <c r="A303" s="2">
        <v>6</v>
      </c>
      <c r="B303" s="3" t="s">
        <v>121</v>
      </c>
      <c r="C303" s="4" t="s">
        <v>122</v>
      </c>
      <c r="D303" s="4" t="s">
        <v>885</v>
      </c>
      <c r="E303" s="4" t="str">
        <f>VLOOKUP(C303,'[2]CTRL AUTOS'!$E$2:$L$58,8,FALSE)</f>
        <v>ASHC</v>
      </c>
      <c r="F303" s="61" t="str">
        <f>VLOOKUP(C303,'[2]CTRL AUTOS'!$E$2:$K$58,7,FALSE)</f>
        <v>ASHC</v>
      </c>
      <c r="G303" s="4" t="s">
        <v>234</v>
      </c>
      <c r="H303" s="62">
        <v>6658.97</v>
      </c>
      <c r="I303" s="62">
        <v>-2135.2600000000002</v>
      </c>
      <c r="J303" s="62">
        <v>0</v>
      </c>
      <c r="K303" s="62">
        <v>0</v>
      </c>
      <c r="L303" s="62">
        <v>0</v>
      </c>
      <c r="M303" s="62">
        <v>-180</v>
      </c>
      <c r="N303" s="62">
        <v>0</v>
      </c>
      <c r="O303" s="62">
        <f t="shared" si="33"/>
        <v>4343.71</v>
      </c>
      <c r="P303" s="62">
        <v>-2600</v>
      </c>
      <c r="Q303" s="62">
        <v>0</v>
      </c>
      <c r="R303" s="62">
        <v>-500</v>
      </c>
      <c r="S303" s="62">
        <v>0</v>
      </c>
      <c r="T303" s="62">
        <v>0</v>
      </c>
      <c r="U303" s="62">
        <v>0</v>
      </c>
      <c r="V303" s="62">
        <v>0</v>
      </c>
      <c r="W303" s="62">
        <f t="shared" si="25"/>
        <v>1243.71</v>
      </c>
      <c r="X303" s="62">
        <f t="shared" si="34"/>
        <v>1243.71</v>
      </c>
      <c r="Y303" s="62">
        <f t="shared" si="31"/>
        <v>0</v>
      </c>
      <c r="Z303" s="62">
        <v>0</v>
      </c>
      <c r="AA303" s="62">
        <f t="shared" si="32"/>
        <v>0</v>
      </c>
      <c r="AB303" s="62">
        <f t="shared" si="28"/>
        <v>3100</v>
      </c>
      <c r="AC303" s="62"/>
      <c r="AD303" s="62"/>
    </row>
    <row r="304" spans="1:31" hidden="1" x14ac:dyDescent="0.3">
      <c r="A304" s="2">
        <v>6</v>
      </c>
      <c r="B304" s="3" t="s">
        <v>17</v>
      </c>
      <c r="C304" s="4" t="s">
        <v>18</v>
      </c>
      <c r="D304" s="4" t="s">
        <v>572</v>
      </c>
      <c r="E304" s="4" t="str">
        <f>VLOOKUP(C304,'[2]CTRL AUTOS'!$E$2:$L$58,8,FALSE)</f>
        <v>ASHC</v>
      </c>
      <c r="F304" s="61" t="str">
        <f>VLOOKUP(C304,'[2]CTRL AUTOS'!$E$2:$K$58,7,FALSE)</f>
        <v>ASHC</v>
      </c>
      <c r="G304" s="4" t="s">
        <v>234</v>
      </c>
      <c r="H304" s="62">
        <v>3765.16</v>
      </c>
      <c r="I304" s="62">
        <v>-1645.28</v>
      </c>
      <c r="J304" s="62">
        <v>0</v>
      </c>
      <c r="K304" s="62">
        <v>0</v>
      </c>
      <c r="L304" s="62">
        <v>0</v>
      </c>
      <c r="M304" s="62">
        <v>-98</v>
      </c>
      <c r="N304" s="62">
        <v>0</v>
      </c>
      <c r="O304" s="62">
        <f t="shared" si="33"/>
        <v>2021.88</v>
      </c>
      <c r="P304" s="62">
        <v>-2700</v>
      </c>
      <c r="Q304" s="62">
        <f>-669*1.12</f>
        <v>-749.28000000000009</v>
      </c>
      <c r="R304" s="62">
        <v>0</v>
      </c>
      <c r="S304" s="62">
        <v>0</v>
      </c>
      <c r="T304" s="62">
        <v>0</v>
      </c>
      <c r="U304" s="62">
        <v>0</v>
      </c>
      <c r="V304" s="62">
        <v>0</v>
      </c>
      <c r="W304" s="62">
        <f t="shared" si="25"/>
        <v>-1427.4</v>
      </c>
      <c r="X304" s="62">
        <f t="shared" si="34"/>
        <v>0</v>
      </c>
      <c r="Y304" s="62">
        <f t="shared" si="31"/>
        <v>-1427.4</v>
      </c>
      <c r="Z304" s="62">
        <v>1427</v>
      </c>
      <c r="AA304" s="62">
        <f t="shared" si="32"/>
        <v>-0.40000000000009095</v>
      </c>
      <c r="AB304" s="62">
        <f t="shared" si="28"/>
        <v>3448.48</v>
      </c>
      <c r="AC304" s="62"/>
      <c r="AD304" s="62" t="s">
        <v>848</v>
      </c>
    </row>
    <row r="305" spans="1:31" hidden="1" x14ac:dyDescent="0.3">
      <c r="A305" s="2">
        <v>6</v>
      </c>
      <c r="B305" s="3" t="s">
        <v>19</v>
      </c>
      <c r="C305" s="4" t="s">
        <v>20</v>
      </c>
      <c r="D305" s="4" t="s">
        <v>239</v>
      </c>
      <c r="E305" s="4" t="str">
        <f>VLOOKUP(C305,'[2]CTRL AUTOS'!$E$2:$L$58,8,FALSE)</f>
        <v>ASHC</v>
      </c>
      <c r="F305" s="61" t="str">
        <f>VLOOKUP(C305,'[2]CTRL AUTOS'!$E$2:$K$58,7,FALSE)</f>
        <v>ASHC</v>
      </c>
      <c r="G305" s="4" t="s">
        <v>234</v>
      </c>
      <c r="H305" s="62">
        <v>4909</v>
      </c>
      <c r="I305" s="62">
        <v>-379.97</v>
      </c>
      <c r="J305" s="62">
        <v>0</v>
      </c>
      <c r="K305" s="62">
        <v>0</v>
      </c>
      <c r="L305" s="62">
        <v>-46.84</v>
      </c>
      <c r="M305" s="62">
        <v>-25</v>
      </c>
      <c r="N305" s="62">
        <v>0</v>
      </c>
      <c r="O305" s="62">
        <f t="shared" si="33"/>
        <v>4457.1899999999996</v>
      </c>
      <c r="P305" s="62">
        <v>-2500</v>
      </c>
      <c r="Q305" s="62">
        <v>0</v>
      </c>
      <c r="R305" s="62">
        <v>0</v>
      </c>
      <c r="S305" s="62">
        <v>0</v>
      </c>
      <c r="T305" s="62">
        <v>0</v>
      </c>
      <c r="U305" s="62">
        <v>0</v>
      </c>
      <c r="V305" s="62">
        <v>0</v>
      </c>
      <c r="W305" s="62">
        <f t="shared" si="25"/>
        <v>1957.1899999999996</v>
      </c>
      <c r="X305" s="62">
        <f t="shared" si="34"/>
        <v>1957.1899999999996</v>
      </c>
      <c r="Y305" s="62">
        <f t="shared" si="31"/>
        <v>0</v>
      </c>
      <c r="Z305" s="62">
        <v>0</v>
      </c>
      <c r="AA305" s="62">
        <f t="shared" si="32"/>
        <v>0</v>
      </c>
      <c r="AB305" s="62">
        <f t="shared" si="28"/>
        <v>2500</v>
      </c>
      <c r="AC305" s="62"/>
      <c r="AD305" s="62"/>
    </row>
    <row r="306" spans="1:31" hidden="1" x14ac:dyDescent="0.3">
      <c r="A306" s="2">
        <v>6</v>
      </c>
      <c r="B306" s="3" t="s">
        <v>128</v>
      </c>
      <c r="C306" s="4" t="s">
        <v>69</v>
      </c>
      <c r="D306" s="4" t="s">
        <v>781</v>
      </c>
      <c r="E306" s="4" t="str">
        <f>VLOOKUP(C306,'[2]CTRL AUTOS'!$E$2:$L$58,8,FALSE)</f>
        <v>U64</v>
      </c>
      <c r="F306" s="61" t="str">
        <f>VLOOKUP(C306,'[2]CTRL AUTOS'!$E$2:$K$58,7,FALSE)</f>
        <v>BYER</v>
      </c>
      <c r="G306" s="4" t="s">
        <v>234</v>
      </c>
      <c r="H306" s="62">
        <v>4886.0600000000004</v>
      </c>
      <c r="I306" s="62">
        <v>-1847.09</v>
      </c>
      <c r="J306" s="62">
        <v>-48.8</v>
      </c>
      <c r="K306" s="62">
        <v>0</v>
      </c>
      <c r="L306" s="62">
        <v>0</v>
      </c>
      <c r="M306" s="62">
        <v>-100</v>
      </c>
      <c r="N306" s="62">
        <v>0</v>
      </c>
      <c r="O306" s="62">
        <f t="shared" si="33"/>
        <v>2890.17</v>
      </c>
      <c r="P306" s="62">
        <f>(-2500/7)*4</f>
        <v>-1428.5714285714287</v>
      </c>
      <c r="Q306" s="62">
        <v>0</v>
      </c>
      <c r="R306" s="62">
        <v>-500</v>
      </c>
      <c r="S306" s="62">
        <v>0</v>
      </c>
      <c r="T306" s="62">
        <v>0</v>
      </c>
      <c r="U306" s="62">
        <v>0</v>
      </c>
      <c r="V306" s="62">
        <v>0</v>
      </c>
      <c r="W306" s="62">
        <f t="shared" si="25"/>
        <v>961.5985714285714</v>
      </c>
      <c r="X306" s="62">
        <f t="shared" si="34"/>
        <v>961.5985714285714</v>
      </c>
      <c r="Y306" s="62">
        <f t="shared" si="31"/>
        <v>0</v>
      </c>
      <c r="Z306" s="62">
        <v>0</v>
      </c>
      <c r="AA306" s="62">
        <f t="shared" si="32"/>
        <v>0</v>
      </c>
      <c r="AB306" s="62">
        <f t="shared" si="28"/>
        <v>1928.5714285714287</v>
      </c>
      <c r="AC306" s="62"/>
      <c r="AD306" s="62"/>
    </row>
    <row r="307" spans="1:31" hidden="1" x14ac:dyDescent="0.3">
      <c r="A307" s="2">
        <v>6</v>
      </c>
      <c r="B307" s="3" t="s">
        <v>21</v>
      </c>
      <c r="C307" s="4" t="s">
        <v>22</v>
      </c>
      <c r="D307" s="4" t="s">
        <v>319</v>
      </c>
      <c r="E307" s="4" t="str">
        <f>VLOOKUP(C307,'[2]CTRL AUTOS'!$E$2:$L$58,8,FALSE)</f>
        <v>ASHC</v>
      </c>
      <c r="F307" s="61" t="str">
        <f>VLOOKUP(C307,'[2]CTRL AUTOS'!$E$2:$K$58,7,FALSE)</f>
        <v>ASHC</v>
      </c>
      <c r="G307" s="4" t="s">
        <v>234</v>
      </c>
      <c r="H307" s="62">
        <v>3078.45</v>
      </c>
      <c r="I307" s="62">
        <v>-671.76</v>
      </c>
      <c r="J307" s="62">
        <v>0</v>
      </c>
      <c r="K307" s="62">
        <v>0</v>
      </c>
      <c r="L307" s="62">
        <v>0</v>
      </c>
      <c r="M307" s="62">
        <v>-75</v>
      </c>
      <c r="N307" s="62">
        <v>0</v>
      </c>
      <c r="O307" s="62">
        <f t="shared" si="33"/>
        <v>2331.6899999999996</v>
      </c>
      <c r="P307" s="62">
        <v>-2500</v>
      </c>
      <c r="Q307" s="62">
        <f>-601*1.12</f>
        <v>-673.12000000000012</v>
      </c>
      <c r="R307" s="62">
        <v>-286</v>
      </c>
      <c r="S307" s="62">
        <v>0</v>
      </c>
      <c r="T307" s="62">
        <v>0</v>
      </c>
      <c r="U307" s="62">
        <v>0</v>
      </c>
      <c r="V307" s="62">
        <v>0</v>
      </c>
      <c r="W307" s="62">
        <f t="shared" si="25"/>
        <v>-1127.4300000000005</v>
      </c>
      <c r="X307" s="62">
        <f t="shared" si="34"/>
        <v>0</v>
      </c>
      <c r="Y307" s="62">
        <f t="shared" si="31"/>
        <v>-1127.4300000000005</v>
      </c>
      <c r="Z307" s="62">
        <v>1127</v>
      </c>
      <c r="AA307" s="62">
        <f t="shared" si="32"/>
        <v>-0.43000000000051841</v>
      </c>
      <c r="AB307" s="62">
        <f t="shared" si="28"/>
        <v>3458.2599999999993</v>
      </c>
      <c r="AC307" s="62"/>
      <c r="AD307" s="62" t="s">
        <v>849</v>
      </c>
    </row>
    <row r="308" spans="1:31" hidden="1" x14ac:dyDescent="0.3">
      <c r="A308" s="2">
        <v>6</v>
      </c>
      <c r="B308" s="3" t="s">
        <v>64</v>
      </c>
      <c r="C308" s="4" t="s">
        <v>140</v>
      </c>
      <c r="D308" s="4" t="s">
        <v>680</v>
      </c>
      <c r="E308" s="4" t="str">
        <f>VLOOKUP(C308,'[2]CTRL AUTOS'!$E$2:$L$58,8,FALSE)</f>
        <v>ASHC</v>
      </c>
      <c r="F308" s="61" t="str">
        <f>VLOOKUP(C308,'[2]CTRL AUTOS'!$E$2:$K$58,7,FALSE)</f>
        <v>ASHC</v>
      </c>
      <c r="G308" s="4" t="s">
        <v>234</v>
      </c>
      <c r="H308" s="62">
        <v>5094.16</v>
      </c>
      <c r="I308" s="62">
        <v>-309.61</v>
      </c>
      <c r="J308" s="62">
        <v>-53.6</v>
      </c>
      <c r="K308" s="62">
        <v>0</v>
      </c>
      <c r="L308" s="62">
        <v>0</v>
      </c>
      <c r="M308" s="62">
        <v>-25</v>
      </c>
      <c r="N308" s="62">
        <v>0</v>
      </c>
      <c r="O308" s="62">
        <f t="shared" si="33"/>
        <v>4705.95</v>
      </c>
      <c r="P308" s="62">
        <v>-2700</v>
      </c>
      <c r="Q308" s="62">
        <v>0</v>
      </c>
      <c r="R308" s="62">
        <v>-500</v>
      </c>
      <c r="S308" s="62">
        <v>0</v>
      </c>
      <c r="T308" s="62">
        <v>0</v>
      </c>
      <c r="U308" s="62">
        <v>0</v>
      </c>
      <c r="V308" s="62">
        <v>0</v>
      </c>
      <c r="W308" s="62">
        <f t="shared" si="25"/>
        <v>1505.9499999999998</v>
      </c>
      <c r="X308" s="62">
        <f t="shared" si="34"/>
        <v>1505.9499999999998</v>
      </c>
      <c r="Y308" s="62">
        <f t="shared" si="31"/>
        <v>0</v>
      </c>
      <c r="Z308" s="62">
        <v>0</v>
      </c>
      <c r="AA308" s="62">
        <f t="shared" si="32"/>
        <v>0</v>
      </c>
      <c r="AB308" s="62">
        <f t="shared" si="28"/>
        <v>3200</v>
      </c>
      <c r="AC308" s="62"/>
      <c r="AD308" s="62"/>
    </row>
    <row r="309" spans="1:31" hidden="1" x14ac:dyDescent="0.3">
      <c r="A309" s="2">
        <v>6</v>
      </c>
      <c r="B309" s="3" t="s">
        <v>90</v>
      </c>
      <c r="C309" s="4" t="s">
        <v>16</v>
      </c>
      <c r="D309" s="4" t="s">
        <v>314</v>
      </c>
      <c r="E309" s="4" t="str">
        <f>VLOOKUP(C309,'[2]CTRL AUTOS'!$E$2:$L$58,8,FALSE)</f>
        <v>ASHC</v>
      </c>
      <c r="F309" s="61" t="str">
        <f>VLOOKUP(C309,'[2]CTRL AUTOS'!$E$2:$K$58,7,FALSE)</f>
        <v>ASHC</v>
      </c>
      <c r="G309" s="4" t="s">
        <v>234</v>
      </c>
      <c r="H309" s="62">
        <v>4990.8900000000003</v>
      </c>
      <c r="I309" s="62">
        <v>-2582.1500000000005</v>
      </c>
      <c r="J309" s="62">
        <v>-38.4</v>
      </c>
      <c r="K309" s="62">
        <v>0</v>
      </c>
      <c r="L309" s="62">
        <v>0</v>
      </c>
      <c r="M309" s="62">
        <v>-180</v>
      </c>
      <c r="N309" s="62">
        <v>0</v>
      </c>
      <c r="O309" s="62">
        <f t="shared" si="33"/>
        <v>2190.3399999999997</v>
      </c>
      <c r="P309" s="62">
        <v>-2500</v>
      </c>
      <c r="Q309" s="62">
        <v>0</v>
      </c>
      <c r="R309" s="62">
        <v>-500</v>
      </c>
      <c r="S309" s="62">
        <v>0</v>
      </c>
      <c r="T309" s="62">
        <v>0</v>
      </c>
      <c r="U309" s="62">
        <v>0</v>
      </c>
      <c r="V309" s="62">
        <v>0</v>
      </c>
      <c r="W309" s="62">
        <f t="shared" si="25"/>
        <v>-809.66000000000031</v>
      </c>
      <c r="X309" s="62">
        <f t="shared" si="34"/>
        <v>0</v>
      </c>
      <c r="Y309" s="62">
        <f t="shared" si="31"/>
        <v>-809.66000000000031</v>
      </c>
      <c r="Z309" s="62">
        <v>810</v>
      </c>
      <c r="AA309" s="62">
        <f t="shared" si="32"/>
        <v>0.33999999999969077</v>
      </c>
      <c r="AB309" s="62">
        <f t="shared" si="28"/>
        <v>3000.6799999999994</v>
      </c>
      <c r="AC309" s="62"/>
      <c r="AD309" s="62" t="s">
        <v>850</v>
      </c>
    </row>
    <row r="310" spans="1:31" hidden="1" x14ac:dyDescent="0.3">
      <c r="A310" s="2">
        <v>6</v>
      </c>
      <c r="B310" s="3" t="s">
        <v>23</v>
      </c>
      <c r="C310" s="4" t="s">
        <v>24</v>
      </c>
      <c r="D310" s="4" t="s">
        <v>515</v>
      </c>
      <c r="E310" s="4" t="str">
        <f>VLOOKUP(C310,'[2]CTRL AUTOS'!$E$2:$L$58,8,FALSE)</f>
        <v>ASHC</v>
      </c>
      <c r="F310" s="61" t="str">
        <f>VLOOKUP(C310,'[2]CTRL AUTOS'!$E$2:$K$58,7,FALSE)</f>
        <v>ASHC</v>
      </c>
      <c r="G310" s="4" t="s">
        <v>234</v>
      </c>
      <c r="H310" s="62">
        <v>4768.46</v>
      </c>
      <c r="I310" s="62">
        <v>-4518.7199999999984</v>
      </c>
      <c r="J310" s="62">
        <v>0</v>
      </c>
      <c r="K310" s="62">
        <v>0</v>
      </c>
      <c r="L310" s="62">
        <v>0</v>
      </c>
      <c r="M310" s="62">
        <v>-200</v>
      </c>
      <c r="N310" s="62">
        <v>0</v>
      </c>
      <c r="O310" s="62">
        <f t="shared" si="33"/>
        <v>49.740000000001601</v>
      </c>
      <c r="P310" s="62">
        <v>-2700</v>
      </c>
      <c r="Q310" s="62">
        <f>-838*1.12</f>
        <v>-938.56000000000006</v>
      </c>
      <c r="R310" s="62">
        <v>0</v>
      </c>
      <c r="S310" s="62">
        <v>0</v>
      </c>
      <c r="T310" s="62">
        <v>0</v>
      </c>
      <c r="U310" s="62">
        <v>0</v>
      </c>
      <c r="V310" s="62">
        <v>0</v>
      </c>
      <c r="W310" s="62">
        <f t="shared" si="25"/>
        <v>-3588.8199999999983</v>
      </c>
      <c r="X310" s="62">
        <f t="shared" si="34"/>
        <v>0</v>
      </c>
      <c r="Y310" s="62">
        <f t="shared" si="31"/>
        <v>-3588.8199999999983</v>
      </c>
      <c r="Z310" s="62">
        <f>1500+1300</f>
        <v>2800</v>
      </c>
      <c r="AA310" s="62">
        <f t="shared" si="32"/>
        <v>-788.81999999999834</v>
      </c>
      <c r="AB310" s="62">
        <f t="shared" si="28"/>
        <v>2060.9200000000033</v>
      </c>
      <c r="AC310" s="62"/>
      <c r="AD310" s="62" t="s">
        <v>851</v>
      </c>
    </row>
    <row r="311" spans="1:31" hidden="1" x14ac:dyDescent="0.3">
      <c r="A311" s="2">
        <v>6</v>
      </c>
      <c r="B311" s="3" t="s">
        <v>23</v>
      </c>
      <c r="C311" s="4" t="s">
        <v>22</v>
      </c>
      <c r="D311" s="4" t="s">
        <v>319</v>
      </c>
      <c r="E311" s="4" t="str">
        <f>VLOOKUP(C311,'[2]CTRL AUTOS'!$E$2:$L$58,8,FALSE)</f>
        <v>ASHC</v>
      </c>
      <c r="F311" s="61" t="str">
        <f>VLOOKUP(C311,'[2]CTRL AUTOS'!$E$2:$K$58,7,FALSE)</f>
        <v>ASHC</v>
      </c>
      <c r="G311" s="4" t="s">
        <v>234</v>
      </c>
      <c r="H311" s="62">
        <v>0</v>
      </c>
      <c r="I311" s="62">
        <v>0</v>
      </c>
      <c r="J311" s="62">
        <v>0</v>
      </c>
      <c r="K311" s="62">
        <v>0</v>
      </c>
      <c r="L311" s="62">
        <v>0</v>
      </c>
      <c r="M311" s="62">
        <v>0</v>
      </c>
      <c r="N311" s="62">
        <v>0</v>
      </c>
      <c r="O311" s="62">
        <f t="shared" si="33"/>
        <v>0</v>
      </c>
      <c r="P311" s="62">
        <v>0</v>
      </c>
      <c r="Q311" s="62">
        <v>0</v>
      </c>
      <c r="R311" s="62">
        <v>0</v>
      </c>
      <c r="S311" s="62">
        <v>0</v>
      </c>
      <c r="T311" s="62">
        <v>-500</v>
      </c>
      <c r="U311" s="62">
        <v>0</v>
      </c>
      <c r="V311" s="62">
        <v>0</v>
      </c>
      <c r="W311" s="62">
        <f t="shared" si="25"/>
        <v>-500</v>
      </c>
      <c r="X311" s="62">
        <f t="shared" si="34"/>
        <v>0</v>
      </c>
      <c r="Y311" s="62">
        <f t="shared" si="31"/>
        <v>-500</v>
      </c>
      <c r="Z311" s="62">
        <v>500</v>
      </c>
      <c r="AA311" s="62">
        <f t="shared" si="32"/>
        <v>0</v>
      </c>
      <c r="AB311" s="62">
        <f t="shared" si="28"/>
        <v>500</v>
      </c>
      <c r="AC311" s="62"/>
      <c r="AD311" s="62"/>
    </row>
    <row r="312" spans="1:31" hidden="1" x14ac:dyDescent="0.3">
      <c r="A312" s="2">
        <v>6</v>
      </c>
      <c r="B312" s="3" t="s">
        <v>108</v>
      </c>
      <c r="C312" s="4" t="s">
        <v>75</v>
      </c>
      <c r="D312" s="4" t="s">
        <v>744</v>
      </c>
      <c r="E312" s="4" t="str">
        <f>VLOOKUP(C312,'[2]CTRL AUTOS'!$E$2:$L$58,8,FALSE)</f>
        <v>U64</v>
      </c>
      <c r="F312" s="61" t="str">
        <f>VLOOKUP(C312,'[2]CTRL AUTOS'!$E$2:$K$58,7,FALSE)</f>
        <v>BYER</v>
      </c>
      <c r="G312" s="4" t="s">
        <v>234</v>
      </c>
      <c r="H312" s="62">
        <v>6346.28</v>
      </c>
      <c r="I312" s="62">
        <v>-2466.37</v>
      </c>
      <c r="J312" s="62">
        <v>0</v>
      </c>
      <c r="K312" s="62">
        <v>0</v>
      </c>
      <c r="L312" s="62">
        <v>0</v>
      </c>
      <c r="M312" s="62">
        <f>I312*0.05</f>
        <v>-123.3185</v>
      </c>
      <c r="N312" s="62">
        <v>0</v>
      </c>
      <c r="O312" s="62">
        <f t="shared" si="33"/>
        <v>3756.5915</v>
      </c>
      <c r="P312" s="62">
        <v>-2500</v>
      </c>
      <c r="Q312" s="62">
        <v>0</v>
      </c>
      <c r="R312" s="62">
        <v>-500</v>
      </c>
      <c r="S312" s="62">
        <v>0</v>
      </c>
      <c r="T312" s="62">
        <v>-700</v>
      </c>
      <c r="U312" s="62">
        <v>0</v>
      </c>
      <c r="V312" s="62">
        <v>0</v>
      </c>
      <c r="W312" s="62">
        <f t="shared" si="25"/>
        <v>56.591499999999996</v>
      </c>
      <c r="X312" s="62">
        <f t="shared" si="34"/>
        <v>56.591499999999996</v>
      </c>
      <c r="Y312" s="62">
        <f t="shared" si="31"/>
        <v>0</v>
      </c>
      <c r="Z312" s="62">
        <v>0</v>
      </c>
      <c r="AA312" s="62">
        <f t="shared" si="32"/>
        <v>0</v>
      </c>
      <c r="AB312" s="62">
        <f t="shared" si="28"/>
        <v>3700</v>
      </c>
      <c r="AC312" s="62"/>
      <c r="AD312" s="62"/>
    </row>
    <row r="313" spans="1:31" hidden="1" x14ac:dyDescent="0.3">
      <c r="A313" s="2">
        <v>6</v>
      </c>
      <c r="B313" s="3" t="s">
        <v>85</v>
      </c>
      <c r="C313" s="4" t="s">
        <v>86</v>
      </c>
      <c r="D313" s="4" t="s">
        <v>519</v>
      </c>
      <c r="E313" s="4" t="str">
        <f>VLOOKUP(C313,'[2]CTRL AUTOS'!$E$2:$L$58,8,FALSE)</f>
        <v>ASHC</v>
      </c>
      <c r="F313" s="61" t="str">
        <f>VLOOKUP(C313,'[2]CTRL AUTOS'!$E$2:$K$58,7,FALSE)</f>
        <v>ASHC</v>
      </c>
      <c r="G313" s="4" t="s">
        <v>234</v>
      </c>
      <c r="H313" s="62">
        <v>5195.1499999999996</v>
      </c>
      <c r="I313" s="62">
        <v>-3121.97</v>
      </c>
      <c r="J313" s="62">
        <v>-48</v>
      </c>
      <c r="K313" s="62">
        <v>0</v>
      </c>
      <c r="L313" s="62">
        <v>0</v>
      </c>
      <c r="M313" s="62">
        <v>-180</v>
      </c>
      <c r="N313" s="62">
        <v>0</v>
      </c>
      <c r="O313" s="62">
        <f t="shared" si="33"/>
        <v>1845.1799999999998</v>
      </c>
      <c r="P313" s="62">
        <v>-2500</v>
      </c>
      <c r="Q313" s="62">
        <v>0</v>
      </c>
      <c r="R313" s="62">
        <v>-500</v>
      </c>
      <c r="S313" s="62">
        <v>0</v>
      </c>
      <c r="T313" s="62">
        <v>0</v>
      </c>
      <c r="U313" s="62">
        <v>0</v>
      </c>
      <c r="V313" s="62">
        <v>0</v>
      </c>
      <c r="W313" s="62">
        <f t="shared" si="25"/>
        <v>-1154.8200000000002</v>
      </c>
      <c r="X313" s="62">
        <f t="shared" si="34"/>
        <v>0</v>
      </c>
      <c r="Y313" s="62">
        <f t="shared" si="31"/>
        <v>-1154.8200000000002</v>
      </c>
      <c r="Z313" s="62">
        <v>1155</v>
      </c>
      <c r="AA313" s="62">
        <f t="shared" si="32"/>
        <v>0.17999999999983629</v>
      </c>
      <c r="AB313" s="62">
        <f t="shared" si="28"/>
        <v>3000.3599999999997</v>
      </c>
      <c r="AC313" s="62"/>
      <c r="AD313" s="62" t="s">
        <v>852</v>
      </c>
    </row>
    <row r="314" spans="1:31" hidden="1" x14ac:dyDescent="0.3">
      <c r="A314" s="2">
        <v>6</v>
      </c>
      <c r="B314" s="3" t="s">
        <v>25</v>
      </c>
      <c r="C314" s="4" t="s">
        <v>26</v>
      </c>
      <c r="D314" s="4" t="s">
        <v>575</v>
      </c>
      <c r="E314" s="4" t="str">
        <f>VLOOKUP(C314,'[2]CTRL AUTOS'!$E$2:$L$58,8,FALSE)</f>
        <v>ASHC</v>
      </c>
      <c r="F314" s="61" t="str">
        <f>VLOOKUP(C314,'[2]CTRL AUTOS'!$E$2:$K$58,7,FALSE)</f>
        <v>ASHC</v>
      </c>
      <c r="G314" s="4" t="s">
        <v>234</v>
      </c>
      <c r="H314" s="62">
        <v>1416.03</v>
      </c>
      <c r="I314" s="62">
        <v>0</v>
      </c>
      <c r="J314" s="62">
        <v>0</v>
      </c>
      <c r="K314" s="62">
        <v>0</v>
      </c>
      <c r="L314" s="62">
        <v>0</v>
      </c>
      <c r="M314" s="62">
        <v>-5</v>
      </c>
      <c r="N314" s="62">
        <v>0</v>
      </c>
      <c r="O314" s="62">
        <f t="shared" si="33"/>
        <v>1411.03</v>
      </c>
      <c r="P314" s="62">
        <v>-2500</v>
      </c>
      <c r="Q314" s="62">
        <f>-341*1.12</f>
        <v>-381.92</v>
      </c>
      <c r="R314" s="62">
        <v>0</v>
      </c>
      <c r="S314" s="62">
        <v>0</v>
      </c>
      <c r="T314" s="62">
        <v>0</v>
      </c>
      <c r="U314" s="62">
        <v>0</v>
      </c>
      <c r="V314" s="62">
        <v>0</v>
      </c>
      <c r="W314" s="62">
        <f t="shared" si="25"/>
        <v>-1470.89</v>
      </c>
      <c r="X314" s="62">
        <f t="shared" si="34"/>
        <v>0</v>
      </c>
      <c r="Y314" s="62">
        <f t="shared" si="31"/>
        <v>-1470.89</v>
      </c>
      <c r="Z314" s="62">
        <f>500+840+131</f>
        <v>1471</v>
      </c>
      <c r="AA314" s="62">
        <f t="shared" si="32"/>
        <v>0.10999999999989996</v>
      </c>
      <c r="AB314" s="62">
        <f t="shared" si="28"/>
        <v>2882.1399999999994</v>
      </c>
      <c r="AC314" s="62"/>
      <c r="AD314" s="62" t="s">
        <v>853</v>
      </c>
    </row>
    <row r="315" spans="1:31" hidden="1" x14ac:dyDescent="0.3">
      <c r="A315" s="2">
        <v>6</v>
      </c>
      <c r="B315" s="3" t="s">
        <v>25</v>
      </c>
      <c r="C315" s="4" t="s">
        <v>67</v>
      </c>
      <c r="D315" s="4" t="s">
        <v>511</v>
      </c>
      <c r="E315" s="4" t="str">
        <f>VLOOKUP(C315,'[2]CTRL AUTOS'!$E$2:$L$58,8,FALSE)</f>
        <v>ASHC</v>
      </c>
      <c r="F315" s="61" t="str">
        <f>VLOOKUP(C315,'[2]CTRL AUTOS'!$E$2:$K$58,7,FALSE)</f>
        <v>ASHC</v>
      </c>
      <c r="G315" s="4" t="s">
        <v>234</v>
      </c>
      <c r="H315" s="62">
        <v>0</v>
      </c>
      <c r="I315" s="62">
        <v>0</v>
      </c>
      <c r="J315" s="62">
        <v>0</v>
      </c>
      <c r="K315" s="62">
        <v>0</v>
      </c>
      <c r="L315" s="62">
        <v>0</v>
      </c>
      <c r="M315" s="62">
        <v>0</v>
      </c>
      <c r="N315" s="62">
        <v>0</v>
      </c>
      <c r="O315" s="62">
        <f t="shared" si="33"/>
        <v>0</v>
      </c>
      <c r="P315" s="62">
        <v>0</v>
      </c>
      <c r="Q315" s="62">
        <v>0</v>
      </c>
      <c r="R315" s="62">
        <v>0</v>
      </c>
      <c r="S315" s="62">
        <v>0</v>
      </c>
      <c r="T315" s="62">
        <v>0</v>
      </c>
      <c r="U315" s="62">
        <v>0</v>
      </c>
      <c r="V315" s="62">
        <v>0</v>
      </c>
      <c r="W315" s="62">
        <f t="shared" si="25"/>
        <v>0</v>
      </c>
      <c r="X315" s="62">
        <f t="shared" si="34"/>
        <v>0</v>
      </c>
      <c r="Y315" s="62">
        <f t="shared" si="31"/>
        <v>0</v>
      </c>
      <c r="Z315" s="62">
        <v>0</v>
      </c>
      <c r="AA315" s="62">
        <f t="shared" si="32"/>
        <v>0</v>
      </c>
      <c r="AB315" s="62">
        <f t="shared" si="28"/>
        <v>0</v>
      </c>
      <c r="AC315" s="62"/>
      <c r="AD315" s="62" t="s">
        <v>854</v>
      </c>
      <c r="AE315" s="50">
        <f>840-971</f>
        <v>-131</v>
      </c>
    </row>
    <row r="316" spans="1:31" hidden="1" x14ac:dyDescent="0.3">
      <c r="A316" s="2">
        <v>6</v>
      </c>
      <c r="B316" s="3" t="s">
        <v>27</v>
      </c>
      <c r="C316" s="4" t="s">
        <v>137</v>
      </c>
      <c r="D316" s="4"/>
      <c r="E316" s="4" t="str">
        <f>VLOOKUP(C316,'[2]CTRL AUTOS'!$E$2:$L$58,8,FALSE)</f>
        <v>ASHC</v>
      </c>
      <c r="F316" s="61" t="str">
        <f>VLOOKUP(C316,'[2]CTRL AUTOS'!$E$2:$K$58,7,FALSE)</f>
        <v>ASHC</v>
      </c>
      <c r="G316" s="4" t="s">
        <v>234</v>
      </c>
      <c r="H316" s="62">
        <v>0</v>
      </c>
      <c r="I316" s="62">
        <v>0</v>
      </c>
      <c r="J316" s="62">
        <v>0</v>
      </c>
      <c r="K316" s="62">
        <v>0</v>
      </c>
      <c r="L316" s="62">
        <v>0</v>
      </c>
      <c r="M316" s="62">
        <v>0</v>
      </c>
      <c r="N316" s="62">
        <v>0</v>
      </c>
      <c r="O316" s="62">
        <f t="shared" si="33"/>
        <v>0</v>
      </c>
      <c r="P316" s="62">
        <v>0</v>
      </c>
      <c r="Q316" s="62">
        <v>0</v>
      </c>
      <c r="R316" s="62">
        <v>0</v>
      </c>
      <c r="S316" s="62">
        <v>0</v>
      </c>
      <c r="T316" s="62">
        <v>0</v>
      </c>
      <c r="U316" s="62">
        <v>0</v>
      </c>
      <c r="V316" s="62">
        <v>0</v>
      </c>
      <c r="W316" s="62">
        <f t="shared" si="25"/>
        <v>0</v>
      </c>
      <c r="X316" s="62">
        <f t="shared" si="34"/>
        <v>0</v>
      </c>
      <c r="Y316" s="62">
        <f t="shared" si="31"/>
        <v>0</v>
      </c>
      <c r="Z316" s="62">
        <v>0</v>
      </c>
      <c r="AA316" s="62">
        <f t="shared" si="32"/>
        <v>0</v>
      </c>
      <c r="AB316" s="62">
        <f t="shared" si="28"/>
        <v>0</v>
      </c>
      <c r="AC316" s="62"/>
      <c r="AD316" s="62" t="s">
        <v>855</v>
      </c>
    </row>
    <row r="317" spans="1:31" hidden="1" x14ac:dyDescent="0.3">
      <c r="A317" s="2">
        <v>6</v>
      </c>
      <c r="B317" s="3" t="s">
        <v>9</v>
      </c>
      <c r="C317" s="4" t="s">
        <v>10</v>
      </c>
      <c r="D317" s="4" t="s">
        <v>343</v>
      </c>
      <c r="E317" s="4" t="str">
        <f>VLOOKUP(C317,'[2]CTRL AUTOS'!$E$2:$L$58,8,FALSE)</f>
        <v>ASHC</v>
      </c>
      <c r="F317" s="61" t="str">
        <f>VLOOKUP(C317,'[2]CTRL AUTOS'!$E$2:$K$58,7,FALSE)</f>
        <v>ASHC</v>
      </c>
      <c r="G317" s="4" t="s">
        <v>425</v>
      </c>
      <c r="H317" s="62">
        <v>0</v>
      </c>
      <c r="I317" s="62">
        <v>0</v>
      </c>
      <c r="J317" s="62">
        <v>0</v>
      </c>
      <c r="K317" s="62">
        <v>0</v>
      </c>
      <c r="L317" s="62">
        <v>0</v>
      </c>
      <c r="M317" s="62">
        <v>0</v>
      </c>
      <c r="N317" s="62">
        <v>0</v>
      </c>
      <c r="O317" s="62">
        <f t="shared" si="33"/>
        <v>0</v>
      </c>
      <c r="P317" s="62">
        <v>0</v>
      </c>
      <c r="Q317" s="62">
        <v>0</v>
      </c>
      <c r="R317" s="62">
        <v>0</v>
      </c>
      <c r="S317" s="62">
        <v>0</v>
      </c>
      <c r="T317" s="62">
        <v>-700</v>
      </c>
      <c r="U317" s="62">
        <v>0</v>
      </c>
      <c r="V317" s="62">
        <v>0</v>
      </c>
      <c r="W317" s="62">
        <f t="shared" si="25"/>
        <v>-700</v>
      </c>
      <c r="X317" s="62">
        <f t="shared" si="34"/>
        <v>0</v>
      </c>
      <c r="Y317" s="62">
        <f t="shared" si="31"/>
        <v>-700</v>
      </c>
      <c r="Z317" s="62">
        <v>700</v>
      </c>
      <c r="AA317" s="62">
        <f t="shared" si="32"/>
        <v>0</v>
      </c>
      <c r="AB317" s="62">
        <f t="shared" si="28"/>
        <v>700</v>
      </c>
      <c r="AC317" s="62"/>
      <c r="AD317" s="62" t="s">
        <v>856</v>
      </c>
    </row>
    <row r="318" spans="1:31" hidden="1" x14ac:dyDescent="0.3">
      <c r="A318" s="2">
        <v>6</v>
      </c>
      <c r="B318" s="3" t="s">
        <v>70</v>
      </c>
      <c r="C318" s="4" t="s">
        <v>71</v>
      </c>
      <c r="D318" s="4" t="s">
        <v>588</v>
      </c>
      <c r="E318" s="4" t="str">
        <f>VLOOKUP(C318,'[2]CTRL AUTOS'!$E$2:$L$58,8,FALSE)</f>
        <v>ASHC</v>
      </c>
      <c r="F318" s="68" t="s">
        <v>232</v>
      </c>
      <c r="G318" s="4" t="s">
        <v>234</v>
      </c>
      <c r="H318" s="62">
        <v>2473.52</v>
      </c>
      <c r="I318" s="62">
        <v>0</v>
      </c>
      <c r="J318" s="62">
        <v>-28.8</v>
      </c>
      <c r="K318" s="62">
        <v>0</v>
      </c>
      <c r="L318" s="62">
        <v>0</v>
      </c>
      <c r="M318" s="62">
        <v>0</v>
      </c>
      <c r="N318" s="62">
        <v>0</v>
      </c>
      <c r="O318" s="62">
        <f t="shared" si="33"/>
        <v>2444.7199999999998</v>
      </c>
      <c r="P318" s="62">
        <v>-2445</v>
      </c>
      <c r="Q318" s="62">
        <v>0</v>
      </c>
      <c r="R318" s="62">
        <v>0</v>
      </c>
      <c r="S318" s="62">
        <v>0</v>
      </c>
      <c r="T318" s="62">
        <v>0</v>
      </c>
      <c r="U318" s="62">
        <v>0</v>
      </c>
      <c r="V318" s="62">
        <v>0</v>
      </c>
      <c r="W318" s="62">
        <f t="shared" si="25"/>
        <v>-0.28000000000020009</v>
      </c>
      <c r="X318" s="62">
        <f t="shared" si="34"/>
        <v>0</v>
      </c>
      <c r="Y318" s="62">
        <f t="shared" si="31"/>
        <v>-0.28000000000020009</v>
      </c>
      <c r="Z318" s="62">
        <v>0</v>
      </c>
      <c r="AA318" s="62">
        <f t="shared" si="32"/>
        <v>-0.28000000000020009</v>
      </c>
      <c r="AB318" s="62">
        <f t="shared" si="28"/>
        <v>2444.4399999999996</v>
      </c>
      <c r="AC318" s="62"/>
      <c r="AD318" s="62"/>
    </row>
    <row r="319" spans="1:31" hidden="1" x14ac:dyDescent="0.3">
      <c r="A319" s="2">
        <v>6</v>
      </c>
      <c r="B319" s="3" t="s">
        <v>29</v>
      </c>
      <c r="C319" s="4" t="s">
        <v>141</v>
      </c>
      <c r="D319" s="4" t="s">
        <v>283</v>
      </c>
      <c r="E319" s="4" t="str">
        <f>VLOOKUP(C319,'[2]CTRL AUTOS'!$E$2:$L$58,8,FALSE)</f>
        <v>ASHC</v>
      </c>
      <c r="F319" s="61" t="str">
        <f>VLOOKUP(C319,'[2]CTRL AUTOS'!$E$2:$K$58,7,FALSE)</f>
        <v>ASHC</v>
      </c>
      <c r="G319" s="4" t="s">
        <v>234</v>
      </c>
      <c r="H319" s="62">
        <v>2805.07</v>
      </c>
      <c r="I319" s="62">
        <v>-185.25</v>
      </c>
      <c r="J319" s="62">
        <v>0</v>
      </c>
      <c r="K319" s="62">
        <v>0</v>
      </c>
      <c r="L319" s="62">
        <v>0</v>
      </c>
      <c r="M319" s="62">
        <v>-15</v>
      </c>
      <c r="N319" s="62">
        <v>0</v>
      </c>
      <c r="O319" s="62">
        <f t="shared" si="33"/>
        <v>2604.8200000000002</v>
      </c>
      <c r="P319" s="62">
        <v>-2700</v>
      </c>
      <c r="Q319" s="62">
        <v>0</v>
      </c>
      <c r="R319" s="62">
        <v>-500</v>
      </c>
      <c r="S319" s="62">
        <v>0</v>
      </c>
      <c r="T319" s="62">
        <v>0</v>
      </c>
      <c r="U319" s="62">
        <v>0</v>
      </c>
      <c r="V319" s="62">
        <v>0</v>
      </c>
      <c r="W319" s="62">
        <f t="shared" si="25"/>
        <v>-595.17999999999984</v>
      </c>
      <c r="X319" s="62">
        <f t="shared" si="34"/>
        <v>0</v>
      </c>
      <c r="Y319" s="62">
        <f t="shared" si="31"/>
        <v>-595.17999999999984</v>
      </c>
      <c r="Z319" s="62">
        <v>238</v>
      </c>
      <c r="AA319" s="62">
        <f t="shared" si="32"/>
        <v>-357.17999999999984</v>
      </c>
      <c r="AB319" s="62">
        <f t="shared" si="28"/>
        <v>2485.6400000000003</v>
      </c>
      <c r="AC319" s="62"/>
      <c r="AD319" s="62" t="s">
        <v>857</v>
      </c>
    </row>
    <row r="320" spans="1:31" hidden="1" x14ac:dyDescent="0.3">
      <c r="A320" s="2">
        <v>6</v>
      </c>
      <c r="B320" s="3" t="s">
        <v>130</v>
      </c>
      <c r="C320" s="4" t="s">
        <v>50</v>
      </c>
      <c r="D320" s="4"/>
      <c r="E320" s="4" t="str">
        <f>VLOOKUP(C320,'[2]CTRL AUTOS'!$E$2:$L$58,8,FALSE)</f>
        <v>ASHC</v>
      </c>
      <c r="F320" s="61" t="str">
        <f>VLOOKUP(C320,'[2]CTRL AUTOS'!$E$2:$K$58,7,FALSE)</f>
        <v>ASHC</v>
      </c>
      <c r="G320" s="4" t="s">
        <v>234</v>
      </c>
      <c r="H320" s="62">
        <v>3310.63</v>
      </c>
      <c r="I320" s="62">
        <v>-1735.8600000000001</v>
      </c>
      <c r="J320" s="62">
        <v>0</v>
      </c>
      <c r="K320" s="62">
        <v>0</v>
      </c>
      <c r="L320" s="62">
        <v>0</v>
      </c>
      <c r="M320" s="62">
        <v>-98</v>
      </c>
      <c r="N320" s="62">
        <v>-80</v>
      </c>
      <c r="O320" s="62">
        <f t="shared" si="33"/>
        <v>1396.77</v>
      </c>
      <c r="P320" s="62">
        <v>-2500</v>
      </c>
      <c r="Q320" s="62">
        <f>-882*1.12</f>
        <v>-987.84000000000015</v>
      </c>
      <c r="R320" s="62">
        <v>-500</v>
      </c>
      <c r="S320" s="62">
        <v>0</v>
      </c>
      <c r="T320" s="62">
        <v>0</v>
      </c>
      <c r="U320" s="62">
        <v>0</v>
      </c>
      <c r="V320" s="62">
        <v>0</v>
      </c>
      <c r="W320" s="62">
        <f t="shared" si="25"/>
        <v>-2591.0700000000002</v>
      </c>
      <c r="X320" s="62">
        <f t="shared" si="34"/>
        <v>0</v>
      </c>
      <c r="Y320" s="62">
        <f t="shared" si="31"/>
        <v>-2591.0700000000002</v>
      </c>
      <c r="Z320" s="62">
        <v>0</v>
      </c>
      <c r="AA320" s="62">
        <f t="shared" si="32"/>
        <v>-2591.0700000000002</v>
      </c>
      <c r="AB320" s="62">
        <f t="shared" si="28"/>
        <v>-1194.3000000000002</v>
      </c>
      <c r="AC320" s="62"/>
      <c r="AD320" s="62" t="s">
        <v>841</v>
      </c>
    </row>
    <row r="321" spans="1:30" hidden="1" x14ac:dyDescent="0.3">
      <c r="A321" s="2">
        <v>6</v>
      </c>
      <c r="B321" s="3" t="s">
        <v>109</v>
      </c>
      <c r="C321" s="4" t="s">
        <v>142</v>
      </c>
      <c r="D321" s="4" t="s">
        <v>657</v>
      </c>
      <c r="E321" s="4" t="str">
        <f>VLOOKUP(C321,'[2]CTRL AUTOS'!$E$2:$L$58,8,FALSE)</f>
        <v>ASHC</v>
      </c>
      <c r="F321" s="61" t="str">
        <f>VLOOKUP(C321,'[2]CTRL AUTOS'!$E$2:$K$58,7,FALSE)</f>
        <v>ASHC</v>
      </c>
      <c r="G321" s="4" t="s">
        <v>425</v>
      </c>
      <c r="H321" s="62">
        <v>0</v>
      </c>
      <c r="I321" s="62">
        <v>0</v>
      </c>
      <c r="J321" s="62">
        <v>0</v>
      </c>
      <c r="K321" s="62">
        <v>0</v>
      </c>
      <c r="L321" s="62">
        <v>0</v>
      </c>
      <c r="M321" s="62">
        <v>0</v>
      </c>
      <c r="N321" s="62">
        <v>0</v>
      </c>
      <c r="O321" s="62">
        <f t="shared" si="33"/>
        <v>0</v>
      </c>
      <c r="P321" s="62">
        <v>-2700</v>
      </c>
      <c r="Q321" s="62">
        <f>-1200*1.12</f>
        <v>-1344.0000000000002</v>
      </c>
      <c r="R321" s="62">
        <v>-500</v>
      </c>
      <c r="S321" s="62">
        <v>0</v>
      </c>
      <c r="T321" s="62">
        <v>0</v>
      </c>
      <c r="U321" s="62">
        <v>0</v>
      </c>
      <c r="V321" s="62">
        <v>0</v>
      </c>
      <c r="W321" s="62">
        <f t="shared" si="25"/>
        <v>-4544</v>
      </c>
      <c r="X321" s="62">
        <f t="shared" si="34"/>
        <v>0</v>
      </c>
      <c r="Y321" s="62">
        <f t="shared" si="31"/>
        <v>-4544</v>
      </c>
      <c r="Z321" s="62">
        <f>2000+1000+1300+244</f>
        <v>4544</v>
      </c>
      <c r="AA321" s="62">
        <f t="shared" si="32"/>
        <v>0</v>
      </c>
      <c r="AB321" s="62">
        <f t="shared" si="28"/>
        <v>4544</v>
      </c>
      <c r="AC321" s="62"/>
      <c r="AD321" s="62" t="s">
        <v>858</v>
      </c>
    </row>
    <row r="322" spans="1:30" hidden="1" x14ac:dyDescent="0.3">
      <c r="A322" s="2">
        <v>6</v>
      </c>
      <c r="B322" s="3" t="s">
        <v>72</v>
      </c>
      <c r="C322" s="4" t="s">
        <v>73</v>
      </c>
      <c r="D322" s="4" t="s">
        <v>368</v>
      </c>
      <c r="E322" s="4" t="str">
        <f>VLOOKUP(C322,'[2]CTRL AUTOS'!$E$2:$L$58,8,FALSE)</f>
        <v>U64</v>
      </c>
      <c r="F322" s="61" t="str">
        <f>VLOOKUP(C322,'[2]CTRL AUTOS'!$E$2:$K$58,7,FALSE)</f>
        <v>BYER</v>
      </c>
      <c r="G322" s="4" t="s">
        <v>234</v>
      </c>
      <c r="H322" s="62">
        <v>10768.41</v>
      </c>
      <c r="I322" s="62">
        <v>-5443.9</v>
      </c>
      <c r="J322" s="62">
        <v>-108</v>
      </c>
      <c r="K322" s="62">
        <v>0</v>
      </c>
      <c r="L322" s="62">
        <v>-118.13</v>
      </c>
      <c r="M322" s="62">
        <f>-191</f>
        <v>-191</v>
      </c>
      <c r="N322" s="62">
        <v>-36</v>
      </c>
      <c r="O322" s="62">
        <f t="shared" si="33"/>
        <v>4871.38</v>
      </c>
      <c r="P322" s="62">
        <v>-2500</v>
      </c>
      <c r="Q322" s="62">
        <v>0</v>
      </c>
      <c r="R322" s="62">
        <v>0</v>
      </c>
      <c r="S322" s="62">
        <v>0</v>
      </c>
      <c r="T322" s="62">
        <v>0</v>
      </c>
      <c r="U322" s="62">
        <v>0</v>
      </c>
      <c r="V322" s="62">
        <v>0</v>
      </c>
      <c r="W322" s="62">
        <f t="shared" ref="W322:W385" si="35">SUM(O322:V322)</f>
        <v>2371.38</v>
      </c>
      <c r="X322" s="62">
        <f t="shared" si="34"/>
        <v>2371.38</v>
      </c>
      <c r="Y322" s="62">
        <f t="shared" si="31"/>
        <v>0</v>
      </c>
      <c r="Z322" s="62">
        <v>0</v>
      </c>
      <c r="AA322" s="62">
        <f t="shared" si="32"/>
        <v>0</v>
      </c>
      <c r="AB322" s="62">
        <f t="shared" ref="AB322:AB385" si="36">+O322-X322+Z322+AA322</f>
        <v>2500</v>
      </c>
      <c r="AC322" s="62"/>
      <c r="AD322" s="62"/>
    </row>
    <row r="323" spans="1:30" hidden="1" x14ac:dyDescent="0.3">
      <c r="A323" s="2">
        <v>6</v>
      </c>
      <c r="B323" s="3" t="s">
        <v>92</v>
      </c>
      <c r="C323" s="4" t="s">
        <v>30</v>
      </c>
      <c r="D323" s="4" t="s">
        <v>521</v>
      </c>
      <c r="E323" s="4" t="str">
        <f>VLOOKUP(C323,'[2]CTRL AUTOS'!$E$2:$L$58,8,FALSE)</f>
        <v>ASHC</v>
      </c>
      <c r="F323" s="61" t="str">
        <f>VLOOKUP(C323,'[2]CTRL AUTOS'!$E$2:$K$58,7,FALSE)</f>
        <v>ASHC</v>
      </c>
      <c r="G323" s="4" t="s">
        <v>234</v>
      </c>
      <c r="H323" s="62">
        <v>6439.1</v>
      </c>
      <c r="I323" s="62">
        <v>-1588.8800000000006</v>
      </c>
      <c r="J323" s="62">
        <v>0</v>
      </c>
      <c r="K323" s="62">
        <v>0</v>
      </c>
      <c r="L323" s="62">
        <v>0</v>
      </c>
      <c r="M323" s="62">
        <v>-98</v>
      </c>
      <c r="N323" s="62">
        <v>0</v>
      </c>
      <c r="O323" s="62">
        <f t="shared" si="33"/>
        <v>4752.2199999999993</v>
      </c>
      <c r="P323" s="62">
        <v>-2500</v>
      </c>
      <c r="Q323" s="62">
        <f>-1125*1.12</f>
        <v>-1260.0000000000002</v>
      </c>
      <c r="R323" s="62">
        <v>-500</v>
      </c>
      <c r="S323" s="62">
        <v>0</v>
      </c>
      <c r="T323" s="62">
        <v>0</v>
      </c>
      <c r="U323" s="62">
        <v>0</v>
      </c>
      <c r="V323" s="62">
        <v>0</v>
      </c>
      <c r="W323" s="62">
        <f t="shared" si="35"/>
        <v>492.21999999999912</v>
      </c>
      <c r="X323" s="62">
        <f t="shared" si="34"/>
        <v>492.21999999999912</v>
      </c>
      <c r="Y323" s="62">
        <f t="shared" si="31"/>
        <v>0</v>
      </c>
      <c r="Z323" s="62">
        <v>0</v>
      </c>
      <c r="AA323" s="62">
        <f t="shared" si="32"/>
        <v>0</v>
      </c>
      <c r="AB323" s="62">
        <f t="shared" si="36"/>
        <v>4260</v>
      </c>
      <c r="AC323" s="62"/>
      <c r="AD323" s="62"/>
    </row>
    <row r="324" spans="1:30" hidden="1" x14ac:dyDescent="0.3">
      <c r="A324" s="2">
        <v>6</v>
      </c>
      <c r="B324" s="3" t="s">
        <v>105</v>
      </c>
      <c r="C324" s="4" t="s">
        <v>106</v>
      </c>
      <c r="D324" s="4" t="s">
        <v>646</v>
      </c>
      <c r="E324" s="4" t="str">
        <f>VLOOKUP(C324,'[2]CTRL AUTOS'!$E$2:$L$58,8,FALSE)</f>
        <v>ASHC</v>
      </c>
      <c r="F324" s="61" t="str">
        <f>VLOOKUP(C324,'[2]CTRL AUTOS'!$E$2:$K$58,7,FALSE)</f>
        <v>ASHC</v>
      </c>
      <c r="G324" s="4" t="s">
        <v>425</v>
      </c>
      <c r="H324" s="62">
        <v>0</v>
      </c>
      <c r="I324" s="62">
        <v>0</v>
      </c>
      <c r="J324" s="62">
        <v>0</v>
      </c>
      <c r="K324" s="62">
        <v>0</v>
      </c>
      <c r="L324" s="62">
        <v>0</v>
      </c>
      <c r="M324" s="62">
        <v>0</v>
      </c>
      <c r="N324" s="62">
        <v>0</v>
      </c>
      <c r="O324" s="62">
        <f t="shared" si="33"/>
        <v>0</v>
      </c>
      <c r="P324" s="62">
        <v>-2500</v>
      </c>
      <c r="Q324" s="62">
        <v>0</v>
      </c>
      <c r="R324" s="62">
        <v>0</v>
      </c>
      <c r="S324" s="62">
        <v>0</v>
      </c>
      <c r="T324" s="62">
        <v>0</v>
      </c>
      <c r="U324" s="62">
        <v>0</v>
      </c>
      <c r="V324" s="62">
        <v>0</v>
      </c>
      <c r="W324" s="62">
        <f t="shared" si="35"/>
        <v>-2500</v>
      </c>
      <c r="X324" s="62">
        <f t="shared" si="34"/>
        <v>0</v>
      </c>
      <c r="Y324" s="62">
        <f t="shared" si="31"/>
        <v>-2500</v>
      </c>
      <c r="Z324" s="62">
        <v>2500</v>
      </c>
      <c r="AA324" s="62">
        <f t="shared" si="32"/>
        <v>0</v>
      </c>
      <c r="AB324" s="62">
        <f t="shared" si="36"/>
        <v>2500</v>
      </c>
      <c r="AC324" s="62"/>
      <c r="AD324" s="62" t="s">
        <v>847</v>
      </c>
    </row>
    <row r="325" spans="1:30" hidden="1" x14ac:dyDescent="0.3">
      <c r="A325" s="2">
        <v>6</v>
      </c>
      <c r="B325" s="3" t="s">
        <v>31</v>
      </c>
      <c r="C325" s="4" t="s">
        <v>143</v>
      </c>
      <c r="D325" s="4" t="s">
        <v>283</v>
      </c>
      <c r="E325" s="4" t="str">
        <f>VLOOKUP(C325,'[2]CTRL AUTOS'!$E$2:$L$58,8,FALSE)</f>
        <v>ASHC</v>
      </c>
      <c r="F325" s="61" t="str">
        <f>VLOOKUP(C325,'[2]CTRL AUTOS'!$E$2:$K$58,7,FALSE)</f>
        <v>ASHC</v>
      </c>
      <c r="G325" s="4" t="s">
        <v>234</v>
      </c>
      <c r="H325" s="62">
        <v>10373.81</v>
      </c>
      <c r="I325" s="62">
        <v>-5315.5499999999993</v>
      </c>
      <c r="J325" s="62">
        <v>-124.80000000000001</v>
      </c>
      <c r="K325" s="62">
        <v>0</v>
      </c>
      <c r="L325" s="62">
        <v>0</v>
      </c>
      <c r="M325" s="62">
        <v>-200</v>
      </c>
      <c r="N325" s="62">
        <v>0</v>
      </c>
      <c r="O325" s="62">
        <f t="shared" si="33"/>
        <v>4733.46</v>
      </c>
      <c r="P325" s="62">
        <v>-2700</v>
      </c>
      <c r="Q325" s="62">
        <v>0</v>
      </c>
      <c r="R325" s="62">
        <v>357</v>
      </c>
      <c r="S325" s="62">
        <v>0</v>
      </c>
      <c r="T325" s="62">
        <v>0</v>
      </c>
      <c r="U325" s="62">
        <v>0</v>
      </c>
      <c r="V325" s="62">
        <v>0</v>
      </c>
      <c r="W325" s="62">
        <f t="shared" si="35"/>
        <v>2390.46</v>
      </c>
      <c r="X325" s="62">
        <f t="shared" si="34"/>
        <v>2390.46</v>
      </c>
      <c r="Y325" s="62">
        <f t="shared" si="31"/>
        <v>0</v>
      </c>
      <c r="Z325" s="62">
        <v>0</v>
      </c>
      <c r="AA325" s="62">
        <f t="shared" si="32"/>
        <v>0</v>
      </c>
      <c r="AB325" s="62">
        <f t="shared" si="36"/>
        <v>2343</v>
      </c>
      <c r="AC325" s="62"/>
      <c r="AD325" s="62" t="s">
        <v>859</v>
      </c>
    </row>
    <row r="326" spans="1:30" hidden="1" x14ac:dyDescent="0.3">
      <c r="A326" s="2">
        <v>6</v>
      </c>
      <c r="B326" s="3" t="s">
        <v>91</v>
      </c>
      <c r="C326" s="4" t="s">
        <v>144</v>
      </c>
      <c r="D326" s="4"/>
      <c r="E326" s="4" t="str">
        <f>VLOOKUP(C326,'[2]CTRL AUTOS'!$E$2:$L$58,8,FALSE)</f>
        <v>ASHC</v>
      </c>
      <c r="F326" s="61" t="str">
        <f>VLOOKUP(C326,'[2]CTRL AUTOS'!$E$2:$K$58,7,FALSE)</f>
        <v>ASHC</v>
      </c>
      <c r="G326" s="4" t="s">
        <v>234</v>
      </c>
      <c r="H326" s="62">
        <v>2805.06</v>
      </c>
      <c r="I326" s="62">
        <v>0</v>
      </c>
      <c r="J326" s="62">
        <v>0</v>
      </c>
      <c r="K326" s="62">
        <v>0</v>
      </c>
      <c r="L326" s="62">
        <v>0</v>
      </c>
      <c r="M326" s="62">
        <v>-5</v>
      </c>
      <c r="N326" s="62">
        <v>0</v>
      </c>
      <c r="O326" s="62">
        <f t="shared" si="33"/>
        <v>2800.06</v>
      </c>
      <c r="P326" s="62">
        <v>-2700</v>
      </c>
      <c r="Q326" s="62">
        <v>0</v>
      </c>
      <c r="R326" s="62">
        <v>-500</v>
      </c>
      <c r="S326" s="62">
        <v>0</v>
      </c>
      <c r="T326" s="62">
        <v>0</v>
      </c>
      <c r="U326" s="62">
        <v>0</v>
      </c>
      <c r="V326" s="62">
        <v>0</v>
      </c>
      <c r="W326" s="62">
        <f t="shared" si="35"/>
        <v>-399.94000000000005</v>
      </c>
      <c r="X326" s="62">
        <f t="shared" si="34"/>
        <v>0</v>
      </c>
      <c r="Y326" s="62">
        <f t="shared" si="31"/>
        <v>-399.94000000000005</v>
      </c>
      <c r="Z326" s="62">
        <v>400</v>
      </c>
      <c r="AA326" s="62">
        <f t="shared" si="32"/>
        <v>5.999999999994543E-2</v>
      </c>
      <c r="AB326" s="62">
        <f t="shared" si="36"/>
        <v>3200.12</v>
      </c>
      <c r="AC326" s="62"/>
      <c r="AD326" s="62" t="s">
        <v>860</v>
      </c>
    </row>
    <row r="327" spans="1:30" hidden="1" x14ac:dyDescent="0.3">
      <c r="A327" s="2">
        <v>6</v>
      </c>
      <c r="B327" s="3" t="s">
        <v>35</v>
      </c>
      <c r="C327" s="4" t="s">
        <v>36</v>
      </c>
      <c r="D327" s="4" t="s">
        <v>510</v>
      </c>
      <c r="E327" s="4" t="str">
        <f>VLOOKUP(C327,'[2]CTRL AUTOS'!$E$2:$L$58,8,FALSE)</f>
        <v>ASHC</v>
      </c>
      <c r="F327" s="61" t="str">
        <f>VLOOKUP(C327,'[2]CTRL AUTOS'!$E$2:$K$58,7,FALSE)</f>
        <v>ASHC</v>
      </c>
      <c r="G327" s="4" t="s">
        <v>234</v>
      </c>
      <c r="H327" s="62">
        <v>7565.14</v>
      </c>
      <c r="I327" s="62">
        <v>-3977.7099999999996</v>
      </c>
      <c r="J327" s="62">
        <v>-124.80000000000001</v>
      </c>
      <c r="K327" s="62">
        <v>0</v>
      </c>
      <c r="L327" s="62">
        <v>0</v>
      </c>
      <c r="M327" s="62">
        <v>-180</v>
      </c>
      <c r="N327" s="62">
        <v>0</v>
      </c>
      <c r="O327" s="62">
        <f t="shared" si="33"/>
        <v>3282.6300000000006</v>
      </c>
      <c r="P327" s="62">
        <v>-2500</v>
      </c>
      <c r="Q327" s="62">
        <v>0</v>
      </c>
      <c r="R327" s="62">
        <v>0</v>
      </c>
      <c r="S327" s="62">
        <v>0</v>
      </c>
      <c r="T327" s="62">
        <v>0</v>
      </c>
      <c r="U327" s="62">
        <v>0</v>
      </c>
      <c r="V327" s="62">
        <v>0</v>
      </c>
      <c r="W327" s="62">
        <f t="shared" si="35"/>
        <v>782.63000000000056</v>
      </c>
      <c r="X327" s="62">
        <f t="shared" si="34"/>
        <v>782.63000000000056</v>
      </c>
      <c r="Y327" s="62">
        <f t="shared" si="31"/>
        <v>0</v>
      </c>
      <c r="Z327" s="62">
        <v>0</v>
      </c>
      <c r="AA327" s="62">
        <f t="shared" si="32"/>
        <v>0</v>
      </c>
      <c r="AB327" s="62">
        <f t="shared" si="36"/>
        <v>2500</v>
      </c>
      <c r="AC327" s="62"/>
      <c r="AD327" s="62"/>
    </row>
    <row r="328" spans="1:30" hidden="1" x14ac:dyDescent="0.3">
      <c r="A328" s="2">
        <v>6</v>
      </c>
      <c r="B328" s="3" t="s">
        <v>114</v>
      </c>
      <c r="C328" s="4" t="s">
        <v>46</v>
      </c>
      <c r="D328" s="4"/>
      <c r="E328" s="4" t="str">
        <f>VLOOKUP(C328,'[2]CTRL AUTOS'!$E$2:$L$58,8,FALSE)</f>
        <v>ASHC</v>
      </c>
      <c r="F328" s="61" t="str">
        <f>VLOOKUP(C328,'[2]CTRL AUTOS'!$E$2:$K$58,7,FALSE)</f>
        <v>ASHC</v>
      </c>
      <c r="G328" s="4" t="s">
        <v>234</v>
      </c>
      <c r="H328" s="62">
        <v>0</v>
      </c>
      <c r="I328" s="62">
        <v>0</v>
      </c>
      <c r="J328" s="62">
        <v>0</v>
      </c>
      <c r="K328" s="62">
        <v>0</v>
      </c>
      <c r="L328" s="62">
        <v>0</v>
      </c>
      <c r="M328" s="62">
        <v>0</v>
      </c>
      <c r="N328" s="62">
        <v>0</v>
      </c>
      <c r="O328" s="62">
        <f t="shared" si="33"/>
        <v>0</v>
      </c>
      <c r="P328" s="62">
        <v>-2500</v>
      </c>
      <c r="Q328" s="62">
        <v>0</v>
      </c>
      <c r="R328" s="62">
        <v>-500</v>
      </c>
      <c r="S328" s="62">
        <v>0</v>
      </c>
      <c r="T328" s="62">
        <v>0</v>
      </c>
      <c r="U328" s="62">
        <v>0</v>
      </c>
      <c r="V328" s="62">
        <v>0</v>
      </c>
      <c r="W328" s="62">
        <f t="shared" si="35"/>
        <v>-3000</v>
      </c>
      <c r="X328" s="62">
        <f t="shared" si="34"/>
        <v>0</v>
      </c>
      <c r="Y328" s="62">
        <f t="shared" si="31"/>
        <v>-3000</v>
      </c>
      <c r="Z328" s="62">
        <f>2900+100</f>
        <v>3000</v>
      </c>
      <c r="AA328" s="62">
        <f t="shared" si="32"/>
        <v>0</v>
      </c>
      <c r="AB328" s="62">
        <f t="shared" si="36"/>
        <v>3000</v>
      </c>
      <c r="AC328" s="62"/>
      <c r="AD328" s="62" t="s">
        <v>861</v>
      </c>
    </row>
    <row r="329" spans="1:30" hidden="1" x14ac:dyDescent="0.3">
      <c r="A329" s="2">
        <v>6</v>
      </c>
      <c r="B329" s="3" t="s">
        <v>43</v>
      </c>
      <c r="C329" s="4" t="s">
        <v>765</v>
      </c>
      <c r="D329" s="4"/>
      <c r="E329" s="4" t="s">
        <v>232</v>
      </c>
      <c r="F329" s="61" t="s">
        <v>232</v>
      </c>
      <c r="G329" s="4" t="s">
        <v>234</v>
      </c>
      <c r="H329" s="62">
        <v>1014.82</v>
      </c>
      <c r="I329" s="62">
        <v>0</v>
      </c>
      <c r="J329" s="62">
        <v>-7.88</v>
      </c>
      <c r="K329" s="62">
        <v>57.13</v>
      </c>
      <c r="L329" s="62">
        <v>0</v>
      </c>
      <c r="M329" s="62">
        <v>-5</v>
      </c>
      <c r="N329" s="62">
        <v>0</v>
      </c>
      <c r="O329" s="62">
        <f t="shared" si="33"/>
        <v>1059.0700000000002</v>
      </c>
      <c r="P329" s="62">
        <v>-2700</v>
      </c>
      <c r="Q329" s="62">
        <f>-362*1.12</f>
        <v>-405.44000000000005</v>
      </c>
      <c r="R329" s="62">
        <v>-500</v>
      </c>
      <c r="S329" s="62">
        <v>0</v>
      </c>
      <c r="T329" s="62">
        <v>0</v>
      </c>
      <c r="U329" s="62">
        <v>0</v>
      </c>
      <c r="V329" s="62">
        <v>0</v>
      </c>
      <c r="W329" s="62">
        <f t="shared" si="35"/>
        <v>-2546.37</v>
      </c>
      <c r="X329" s="62">
        <f t="shared" si="34"/>
        <v>0</v>
      </c>
      <c r="Y329" s="62">
        <f t="shared" si="31"/>
        <v>-2546.37</v>
      </c>
      <c r="Z329" s="62">
        <f>1000+1300+246</f>
        <v>2546</v>
      </c>
      <c r="AA329" s="62">
        <f t="shared" si="32"/>
        <v>-0.36999999999989086</v>
      </c>
      <c r="AB329" s="62">
        <f t="shared" si="36"/>
        <v>3604.7000000000003</v>
      </c>
      <c r="AC329" s="62"/>
      <c r="AD329" s="62" t="s">
        <v>862</v>
      </c>
    </row>
    <row r="330" spans="1:30" hidden="1" x14ac:dyDescent="0.3">
      <c r="A330" s="2">
        <v>6</v>
      </c>
      <c r="B330" s="3" t="s">
        <v>84</v>
      </c>
      <c r="C330" s="4" t="s">
        <v>146</v>
      </c>
      <c r="D330" s="4"/>
      <c r="E330" s="4" t="str">
        <f>VLOOKUP(C330,'[2]CTRL AUTOS'!$E$2:$L$58,8,FALSE)</f>
        <v>ASHC</v>
      </c>
      <c r="F330" s="61" t="str">
        <f>VLOOKUP(C330,'[2]CTRL AUTOS'!$E$2:$K$58,7,FALSE)</f>
        <v>ASHC</v>
      </c>
      <c r="G330" s="4" t="s">
        <v>234</v>
      </c>
      <c r="H330" s="62">
        <v>7435.78</v>
      </c>
      <c r="I330" s="62">
        <v>-5725.5099999999975</v>
      </c>
      <c r="J330" s="62">
        <v>0</v>
      </c>
      <c r="K330" s="62">
        <v>0</v>
      </c>
      <c r="L330" s="62">
        <v>0</v>
      </c>
      <c r="M330" s="62">
        <v>-200</v>
      </c>
      <c r="N330" s="62">
        <v>0</v>
      </c>
      <c r="O330" s="62">
        <f t="shared" si="33"/>
        <v>1510.2700000000023</v>
      </c>
      <c r="P330" s="62">
        <v>-2700</v>
      </c>
      <c r="Q330" s="62">
        <v>0</v>
      </c>
      <c r="R330" s="62">
        <v>-500</v>
      </c>
      <c r="S330" s="62">
        <v>0</v>
      </c>
      <c r="T330" s="62">
        <v>0</v>
      </c>
      <c r="U330" s="62">
        <v>0</v>
      </c>
      <c r="V330" s="62">
        <v>0</v>
      </c>
      <c r="W330" s="62">
        <f t="shared" si="35"/>
        <v>-1689.7299999999977</v>
      </c>
      <c r="X330" s="62">
        <f t="shared" si="34"/>
        <v>0</v>
      </c>
      <c r="Y330" s="62">
        <f t="shared" si="31"/>
        <v>-1689.7299999999977</v>
      </c>
      <c r="Z330" s="62">
        <f>700+700+250</f>
        <v>1650</v>
      </c>
      <c r="AA330" s="62">
        <f t="shared" si="32"/>
        <v>-39.729999999997744</v>
      </c>
      <c r="AB330" s="62">
        <f t="shared" si="36"/>
        <v>3120.5400000000045</v>
      </c>
      <c r="AC330" s="62"/>
      <c r="AD330" s="62" t="s">
        <v>863</v>
      </c>
    </row>
    <row r="331" spans="1:30" hidden="1" x14ac:dyDescent="0.3">
      <c r="A331" s="2">
        <v>6</v>
      </c>
      <c r="B331" s="3" t="s">
        <v>89</v>
      </c>
      <c r="C331" s="4" t="s">
        <v>4</v>
      </c>
      <c r="D331" s="4" t="s">
        <v>652</v>
      </c>
      <c r="E331" s="4" t="str">
        <f>VLOOKUP(C331,'[2]CTRL AUTOS'!$E$2:$L$58,8,FALSE)</f>
        <v>ASHC</v>
      </c>
      <c r="F331" s="61" t="str">
        <f>VLOOKUP(C331,'[2]CTRL AUTOS'!$E$2:$K$58,7,FALSE)</f>
        <v>ASHC</v>
      </c>
      <c r="G331" s="4" t="s">
        <v>234</v>
      </c>
      <c r="H331" s="62">
        <v>3388.71</v>
      </c>
      <c r="I331" s="62">
        <v>-1677.8500000000008</v>
      </c>
      <c r="J331" s="62">
        <v>0</v>
      </c>
      <c r="K331" s="62">
        <v>0</v>
      </c>
      <c r="L331" s="62">
        <v>0</v>
      </c>
      <c r="M331" s="62">
        <v>-98</v>
      </c>
      <c r="N331" s="62">
        <v>0</v>
      </c>
      <c r="O331" s="62">
        <f t="shared" si="33"/>
        <v>1612.8599999999992</v>
      </c>
      <c r="P331" s="62">
        <v>-2500</v>
      </c>
      <c r="Q331" s="62">
        <v>0</v>
      </c>
      <c r="R331" s="62">
        <v>-500</v>
      </c>
      <c r="S331" s="62">
        <v>0</v>
      </c>
      <c r="T331" s="62">
        <v>0</v>
      </c>
      <c r="U331" s="62">
        <v>0</v>
      </c>
      <c r="V331" s="62">
        <v>0</v>
      </c>
      <c r="W331" s="62">
        <f t="shared" si="35"/>
        <v>-1387.1400000000008</v>
      </c>
      <c r="X331" s="62">
        <f t="shared" si="34"/>
        <v>0</v>
      </c>
      <c r="Y331" s="62">
        <f t="shared" si="31"/>
        <v>-1387.1400000000008</v>
      </c>
      <c r="Z331" s="62">
        <v>1387</v>
      </c>
      <c r="AA331" s="62">
        <f t="shared" si="32"/>
        <v>-0.14000000000078217</v>
      </c>
      <c r="AB331" s="62">
        <f t="shared" si="36"/>
        <v>2999.7199999999984</v>
      </c>
      <c r="AC331" s="62"/>
      <c r="AD331" s="62" t="s">
        <v>864</v>
      </c>
    </row>
    <row r="332" spans="1:30" hidden="1" x14ac:dyDescent="0.3">
      <c r="A332" s="2">
        <v>6</v>
      </c>
      <c r="B332" s="3" t="s">
        <v>119</v>
      </c>
      <c r="C332" s="4" t="s">
        <v>97</v>
      </c>
      <c r="D332" s="4"/>
      <c r="E332" s="4" t="str">
        <f>VLOOKUP(C332,'[2]CTRL AUTOS'!$E$2:$L$58,8,FALSE)</f>
        <v>ASHC</v>
      </c>
      <c r="F332" s="61" t="str">
        <f>VLOOKUP(C332,'[2]CTRL AUTOS'!$E$2:$K$58,7,FALSE)</f>
        <v>ASHC</v>
      </c>
      <c r="G332" s="4" t="s">
        <v>234</v>
      </c>
      <c r="H332" s="62">
        <v>8611.85</v>
      </c>
      <c r="I332" s="62">
        <v>0</v>
      </c>
      <c r="J332" s="62">
        <v>-270.39999999999998</v>
      </c>
      <c r="K332" s="62">
        <v>0</v>
      </c>
      <c r="L332" s="62">
        <v>0</v>
      </c>
      <c r="M332" s="62">
        <f>-7.32-5</f>
        <v>-12.32</v>
      </c>
      <c r="N332" s="62">
        <v>-61</v>
      </c>
      <c r="O332" s="62">
        <f t="shared" si="33"/>
        <v>8268.130000000001</v>
      </c>
      <c r="P332" s="62">
        <v>-2500</v>
      </c>
      <c r="Q332" s="62">
        <v>0</v>
      </c>
      <c r="R332" s="62">
        <v>-500</v>
      </c>
      <c r="S332" s="62">
        <v>0</v>
      </c>
      <c r="T332" s="62">
        <v>0</v>
      </c>
      <c r="U332" s="62">
        <v>0</v>
      </c>
      <c r="V332" s="62">
        <v>0</v>
      </c>
      <c r="W332" s="62">
        <f t="shared" si="35"/>
        <v>5268.130000000001</v>
      </c>
      <c r="X332" s="62">
        <f t="shared" si="34"/>
        <v>5268.130000000001</v>
      </c>
      <c r="Y332" s="62">
        <f t="shared" si="31"/>
        <v>0</v>
      </c>
      <c r="Z332" s="62">
        <v>0</v>
      </c>
      <c r="AA332" s="62">
        <f t="shared" si="32"/>
        <v>0</v>
      </c>
      <c r="AB332" s="62">
        <f t="shared" si="36"/>
        <v>3000</v>
      </c>
      <c r="AC332" s="62"/>
      <c r="AD332" s="62"/>
    </row>
    <row r="333" spans="1:30" hidden="1" x14ac:dyDescent="0.3">
      <c r="A333" s="2">
        <v>6</v>
      </c>
      <c r="B333" s="3" t="s">
        <v>123</v>
      </c>
      <c r="C333" s="4" t="s">
        <v>59</v>
      </c>
      <c r="D333" s="4"/>
      <c r="E333" s="4" t="str">
        <f>VLOOKUP(C333,'[2]CTRL AUTOS'!$E$2:$L$58,8,FALSE)</f>
        <v>ASHC</v>
      </c>
      <c r="F333" s="61" t="str">
        <f>VLOOKUP(C333,'[2]CTRL AUTOS'!$E$2:$K$58,7,FALSE)</f>
        <v>ASHC</v>
      </c>
      <c r="G333" s="4" t="s">
        <v>234</v>
      </c>
      <c r="H333" s="62">
        <v>4008.6</v>
      </c>
      <c r="I333" s="62">
        <v>-2351.2200000000007</v>
      </c>
      <c r="J333" s="62">
        <v>0</v>
      </c>
      <c r="K333" s="62">
        <v>0</v>
      </c>
      <c r="L333" s="62">
        <v>0</v>
      </c>
      <c r="M333" s="62">
        <v>-180</v>
      </c>
      <c r="N333" s="62">
        <v>0</v>
      </c>
      <c r="O333" s="62">
        <f t="shared" si="33"/>
        <v>1477.3799999999992</v>
      </c>
      <c r="P333" s="62">
        <v>-2500</v>
      </c>
      <c r="Q333" s="62">
        <v>0</v>
      </c>
      <c r="R333" s="62">
        <v>-500</v>
      </c>
      <c r="S333" s="62">
        <v>0</v>
      </c>
      <c r="T333" s="62">
        <v>0</v>
      </c>
      <c r="U333" s="62">
        <v>0</v>
      </c>
      <c r="V333" s="62">
        <v>0</v>
      </c>
      <c r="W333" s="62">
        <f t="shared" si="35"/>
        <v>-1522.6200000000008</v>
      </c>
      <c r="X333" s="62">
        <f t="shared" si="34"/>
        <v>0</v>
      </c>
      <c r="Y333" s="62">
        <f t="shared" si="31"/>
        <v>-1522.6200000000008</v>
      </c>
      <c r="Z333" s="62">
        <v>1523</v>
      </c>
      <c r="AA333" s="62">
        <f t="shared" si="32"/>
        <v>0.37999999999919964</v>
      </c>
      <c r="AB333" s="62">
        <f t="shared" si="36"/>
        <v>3000.7599999999984</v>
      </c>
      <c r="AC333" s="62"/>
      <c r="AD333" s="62" t="s">
        <v>865</v>
      </c>
    </row>
    <row r="334" spans="1:30" hidden="1" x14ac:dyDescent="0.3">
      <c r="A334" s="2">
        <v>6</v>
      </c>
      <c r="B334" s="3" t="s">
        <v>5</v>
      </c>
      <c r="C334" s="4" t="s">
        <v>6</v>
      </c>
      <c r="D334" s="4" t="s">
        <v>570</v>
      </c>
      <c r="E334" s="4" t="str">
        <f>VLOOKUP(C334,'[2]CTRL AUTOS'!$E$2:$L$58,8,FALSE)</f>
        <v>ASHC</v>
      </c>
      <c r="F334" s="61" t="str">
        <f>VLOOKUP(C334,'[2]CTRL AUTOS'!$E$2:$K$58,7,FALSE)</f>
        <v>ASHC</v>
      </c>
      <c r="G334" s="4" t="s">
        <v>425</v>
      </c>
      <c r="H334" s="62">
        <v>0</v>
      </c>
      <c r="I334" s="62">
        <v>0</v>
      </c>
      <c r="J334" s="62">
        <v>0</v>
      </c>
      <c r="K334" s="62">
        <v>0</v>
      </c>
      <c r="L334" s="62">
        <v>0</v>
      </c>
      <c r="M334" s="62">
        <v>0</v>
      </c>
      <c r="N334" s="62">
        <v>0</v>
      </c>
      <c r="O334" s="62">
        <f t="shared" si="33"/>
        <v>0</v>
      </c>
      <c r="P334" s="62">
        <v>-2500</v>
      </c>
      <c r="Q334" s="62">
        <f>-38*1.12</f>
        <v>-42.56</v>
      </c>
      <c r="R334" s="62">
        <v>0</v>
      </c>
      <c r="S334" s="62">
        <v>0</v>
      </c>
      <c r="T334" s="62">
        <v>0</v>
      </c>
      <c r="U334" s="62">
        <v>0</v>
      </c>
      <c r="V334" s="62">
        <v>0</v>
      </c>
      <c r="W334" s="62">
        <f t="shared" si="35"/>
        <v>-2542.56</v>
      </c>
      <c r="X334" s="62">
        <f t="shared" si="34"/>
        <v>0</v>
      </c>
      <c r="Y334" s="62">
        <f t="shared" si="31"/>
        <v>-2542.56</v>
      </c>
      <c r="Z334" s="62">
        <f>1200+1243+800</f>
        <v>3243</v>
      </c>
      <c r="AA334" s="62">
        <f t="shared" si="32"/>
        <v>700.44</v>
      </c>
      <c r="AB334" s="62">
        <f t="shared" si="36"/>
        <v>3943.44</v>
      </c>
      <c r="AC334" s="62"/>
      <c r="AD334" s="62" t="s">
        <v>866</v>
      </c>
    </row>
    <row r="335" spans="1:30" hidden="1" x14ac:dyDescent="0.3">
      <c r="A335" s="2">
        <v>6</v>
      </c>
      <c r="B335" s="3" t="s">
        <v>5</v>
      </c>
      <c r="C335" s="4" t="s">
        <v>42</v>
      </c>
      <c r="D335" s="4" t="s">
        <v>570</v>
      </c>
      <c r="E335" s="4" t="str">
        <f>VLOOKUP(C335,'[2]CTRL AUTOS'!$E$2:$L$58,8,FALSE)</f>
        <v>ASHC</v>
      </c>
      <c r="F335" s="61" t="str">
        <f>VLOOKUP(C335,'[2]CTRL AUTOS'!$E$2:$K$58,7,FALSE)</f>
        <v>ASHC</v>
      </c>
      <c r="G335" s="4" t="s">
        <v>425</v>
      </c>
      <c r="H335" s="62">
        <v>0</v>
      </c>
      <c r="I335" s="62">
        <v>0</v>
      </c>
      <c r="J335" s="62">
        <v>0</v>
      </c>
      <c r="K335" s="62">
        <v>0</v>
      </c>
      <c r="L335" s="62">
        <v>0</v>
      </c>
      <c r="M335" s="62">
        <v>0</v>
      </c>
      <c r="N335" s="62">
        <v>0</v>
      </c>
      <c r="O335" s="62">
        <f t="shared" si="33"/>
        <v>0</v>
      </c>
      <c r="P335" s="62">
        <v>0</v>
      </c>
      <c r="Q335" s="62">
        <v>0</v>
      </c>
      <c r="R335" s="62">
        <v>0</v>
      </c>
      <c r="S335" s="62">
        <v>0</v>
      </c>
      <c r="T335" s="62">
        <v>-500</v>
      </c>
      <c r="U335" s="62">
        <v>0</v>
      </c>
      <c r="V335" s="62">
        <v>0</v>
      </c>
      <c r="W335" s="62">
        <f t="shared" si="35"/>
        <v>-500</v>
      </c>
      <c r="X335" s="62">
        <f t="shared" si="34"/>
        <v>0</v>
      </c>
      <c r="Y335" s="62">
        <f t="shared" si="31"/>
        <v>-500</v>
      </c>
      <c r="Z335" s="62">
        <v>500</v>
      </c>
      <c r="AA335" s="62">
        <f t="shared" si="32"/>
        <v>0</v>
      </c>
      <c r="AB335" s="62">
        <f t="shared" si="36"/>
        <v>500</v>
      </c>
      <c r="AC335" s="62"/>
      <c r="AD335" s="62"/>
    </row>
    <row r="336" spans="1:30" hidden="1" x14ac:dyDescent="0.3">
      <c r="A336" s="2">
        <v>6</v>
      </c>
      <c r="B336" s="3" t="s">
        <v>47</v>
      </c>
      <c r="C336" s="4" t="s">
        <v>147</v>
      </c>
      <c r="D336" s="4" t="s">
        <v>283</v>
      </c>
      <c r="E336" s="4" t="str">
        <f>VLOOKUP(C336,'[2]CTRL AUTOS'!$E$2:$L$58,8,FALSE)</f>
        <v>ASHC</v>
      </c>
      <c r="F336" s="61" t="str">
        <f>VLOOKUP(C336,'[2]CTRL AUTOS'!$E$2:$K$58,7,FALSE)</f>
        <v>ASHC</v>
      </c>
      <c r="G336" s="4" t="s">
        <v>234</v>
      </c>
      <c r="H336" s="62">
        <v>4076.18</v>
      </c>
      <c r="I336" s="62">
        <v>-1617.44</v>
      </c>
      <c r="J336" s="62">
        <v>0</v>
      </c>
      <c r="K336" s="62">
        <v>744.06</v>
      </c>
      <c r="L336" s="62">
        <v>-54.380000000000017</v>
      </c>
      <c r="M336" s="62">
        <f>-17.1348-98</f>
        <v>-115.1348</v>
      </c>
      <c r="N336" s="62">
        <v>-142.79</v>
      </c>
      <c r="O336" s="62">
        <f t="shared" si="33"/>
        <v>2890.4951999999998</v>
      </c>
      <c r="P336" s="62">
        <v>-2700</v>
      </c>
      <c r="Q336" s="62">
        <v>0</v>
      </c>
      <c r="R336" s="62">
        <v>0</v>
      </c>
      <c r="S336" s="62">
        <v>0</v>
      </c>
      <c r="T336" s="62">
        <v>0</v>
      </c>
      <c r="U336" s="62">
        <v>0</v>
      </c>
      <c r="V336" s="62">
        <v>0</v>
      </c>
      <c r="W336" s="62">
        <f t="shared" si="35"/>
        <v>190.49519999999984</v>
      </c>
      <c r="X336" s="62">
        <f t="shared" si="34"/>
        <v>190.49519999999984</v>
      </c>
      <c r="Y336" s="62">
        <f t="shared" si="31"/>
        <v>0</v>
      </c>
      <c r="Z336" s="62">
        <v>0</v>
      </c>
      <c r="AA336" s="62">
        <f t="shared" si="32"/>
        <v>0</v>
      </c>
      <c r="AB336" s="62">
        <f t="shared" si="36"/>
        <v>2700</v>
      </c>
      <c r="AC336" s="62"/>
      <c r="AD336" s="62"/>
    </row>
    <row r="337" spans="1:30" hidden="1" x14ac:dyDescent="0.3">
      <c r="A337" s="2">
        <v>6</v>
      </c>
      <c r="B337" s="3" t="s">
        <v>49</v>
      </c>
      <c r="C337" s="4" t="s">
        <v>96</v>
      </c>
      <c r="D337" s="4" t="s">
        <v>480</v>
      </c>
      <c r="E337" s="4" t="str">
        <f>VLOOKUP(C337,'[2]CTRL AUTOS'!$E$2:$L$58,8,FALSE)</f>
        <v>ASHC</v>
      </c>
      <c r="F337" s="61" t="str">
        <f>VLOOKUP(C337,'[2]CTRL AUTOS'!$E$2:$K$58,7,FALSE)</f>
        <v>ASHC</v>
      </c>
      <c r="G337" s="4" t="s">
        <v>234</v>
      </c>
      <c r="H337" s="62">
        <v>6482.85</v>
      </c>
      <c r="I337" s="62">
        <v>-512.12</v>
      </c>
      <c r="J337" s="62">
        <v>-35.200000000000003</v>
      </c>
      <c r="K337" s="62">
        <v>0</v>
      </c>
      <c r="L337" s="62">
        <v>0</v>
      </c>
      <c r="M337" s="62">
        <v>-75</v>
      </c>
      <c r="N337" s="62">
        <v>0</v>
      </c>
      <c r="O337" s="62">
        <f t="shared" si="33"/>
        <v>5860.5300000000007</v>
      </c>
      <c r="P337" s="62">
        <v>-2500</v>
      </c>
      <c r="Q337" s="62">
        <v>0</v>
      </c>
      <c r="R337" s="62">
        <v>0</v>
      </c>
      <c r="S337" s="62">
        <v>0</v>
      </c>
      <c r="T337" s="62">
        <v>0</v>
      </c>
      <c r="U337" s="62">
        <v>0</v>
      </c>
      <c r="V337" s="62">
        <v>0</v>
      </c>
      <c r="W337" s="62">
        <f t="shared" si="35"/>
        <v>3360.5300000000007</v>
      </c>
      <c r="X337" s="62">
        <f t="shared" si="34"/>
        <v>3360.5300000000007</v>
      </c>
      <c r="Y337" s="62">
        <f t="shared" si="31"/>
        <v>0</v>
      </c>
      <c r="Z337" s="62">
        <v>0</v>
      </c>
      <c r="AA337" s="62">
        <f t="shared" si="32"/>
        <v>0</v>
      </c>
      <c r="AB337" s="62">
        <f t="shared" si="36"/>
        <v>2500</v>
      </c>
      <c r="AC337" s="62"/>
      <c r="AD337" s="62"/>
    </row>
    <row r="338" spans="1:30" hidden="1" x14ac:dyDescent="0.3">
      <c r="A338" s="2">
        <v>6</v>
      </c>
      <c r="B338" s="3" t="s">
        <v>49</v>
      </c>
      <c r="C338" s="4" t="s">
        <v>104</v>
      </c>
      <c r="D338" s="4" t="s">
        <v>283</v>
      </c>
      <c r="E338" s="4" t="s">
        <v>232</v>
      </c>
      <c r="F338" s="61" t="s">
        <v>232</v>
      </c>
      <c r="G338" s="4" t="s">
        <v>234</v>
      </c>
      <c r="H338" s="62">
        <v>0</v>
      </c>
      <c r="I338" s="62">
        <v>0</v>
      </c>
      <c r="J338" s="62">
        <v>0</v>
      </c>
      <c r="K338" s="62">
        <v>0</v>
      </c>
      <c r="L338" s="62">
        <v>0</v>
      </c>
      <c r="M338" s="62">
        <v>0</v>
      </c>
      <c r="N338" s="62">
        <v>0</v>
      </c>
      <c r="O338" s="62">
        <f t="shared" si="33"/>
        <v>0</v>
      </c>
      <c r="P338" s="62">
        <v>0</v>
      </c>
      <c r="Q338" s="62">
        <v>0</v>
      </c>
      <c r="R338" s="62">
        <v>0</v>
      </c>
      <c r="S338" s="62">
        <v>0</v>
      </c>
      <c r="T338" s="62">
        <v>-700</v>
      </c>
      <c r="U338" s="62">
        <v>0</v>
      </c>
      <c r="V338" s="62">
        <v>0</v>
      </c>
      <c r="W338" s="62">
        <f t="shared" si="35"/>
        <v>-700</v>
      </c>
      <c r="X338" s="62">
        <f t="shared" si="34"/>
        <v>0</v>
      </c>
      <c r="Y338" s="62">
        <f t="shared" si="31"/>
        <v>-700</v>
      </c>
      <c r="Z338" s="62">
        <v>700</v>
      </c>
      <c r="AA338" s="62">
        <f t="shared" si="32"/>
        <v>0</v>
      </c>
      <c r="AB338" s="62">
        <f t="shared" si="36"/>
        <v>700</v>
      </c>
      <c r="AC338" s="62"/>
      <c r="AD338" s="62" t="s">
        <v>867</v>
      </c>
    </row>
    <row r="339" spans="1:30" hidden="1" x14ac:dyDescent="0.3">
      <c r="A339" s="2">
        <v>6</v>
      </c>
      <c r="B339" s="3" t="s">
        <v>115</v>
      </c>
      <c r="C339" s="4" t="s">
        <v>42</v>
      </c>
      <c r="D339" s="4" t="s">
        <v>755</v>
      </c>
      <c r="E339" s="4" t="str">
        <f>VLOOKUP(C339,'[2]CTRL AUTOS'!$E$2:$L$58,8,FALSE)</f>
        <v>ASHC</v>
      </c>
      <c r="F339" s="61" t="str">
        <f>VLOOKUP(C339,'[2]CTRL AUTOS'!$E$2:$K$58,7,FALSE)</f>
        <v>ASHC</v>
      </c>
      <c r="G339" s="4" t="s">
        <v>234</v>
      </c>
      <c r="H339" s="62">
        <v>5118.72</v>
      </c>
      <c r="I339" s="62">
        <v>-2384.02</v>
      </c>
      <c r="J339" s="62">
        <v>0</v>
      </c>
      <c r="K339" s="62">
        <v>0</v>
      </c>
      <c r="L339" s="62">
        <v>0</v>
      </c>
      <c r="M339" s="62">
        <v>-180</v>
      </c>
      <c r="N339" s="62">
        <v>0</v>
      </c>
      <c r="O339" s="62">
        <f t="shared" si="33"/>
        <v>2554.7000000000003</v>
      </c>
      <c r="P339" s="62">
        <v>-2500</v>
      </c>
      <c r="Q339" s="62">
        <v>0</v>
      </c>
      <c r="R339" s="62">
        <v>-500</v>
      </c>
      <c r="S339" s="62">
        <v>0</v>
      </c>
      <c r="T339" s="62">
        <v>0</v>
      </c>
      <c r="U339" s="62">
        <v>0</v>
      </c>
      <c r="V339" s="62">
        <v>0</v>
      </c>
      <c r="W339" s="62">
        <f t="shared" si="35"/>
        <v>-445.29999999999973</v>
      </c>
      <c r="X339" s="62">
        <f t="shared" si="34"/>
        <v>0</v>
      </c>
      <c r="Y339" s="62">
        <f t="shared" si="31"/>
        <v>-445.29999999999973</v>
      </c>
      <c r="Z339" s="62">
        <v>445</v>
      </c>
      <c r="AA339" s="62">
        <f t="shared" si="32"/>
        <v>-0.29999999999972715</v>
      </c>
      <c r="AB339" s="62">
        <f t="shared" si="36"/>
        <v>2999.4000000000005</v>
      </c>
      <c r="AC339" s="62"/>
      <c r="AD339" s="62" t="s">
        <v>868</v>
      </c>
    </row>
    <row r="340" spans="1:30" hidden="1" x14ac:dyDescent="0.3">
      <c r="A340" s="2">
        <v>6</v>
      </c>
      <c r="B340" s="3" t="s">
        <v>74</v>
      </c>
      <c r="C340" s="4" t="s">
        <v>77</v>
      </c>
      <c r="D340" s="4" t="s">
        <v>474</v>
      </c>
      <c r="E340" s="4" t="str">
        <f>VLOOKUP(C340,'[2]CTRL AUTOS'!$E$2:$L$58,8,FALSE)</f>
        <v>ASHC</v>
      </c>
      <c r="F340" s="61" t="str">
        <f>VLOOKUP(C340,'[2]CTRL AUTOS'!$E$2:$K$58,7,FALSE)</f>
        <v>ASHC</v>
      </c>
      <c r="G340" s="4" t="s">
        <v>234</v>
      </c>
      <c r="H340" s="62">
        <v>87.78</v>
      </c>
      <c r="I340" s="62">
        <v>-148.47</v>
      </c>
      <c r="J340" s="62">
        <v>0</v>
      </c>
      <c r="K340" s="62">
        <v>0</v>
      </c>
      <c r="L340" s="62">
        <v>0</v>
      </c>
      <c r="M340" s="62">
        <v>-15</v>
      </c>
      <c r="N340" s="62">
        <v>0</v>
      </c>
      <c r="O340" s="62">
        <f t="shared" si="33"/>
        <v>-15</v>
      </c>
      <c r="P340" s="62">
        <v>-2500</v>
      </c>
      <c r="Q340" s="62">
        <v>-1730</v>
      </c>
      <c r="R340" s="62">
        <v>0</v>
      </c>
      <c r="S340" s="62">
        <v>0</v>
      </c>
      <c r="T340" s="62">
        <v>0</v>
      </c>
      <c r="U340" s="62">
        <v>0</v>
      </c>
      <c r="V340" s="62">
        <v>0</v>
      </c>
      <c r="W340" s="62">
        <f t="shared" si="35"/>
        <v>-4245</v>
      </c>
      <c r="X340" s="62">
        <f t="shared" si="34"/>
        <v>0</v>
      </c>
      <c r="Y340" s="62">
        <f t="shared" si="31"/>
        <v>-4245</v>
      </c>
      <c r="Z340" s="62">
        <v>0</v>
      </c>
      <c r="AA340" s="62">
        <f t="shared" si="32"/>
        <v>-4245</v>
      </c>
      <c r="AB340" s="62">
        <f t="shared" si="36"/>
        <v>-4260</v>
      </c>
      <c r="AC340" s="62"/>
      <c r="AD340" s="62"/>
    </row>
    <row r="341" spans="1:30" hidden="1" x14ac:dyDescent="0.3">
      <c r="A341" s="2">
        <v>6</v>
      </c>
      <c r="B341" s="3" t="s">
        <v>132</v>
      </c>
      <c r="C341" s="4" t="s">
        <v>54</v>
      </c>
      <c r="D341" s="4"/>
      <c r="E341" s="4" t="str">
        <f>VLOOKUP(C341,'[2]CTRL AUTOS'!$E$2:$L$58,8,FALSE)</f>
        <v>ASHC</v>
      </c>
      <c r="F341" s="61" t="str">
        <f>VLOOKUP(C341,'[2]CTRL AUTOS'!$E$2:$K$58,7,FALSE)</f>
        <v>ASHC</v>
      </c>
      <c r="G341" s="4" t="s">
        <v>234</v>
      </c>
      <c r="H341" s="62">
        <v>718.06</v>
      </c>
      <c r="I341" s="62">
        <v>0</v>
      </c>
      <c r="J341" s="62">
        <v>0</v>
      </c>
      <c r="K341" s="62">
        <v>128.37</v>
      </c>
      <c r="L341" s="62">
        <v>0</v>
      </c>
      <c r="M341" s="62">
        <v>-5</v>
      </c>
      <c r="N341" s="62">
        <v>0</v>
      </c>
      <c r="O341" s="62">
        <f t="shared" si="33"/>
        <v>841.43</v>
      </c>
      <c r="P341" s="62">
        <v>-2500</v>
      </c>
      <c r="Q341" s="62">
        <v>0</v>
      </c>
      <c r="R341" s="62">
        <v>-500</v>
      </c>
      <c r="S341" s="62">
        <v>0</v>
      </c>
      <c r="T341" s="62">
        <v>0</v>
      </c>
      <c r="U341" s="62">
        <v>0</v>
      </c>
      <c r="V341" s="62">
        <v>0</v>
      </c>
      <c r="W341" s="62">
        <f t="shared" si="35"/>
        <v>-2158.5700000000002</v>
      </c>
      <c r="X341" s="62">
        <f t="shared" si="34"/>
        <v>0</v>
      </c>
      <c r="Y341" s="62">
        <f t="shared" si="31"/>
        <v>-2158.5700000000002</v>
      </c>
      <c r="Z341" s="62">
        <v>2159</v>
      </c>
      <c r="AA341" s="62">
        <f t="shared" si="32"/>
        <v>0.42999999999983629</v>
      </c>
      <c r="AB341" s="62">
        <f t="shared" si="36"/>
        <v>3000.8599999999997</v>
      </c>
      <c r="AC341" s="62"/>
      <c r="AD341" s="62" t="s">
        <v>869</v>
      </c>
    </row>
    <row r="342" spans="1:30" hidden="1" x14ac:dyDescent="0.3">
      <c r="A342" s="2">
        <v>6</v>
      </c>
      <c r="B342" s="3" t="s">
        <v>51</v>
      </c>
      <c r="C342" s="4" t="s">
        <v>52</v>
      </c>
      <c r="D342" s="4" t="s">
        <v>313</v>
      </c>
      <c r="E342" s="4" t="str">
        <f>VLOOKUP(C342,'[2]CTRL AUTOS'!$E$2:$L$58,8,FALSE)</f>
        <v>ASHC</v>
      </c>
      <c r="F342" s="61" t="str">
        <f>VLOOKUP(C342,'[2]CTRL AUTOS'!$E$2:$K$58,7,FALSE)</f>
        <v>ASHC</v>
      </c>
      <c r="G342" s="4" t="s">
        <v>234</v>
      </c>
      <c r="H342" s="62">
        <v>3838.81</v>
      </c>
      <c r="I342" s="62">
        <v>-346.14</v>
      </c>
      <c r="J342" s="62">
        <v>-26.88</v>
      </c>
      <c r="K342" s="62">
        <v>194.88</v>
      </c>
      <c r="L342" s="62">
        <v>-28.909999999999997</v>
      </c>
      <c r="M342" s="62">
        <v>-25</v>
      </c>
      <c r="N342" s="62">
        <v>0</v>
      </c>
      <c r="O342" s="62">
        <f t="shared" si="33"/>
        <v>3606.76</v>
      </c>
      <c r="P342" s="62">
        <v>-2500</v>
      </c>
      <c r="Q342" s="62">
        <v>0</v>
      </c>
      <c r="R342" s="62">
        <v>0</v>
      </c>
      <c r="S342" s="62">
        <v>0</v>
      </c>
      <c r="T342" s="62">
        <v>0</v>
      </c>
      <c r="U342" s="62">
        <v>0</v>
      </c>
      <c r="V342" s="62">
        <v>0</v>
      </c>
      <c r="W342" s="62">
        <f t="shared" si="35"/>
        <v>1106.7600000000002</v>
      </c>
      <c r="X342" s="62">
        <f t="shared" si="34"/>
        <v>1106.7600000000002</v>
      </c>
      <c r="Y342" s="62">
        <f t="shared" si="31"/>
        <v>0</v>
      </c>
      <c r="Z342" s="62">
        <v>0</v>
      </c>
      <c r="AA342" s="62">
        <f t="shared" si="32"/>
        <v>0</v>
      </c>
      <c r="AB342" s="62">
        <f t="shared" si="36"/>
        <v>2500</v>
      </c>
      <c r="AC342" s="62"/>
      <c r="AD342" s="62"/>
    </row>
    <row r="343" spans="1:30" hidden="1" x14ac:dyDescent="0.3">
      <c r="A343" s="2">
        <v>6</v>
      </c>
      <c r="B343" s="3" t="s">
        <v>131</v>
      </c>
      <c r="C343" s="4" t="s">
        <v>116</v>
      </c>
      <c r="D343" s="4"/>
      <c r="E343" s="4" t="str">
        <f>VLOOKUP(C343,'[2]CTRL AUTOS'!$E$2:$L$58,8,FALSE)</f>
        <v>BYER</v>
      </c>
      <c r="F343" s="61" t="str">
        <f>VLOOKUP(C343,'[2]CTRL AUTOS'!$E$2:$K$58,7,FALSE)</f>
        <v>BYER</v>
      </c>
      <c r="G343" s="4" t="s">
        <v>234</v>
      </c>
      <c r="H343" s="62">
        <v>5490.62</v>
      </c>
      <c r="I343" s="62">
        <v>-1332.3</v>
      </c>
      <c r="J343" s="62">
        <v>0</v>
      </c>
      <c r="K343" s="62">
        <v>16.89</v>
      </c>
      <c r="L343" s="62">
        <v>0</v>
      </c>
      <c r="M343" s="62">
        <f>I343*0.05</f>
        <v>-66.614999999999995</v>
      </c>
      <c r="N343" s="62">
        <v>0</v>
      </c>
      <c r="O343" s="62">
        <f t="shared" si="33"/>
        <v>4108.5950000000003</v>
      </c>
      <c r="P343" s="62">
        <v>-2500</v>
      </c>
      <c r="Q343" s="62">
        <v>0</v>
      </c>
      <c r="R343" s="62">
        <v>-500</v>
      </c>
      <c r="S343" s="62">
        <v>0</v>
      </c>
      <c r="T343" s="62">
        <v>0</v>
      </c>
      <c r="U343" s="62">
        <v>0</v>
      </c>
      <c r="V343" s="62">
        <v>0</v>
      </c>
      <c r="W343" s="62">
        <f t="shared" si="35"/>
        <v>1108.5950000000003</v>
      </c>
      <c r="X343" s="62">
        <f t="shared" si="34"/>
        <v>1108.5950000000003</v>
      </c>
      <c r="Y343" s="62">
        <f t="shared" si="31"/>
        <v>0</v>
      </c>
      <c r="Z343" s="62">
        <v>0</v>
      </c>
      <c r="AA343" s="62">
        <f t="shared" si="32"/>
        <v>0</v>
      </c>
      <c r="AB343" s="62">
        <f t="shared" si="36"/>
        <v>3000</v>
      </c>
      <c r="AC343" s="62"/>
      <c r="AD343" s="62"/>
    </row>
    <row r="344" spans="1:30" hidden="1" x14ac:dyDescent="0.3">
      <c r="A344" s="2">
        <v>6</v>
      </c>
      <c r="B344" s="3" t="s">
        <v>78</v>
      </c>
      <c r="C344" s="4" t="s">
        <v>79</v>
      </c>
      <c r="D344" s="4" t="s">
        <v>475</v>
      </c>
      <c r="E344" s="4" t="str">
        <f>VLOOKUP(C344,'[2]CTRL AUTOS'!$E$2:$L$58,8,FALSE)</f>
        <v>BYER</v>
      </c>
      <c r="F344" s="61" t="str">
        <f>VLOOKUP(C344,'[2]CTRL AUTOS'!$E$2:$K$58,7,FALSE)</f>
        <v>BYER</v>
      </c>
      <c r="G344" s="4" t="s">
        <v>234</v>
      </c>
      <c r="H344" s="62">
        <v>1966.27</v>
      </c>
      <c r="I344" s="62">
        <v>-133.78</v>
      </c>
      <c r="J344" s="62">
        <v>0</v>
      </c>
      <c r="K344" s="62">
        <v>0</v>
      </c>
      <c r="L344" s="62">
        <v>-20.059999999999999</v>
      </c>
      <c r="M344" s="62">
        <v>-16</v>
      </c>
      <c r="N344" s="62">
        <v>0</v>
      </c>
      <c r="O344" s="62">
        <f t="shared" si="33"/>
        <v>1796.43</v>
      </c>
      <c r="P344" s="62">
        <v>-2500</v>
      </c>
      <c r="Q344" s="62">
        <v>-3051</v>
      </c>
      <c r="R344" s="62">
        <v>0</v>
      </c>
      <c r="S344" s="62">
        <v>0</v>
      </c>
      <c r="T344" s="62">
        <v>0</v>
      </c>
      <c r="U344" s="62">
        <v>0</v>
      </c>
      <c r="V344" s="62">
        <v>0</v>
      </c>
      <c r="W344" s="62">
        <f t="shared" si="35"/>
        <v>-3754.5699999999997</v>
      </c>
      <c r="X344" s="62">
        <f t="shared" si="34"/>
        <v>0</v>
      </c>
      <c r="Y344" s="62">
        <f t="shared" si="31"/>
        <v>-3754.5699999999997</v>
      </c>
      <c r="Z344" s="62">
        <v>1207</v>
      </c>
      <c r="AA344" s="62">
        <f t="shared" si="32"/>
        <v>-2547.5699999999997</v>
      </c>
      <c r="AB344" s="62">
        <f t="shared" si="36"/>
        <v>455.86000000000058</v>
      </c>
      <c r="AC344" s="62"/>
      <c r="AD344" s="62" t="s">
        <v>870</v>
      </c>
    </row>
    <row r="345" spans="1:30" hidden="1" x14ac:dyDescent="0.3">
      <c r="A345" s="2">
        <v>6</v>
      </c>
      <c r="B345" s="3" t="s">
        <v>107</v>
      </c>
      <c r="C345" s="4" t="s">
        <v>148</v>
      </c>
      <c r="D345" s="4"/>
      <c r="E345" s="4" t="str">
        <f>VLOOKUP(C345,'[2]CTRL AUTOS'!$E$2:$L$58,8,FALSE)</f>
        <v>ASHC</v>
      </c>
      <c r="F345" s="61" t="str">
        <f>VLOOKUP(C345,'[2]CTRL AUTOS'!$E$2:$K$58,7,FALSE)</f>
        <v>ASHC</v>
      </c>
      <c r="G345" s="4" t="s">
        <v>234</v>
      </c>
      <c r="H345" s="62">
        <v>3802.8</v>
      </c>
      <c r="I345" s="62">
        <v>-2243.91</v>
      </c>
      <c r="J345" s="62">
        <v>0</v>
      </c>
      <c r="K345" s="62">
        <v>0</v>
      </c>
      <c r="L345" s="62">
        <v>0</v>
      </c>
      <c r="M345" s="62">
        <v>-180</v>
      </c>
      <c r="N345" s="62">
        <v>-138</v>
      </c>
      <c r="O345" s="62">
        <f t="shared" si="33"/>
        <v>1240.8900000000003</v>
      </c>
      <c r="P345" s="62">
        <v>-2700</v>
      </c>
      <c r="Q345" s="62">
        <v>0</v>
      </c>
      <c r="R345" s="62">
        <v>-500</v>
      </c>
      <c r="S345" s="62">
        <v>0</v>
      </c>
      <c r="T345" s="62">
        <v>0</v>
      </c>
      <c r="U345" s="62">
        <v>0</v>
      </c>
      <c r="V345" s="62">
        <v>0</v>
      </c>
      <c r="W345" s="62">
        <f t="shared" si="35"/>
        <v>-1959.1099999999997</v>
      </c>
      <c r="X345" s="62">
        <f t="shared" si="34"/>
        <v>0</v>
      </c>
      <c r="Y345" s="62">
        <f t="shared" si="31"/>
        <v>-1959.1099999999997</v>
      </c>
      <c r="Z345" s="62">
        <v>1959</v>
      </c>
      <c r="AA345" s="62">
        <f t="shared" si="32"/>
        <v>-0.10999999999967258</v>
      </c>
      <c r="AB345" s="62">
        <f t="shared" si="36"/>
        <v>3199.7800000000007</v>
      </c>
      <c r="AC345" s="62"/>
      <c r="AD345" s="62" t="s">
        <v>871</v>
      </c>
    </row>
    <row r="346" spans="1:30" hidden="1" x14ac:dyDescent="0.3">
      <c r="A346" s="2">
        <v>6</v>
      </c>
      <c r="B346" s="3" t="s">
        <v>76</v>
      </c>
      <c r="C346" s="4" t="s">
        <v>8</v>
      </c>
      <c r="D346" s="4"/>
      <c r="E346" s="4" t="s">
        <v>232</v>
      </c>
      <c r="F346" s="61" t="s">
        <v>232</v>
      </c>
      <c r="G346" s="4" t="s">
        <v>234</v>
      </c>
      <c r="H346" s="62">
        <v>0</v>
      </c>
      <c r="I346" s="62">
        <v>0</v>
      </c>
      <c r="J346" s="62">
        <v>0</v>
      </c>
      <c r="K346" s="62">
        <v>0</v>
      </c>
      <c r="L346" s="62">
        <v>0</v>
      </c>
      <c r="M346" s="62">
        <v>0</v>
      </c>
      <c r="N346" s="62">
        <v>0</v>
      </c>
      <c r="O346" s="62">
        <f t="shared" si="33"/>
        <v>0</v>
      </c>
      <c r="P346" s="62">
        <v>0</v>
      </c>
      <c r="Q346" s="62">
        <v>-500</v>
      </c>
      <c r="R346" s="62">
        <v>0</v>
      </c>
      <c r="S346" s="62">
        <v>0</v>
      </c>
      <c r="T346" s="62">
        <v>0</v>
      </c>
      <c r="U346" s="62">
        <v>0</v>
      </c>
      <c r="V346" s="62">
        <v>0</v>
      </c>
      <c r="W346" s="62">
        <f t="shared" si="35"/>
        <v>-500</v>
      </c>
      <c r="X346" s="62">
        <f t="shared" si="34"/>
        <v>0</v>
      </c>
      <c r="Y346" s="62">
        <f t="shared" si="31"/>
        <v>-500</v>
      </c>
      <c r="Z346" s="62">
        <v>0</v>
      </c>
      <c r="AA346" s="62">
        <f t="shared" si="32"/>
        <v>-500</v>
      </c>
      <c r="AB346" s="62">
        <f t="shared" si="36"/>
        <v>-500</v>
      </c>
      <c r="AC346" s="62"/>
      <c r="AD346" s="62"/>
    </row>
    <row r="347" spans="1:30" hidden="1" x14ac:dyDescent="0.3">
      <c r="A347" s="2">
        <v>6</v>
      </c>
      <c r="B347" s="3" t="s">
        <v>87</v>
      </c>
      <c r="C347" s="4" t="s">
        <v>83</v>
      </c>
      <c r="D347" s="4" t="s">
        <v>592</v>
      </c>
      <c r="E347" s="4" t="str">
        <f>VLOOKUP(C347,'[2]CTRL AUTOS'!$E$2:$L$58,8,FALSE)</f>
        <v>ASHC</v>
      </c>
      <c r="F347" s="61" t="str">
        <f>VLOOKUP(C347,'[2]CTRL AUTOS'!$E$2:$K$58,7,FALSE)</f>
        <v>ASHC</v>
      </c>
      <c r="G347" s="4" t="s">
        <v>234</v>
      </c>
      <c r="H347" s="62">
        <v>2670.08</v>
      </c>
      <c r="I347" s="62">
        <v>-1162.7900000000002</v>
      </c>
      <c r="J347" s="62">
        <v>-19.2</v>
      </c>
      <c r="K347" s="62">
        <v>0</v>
      </c>
      <c r="L347" s="62">
        <v>0</v>
      </c>
      <c r="M347" s="62">
        <v>-98</v>
      </c>
      <c r="N347" s="62">
        <v>0</v>
      </c>
      <c r="O347" s="62">
        <f t="shared" si="33"/>
        <v>1390.0899999999997</v>
      </c>
      <c r="P347" s="62">
        <v>-2700</v>
      </c>
      <c r="Q347" s="62">
        <v>0</v>
      </c>
      <c r="R347" s="62">
        <v>0</v>
      </c>
      <c r="S347" s="62">
        <v>0</v>
      </c>
      <c r="T347" s="62">
        <v>0</v>
      </c>
      <c r="U347" s="62">
        <v>-700</v>
      </c>
      <c r="V347" s="62">
        <v>0</v>
      </c>
      <c r="W347" s="62">
        <f t="shared" si="35"/>
        <v>-2009.9100000000003</v>
      </c>
      <c r="X347" s="62">
        <f t="shared" si="34"/>
        <v>0</v>
      </c>
      <c r="Y347" s="62">
        <f t="shared" si="31"/>
        <v>-2009.9100000000003</v>
      </c>
      <c r="Z347" s="62">
        <f>1310+400</f>
        <v>1710</v>
      </c>
      <c r="AA347" s="62">
        <f t="shared" si="32"/>
        <v>-299.91000000000031</v>
      </c>
      <c r="AB347" s="62">
        <f t="shared" si="36"/>
        <v>2800.1799999999994</v>
      </c>
      <c r="AC347" s="62"/>
      <c r="AD347" s="62" t="s">
        <v>872</v>
      </c>
    </row>
    <row r="348" spans="1:30" hidden="1" x14ac:dyDescent="0.3">
      <c r="A348" s="2">
        <v>6</v>
      </c>
      <c r="B348" s="3" t="s">
        <v>117</v>
      </c>
      <c r="C348" s="4" t="s">
        <v>118</v>
      </c>
      <c r="D348" s="4"/>
      <c r="E348" s="4" t="str">
        <f>VLOOKUP(C348,'[2]CTRL AUTOS'!$E$2:$L$58,8,FALSE)</f>
        <v>ASHC</v>
      </c>
      <c r="F348" s="61" t="str">
        <f>VLOOKUP(C348,'[2]CTRL AUTOS'!$E$2:$K$58,7,FALSE)</f>
        <v>ASHC</v>
      </c>
      <c r="G348" s="4" t="s">
        <v>234</v>
      </c>
      <c r="H348" s="62">
        <v>5244.36</v>
      </c>
      <c r="I348" s="62">
        <v>-2330.5700000000006</v>
      </c>
      <c r="J348" s="62">
        <v>0</v>
      </c>
      <c r="K348" s="62">
        <v>0</v>
      </c>
      <c r="L348" s="62">
        <v>-64.12</v>
      </c>
      <c r="M348" s="62">
        <v>-180</v>
      </c>
      <c r="N348" s="62">
        <v>-347</v>
      </c>
      <c r="O348" s="62">
        <f t="shared" si="33"/>
        <v>2322.6699999999992</v>
      </c>
      <c r="P348" s="62">
        <v>-2500</v>
      </c>
      <c r="Q348" s="62">
        <v>0</v>
      </c>
      <c r="R348" s="62">
        <v>-500</v>
      </c>
      <c r="S348" s="62">
        <v>0</v>
      </c>
      <c r="T348" s="62">
        <v>0</v>
      </c>
      <c r="U348" s="62">
        <v>0</v>
      </c>
      <c r="V348" s="62">
        <v>0</v>
      </c>
      <c r="W348" s="62">
        <f t="shared" si="35"/>
        <v>-677.33000000000084</v>
      </c>
      <c r="X348" s="62">
        <f t="shared" si="34"/>
        <v>0</v>
      </c>
      <c r="Y348" s="62">
        <f t="shared" si="31"/>
        <v>-677.33000000000084</v>
      </c>
      <c r="Z348" s="62">
        <v>677</v>
      </c>
      <c r="AA348" s="62">
        <f t="shared" si="32"/>
        <v>-0.33000000000083674</v>
      </c>
      <c r="AB348" s="62">
        <f t="shared" si="36"/>
        <v>2999.3399999999983</v>
      </c>
      <c r="AC348" s="62"/>
      <c r="AD348" s="62" t="s">
        <v>873</v>
      </c>
    </row>
    <row r="349" spans="1:30" hidden="1" x14ac:dyDescent="0.3">
      <c r="A349" s="2">
        <v>6</v>
      </c>
      <c r="B349" s="3" t="s">
        <v>98</v>
      </c>
      <c r="C349" s="4" t="s">
        <v>112</v>
      </c>
      <c r="D349" s="4" t="s">
        <v>336</v>
      </c>
      <c r="E349" s="4" t="str">
        <f>VLOOKUP(C349,'[2]CTRL AUTOS'!$E$2:$L$58,8,FALSE)</f>
        <v>ASHC</v>
      </c>
      <c r="F349" s="61" t="str">
        <f>VLOOKUP(C349,'[2]CTRL AUTOS'!$E$2:$K$58,7,FALSE)</f>
        <v>ASHC</v>
      </c>
      <c r="G349" s="4" t="s">
        <v>234</v>
      </c>
      <c r="H349" s="62">
        <v>622.07000000000005</v>
      </c>
      <c r="I349" s="62">
        <v>0</v>
      </c>
      <c r="J349" s="62">
        <v>0</v>
      </c>
      <c r="K349" s="62">
        <v>0</v>
      </c>
      <c r="L349" s="62">
        <v>0</v>
      </c>
      <c r="M349" s="62">
        <f>-2.0472-5</f>
        <v>-7.0472000000000001</v>
      </c>
      <c r="N349" s="62">
        <v>-17.059999999999999</v>
      </c>
      <c r="O349" s="62">
        <f t="shared" si="33"/>
        <v>597.96280000000013</v>
      </c>
      <c r="P349" s="62">
        <v>-2500</v>
      </c>
      <c r="Q349" s="62">
        <v>0</v>
      </c>
      <c r="R349" s="62">
        <v>0</v>
      </c>
      <c r="S349" s="62">
        <v>0</v>
      </c>
      <c r="T349" s="62">
        <v>-2500</v>
      </c>
      <c r="U349" s="62">
        <v>458</v>
      </c>
      <c r="V349" s="62">
        <v>0</v>
      </c>
      <c r="W349" s="62">
        <f t="shared" si="35"/>
        <v>-3944.0371999999998</v>
      </c>
      <c r="X349" s="62">
        <f t="shared" si="34"/>
        <v>0</v>
      </c>
      <c r="Y349" s="62">
        <f t="shared" si="31"/>
        <v>-3944.0371999999998</v>
      </c>
      <c r="Z349" s="62">
        <f>1500</f>
        <v>1500</v>
      </c>
      <c r="AA349" s="62">
        <f t="shared" si="32"/>
        <v>-2444.0371999999998</v>
      </c>
      <c r="AB349" s="62">
        <f t="shared" si="36"/>
        <v>-346.07439999999951</v>
      </c>
      <c r="AC349" s="62"/>
      <c r="AD349" s="62" t="s">
        <v>874</v>
      </c>
    </row>
    <row r="350" spans="1:30" hidden="1" x14ac:dyDescent="0.3">
      <c r="A350" s="2">
        <v>6</v>
      </c>
      <c r="B350" s="3" t="s">
        <v>128</v>
      </c>
      <c r="C350" s="4" t="s">
        <v>44</v>
      </c>
      <c r="D350" s="4"/>
      <c r="E350" s="4" t="str">
        <f>VLOOKUP(C350,'[2]CTRL AUTOS'!$E$2:$L$58,8,FALSE)</f>
        <v>ASHC</v>
      </c>
      <c r="F350" s="61" t="str">
        <f>VLOOKUP(C350,'[2]CTRL AUTOS'!$E$2:$K$58,7,FALSE)</f>
        <v>ASHC</v>
      </c>
      <c r="G350" s="4" t="s">
        <v>234</v>
      </c>
      <c r="H350" s="62">
        <v>4291.1899999999996</v>
      </c>
      <c r="I350" s="62">
        <v>-1661.2300000000002</v>
      </c>
      <c r="J350" s="62">
        <v>-48</v>
      </c>
      <c r="K350" s="62">
        <v>0</v>
      </c>
      <c r="L350" s="62">
        <v>0</v>
      </c>
      <c r="M350" s="62">
        <v>-98</v>
      </c>
      <c r="N350" s="62">
        <v>0</v>
      </c>
      <c r="O350" s="62">
        <f t="shared" si="33"/>
        <v>2483.9599999999991</v>
      </c>
      <c r="P350" s="62">
        <f>(-2500/7)*3</f>
        <v>-1071.4285714285716</v>
      </c>
      <c r="Q350" s="62">
        <v>0</v>
      </c>
      <c r="R350" s="62">
        <v>0</v>
      </c>
      <c r="S350" s="62">
        <v>0</v>
      </c>
      <c r="T350" s="62">
        <v>0</v>
      </c>
      <c r="U350" s="62">
        <v>0</v>
      </c>
      <c r="V350" s="62">
        <v>0</v>
      </c>
      <c r="W350" s="62">
        <f t="shared" si="35"/>
        <v>1412.5314285714276</v>
      </c>
      <c r="X350" s="62">
        <f t="shared" si="34"/>
        <v>1412.5314285714276</v>
      </c>
      <c r="Y350" s="62">
        <f t="shared" si="31"/>
        <v>0</v>
      </c>
      <c r="Z350" s="62">
        <v>0</v>
      </c>
      <c r="AA350" s="62">
        <f t="shared" si="32"/>
        <v>0</v>
      </c>
      <c r="AB350" s="62">
        <f t="shared" si="36"/>
        <v>1071.4285714285716</v>
      </c>
      <c r="AC350" s="62"/>
      <c r="AD350" s="62"/>
    </row>
    <row r="351" spans="1:30" hidden="1" x14ac:dyDescent="0.3">
      <c r="A351" s="2">
        <v>6</v>
      </c>
      <c r="B351" s="3" t="s">
        <v>70</v>
      </c>
      <c r="C351" s="4" t="s">
        <v>71</v>
      </c>
      <c r="D351" s="4" t="s">
        <v>588</v>
      </c>
      <c r="E351" s="4" t="str">
        <f>VLOOKUP(C351,'[2]CTRL AUTOS'!$E$2:$L$58,8,FALSE)</f>
        <v>ASHC</v>
      </c>
      <c r="F351" s="67" t="s">
        <v>291</v>
      </c>
      <c r="G351" s="4" t="s">
        <v>234</v>
      </c>
      <c r="H351" s="62">
        <v>1463.68</v>
      </c>
      <c r="I351" s="62">
        <v>0</v>
      </c>
      <c r="J351" s="62">
        <v>0</v>
      </c>
      <c r="K351" s="62">
        <v>0</v>
      </c>
      <c r="L351" s="62">
        <v>0</v>
      </c>
      <c r="M351" s="62">
        <v>0</v>
      </c>
      <c r="N351" s="62">
        <v>0</v>
      </c>
      <c r="O351" s="62">
        <f>IF(H351+I351&lt;0,SUM(J351:N351),SUM(H351:N351))</f>
        <v>1463.68</v>
      </c>
      <c r="P351" s="62">
        <v>0</v>
      </c>
      <c r="Q351" s="62">
        <v>0</v>
      </c>
      <c r="R351" s="62">
        <v>0</v>
      </c>
      <c r="S351" s="62">
        <v>0</v>
      </c>
      <c r="T351" s="62">
        <v>0</v>
      </c>
      <c r="U351" s="62">
        <v>0</v>
      </c>
      <c r="V351" s="62">
        <v>0</v>
      </c>
      <c r="W351" s="62">
        <f t="shared" si="35"/>
        <v>1463.68</v>
      </c>
      <c r="X351" s="62">
        <f>IF(W351&gt;=0,W351,0)</f>
        <v>1463.68</v>
      </c>
      <c r="Y351" s="62">
        <f>IF(W351&lt;=0,W351,0)</f>
        <v>0</v>
      </c>
      <c r="Z351" s="62">
        <v>0</v>
      </c>
      <c r="AA351" s="62">
        <f>+Y351+Z351</f>
        <v>0</v>
      </c>
      <c r="AB351" s="62">
        <f t="shared" si="36"/>
        <v>0</v>
      </c>
      <c r="AC351" s="62"/>
      <c r="AD351" s="62"/>
    </row>
    <row r="352" spans="1:30" hidden="1" x14ac:dyDescent="0.3">
      <c r="A352" s="2">
        <v>6</v>
      </c>
      <c r="B352" s="3" t="s">
        <v>150</v>
      </c>
      <c r="C352" s="4" t="s">
        <v>104</v>
      </c>
      <c r="D352" s="4" t="s">
        <v>283</v>
      </c>
      <c r="E352" s="4" t="s">
        <v>364</v>
      </c>
      <c r="F352" s="61" t="s">
        <v>232</v>
      </c>
      <c r="G352" s="4" t="s">
        <v>425</v>
      </c>
      <c r="H352" s="62">
        <v>0</v>
      </c>
      <c r="I352" s="62">
        <v>0</v>
      </c>
      <c r="J352" s="62">
        <v>0</v>
      </c>
      <c r="K352" s="62">
        <v>0</v>
      </c>
      <c r="L352" s="62">
        <v>0</v>
      </c>
      <c r="M352" s="62">
        <v>0</v>
      </c>
      <c r="N352" s="62">
        <v>0</v>
      </c>
      <c r="O352" s="62">
        <f>IF(H352+I352&lt;0,SUM(J352:N352),SUM(H352:N352))</f>
        <v>0</v>
      </c>
      <c r="P352" s="62">
        <v>-2500</v>
      </c>
      <c r="Q352" s="62">
        <v>0</v>
      </c>
      <c r="R352" s="62">
        <v>-500</v>
      </c>
      <c r="S352" s="62">
        <v>0</v>
      </c>
      <c r="T352" s="62">
        <v>0</v>
      </c>
      <c r="U352" s="62">
        <v>0</v>
      </c>
      <c r="V352" s="62">
        <v>0</v>
      </c>
      <c r="W352" s="62">
        <f t="shared" si="35"/>
        <v>-3000</v>
      </c>
      <c r="X352" s="62">
        <f>IF(W352&gt;=0,W352,0)</f>
        <v>0</v>
      </c>
      <c r="Y352" s="62">
        <f>IF(W352&lt;=0,W352,0)</f>
        <v>-3000</v>
      </c>
      <c r="Z352" s="62">
        <v>3000</v>
      </c>
      <c r="AA352" s="62">
        <f>+Y352+Z352</f>
        <v>0</v>
      </c>
      <c r="AB352" s="62">
        <f t="shared" si="36"/>
        <v>3000</v>
      </c>
      <c r="AC352" s="62"/>
      <c r="AD352" s="62" t="s">
        <v>875</v>
      </c>
    </row>
    <row r="353" spans="1:32" hidden="1" x14ac:dyDescent="0.3">
      <c r="A353" s="2">
        <v>7</v>
      </c>
      <c r="B353" s="3" t="s">
        <v>76</v>
      </c>
      <c r="C353" s="4" t="s">
        <v>40</v>
      </c>
      <c r="D353" s="4" t="s">
        <v>315</v>
      </c>
      <c r="E353" s="4" t="str">
        <f>VLOOKUP(C353,'[2]CTRL AUTOS'!$E$2:$L$58,8,FALSE)</f>
        <v>ASHC</v>
      </c>
      <c r="F353" s="61" t="str">
        <f>VLOOKUP(C353,'[2]CTRL AUTOS'!$E$2:$K$58,7,FALSE)</f>
        <v>ASHC</v>
      </c>
      <c r="G353" s="4" t="s">
        <v>234</v>
      </c>
      <c r="H353" s="62">
        <v>3470.74</v>
      </c>
      <c r="I353" s="62">
        <v>-1584.3200000000002</v>
      </c>
      <c r="J353" s="62">
        <v>-14.4</v>
      </c>
      <c r="K353" s="62">
        <v>0</v>
      </c>
      <c r="L353" s="62">
        <v>-38.56</v>
      </c>
      <c r="M353" s="62">
        <v>-70</v>
      </c>
      <c r="N353" s="62">
        <v>0</v>
      </c>
      <c r="O353" s="62">
        <f t="shared" ref="O353:O416" si="37">IF(H353+I353&lt;0,SUM(J353:N353),SUM(H353:N353))</f>
        <v>1763.4599999999996</v>
      </c>
      <c r="P353" s="62">
        <f>(-2500/7)*6.5</f>
        <v>-2321.4285714285716</v>
      </c>
      <c r="Q353" s="62">
        <v>0</v>
      </c>
      <c r="R353" s="62">
        <v>0</v>
      </c>
      <c r="S353" s="62">
        <v>0</v>
      </c>
      <c r="T353" s="62">
        <v>0</v>
      </c>
      <c r="U353" s="62">
        <v>0</v>
      </c>
      <c r="V353" s="62">
        <v>0</v>
      </c>
      <c r="W353" s="62">
        <f t="shared" si="35"/>
        <v>-557.96857142857198</v>
      </c>
      <c r="X353" s="62">
        <f>IF(W353&gt;=0,W353,0)</f>
        <v>0</v>
      </c>
      <c r="Y353" s="62">
        <f t="shared" ref="Y353:Y360" si="38">IF(W353&lt;=0,W353,0)</f>
        <v>-557.96857142857198</v>
      </c>
      <c r="Z353" s="62">
        <v>0</v>
      </c>
      <c r="AA353" s="62">
        <f t="shared" ref="AA353:AA360" si="39">+Y353+Z353</f>
        <v>-557.96857142857198</v>
      </c>
      <c r="AB353" s="62">
        <f t="shared" si="36"/>
        <v>1205.4914285714276</v>
      </c>
      <c r="AC353" s="62"/>
      <c r="AD353" s="62" t="s">
        <v>876</v>
      </c>
      <c r="AF353" s="50" t="s">
        <v>410</v>
      </c>
    </row>
    <row r="354" spans="1:32" hidden="1" x14ac:dyDescent="0.3">
      <c r="A354" s="2">
        <v>7</v>
      </c>
      <c r="B354" s="3" t="s">
        <v>15</v>
      </c>
      <c r="C354" s="4" t="s">
        <v>137</v>
      </c>
      <c r="D354" s="4" t="s">
        <v>877</v>
      </c>
      <c r="E354" s="4" t="str">
        <f>VLOOKUP(C354,'[2]CTRL AUTOS'!$E$2:$L$58,8,FALSE)</f>
        <v>ASHC</v>
      </c>
      <c r="F354" s="61" t="str">
        <f>VLOOKUP(C354,'[2]CTRL AUTOS'!$E$2:$K$58,7,FALSE)</f>
        <v>ASHC</v>
      </c>
      <c r="G354" s="4" t="s">
        <v>234</v>
      </c>
      <c r="H354" s="62">
        <v>2299.9499999999998</v>
      </c>
      <c r="I354" s="62">
        <v>-665.41</v>
      </c>
      <c r="J354" s="62">
        <v>0</v>
      </c>
      <c r="K354" s="62">
        <v>0</v>
      </c>
      <c r="L354" s="62">
        <v>0</v>
      </c>
      <c r="M354" s="62">
        <v>-40</v>
      </c>
      <c r="N354" s="62">
        <v>0</v>
      </c>
      <c r="O354" s="62">
        <f t="shared" si="37"/>
        <v>1594.54</v>
      </c>
      <c r="P354" s="62">
        <f>(-2700/7)*6.5</f>
        <v>-2507.1428571428573</v>
      </c>
      <c r="Q354" s="62">
        <v>0</v>
      </c>
      <c r="R354" s="62">
        <v>-464.28571428571428</v>
      </c>
      <c r="S354" s="62">
        <v>0</v>
      </c>
      <c r="T354" s="62">
        <v>0</v>
      </c>
      <c r="U354" s="62">
        <v>0</v>
      </c>
      <c r="V354" s="62">
        <v>0</v>
      </c>
      <c r="W354" s="62">
        <f t="shared" si="35"/>
        <v>-1376.8885714285716</v>
      </c>
      <c r="X354" s="62">
        <f t="shared" ref="X354:X360" si="40">IF(W354&gt;=0,W354,0)</f>
        <v>0</v>
      </c>
      <c r="Y354" s="62">
        <f t="shared" si="38"/>
        <v>-1376.8885714285716</v>
      </c>
      <c r="Z354" s="62">
        <v>1050</v>
      </c>
      <c r="AA354" s="62">
        <f t="shared" si="39"/>
        <v>-326.88857142857159</v>
      </c>
      <c r="AB354" s="62">
        <f t="shared" si="36"/>
        <v>2317.6514285714284</v>
      </c>
      <c r="AC354" s="62"/>
      <c r="AD354" s="62" t="s">
        <v>878</v>
      </c>
    </row>
    <row r="355" spans="1:32" hidden="1" x14ac:dyDescent="0.3">
      <c r="A355" s="2">
        <v>7</v>
      </c>
      <c r="B355" s="3" t="s">
        <v>138</v>
      </c>
      <c r="C355" s="4" t="s">
        <v>50</v>
      </c>
      <c r="D355" s="4" t="s">
        <v>480</v>
      </c>
      <c r="E355" s="4" t="str">
        <f>VLOOKUP(C355,'[2]CTRL AUTOS'!$E$2:$L$58,8,FALSE)</f>
        <v>ASHC</v>
      </c>
      <c r="F355" s="61" t="str">
        <f>VLOOKUP(C355,'[2]CTRL AUTOS'!$E$2:$K$58,7,FALSE)</f>
        <v>ASHC</v>
      </c>
      <c r="G355" s="4" t="s">
        <v>234</v>
      </c>
      <c r="H355" s="62">
        <v>6460.55</v>
      </c>
      <c r="I355" s="62">
        <v>-2843.32</v>
      </c>
      <c r="J355" s="62">
        <v>-138.4</v>
      </c>
      <c r="K355" s="62">
        <v>0</v>
      </c>
      <c r="L355" s="62">
        <v>0</v>
      </c>
      <c r="M355" s="62">
        <v>-80</v>
      </c>
      <c r="N355" s="62">
        <v>0</v>
      </c>
      <c r="O355" s="62">
        <f t="shared" si="37"/>
        <v>3398.83</v>
      </c>
      <c r="P355" s="62">
        <f>(-2500/7)*5.5</f>
        <v>-1964.2857142857144</v>
      </c>
      <c r="Q355" s="62">
        <v>0</v>
      </c>
      <c r="R355" s="62">
        <v>-392.85714285714289</v>
      </c>
      <c r="S355" s="62">
        <v>0</v>
      </c>
      <c r="T355" s="62">
        <v>0</v>
      </c>
      <c r="U355" s="62">
        <v>0</v>
      </c>
      <c r="V355" s="62">
        <v>0</v>
      </c>
      <c r="W355" s="62">
        <f t="shared" si="35"/>
        <v>1041.6871428571426</v>
      </c>
      <c r="X355" s="62">
        <f t="shared" si="40"/>
        <v>1041.6871428571426</v>
      </c>
      <c r="Y355" s="62">
        <f t="shared" si="38"/>
        <v>0</v>
      </c>
      <c r="Z355" s="62">
        <v>0</v>
      </c>
      <c r="AA355" s="62">
        <f t="shared" si="39"/>
        <v>0</v>
      </c>
      <c r="AB355" s="62">
        <f t="shared" si="36"/>
        <v>2357.1428571428573</v>
      </c>
      <c r="AC355" s="62"/>
      <c r="AD355" s="62" t="s">
        <v>879</v>
      </c>
    </row>
    <row r="356" spans="1:32" hidden="1" x14ac:dyDescent="0.3">
      <c r="A356" s="2">
        <v>7</v>
      </c>
      <c r="B356" s="3" t="s">
        <v>139</v>
      </c>
      <c r="C356" s="4" t="s">
        <v>10</v>
      </c>
      <c r="D356" s="4" t="s">
        <v>343</v>
      </c>
      <c r="E356" s="4" t="str">
        <f>VLOOKUP(C356,'[2]CTRL AUTOS'!$E$2:$L$58,8,FALSE)</f>
        <v>ASHC</v>
      </c>
      <c r="F356" s="61" t="str">
        <f>VLOOKUP(C356,'[2]CTRL AUTOS'!$E$2:$K$58,7,FALSE)</f>
        <v>ASHC</v>
      </c>
      <c r="G356" s="4" t="s">
        <v>234</v>
      </c>
      <c r="H356" s="62">
        <v>4210.82</v>
      </c>
      <c r="I356" s="62">
        <v>-946.90000000000009</v>
      </c>
      <c r="J356" s="62">
        <v>0</v>
      </c>
      <c r="K356" s="62">
        <v>0</v>
      </c>
      <c r="L356" s="62">
        <v>0</v>
      </c>
      <c r="M356" s="62">
        <v>-50</v>
      </c>
      <c r="N356" s="62">
        <v>0</v>
      </c>
      <c r="O356" s="62">
        <f t="shared" si="37"/>
        <v>3213.9199999999996</v>
      </c>
      <c r="P356" s="62">
        <f>(-2500/7)*5.5</f>
        <v>-1964.2857142857144</v>
      </c>
      <c r="Q356" s="62">
        <v>0</v>
      </c>
      <c r="R356" s="62">
        <v>-392.85714285714289</v>
      </c>
      <c r="S356" s="62">
        <v>0</v>
      </c>
      <c r="T356" s="62">
        <v>0</v>
      </c>
      <c r="U356" s="62">
        <v>0</v>
      </c>
      <c r="V356" s="62">
        <v>0</v>
      </c>
      <c r="W356" s="62">
        <f t="shared" si="35"/>
        <v>856.77714285714228</v>
      </c>
      <c r="X356" s="62">
        <f t="shared" si="40"/>
        <v>856.77714285714228</v>
      </c>
      <c r="Y356" s="62">
        <f t="shared" si="38"/>
        <v>0</v>
      </c>
      <c r="Z356" s="62">
        <v>0</v>
      </c>
      <c r="AA356" s="62">
        <f t="shared" si="39"/>
        <v>0</v>
      </c>
      <c r="AB356" s="62">
        <f t="shared" si="36"/>
        <v>2357.1428571428573</v>
      </c>
      <c r="AC356" s="62">
        <v>2000</v>
      </c>
      <c r="AD356" s="62" t="s">
        <v>880</v>
      </c>
    </row>
    <row r="357" spans="1:32" hidden="1" x14ac:dyDescent="0.3">
      <c r="A357" s="2">
        <v>7</v>
      </c>
      <c r="B357" s="3" t="s">
        <v>11</v>
      </c>
      <c r="C357" s="4" t="s">
        <v>12</v>
      </c>
      <c r="D357" s="4" t="s">
        <v>509</v>
      </c>
      <c r="E357" s="4" t="str">
        <f>VLOOKUP(C357,'[2]CTRL AUTOS'!$E$2:$L$58,8,FALSE)</f>
        <v>ASHC</v>
      </c>
      <c r="F357" s="61" t="str">
        <f>VLOOKUP(C357,'[2]CTRL AUTOS'!$E$2:$K$58,7,FALSE)</f>
        <v>ASHC</v>
      </c>
      <c r="G357" s="4" t="s">
        <v>234</v>
      </c>
      <c r="H357" s="62">
        <v>6152.48</v>
      </c>
      <c r="I357" s="62">
        <v>-1316.92</v>
      </c>
      <c r="J357" s="62">
        <v>0</v>
      </c>
      <c r="K357" s="62">
        <v>0</v>
      </c>
      <c r="L357" s="62">
        <v>0</v>
      </c>
      <c r="M357" s="62">
        <v>-70</v>
      </c>
      <c r="N357" s="62">
        <v>0</v>
      </c>
      <c r="O357" s="62">
        <f t="shared" si="37"/>
        <v>4765.5599999999995</v>
      </c>
      <c r="P357" s="62">
        <f>-2700/7*6.5</f>
        <v>-2507.1428571428573</v>
      </c>
      <c r="Q357" s="62">
        <v>0</v>
      </c>
      <c r="R357" s="62">
        <v>0</v>
      </c>
      <c r="S357" s="62">
        <v>0</v>
      </c>
      <c r="T357" s="62">
        <v>0</v>
      </c>
      <c r="U357" s="62">
        <v>0</v>
      </c>
      <c r="V357" s="62">
        <v>0</v>
      </c>
      <c r="W357" s="62">
        <f t="shared" si="35"/>
        <v>2258.4171428571422</v>
      </c>
      <c r="X357" s="62">
        <f t="shared" si="40"/>
        <v>2258.4171428571422</v>
      </c>
      <c r="Y357" s="62">
        <f t="shared" si="38"/>
        <v>0</v>
      </c>
      <c r="Z357" s="62">
        <v>0</v>
      </c>
      <c r="AA357" s="62">
        <f t="shared" si="39"/>
        <v>0</v>
      </c>
      <c r="AB357" s="62">
        <f t="shared" si="36"/>
        <v>2507.1428571428573</v>
      </c>
      <c r="AC357" s="62"/>
      <c r="AD357" s="62" t="s">
        <v>881</v>
      </c>
    </row>
    <row r="358" spans="1:32" hidden="1" x14ac:dyDescent="0.3">
      <c r="A358" s="2">
        <v>7</v>
      </c>
      <c r="B358" s="3" t="s">
        <v>80</v>
      </c>
      <c r="C358" s="4" t="s">
        <v>81</v>
      </c>
      <c r="D358" s="4" t="s">
        <v>317</v>
      </c>
      <c r="E358" s="4" t="str">
        <f>VLOOKUP(C358,'[2]CTRL AUTOS'!$E$2:$L$58,8,FALSE)</f>
        <v>ASHC</v>
      </c>
      <c r="F358" s="61" t="str">
        <f>VLOOKUP(C358,'[2]CTRL AUTOS'!$E$2:$K$58,7,FALSE)</f>
        <v>ASHC</v>
      </c>
      <c r="G358" s="4" t="s">
        <v>234</v>
      </c>
      <c r="H358" s="62">
        <v>0</v>
      </c>
      <c r="I358" s="62">
        <v>0</v>
      </c>
      <c r="J358" s="62">
        <v>0</v>
      </c>
      <c r="K358" s="62">
        <v>0</v>
      </c>
      <c r="L358" s="62">
        <v>0</v>
      </c>
      <c r="M358" s="62">
        <v>0</v>
      </c>
      <c r="N358" s="62">
        <v>0</v>
      </c>
      <c r="O358" s="62">
        <f t="shared" si="37"/>
        <v>0</v>
      </c>
      <c r="P358" s="62">
        <v>-2500</v>
      </c>
      <c r="Q358" s="62">
        <v>0</v>
      </c>
      <c r="R358" s="62">
        <v>0</v>
      </c>
      <c r="S358" s="62">
        <v>0</v>
      </c>
      <c r="T358" s="62">
        <v>0</v>
      </c>
      <c r="U358" s="62">
        <v>0</v>
      </c>
      <c r="V358" s="62">
        <v>0</v>
      </c>
      <c r="W358" s="62">
        <f t="shared" si="35"/>
        <v>-2500</v>
      </c>
      <c r="X358" s="62">
        <f t="shared" si="40"/>
        <v>0</v>
      </c>
      <c r="Y358" s="62">
        <f t="shared" si="38"/>
        <v>-2500</v>
      </c>
      <c r="Z358" s="62">
        <v>2500</v>
      </c>
      <c r="AA358" s="62">
        <f t="shared" si="39"/>
        <v>0</v>
      </c>
      <c r="AB358" s="62">
        <f t="shared" si="36"/>
        <v>2500</v>
      </c>
      <c r="AC358" s="62"/>
      <c r="AD358" s="62" t="s">
        <v>882</v>
      </c>
    </row>
    <row r="359" spans="1:32" hidden="1" x14ac:dyDescent="0.3">
      <c r="A359" s="2">
        <v>7</v>
      </c>
      <c r="B359" s="3" t="s">
        <v>13</v>
      </c>
      <c r="C359" s="4" t="s">
        <v>14</v>
      </c>
      <c r="D359" s="4" t="s">
        <v>505</v>
      </c>
      <c r="E359" s="4" t="str">
        <f>VLOOKUP(C359,'[2]CTRL AUTOS'!$E$2:$L$58,8,FALSE)</f>
        <v>ASHC</v>
      </c>
      <c r="F359" s="61" t="str">
        <f>VLOOKUP(C359,'[2]CTRL AUTOS'!$E$2:$K$58,7,FALSE)</f>
        <v>ASHC</v>
      </c>
      <c r="G359" s="4" t="s">
        <v>234</v>
      </c>
      <c r="H359" s="62">
        <v>7802.41</v>
      </c>
      <c r="I359" s="62">
        <v>0</v>
      </c>
      <c r="J359" s="62">
        <v>0</v>
      </c>
      <c r="K359" s="62">
        <v>0</v>
      </c>
      <c r="L359" s="62">
        <v>0</v>
      </c>
      <c r="M359" s="62">
        <v>-17.88</v>
      </c>
      <c r="N359" s="62">
        <v>-149</v>
      </c>
      <c r="O359" s="62">
        <f t="shared" si="37"/>
        <v>7635.53</v>
      </c>
      <c r="P359" s="62">
        <v>-2700</v>
      </c>
      <c r="Q359" s="62">
        <v>0</v>
      </c>
      <c r="R359" s="62">
        <v>0</v>
      </c>
      <c r="S359" s="62">
        <v>0</v>
      </c>
      <c r="T359" s="62">
        <v>0</v>
      </c>
      <c r="U359" s="62">
        <v>0</v>
      </c>
      <c r="V359" s="62">
        <v>0</v>
      </c>
      <c r="W359" s="62">
        <f t="shared" si="35"/>
        <v>4935.53</v>
      </c>
      <c r="X359" s="62">
        <f t="shared" si="40"/>
        <v>4935.53</v>
      </c>
      <c r="Y359" s="62">
        <f t="shared" si="38"/>
        <v>0</v>
      </c>
      <c r="Z359" s="62">
        <v>0</v>
      </c>
      <c r="AA359" s="62">
        <f t="shared" si="39"/>
        <v>0</v>
      </c>
      <c r="AB359" s="62">
        <f t="shared" si="36"/>
        <v>2700</v>
      </c>
      <c r="AC359" s="62"/>
      <c r="AD359" s="62" t="s">
        <v>883</v>
      </c>
    </row>
    <row r="360" spans="1:32" hidden="1" x14ac:dyDescent="0.3">
      <c r="A360" s="2">
        <v>7</v>
      </c>
      <c r="B360" s="3" t="s">
        <v>120</v>
      </c>
      <c r="C360" s="4" t="s">
        <v>38</v>
      </c>
      <c r="D360" s="4" t="s">
        <v>579</v>
      </c>
      <c r="E360" s="4" t="str">
        <f>VLOOKUP(C360,'[2]CTRL AUTOS'!$E$2:$L$58,8,FALSE)</f>
        <v>ASHC</v>
      </c>
      <c r="F360" s="61" t="str">
        <f>VLOOKUP(C360,'[2]CTRL AUTOS'!$E$2:$K$58,7,FALSE)</f>
        <v>ASHC</v>
      </c>
      <c r="G360" s="4" t="s">
        <v>234</v>
      </c>
      <c r="H360" s="62">
        <v>4632.8599999999997</v>
      </c>
      <c r="I360" s="62">
        <v>-325.16000000000003</v>
      </c>
      <c r="J360" s="62">
        <v>-132</v>
      </c>
      <c r="K360" s="62">
        <v>9.7899999999999991</v>
      </c>
      <c r="L360" s="62">
        <v>0</v>
      </c>
      <c r="M360" s="62">
        <v>-39.277999999999999</v>
      </c>
      <c r="N360" s="62">
        <v>-160.65</v>
      </c>
      <c r="O360" s="62">
        <f t="shared" si="37"/>
        <v>3985.5619999999994</v>
      </c>
      <c r="P360" s="62">
        <v>-2500</v>
      </c>
      <c r="Q360" s="62">
        <v>0</v>
      </c>
      <c r="R360" s="62">
        <v>-500</v>
      </c>
      <c r="S360" s="62">
        <v>0</v>
      </c>
      <c r="T360" s="62">
        <v>0</v>
      </c>
      <c r="U360" s="62">
        <v>0</v>
      </c>
      <c r="V360" s="62">
        <v>0</v>
      </c>
      <c r="W360" s="62">
        <f t="shared" si="35"/>
        <v>985.56199999999944</v>
      </c>
      <c r="X360" s="62">
        <f t="shared" si="40"/>
        <v>985.56199999999944</v>
      </c>
      <c r="Y360" s="62">
        <f t="shared" si="38"/>
        <v>0</v>
      </c>
      <c r="Z360" s="62">
        <v>0</v>
      </c>
      <c r="AA360" s="62">
        <f t="shared" si="39"/>
        <v>0</v>
      </c>
      <c r="AB360" s="62">
        <f t="shared" si="36"/>
        <v>3000</v>
      </c>
      <c r="AC360" s="62"/>
      <c r="AD360" s="62" t="s">
        <v>884</v>
      </c>
    </row>
    <row r="361" spans="1:32" hidden="1" x14ac:dyDescent="0.3">
      <c r="A361" s="2">
        <v>7</v>
      </c>
      <c r="B361" s="3" t="s">
        <v>111</v>
      </c>
      <c r="C361" s="4" t="s">
        <v>63</v>
      </c>
      <c r="D361" s="4" t="s">
        <v>374</v>
      </c>
      <c r="E361" s="4" t="str">
        <f>VLOOKUP(C361,'[2]CTRL AUTOS'!$E$2:$L$58,8,FALSE)</f>
        <v>BYER</v>
      </c>
      <c r="F361" s="61" t="str">
        <f>VLOOKUP(C361,'[2]CTRL AUTOS'!$E$2:$K$58,7,FALSE)</f>
        <v>BYER</v>
      </c>
      <c r="G361" s="4" t="s">
        <v>234</v>
      </c>
      <c r="H361" s="62">
        <v>2822.17</v>
      </c>
      <c r="I361" s="62">
        <v>-746.5</v>
      </c>
      <c r="J361" s="62">
        <v>0</v>
      </c>
      <c r="K361" s="62">
        <v>0</v>
      </c>
      <c r="L361" s="62">
        <v>0</v>
      </c>
      <c r="M361" s="62">
        <v>-50</v>
      </c>
      <c r="N361" s="62">
        <v>0</v>
      </c>
      <c r="O361" s="62">
        <f t="shared" si="37"/>
        <v>2025.67</v>
      </c>
      <c r="P361" s="62">
        <v>-2500</v>
      </c>
      <c r="Q361" s="62">
        <v>0</v>
      </c>
      <c r="R361" s="62">
        <v>0</v>
      </c>
      <c r="S361" s="62">
        <v>0</v>
      </c>
      <c r="T361" s="62">
        <v>0</v>
      </c>
      <c r="U361" s="62">
        <v>0</v>
      </c>
      <c r="V361" s="62">
        <v>0</v>
      </c>
      <c r="W361" s="62">
        <f t="shared" si="35"/>
        <v>-474.32999999999993</v>
      </c>
      <c r="X361" s="62">
        <f>IF(W361&gt;=0,W361,0)</f>
        <v>0</v>
      </c>
      <c r="Y361" s="62">
        <f>IF(W361&lt;=0,W361,0)</f>
        <v>-474.32999999999993</v>
      </c>
      <c r="Z361" s="62">
        <v>0</v>
      </c>
      <c r="AA361" s="62">
        <f>+Y361+Z361</f>
        <v>-474.32999999999993</v>
      </c>
      <c r="AB361" s="62">
        <f t="shared" si="36"/>
        <v>1551.3400000000001</v>
      </c>
      <c r="AC361" s="62"/>
      <c r="AD361" s="62"/>
    </row>
    <row r="362" spans="1:32" hidden="1" x14ac:dyDescent="0.3">
      <c r="A362" s="2">
        <v>7</v>
      </c>
      <c r="B362" s="3" t="s">
        <v>121</v>
      </c>
      <c r="C362" s="4" t="s">
        <v>122</v>
      </c>
      <c r="D362" s="4" t="s">
        <v>885</v>
      </c>
      <c r="E362" s="4" t="str">
        <f>VLOOKUP(C362,'[2]CTRL AUTOS'!$E$2:$L$58,8,FALSE)</f>
        <v>ASHC</v>
      </c>
      <c r="F362" s="61" t="str">
        <f>VLOOKUP(C362,'[2]CTRL AUTOS'!$E$2:$K$58,7,FALSE)</f>
        <v>ASHC</v>
      </c>
      <c r="G362" s="4" t="s">
        <v>234</v>
      </c>
      <c r="H362" s="62">
        <v>8115.42</v>
      </c>
      <c r="I362" s="62">
        <v>-3203.7</v>
      </c>
      <c r="J362" s="62">
        <v>-88.800000000000011</v>
      </c>
      <c r="K362" s="62">
        <v>14.68</v>
      </c>
      <c r="L362" s="62">
        <v>0</v>
      </c>
      <c r="M362" s="62">
        <v>-26.16</v>
      </c>
      <c r="N362" s="62">
        <v>-93</v>
      </c>
      <c r="O362" s="62">
        <f t="shared" si="37"/>
        <v>4718.4400000000005</v>
      </c>
      <c r="P362" s="62">
        <v>-2600</v>
      </c>
      <c r="Q362" s="62">
        <v>0</v>
      </c>
      <c r="R362" s="62">
        <v>-500</v>
      </c>
      <c r="S362" s="62">
        <v>0</v>
      </c>
      <c r="T362" s="62">
        <v>0</v>
      </c>
      <c r="U362" s="62">
        <v>0</v>
      </c>
      <c r="V362" s="62">
        <v>0</v>
      </c>
      <c r="W362" s="62">
        <f t="shared" si="35"/>
        <v>1618.4400000000005</v>
      </c>
      <c r="X362" s="62">
        <f t="shared" ref="X362:X423" si="41">IF(W362&gt;=0,W362,0)</f>
        <v>1618.4400000000005</v>
      </c>
      <c r="Y362" s="62">
        <f t="shared" ref="Y362:Y423" si="42">IF(W362&lt;=0,W362,0)</f>
        <v>0</v>
      </c>
      <c r="Z362" s="62">
        <v>0</v>
      </c>
      <c r="AA362" s="62">
        <f t="shared" ref="AA362:AA423" si="43">+Y362+Z362</f>
        <v>0</v>
      </c>
      <c r="AB362" s="62">
        <f t="shared" si="36"/>
        <v>3100</v>
      </c>
      <c r="AC362" s="62"/>
      <c r="AD362" s="62" t="s">
        <v>886</v>
      </c>
    </row>
    <row r="363" spans="1:32" hidden="1" x14ac:dyDescent="0.3">
      <c r="A363" s="2">
        <v>7</v>
      </c>
      <c r="B363" s="3" t="s">
        <v>17</v>
      </c>
      <c r="C363" s="4" t="s">
        <v>18</v>
      </c>
      <c r="D363" s="4" t="s">
        <v>572</v>
      </c>
      <c r="E363" s="4" t="str">
        <f>VLOOKUP(C363,'[2]CTRL AUTOS'!$E$2:$L$58,8,FALSE)</f>
        <v>ASHC</v>
      </c>
      <c r="F363" s="61" t="str">
        <f>VLOOKUP(C363,'[2]CTRL AUTOS'!$E$2:$K$58,7,FALSE)</f>
        <v>ASHC</v>
      </c>
      <c r="G363" s="4" t="s">
        <v>234</v>
      </c>
      <c r="H363" s="62">
        <v>8175.74</v>
      </c>
      <c r="I363" s="62">
        <v>-2553.3200000000002</v>
      </c>
      <c r="J363" s="62">
        <v>0</v>
      </c>
      <c r="K363" s="62">
        <v>0</v>
      </c>
      <c r="L363" s="62">
        <v>0</v>
      </c>
      <c r="M363" s="62">
        <v>-80</v>
      </c>
      <c r="N363" s="62">
        <v>0</v>
      </c>
      <c r="O363" s="62">
        <f t="shared" si="37"/>
        <v>5542.42</v>
      </c>
      <c r="P363" s="62">
        <v>-2700</v>
      </c>
      <c r="Q363" s="62">
        <v>0</v>
      </c>
      <c r="R363" s="62">
        <v>0</v>
      </c>
      <c r="S363" s="62">
        <v>0</v>
      </c>
      <c r="T363" s="62">
        <v>0</v>
      </c>
      <c r="U363" s="62">
        <v>0</v>
      </c>
      <c r="V363" s="62">
        <v>0</v>
      </c>
      <c r="W363" s="62">
        <f t="shared" si="35"/>
        <v>2842.42</v>
      </c>
      <c r="X363" s="62">
        <f t="shared" si="41"/>
        <v>2842.42</v>
      </c>
      <c r="Y363" s="62">
        <f t="shared" si="42"/>
        <v>0</v>
      </c>
      <c r="Z363" s="62">
        <v>0</v>
      </c>
      <c r="AA363" s="62">
        <f t="shared" si="43"/>
        <v>0</v>
      </c>
      <c r="AB363" s="62">
        <f t="shared" si="36"/>
        <v>2700</v>
      </c>
      <c r="AC363" s="62"/>
      <c r="AD363" s="62" t="s">
        <v>887</v>
      </c>
    </row>
    <row r="364" spans="1:32" hidden="1" x14ac:dyDescent="0.3">
      <c r="A364" s="2">
        <v>7</v>
      </c>
      <c r="B364" s="3" t="s">
        <v>19</v>
      </c>
      <c r="C364" s="4" t="s">
        <v>20</v>
      </c>
      <c r="D364" s="4" t="s">
        <v>239</v>
      </c>
      <c r="E364" s="4" t="str">
        <f>VLOOKUP(C364,'[2]CTRL AUTOS'!$E$2:$L$58,8,FALSE)</f>
        <v>ASHC</v>
      </c>
      <c r="F364" s="61" t="str">
        <f>VLOOKUP(C364,'[2]CTRL AUTOS'!$E$2:$K$58,7,FALSE)</f>
        <v>ASHC</v>
      </c>
      <c r="G364" s="4" t="s">
        <v>234</v>
      </c>
      <c r="H364" s="62">
        <v>5093.28</v>
      </c>
      <c r="I364" s="62">
        <v>-372.23</v>
      </c>
      <c r="J364" s="62">
        <v>-87.64</v>
      </c>
      <c r="K364" s="62">
        <v>459.6</v>
      </c>
      <c r="L364" s="62">
        <v>-43.449999999999989</v>
      </c>
      <c r="M364" s="62">
        <v>-20</v>
      </c>
      <c r="N364" s="62">
        <v>0</v>
      </c>
      <c r="O364" s="62">
        <f t="shared" si="37"/>
        <v>5029.5599999999995</v>
      </c>
      <c r="P364" s="62">
        <v>-2500</v>
      </c>
      <c r="Q364" s="62">
        <v>0</v>
      </c>
      <c r="R364" s="62">
        <v>0</v>
      </c>
      <c r="S364" s="62">
        <v>0</v>
      </c>
      <c r="T364" s="62">
        <v>0</v>
      </c>
      <c r="U364" s="62">
        <v>0</v>
      </c>
      <c r="V364" s="62">
        <v>0</v>
      </c>
      <c r="W364" s="62">
        <f t="shared" si="35"/>
        <v>2529.5599999999995</v>
      </c>
      <c r="X364" s="62">
        <f t="shared" si="41"/>
        <v>2529.5599999999995</v>
      </c>
      <c r="Y364" s="62">
        <f t="shared" si="42"/>
        <v>0</v>
      </c>
      <c r="Z364" s="62">
        <v>0</v>
      </c>
      <c r="AA364" s="62">
        <f t="shared" si="43"/>
        <v>0</v>
      </c>
      <c r="AB364" s="62">
        <f t="shared" si="36"/>
        <v>2500</v>
      </c>
      <c r="AC364" s="62"/>
      <c r="AD364" s="62" t="s">
        <v>888</v>
      </c>
    </row>
    <row r="365" spans="1:32" hidden="1" x14ac:dyDescent="0.3">
      <c r="A365" s="2">
        <v>7</v>
      </c>
      <c r="B365" s="3" t="s">
        <v>128</v>
      </c>
      <c r="C365" s="4" t="s">
        <v>44</v>
      </c>
      <c r="D365" s="4" t="s">
        <v>467</v>
      </c>
      <c r="E365" s="4" t="str">
        <f>VLOOKUP(C365,'[2]CTRL AUTOS'!$E$2:$L$58,8,FALSE)</f>
        <v>ASHC</v>
      </c>
      <c r="F365" s="61" t="str">
        <f>VLOOKUP(C365,'[2]CTRL AUTOS'!$E$2:$K$58,7,FALSE)</f>
        <v>ASHC</v>
      </c>
      <c r="G365" s="4" t="s">
        <v>234</v>
      </c>
      <c r="H365" s="62">
        <v>9985.2900000000009</v>
      </c>
      <c r="I365" s="62">
        <v>-2674.3100000000004</v>
      </c>
      <c r="J365" s="62">
        <v>-56</v>
      </c>
      <c r="K365" s="62">
        <v>19.579999999999998</v>
      </c>
      <c r="L365" s="62">
        <v>0</v>
      </c>
      <c r="M365" s="62">
        <v>-80</v>
      </c>
      <c r="N365" s="62">
        <v>0</v>
      </c>
      <c r="O365" s="62">
        <f t="shared" si="37"/>
        <v>7194.56</v>
      </c>
      <c r="P365" s="62">
        <v>-2500</v>
      </c>
      <c r="Q365" s="62">
        <v>0</v>
      </c>
      <c r="R365" s="62">
        <v>-500</v>
      </c>
      <c r="S365" s="62">
        <v>0</v>
      </c>
      <c r="T365" s="62">
        <v>-500</v>
      </c>
      <c r="U365" s="62">
        <v>0</v>
      </c>
      <c r="V365" s="62">
        <v>0</v>
      </c>
      <c r="W365" s="62">
        <f t="shared" si="35"/>
        <v>3694.5600000000004</v>
      </c>
      <c r="X365" s="62">
        <f t="shared" si="41"/>
        <v>3694.5600000000004</v>
      </c>
      <c r="Y365" s="62">
        <f t="shared" si="42"/>
        <v>0</v>
      </c>
      <c r="Z365" s="62">
        <v>0</v>
      </c>
      <c r="AA365" s="62">
        <f t="shared" si="43"/>
        <v>0</v>
      </c>
      <c r="AB365" s="62">
        <f t="shared" si="36"/>
        <v>3500</v>
      </c>
      <c r="AC365" s="62"/>
      <c r="AD365" s="62" t="s">
        <v>889</v>
      </c>
    </row>
    <row r="366" spans="1:32" ht="13.5" hidden="1" customHeight="1" x14ac:dyDescent="0.3">
      <c r="A366" s="2">
        <v>7</v>
      </c>
      <c r="B366" s="3" t="s">
        <v>21</v>
      </c>
      <c r="C366" s="4" t="s">
        <v>22</v>
      </c>
      <c r="D366" s="4" t="s">
        <v>319</v>
      </c>
      <c r="E366" s="4" t="str">
        <f>VLOOKUP(C366,'[2]CTRL AUTOS'!$E$2:$L$58,8,FALSE)</f>
        <v>ASHC</v>
      </c>
      <c r="F366" s="61" t="str">
        <f>VLOOKUP(C366,'[2]CTRL AUTOS'!$E$2:$K$58,7,FALSE)</f>
        <v>ASHC</v>
      </c>
      <c r="G366" s="4" t="s">
        <v>234</v>
      </c>
      <c r="H366" s="62">
        <v>2432.5300000000002</v>
      </c>
      <c r="I366" s="62">
        <v>-655.59</v>
      </c>
      <c r="J366" s="62">
        <v>0</v>
      </c>
      <c r="K366" s="62">
        <v>0</v>
      </c>
      <c r="L366" s="62">
        <v>0</v>
      </c>
      <c r="M366" s="62">
        <v>-40</v>
      </c>
      <c r="N366" s="62">
        <v>0</v>
      </c>
      <c r="O366" s="62">
        <f t="shared" si="37"/>
        <v>1736.94</v>
      </c>
      <c r="P366" s="62">
        <v>-2500</v>
      </c>
      <c r="Q366" s="62">
        <v>0</v>
      </c>
      <c r="R366" s="62">
        <v>0</v>
      </c>
      <c r="S366" s="62">
        <v>0</v>
      </c>
      <c r="T366" s="62">
        <v>-700</v>
      </c>
      <c r="U366" s="62">
        <v>0</v>
      </c>
      <c r="V366" s="62">
        <v>0</v>
      </c>
      <c r="W366" s="62">
        <f t="shared" si="35"/>
        <v>-1463.06</v>
      </c>
      <c r="X366" s="62">
        <f t="shared" si="41"/>
        <v>0</v>
      </c>
      <c r="Y366" s="62">
        <f t="shared" si="42"/>
        <v>-1463.06</v>
      </c>
      <c r="Z366" s="62">
        <v>1500</v>
      </c>
      <c r="AA366" s="62">
        <f t="shared" si="43"/>
        <v>36.940000000000055</v>
      </c>
      <c r="AB366" s="62">
        <f t="shared" si="36"/>
        <v>3273.88</v>
      </c>
      <c r="AC366" s="62"/>
      <c r="AD366" s="62" t="s">
        <v>890</v>
      </c>
    </row>
    <row r="367" spans="1:32" hidden="1" x14ac:dyDescent="0.3">
      <c r="A367" s="2">
        <v>7</v>
      </c>
      <c r="B367" s="3" t="s">
        <v>134</v>
      </c>
      <c r="C367" s="4" t="s">
        <v>52</v>
      </c>
      <c r="D367" s="4" t="s">
        <v>313</v>
      </c>
      <c r="E367" s="4" t="str">
        <f>VLOOKUP(C367,'[2]CTRL AUTOS'!$E$2:$L$58,8,FALSE)</f>
        <v>ASHC</v>
      </c>
      <c r="F367" s="61" t="str">
        <f>VLOOKUP(C367,'[2]CTRL AUTOS'!$E$2:$K$58,7,FALSE)</f>
        <v>ASHC</v>
      </c>
      <c r="G367" s="4" t="s">
        <v>234</v>
      </c>
      <c r="H367" s="62">
        <v>2045.84</v>
      </c>
      <c r="I367" s="62">
        <v>-499.19000000000005</v>
      </c>
      <c r="J367" s="62">
        <v>-84</v>
      </c>
      <c r="K367" s="62">
        <v>9.7899999999999991</v>
      </c>
      <c r="L367" s="62">
        <v>0</v>
      </c>
      <c r="M367" s="62">
        <v>-53.168800000000005</v>
      </c>
      <c r="N367" s="62">
        <v>-109.74000000000001</v>
      </c>
      <c r="O367" s="62">
        <f t="shared" si="37"/>
        <v>1309.5311999999999</v>
      </c>
      <c r="P367" s="62">
        <v>-2500</v>
      </c>
      <c r="Q367" s="62">
        <v>0</v>
      </c>
      <c r="R367" s="62">
        <v>429</v>
      </c>
      <c r="S367" s="62">
        <v>0</v>
      </c>
      <c r="T367" s="62">
        <v>0</v>
      </c>
      <c r="U367" s="62">
        <f>-1069.64+1000</f>
        <v>-69.6400000000001</v>
      </c>
      <c r="V367" s="62">
        <v>0</v>
      </c>
      <c r="W367" s="62">
        <f t="shared" si="35"/>
        <v>-831.1088000000002</v>
      </c>
      <c r="X367" s="62">
        <f t="shared" si="41"/>
        <v>0</v>
      </c>
      <c r="Y367" s="62">
        <f t="shared" si="42"/>
        <v>-831.1088000000002</v>
      </c>
      <c r="Z367" s="62">
        <v>0</v>
      </c>
      <c r="AA367" s="62">
        <f t="shared" si="43"/>
        <v>-831.1088000000002</v>
      </c>
      <c r="AB367" s="62">
        <f t="shared" si="36"/>
        <v>478.4223999999997</v>
      </c>
      <c r="AC367" s="62"/>
      <c r="AD367" s="62" t="s">
        <v>891</v>
      </c>
    </row>
    <row r="368" spans="1:32" hidden="1" x14ac:dyDescent="0.3">
      <c r="A368" s="2">
        <v>7</v>
      </c>
      <c r="B368" s="3" t="s">
        <v>64</v>
      </c>
      <c r="C368" s="4" t="s">
        <v>140</v>
      </c>
      <c r="D368" s="4" t="s">
        <v>680</v>
      </c>
      <c r="E368" s="4" t="str">
        <f>VLOOKUP(C368,'[2]CTRL AUTOS'!$E$2:$L$58,8,FALSE)</f>
        <v>ASHC</v>
      </c>
      <c r="F368" s="61" t="str">
        <f>VLOOKUP(C368,'[2]CTRL AUTOS'!$E$2:$K$58,7,FALSE)</f>
        <v>ASHC</v>
      </c>
      <c r="G368" s="4" t="s">
        <v>234</v>
      </c>
      <c r="H368" s="62">
        <v>5496.91</v>
      </c>
      <c r="I368" s="62">
        <v>0</v>
      </c>
      <c r="J368" s="62">
        <v>-87.2</v>
      </c>
      <c r="K368" s="62">
        <v>301.04000000000002</v>
      </c>
      <c r="L368" s="62">
        <v>0</v>
      </c>
      <c r="M368" s="62">
        <v>0</v>
      </c>
      <c r="N368" s="62">
        <v>0</v>
      </c>
      <c r="O368" s="62">
        <f t="shared" si="37"/>
        <v>5710.75</v>
      </c>
      <c r="P368" s="62">
        <v>-2700</v>
      </c>
      <c r="Q368" s="62">
        <v>0</v>
      </c>
      <c r="R368" s="62">
        <v>0</v>
      </c>
      <c r="S368" s="62">
        <v>0</v>
      </c>
      <c r="T368" s="62">
        <v>0</v>
      </c>
      <c r="U368" s="62">
        <v>0</v>
      </c>
      <c r="V368" s="62">
        <v>0</v>
      </c>
      <c r="W368" s="62">
        <f t="shared" si="35"/>
        <v>3010.75</v>
      </c>
      <c r="X368" s="62">
        <f t="shared" si="41"/>
        <v>3010.75</v>
      </c>
      <c r="Y368" s="62">
        <f t="shared" si="42"/>
        <v>0</v>
      </c>
      <c r="Z368" s="62">
        <v>0</v>
      </c>
      <c r="AA368" s="62">
        <f t="shared" si="43"/>
        <v>0</v>
      </c>
      <c r="AB368" s="62">
        <f t="shared" si="36"/>
        <v>2700</v>
      </c>
      <c r="AC368" s="62"/>
      <c r="AD368" s="62" t="s">
        <v>892</v>
      </c>
    </row>
    <row r="369" spans="1:30" hidden="1" x14ac:dyDescent="0.3">
      <c r="A369" s="2">
        <v>7</v>
      </c>
      <c r="B369" s="3" t="s">
        <v>90</v>
      </c>
      <c r="C369" s="4" t="s">
        <v>16</v>
      </c>
      <c r="D369" s="4" t="s">
        <v>314</v>
      </c>
      <c r="E369" s="4" t="str">
        <f>VLOOKUP(C369,'[2]CTRL AUTOS'!$E$2:$L$58,8,FALSE)</f>
        <v>ASHC</v>
      </c>
      <c r="F369" s="61" t="str">
        <f>VLOOKUP(C369,'[2]CTRL AUTOS'!$E$2:$K$58,7,FALSE)</f>
        <v>ASHC</v>
      </c>
      <c r="G369" s="4" t="s">
        <v>234</v>
      </c>
      <c r="H369" s="62">
        <v>5841.59</v>
      </c>
      <c r="I369" s="62">
        <v>-2420.2500000000005</v>
      </c>
      <c r="J369" s="62">
        <v>0</v>
      </c>
      <c r="K369" s="62">
        <v>0</v>
      </c>
      <c r="L369" s="62">
        <v>0</v>
      </c>
      <c r="M369" s="62">
        <v>-96.154399999999995</v>
      </c>
      <c r="N369" s="62">
        <v>-134.62</v>
      </c>
      <c r="O369" s="62">
        <f t="shared" si="37"/>
        <v>3190.5655999999999</v>
      </c>
      <c r="P369" s="62">
        <v>-2500</v>
      </c>
      <c r="Q369" s="62">
        <v>0</v>
      </c>
      <c r="R369" s="62">
        <v>-500</v>
      </c>
      <c r="S369" s="62">
        <v>0</v>
      </c>
      <c r="T369" s="62">
        <v>0</v>
      </c>
      <c r="U369" s="62">
        <v>0</v>
      </c>
      <c r="V369" s="62">
        <v>0</v>
      </c>
      <c r="W369" s="62">
        <f t="shared" si="35"/>
        <v>190.5655999999999</v>
      </c>
      <c r="X369" s="62">
        <f t="shared" si="41"/>
        <v>190.5655999999999</v>
      </c>
      <c r="Y369" s="62">
        <f t="shared" si="42"/>
        <v>0</v>
      </c>
      <c r="Z369" s="62">
        <v>0</v>
      </c>
      <c r="AA369" s="62">
        <f t="shared" si="43"/>
        <v>0</v>
      </c>
      <c r="AB369" s="62">
        <f t="shared" si="36"/>
        <v>3000</v>
      </c>
      <c r="AC369" s="62"/>
      <c r="AD369" s="62" t="s">
        <v>893</v>
      </c>
    </row>
    <row r="370" spans="1:30" hidden="1" x14ac:dyDescent="0.3">
      <c r="A370" s="2">
        <v>7</v>
      </c>
      <c r="B370" s="3" t="s">
        <v>23</v>
      </c>
      <c r="C370" s="4" t="s">
        <v>24</v>
      </c>
      <c r="D370" s="4" t="s">
        <v>515</v>
      </c>
      <c r="E370" s="4" t="str">
        <f>VLOOKUP(C370,'[2]CTRL AUTOS'!$E$2:$L$58,8,FALSE)</f>
        <v>ASHC</v>
      </c>
      <c r="F370" s="61" t="str">
        <f>VLOOKUP(C370,'[2]CTRL AUTOS'!$E$2:$K$58,7,FALSE)</f>
        <v>ASHC</v>
      </c>
      <c r="G370" s="4" t="s">
        <v>234</v>
      </c>
      <c r="H370" s="62">
        <v>3658.05</v>
      </c>
      <c r="I370" s="62">
        <v>-3758.6000000000004</v>
      </c>
      <c r="J370" s="62">
        <v>0</v>
      </c>
      <c r="K370" s="62">
        <v>0</v>
      </c>
      <c r="L370" s="62">
        <v>0</v>
      </c>
      <c r="M370" s="62">
        <v>-92.376800000000003</v>
      </c>
      <c r="N370" s="62">
        <v>-103.14</v>
      </c>
      <c r="O370" s="62">
        <f t="shared" si="37"/>
        <v>-195.51679999999999</v>
      </c>
      <c r="P370" s="62">
        <v>-2700</v>
      </c>
      <c r="Q370" s="62">
        <f>-789*1.12</f>
        <v>-883.68000000000006</v>
      </c>
      <c r="R370" s="62">
        <v>0</v>
      </c>
      <c r="S370" s="62">
        <v>0</v>
      </c>
      <c r="T370" s="62">
        <v>0</v>
      </c>
      <c r="U370" s="62">
        <v>0</v>
      </c>
      <c r="V370" s="62">
        <v>0</v>
      </c>
      <c r="W370" s="62">
        <f t="shared" si="35"/>
        <v>-3779.1967999999997</v>
      </c>
      <c r="X370" s="62">
        <f t="shared" si="41"/>
        <v>0</v>
      </c>
      <c r="Y370" s="62">
        <f t="shared" si="42"/>
        <v>-3779.1967999999997</v>
      </c>
      <c r="Z370" s="62">
        <f>2000+300+500+400</f>
        <v>3200</v>
      </c>
      <c r="AA370" s="62">
        <f t="shared" si="43"/>
        <v>-579.19679999999971</v>
      </c>
      <c r="AB370" s="62">
        <f t="shared" si="36"/>
        <v>2425.2864000000004</v>
      </c>
      <c r="AC370" s="62"/>
      <c r="AD370" s="62" t="s">
        <v>894</v>
      </c>
    </row>
    <row r="371" spans="1:30" hidden="1" x14ac:dyDescent="0.3">
      <c r="A371" s="2">
        <v>7</v>
      </c>
      <c r="B371" s="3" t="s">
        <v>23</v>
      </c>
      <c r="C371" s="4" t="s">
        <v>22</v>
      </c>
      <c r="D371" s="4" t="s">
        <v>319</v>
      </c>
      <c r="E371" s="4" t="str">
        <f>VLOOKUP(C371,'[2]CTRL AUTOS'!$E$2:$L$58,8,FALSE)</f>
        <v>ASHC</v>
      </c>
      <c r="F371" s="61" t="str">
        <f>VLOOKUP(C371,'[2]CTRL AUTOS'!$E$2:$K$58,7,FALSE)</f>
        <v>ASHC</v>
      </c>
      <c r="G371" s="4" t="s">
        <v>234</v>
      </c>
      <c r="H371" s="62">
        <v>0</v>
      </c>
      <c r="I371" s="62">
        <v>0</v>
      </c>
      <c r="J371" s="62">
        <v>0</v>
      </c>
      <c r="K371" s="62">
        <v>0</v>
      </c>
      <c r="L371" s="62">
        <v>0</v>
      </c>
      <c r="M371" s="62">
        <v>0</v>
      </c>
      <c r="N371" s="62">
        <v>0</v>
      </c>
      <c r="O371" s="62">
        <f t="shared" si="37"/>
        <v>0</v>
      </c>
      <c r="P371" s="62">
        <v>0</v>
      </c>
      <c r="Q371" s="62">
        <v>0</v>
      </c>
      <c r="R371" s="62">
        <v>0</v>
      </c>
      <c r="S371" s="62">
        <v>0</v>
      </c>
      <c r="T371" s="62">
        <v>-700</v>
      </c>
      <c r="U371" s="62">
        <v>0</v>
      </c>
      <c r="V371" s="62">
        <v>0</v>
      </c>
      <c r="W371" s="62">
        <f t="shared" si="35"/>
        <v>-700</v>
      </c>
      <c r="X371" s="62">
        <f t="shared" si="41"/>
        <v>0</v>
      </c>
      <c r="Y371" s="62">
        <f t="shared" si="42"/>
        <v>-700</v>
      </c>
      <c r="Z371" s="62">
        <v>700</v>
      </c>
      <c r="AA371" s="62">
        <f t="shared" si="43"/>
        <v>0</v>
      </c>
      <c r="AB371" s="62">
        <f t="shared" si="36"/>
        <v>700</v>
      </c>
      <c r="AC371" s="62"/>
      <c r="AD371" s="62"/>
    </row>
    <row r="372" spans="1:30" hidden="1" x14ac:dyDescent="0.3">
      <c r="A372" s="2">
        <v>7</v>
      </c>
      <c r="B372" s="3" t="s">
        <v>108</v>
      </c>
      <c r="C372" s="4" t="s">
        <v>75</v>
      </c>
      <c r="D372" s="4" t="s">
        <v>744</v>
      </c>
      <c r="E372" s="4" t="str">
        <f>VLOOKUP(C372,'[2]CTRL AUTOS'!$E$2:$L$58,8,FALSE)</f>
        <v>U64</v>
      </c>
      <c r="F372" s="61" t="str">
        <f>VLOOKUP(C372,'[2]CTRL AUTOS'!$E$2:$K$58,7,FALSE)</f>
        <v>BYER</v>
      </c>
      <c r="G372" s="4" t="s">
        <v>234</v>
      </c>
      <c r="H372" s="62">
        <v>6193.86</v>
      </c>
      <c r="I372" s="62">
        <v>-1852.47</v>
      </c>
      <c r="J372" s="62">
        <v>0</v>
      </c>
      <c r="K372" s="62">
        <v>0</v>
      </c>
      <c r="L372" s="62">
        <v>0</v>
      </c>
      <c r="M372" s="62">
        <v>-20</v>
      </c>
      <c r="N372" s="62">
        <v>0</v>
      </c>
      <c r="O372" s="62">
        <f t="shared" si="37"/>
        <v>4321.3899999999994</v>
      </c>
      <c r="P372" s="62">
        <v>-2500</v>
      </c>
      <c r="Q372" s="62">
        <v>0</v>
      </c>
      <c r="R372" s="62">
        <v>-500</v>
      </c>
      <c r="S372" s="62">
        <v>0</v>
      </c>
      <c r="T372" s="62">
        <v>-700</v>
      </c>
      <c r="U372" s="62">
        <v>0</v>
      </c>
      <c r="V372" s="62">
        <v>0</v>
      </c>
      <c r="W372" s="62">
        <f t="shared" si="35"/>
        <v>621.38999999999942</v>
      </c>
      <c r="X372" s="62">
        <f t="shared" si="41"/>
        <v>621.38999999999942</v>
      </c>
      <c r="Y372" s="62">
        <f t="shared" si="42"/>
        <v>0</v>
      </c>
      <c r="Z372" s="62">
        <v>0</v>
      </c>
      <c r="AA372" s="62">
        <f t="shared" si="43"/>
        <v>0</v>
      </c>
      <c r="AB372" s="62">
        <f t="shared" si="36"/>
        <v>3700</v>
      </c>
      <c r="AC372" s="62"/>
      <c r="AD372" s="62" t="s">
        <v>895</v>
      </c>
    </row>
    <row r="373" spans="1:30" hidden="1" x14ac:dyDescent="0.3">
      <c r="A373" s="2">
        <v>7</v>
      </c>
      <c r="B373" s="3" t="s">
        <v>85</v>
      </c>
      <c r="C373" s="4" t="s">
        <v>86</v>
      </c>
      <c r="D373" s="4" t="s">
        <v>519</v>
      </c>
      <c r="E373" s="4" t="str">
        <f>VLOOKUP(C373,'[2]CTRL AUTOS'!$E$2:$L$58,8,FALSE)</f>
        <v>ASHC</v>
      </c>
      <c r="F373" s="61" t="str">
        <f>VLOOKUP(C373,'[2]CTRL AUTOS'!$E$2:$K$58,7,FALSE)</f>
        <v>ASHC</v>
      </c>
      <c r="G373" s="4" t="s">
        <v>234</v>
      </c>
      <c r="H373" s="62">
        <v>4149.68</v>
      </c>
      <c r="I373" s="62">
        <v>-1107.1099999999999</v>
      </c>
      <c r="J373" s="62">
        <v>0</v>
      </c>
      <c r="K373" s="62">
        <v>0</v>
      </c>
      <c r="L373" s="62">
        <v>0</v>
      </c>
      <c r="M373" s="62">
        <v>-70</v>
      </c>
      <c r="N373" s="62">
        <v>0</v>
      </c>
      <c r="O373" s="62">
        <f t="shared" si="37"/>
        <v>2972.5700000000006</v>
      </c>
      <c r="P373" s="62">
        <v>-2500</v>
      </c>
      <c r="Q373" s="62">
        <v>0</v>
      </c>
      <c r="R373" s="62">
        <v>-500</v>
      </c>
      <c r="S373" s="62">
        <v>0</v>
      </c>
      <c r="T373" s="62">
        <v>0</v>
      </c>
      <c r="U373" s="62">
        <v>0</v>
      </c>
      <c r="V373" s="62">
        <v>0</v>
      </c>
      <c r="W373" s="62">
        <f t="shared" si="35"/>
        <v>-27.429999999999382</v>
      </c>
      <c r="X373" s="62">
        <f t="shared" si="41"/>
        <v>0</v>
      </c>
      <c r="Y373" s="62">
        <f t="shared" si="42"/>
        <v>-27.429999999999382</v>
      </c>
      <c r="Z373" s="62">
        <v>27</v>
      </c>
      <c r="AA373" s="62">
        <f t="shared" si="43"/>
        <v>-0.42999999999938154</v>
      </c>
      <c r="AB373" s="62">
        <f t="shared" si="36"/>
        <v>2999.1400000000012</v>
      </c>
      <c r="AC373" s="62"/>
      <c r="AD373" s="62" t="s">
        <v>896</v>
      </c>
    </row>
    <row r="374" spans="1:30" hidden="1" x14ac:dyDescent="0.3">
      <c r="A374" s="2">
        <v>7</v>
      </c>
      <c r="B374" s="3" t="s">
        <v>136</v>
      </c>
      <c r="C374" s="4" t="s">
        <v>56</v>
      </c>
      <c r="D374" s="4" t="s">
        <v>336</v>
      </c>
      <c r="E374" s="4" t="str">
        <f>VLOOKUP(C374,'[2]CTRL AUTOS'!$E$2:$L$58,8,FALSE)</f>
        <v>U64</v>
      </c>
      <c r="F374" s="61" t="str">
        <f>VLOOKUP(C374,'[2]CTRL AUTOS'!$E$2:$K$58,7,FALSE)</f>
        <v>BYER</v>
      </c>
      <c r="G374" s="4" t="s">
        <v>234</v>
      </c>
      <c r="H374" s="62">
        <v>3744.81</v>
      </c>
      <c r="I374" s="62">
        <v>-512.54</v>
      </c>
      <c r="J374" s="62">
        <v>-132</v>
      </c>
      <c r="K374" s="62">
        <v>0</v>
      </c>
      <c r="L374" s="62">
        <v>0</v>
      </c>
      <c r="M374" s="62">
        <v>-40</v>
      </c>
      <c r="N374" s="62">
        <v>-31</v>
      </c>
      <c r="O374" s="62">
        <f t="shared" si="37"/>
        <v>3029.27</v>
      </c>
      <c r="P374" s="62">
        <v>-2500</v>
      </c>
      <c r="Q374" s="62">
        <v>0</v>
      </c>
      <c r="R374" s="62">
        <v>-500</v>
      </c>
      <c r="S374" s="62">
        <v>0</v>
      </c>
      <c r="T374" s="62">
        <v>0</v>
      </c>
      <c r="U374" s="62">
        <v>0</v>
      </c>
      <c r="V374" s="62">
        <v>0</v>
      </c>
      <c r="W374" s="62">
        <f t="shared" si="35"/>
        <v>29.269999999999982</v>
      </c>
      <c r="X374" s="62">
        <f t="shared" si="41"/>
        <v>29.269999999999982</v>
      </c>
      <c r="Y374" s="62">
        <f t="shared" si="42"/>
        <v>0</v>
      </c>
      <c r="Z374" s="62">
        <v>0</v>
      </c>
      <c r="AA374" s="62">
        <f t="shared" si="43"/>
        <v>0</v>
      </c>
      <c r="AB374" s="62">
        <f t="shared" si="36"/>
        <v>3000</v>
      </c>
      <c r="AC374" s="62"/>
      <c r="AD374" s="62" t="s">
        <v>897</v>
      </c>
    </row>
    <row r="375" spans="1:30" hidden="1" x14ac:dyDescent="0.3">
      <c r="A375" s="2">
        <v>7</v>
      </c>
      <c r="B375" s="3" t="s">
        <v>25</v>
      </c>
      <c r="C375" s="4" t="s">
        <v>26</v>
      </c>
      <c r="D375" s="4" t="s">
        <v>575</v>
      </c>
      <c r="E375" s="4" t="str">
        <f>VLOOKUP(C375,'[2]CTRL AUTOS'!$E$2:$L$58,8,FALSE)</f>
        <v>ASHC</v>
      </c>
      <c r="F375" s="61" t="str">
        <f>VLOOKUP(C375,'[2]CTRL AUTOS'!$E$2:$K$58,7,FALSE)</f>
        <v>ASHC</v>
      </c>
      <c r="G375" s="4" t="s">
        <v>234</v>
      </c>
      <c r="H375" s="62">
        <v>0</v>
      </c>
      <c r="I375" s="62">
        <v>0</v>
      </c>
      <c r="J375" s="62">
        <v>0</v>
      </c>
      <c r="K375" s="62">
        <v>0</v>
      </c>
      <c r="L375" s="62">
        <v>0</v>
      </c>
      <c r="M375" s="62">
        <v>-8.879999999999999</v>
      </c>
      <c r="N375" s="62">
        <v>-74</v>
      </c>
      <c r="O375" s="62">
        <f t="shared" si="37"/>
        <v>-82.88</v>
      </c>
      <c r="P375" s="62">
        <v>-2500</v>
      </c>
      <c r="Q375" s="62">
        <v>0</v>
      </c>
      <c r="R375" s="62">
        <v>0</v>
      </c>
      <c r="S375" s="62">
        <v>0</v>
      </c>
      <c r="T375" s="62">
        <v>0</v>
      </c>
      <c r="U375" s="62">
        <v>0</v>
      </c>
      <c r="V375" s="62">
        <v>0</v>
      </c>
      <c r="W375" s="62">
        <f t="shared" si="35"/>
        <v>-2582.88</v>
      </c>
      <c r="X375" s="62">
        <f t="shared" si="41"/>
        <v>0</v>
      </c>
      <c r="Y375" s="62">
        <f t="shared" si="42"/>
        <v>-2582.88</v>
      </c>
      <c r="Z375" s="62">
        <f>370+1300+445+354+430</f>
        <v>2899</v>
      </c>
      <c r="AA375" s="62">
        <f t="shared" si="43"/>
        <v>316.11999999999989</v>
      </c>
      <c r="AB375" s="62">
        <f t="shared" si="36"/>
        <v>3132.24</v>
      </c>
      <c r="AC375" s="62"/>
      <c r="AD375" s="62" t="s">
        <v>898</v>
      </c>
    </row>
    <row r="376" spans="1:30" hidden="1" x14ac:dyDescent="0.3">
      <c r="A376" s="2">
        <v>7</v>
      </c>
      <c r="B376" s="3" t="s">
        <v>27</v>
      </c>
      <c r="C376" s="4" t="s">
        <v>137</v>
      </c>
      <c r="D376" s="4" t="s">
        <v>877</v>
      </c>
      <c r="E376" s="4" t="str">
        <f>VLOOKUP(C376,'[2]CTRL AUTOS'!$E$2:$L$58,8,FALSE)</f>
        <v>ASHC</v>
      </c>
      <c r="F376" s="61" t="str">
        <f>VLOOKUP(C376,'[2]CTRL AUTOS'!$E$2:$K$58,7,FALSE)</f>
        <v>ASHC</v>
      </c>
      <c r="G376" s="4" t="s">
        <v>234</v>
      </c>
      <c r="H376" s="62">
        <v>0</v>
      </c>
      <c r="I376" s="62">
        <v>0</v>
      </c>
      <c r="J376" s="62">
        <v>0</v>
      </c>
      <c r="K376" s="62">
        <v>0</v>
      </c>
      <c r="L376" s="62">
        <v>0</v>
      </c>
      <c r="M376" s="62">
        <v>0</v>
      </c>
      <c r="N376" s="62">
        <v>0</v>
      </c>
      <c r="O376" s="62">
        <f t="shared" si="37"/>
        <v>0</v>
      </c>
      <c r="P376" s="62">
        <v>0</v>
      </c>
      <c r="Q376" s="62">
        <v>0</v>
      </c>
      <c r="R376" s="62">
        <v>500</v>
      </c>
      <c r="S376" s="62">
        <v>0</v>
      </c>
      <c r="T376" s="62">
        <v>0</v>
      </c>
      <c r="U376" s="62">
        <v>0</v>
      </c>
      <c r="V376" s="62">
        <v>0</v>
      </c>
      <c r="W376" s="62">
        <f t="shared" si="35"/>
        <v>500</v>
      </c>
      <c r="X376" s="62">
        <f t="shared" si="41"/>
        <v>500</v>
      </c>
      <c r="Y376" s="62">
        <f t="shared" si="42"/>
        <v>0</v>
      </c>
      <c r="Z376" s="62">
        <v>0</v>
      </c>
      <c r="AA376" s="62">
        <f t="shared" si="43"/>
        <v>0</v>
      </c>
      <c r="AB376" s="62">
        <f t="shared" si="36"/>
        <v>-500</v>
      </c>
      <c r="AC376" s="62"/>
      <c r="AD376" s="62" t="s">
        <v>899</v>
      </c>
    </row>
    <row r="377" spans="1:30" hidden="1" x14ac:dyDescent="0.3">
      <c r="A377" s="2">
        <v>7</v>
      </c>
      <c r="B377" s="3" t="s">
        <v>9</v>
      </c>
      <c r="C377" s="4" t="s">
        <v>10</v>
      </c>
      <c r="D377" s="4" t="s">
        <v>343</v>
      </c>
      <c r="E377" s="4" t="str">
        <f>VLOOKUP(C377,'[2]CTRL AUTOS'!$E$2:$L$58,8,FALSE)</f>
        <v>ASHC</v>
      </c>
      <c r="F377" s="61" t="str">
        <f>VLOOKUP(C377,'[2]CTRL AUTOS'!$E$2:$K$58,7,FALSE)</f>
        <v>ASHC</v>
      </c>
      <c r="G377" s="4" t="s">
        <v>425</v>
      </c>
      <c r="H377" s="62">
        <v>0</v>
      </c>
      <c r="I377" s="62">
        <v>0</v>
      </c>
      <c r="J377" s="62">
        <v>0</v>
      </c>
      <c r="K377" s="62">
        <v>0</v>
      </c>
      <c r="L377" s="62">
        <v>0</v>
      </c>
      <c r="M377" s="62">
        <v>0</v>
      </c>
      <c r="N377" s="62">
        <v>0</v>
      </c>
      <c r="O377" s="62">
        <f t="shared" si="37"/>
        <v>0</v>
      </c>
      <c r="P377" s="62">
        <v>0</v>
      </c>
      <c r="Q377" s="62">
        <v>0</v>
      </c>
      <c r="R377" s="62">
        <v>0</v>
      </c>
      <c r="S377" s="62">
        <v>0</v>
      </c>
      <c r="T377" s="62">
        <v>-700</v>
      </c>
      <c r="U377" s="62">
        <v>0</v>
      </c>
      <c r="V377" s="62">
        <v>0</v>
      </c>
      <c r="W377" s="62">
        <f t="shared" si="35"/>
        <v>-700</v>
      </c>
      <c r="X377" s="62">
        <f t="shared" si="41"/>
        <v>0</v>
      </c>
      <c r="Y377" s="62">
        <f t="shared" si="42"/>
        <v>-700</v>
      </c>
      <c r="Z377" s="62">
        <v>0</v>
      </c>
      <c r="AA377" s="62">
        <f t="shared" si="43"/>
        <v>-700</v>
      </c>
      <c r="AB377" s="62">
        <f t="shared" si="36"/>
        <v>-700</v>
      </c>
      <c r="AC377" s="62"/>
      <c r="AD377" s="62"/>
    </row>
    <row r="378" spans="1:30" hidden="1" x14ac:dyDescent="0.3">
      <c r="A378" s="2">
        <v>7</v>
      </c>
      <c r="B378" s="3" t="s">
        <v>70</v>
      </c>
      <c r="C378" s="4" t="s">
        <v>71</v>
      </c>
      <c r="D378" s="4" t="s">
        <v>588</v>
      </c>
      <c r="E378" s="4" t="str">
        <f>VLOOKUP(C378,'[2]CTRL AUTOS'!$E$2:$L$58,8,FALSE)</f>
        <v>ASHC</v>
      </c>
      <c r="F378" s="61" t="str">
        <f>VLOOKUP(C378,'[2]CTRL AUTOS'!$E$2:$K$58,7,FALSE)</f>
        <v>ASHC</v>
      </c>
      <c r="G378" s="4" t="s">
        <v>234</v>
      </c>
      <c r="H378" s="62">
        <v>5566.9</v>
      </c>
      <c r="I378" s="62">
        <v>0</v>
      </c>
      <c r="J378" s="62">
        <v>0</v>
      </c>
      <c r="K378" s="62">
        <v>119.11</v>
      </c>
      <c r="L378" s="62">
        <v>0</v>
      </c>
      <c r="M378" s="62">
        <v>0</v>
      </c>
      <c r="N378" s="62">
        <v>0</v>
      </c>
      <c r="O378" s="62">
        <f t="shared" si="37"/>
        <v>5686.0099999999993</v>
      </c>
      <c r="P378" s="62">
        <v>-5538</v>
      </c>
      <c r="Q378" s="62">
        <v>0</v>
      </c>
      <c r="R378" s="62"/>
      <c r="S378" s="62">
        <v>0</v>
      </c>
      <c r="T378" s="62">
        <v>0</v>
      </c>
      <c r="U378" s="62">
        <v>0</v>
      </c>
      <c r="V378" s="62">
        <v>0</v>
      </c>
      <c r="W378" s="62">
        <f t="shared" si="35"/>
        <v>148.00999999999931</v>
      </c>
      <c r="X378" s="62">
        <f t="shared" si="41"/>
        <v>148.00999999999931</v>
      </c>
      <c r="Y378" s="62">
        <f t="shared" si="42"/>
        <v>0</v>
      </c>
      <c r="Z378" s="62">
        <v>0</v>
      </c>
      <c r="AA378" s="62">
        <f t="shared" si="43"/>
        <v>0</v>
      </c>
      <c r="AB378" s="62">
        <f t="shared" si="36"/>
        <v>5538</v>
      </c>
      <c r="AC378" s="62"/>
      <c r="AD378" s="62" t="s">
        <v>900</v>
      </c>
    </row>
    <row r="379" spans="1:30" hidden="1" x14ac:dyDescent="0.3">
      <c r="A379" s="2">
        <v>7</v>
      </c>
      <c r="B379" s="3" t="s">
        <v>29</v>
      </c>
      <c r="C379" s="4" t="s">
        <v>141</v>
      </c>
      <c r="D379" s="4" t="s">
        <v>901</v>
      </c>
      <c r="E379" s="4" t="str">
        <f>VLOOKUP(C379,'[2]CTRL AUTOS'!$E$2:$L$58,8,FALSE)</f>
        <v>ASHC</v>
      </c>
      <c r="F379" s="61" t="str">
        <f>VLOOKUP(C379,'[2]CTRL AUTOS'!$E$2:$K$58,7,FALSE)</f>
        <v>ASHC</v>
      </c>
      <c r="G379" s="4" t="s">
        <v>234</v>
      </c>
      <c r="H379" s="62">
        <v>2513.4499999999998</v>
      </c>
      <c r="I379" s="62">
        <v>-1732.8600000000001</v>
      </c>
      <c r="J379" s="62">
        <v>0</v>
      </c>
      <c r="K379" s="62">
        <v>218.6</v>
      </c>
      <c r="L379" s="62">
        <v>0</v>
      </c>
      <c r="M379" s="62">
        <v>-73.2196</v>
      </c>
      <c r="N379" s="62">
        <v>-26.83</v>
      </c>
      <c r="O379" s="62">
        <f t="shared" si="37"/>
        <v>899.14039999999966</v>
      </c>
      <c r="P379" s="62">
        <v>-2700</v>
      </c>
      <c r="Q379" s="62">
        <v>0</v>
      </c>
      <c r="R379" s="62">
        <v>0</v>
      </c>
      <c r="S379" s="62">
        <v>0</v>
      </c>
      <c r="T379" s="62">
        <v>0</v>
      </c>
      <c r="U379" s="62">
        <v>0</v>
      </c>
      <c r="V379" s="62">
        <v>0</v>
      </c>
      <c r="W379" s="62">
        <f t="shared" si="35"/>
        <v>-1800.8596000000002</v>
      </c>
      <c r="X379" s="62">
        <f t="shared" si="41"/>
        <v>0</v>
      </c>
      <c r="Y379" s="62">
        <f t="shared" si="42"/>
        <v>-1800.8596000000002</v>
      </c>
      <c r="Z379" s="62">
        <v>1000</v>
      </c>
      <c r="AA379" s="62">
        <f t="shared" si="43"/>
        <v>-800.85960000000023</v>
      </c>
      <c r="AB379" s="62">
        <f t="shared" si="36"/>
        <v>1098.2807999999995</v>
      </c>
      <c r="AC379" s="62"/>
      <c r="AD379" s="62" t="s">
        <v>902</v>
      </c>
    </row>
    <row r="380" spans="1:30" hidden="1" x14ac:dyDescent="0.3">
      <c r="A380" s="2">
        <v>7</v>
      </c>
      <c r="B380" s="3" t="s">
        <v>109</v>
      </c>
      <c r="C380" s="4" t="s">
        <v>142</v>
      </c>
      <c r="D380" s="4" t="s">
        <v>657</v>
      </c>
      <c r="E380" s="4" t="str">
        <f>VLOOKUP(C380,'[2]CTRL AUTOS'!$E$2:$L$58,8,FALSE)</f>
        <v>ASHC</v>
      </c>
      <c r="F380" s="61" t="str">
        <f>VLOOKUP(C380,'[2]CTRL AUTOS'!$E$2:$K$58,7,FALSE)</f>
        <v>ASHC</v>
      </c>
      <c r="G380" s="4" t="s">
        <v>425</v>
      </c>
      <c r="H380" s="62">
        <v>0</v>
      </c>
      <c r="I380" s="62">
        <v>0</v>
      </c>
      <c r="J380" s="62">
        <v>0</v>
      </c>
      <c r="K380" s="62">
        <v>0</v>
      </c>
      <c r="L380" s="62">
        <v>0</v>
      </c>
      <c r="M380" s="62">
        <v>0</v>
      </c>
      <c r="N380" s="62">
        <v>0</v>
      </c>
      <c r="O380" s="62">
        <f t="shared" si="37"/>
        <v>0</v>
      </c>
      <c r="P380" s="62">
        <v>-2700</v>
      </c>
      <c r="Q380" s="62">
        <v>0</v>
      </c>
      <c r="R380" s="62">
        <v>-500</v>
      </c>
      <c r="S380" s="62">
        <v>0</v>
      </c>
      <c r="T380" s="62">
        <v>0</v>
      </c>
      <c r="U380" s="62">
        <v>0</v>
      </c>
      <c r="V380" s="62">
        <v>0</v>
      </c>
      <c r="W380" s="62">
        <f t="shared" si="35"/>
        <v>-3200</v>
      </c>
      <c r="X380" s="62">
        <f t="shared" si="41"/>
        <v>0</v>
      </c>
      <c r="Y380" s="62">
        <f t="shared" si="42"/>
        <v>-3200</v>
      </c>
      <c r="Z380" s="62">
        <v>1200</v>
      </c>
      <c r="AA380" s="62">
        <f t="shared" si="43"/>
        <v>-2000</v>
      </c>
      <c r="AB380" s="62">
        <f t="shared" si="36"/>
        <v>-800</v>
      </c>
      <c r="AC380" s="62"/>
      <c r="AD380" s="62" t="s">
        <v>903</v>
      </c>
    </row>
    <row r="381" spans="1:30" hidden="1" x14ac:dyDescent="0.3">
      <c r="A381" s="2">
        <v>7</v>
      </c>
      <c r="B381" s="3" t="s">
        <v>72</v>
      </c>
      <c r="C381" s="4" t="s">
        <v>73</v>
      </c>
      <c r="D381" s="4" t="s">
        <v>368</v>
      </c>
      <c r="E381" s="4" t="str">
        <f>VLOOKUP(C381,'[2]CTRL AUTOS'!$E$2:$L$58,8,FALSE)</f>
        <v>U64</v>
      </c>
      <c r="F381" s="61" t="str">
        <f>VLOOKUP(C381,'[2]CTRL AUTOS'!$E$2:$K$58,7,FALSE)</f>
        <v>BYER</v>
      </c>
      <c r="G381" s="4" t="s">
        <v>234</v>
      </c>
      <c r="H381" s="62">
        <v>9997.02</v>
      </c>
      <c r="I381" s="62">
        <v>-5269.39</v>
      </c>
      <c r="J381" s="62">
        <v>-74.400000000000006</v>
      </c>
      <c r="K381" s="62">
        <v>0</v>
      </c>
      <c r="L381" s="62">
        <v>-94.68</v>
      </c>
      <c r="M381" s="62">
        <v>-100</v>
      </c>
      <c r="N381" s="62">
        <v>-34</v>
      </c>
      <c r="O381" s="62">
        <f>IF(H381+I381&lt;0,SUM(J381:N381),SUM(H381:N381))</f>
        <v>4424.55</v>
      </c>
      <c r="P381" s="62">
        <v>-2500</v>
      </c>
      <c r="Q381" s="62">
        <v>0</v>
      </c>
      <c r="R381" s="62">
        <v>0</v>
      </c>
      <c r="S381" s="62">
        <v>0</v>
      </c>
      <c r="T381" s="62">
        <v>0</v>
      </c>
      <c r="U381" s="62">
        <v>0</v>
      </c>
      <c r="V381" s="62">
        <v>0</v>
      </c>
      <c r="W381" s="62">
        <f t="shared" si="35"/>
        <v>1924.5500000000002</v>
      </c>
      <c r="X381" s="62">
        <f t="shared" si="41"/>
        <v>1924.5500000000002</v>
      </c>
      <c r="Y381" s="62">
        <f t="shared" si="42"/>
        <v>0</v>
      </c>
      <c r="Z381" s="62">
        <v>0</v>
      </c>
      <c r="AA381" s="62">
        <f t="shared" si="43"/>
        <v>0</v>
      </c>
      <c r="AB381" s="62">
        <f t="shared" si="36"/>
        <v>2500</v>
      </c>
      <c r="AC381" s="62"/>
      <c r="AD381" s="62" t="s">
        <v>904</v>
      </c>
    </row>
    <row r="382" spans="1:30" hidden="1" x14ac:dyDescent="0.3">
      <c r="A382" s="2">
        <v>7</v>
      </c>
      <c r="B382" s="3" t="s">
        <v>92</v>
      </c>
      <c r="C382" s="4" t="s">
        <v>30</v>
      </c>
      <c r="D382" s="4" t="s">
        <v>521</v>
      </c>
      <c r="E382" s="4" t="str">
        <f>VLOOKUP(C382,'[2]CTRL AUTOS'!$E$2:$L$58,8,FALSE)</f>
        <v>ASHC</v>
      </c>
      <c r="F382" s="61" t="str">
        <f>VLOOKUP(C382,'[2]CTRL AUTOS'!$E$2:$K$58,7,FALSE)</f>
        <v>ASHC</v>
      </c>
      <c r="G382" s="4" t="s">
        <v>234</v>
      </c>
      <c r="H382" s="62">
        <v>8332.4</v>
      </c>
      <c r="I382" s="62">
        <v>-4573.07</v>
      </c>
      <c r="J382" s="62">
        <v>-56</v>
      </c>
      <c r="K382" s="62">
        <v>0</v>
      </c>
      <c r="L382" s="62">
        <v>0</v>
      </c>
      <c r="M382" s="62">
        <v>-100</v>
      </c>
      <c r="N382" s="62">
        <v>0</v>
      </c>
      <c r="O382" s="62">
        <f t="shared" si="37"/>
        <v>3603.33</v>
      </c>
      <c r="P382" s="62">
        <v>-2500</v>
      </c>
      <c r="Q382" s="62">
        <v>0</v>
      </c>
      <c r="R382" s="62">
        <v>-500</v>
      </c>
      <c r="S382" s="62">
        <v>0</v>
      </c>
      <c r="T382" s="62">
        <v>0</v>
      </c>
      <c r="U382" s="62">
        <v>0</v>
      </c>
      <c r="V382" s="62">
        <v>0</v>
      </c>
      <c r="W382" s="62">
        <f t="shared" si="35"/>
        <v>603.32999999999993</v>
      </c>
      <c r="X382" s="62">
        <f t="shared" si="41"/>
        <v>603.32999999999993</v>
      </c>
      <c r="Y382" s="62">
        <f t="shared" si="42"/>
        <v>0</v>
      </c>
      <c r="Z382" s="62">
        <v>0</v>
      </c>
      <c r="AA382" s="62">
        <f t="shared" si="43"/>
        <v>0</v>
      </c>
      <c r="AB382" s="62">
        <f t="shared" si="36"/>
        <v>3000</v>
      </c>
      <c r="AC382" s="62"/>
      <c r="AD382" s="62" t="s">
        <v>905</v>
      </c>
    </row>
    <row r="383" spans="1:30" hidden="1" x14ac:dyDescent="0.3">
      <c r="A383" s="2">
        <v>7</v>
      </c>
      <c r="B383" s="3" t="s">
        <v>105</v>
      </c>
      <c r="C383" s="4" t="s">
        <v>106</v>
      </c>
      <c r="D383" s="4" t="s">
        <v>646</v>
      </c>
      <c r="E383" s="4" t="str">
        <f>VLOOKUP(C383,'[2]CTRL AUTOS'!$E$2:$L$58,8,FALSE)</f>
        <v>ASHC</v>
      </c>
      <c r="F383" s="61" t="str">
        <f>VLOOKUP(C383,'[2]CTRL AUTOS'!$E$2:$K$58,7,FALSE)</f>
        <v>ASHC</v>
      </c>
      <c r="G383" s="4" t="s">
        <v>425</v>
      </c>
      <c r="H383" s="62">
        <v>0</v>
      </c>
      <c r="I383" s="62">
        <v>0</v>
      </c>
      <c r="J383" s="62">
        <v>0</v>
      </c>
      <c r="K383" s="62">
        <v>0</v>
      </c>
      <c r="L383" s="62">
        <v>0</v>
      </c>
      <c r="M383" s="62">
        <v>0</v>
      </c>
      <c r="N383" s="62">
        <v>0</v>
      </c>
      <c r="O383" s="62">
        <f t="shared" si="37"/>
        <v>0</v>
      </c>
      <c r="P383" s="62">
        <v>-2500</v>
      </c>
      <c r="Q383" s="62">
        <v>0</v>
      </c>
      <c r="R383" s="62">
        <v>0</v>
      </c>
      <c r="S383" s="62">
        <v>0</v>
      </c>
      <c r="T383" s="62">
        <v>0</v>
      </c>
      <c r="U383" s="62">
        <v>0</v>
      </c>
      <c r="V383" s="62">
        <v>0</v>
      </c>
      <c r="W383" s="62">
        <f t="shared" si="35"/>
        <v>-2500</v>
      </c>
      <c r="X383" s="62">
        <f t="shared" si="41"/>
        <v>0</v>
      </c>
      <c r="Y383" s="62">
        <f t="shared" si="42"/>
        <v>-2500</v>
      </c>
      <c r="Z383" s="62">
        <v>2500</v>
      </c>
      <c r="AA383" s="62">
        <f t="shared" si="43"/>
        <v>0</v>
      </c>
      <c r="AB383" s="62">
        <f t="shared" si="36"/>
        <v>2500</v>
      </c>
      <c r="AC383" s="62"/>
      <c r="AD383" s="62" t="s">
        <v>906</v>
      </c>
    </row>
    <row r="384" spans="1:30" hidden="1" x14ac:dyDescent="0.3">
      <c r="A384" s="2">
        <v>7</v>
      </c>
      <c r="B384" s="3" t="s">
        <v>31</v>
      </c>
      <c r="C384" s="4" t="s">
        <v>143</v>
      </c>
      <c r="D384" s="4" t="s">
        <v>907</v>
      </c>
      <c r="E384" s="4" t="str">
        <f>VLOOKUP(C384,'[2]CTRL AUTOS'!$E$2:$L$58,8,FALSE)</f>
        <v>ASHC</v>
      </c>
      <c r="F384" s="61" t="str">
        <f>VLOOKUP(C384,'[2]CTRL AUTOS'!$E$2:$K$58,7,FALSE)</f>
        <v>ASHC</v>
      </c>
      <c r="G384" s="4" t="s">
        <v>234</v>
      </c>
      <c r="H384" s="62">
        <v>12980.3</v>
      </c>
      <c r="I384" s="62">
        <v>-5281.489999999998</v>
      </c>
      <c r="J384" s="62">
        <v>-223.2</v>
      </c>
      <c r="K384" s="62">
        <v>0</v>
      </c>
      <c r="L384" s="62">
        <v>0</v>
      </c>
      <c r="M384" s="62">
        <v>-56.2988</v>
      </c>
      <c r="N384" s="62">
        <v>-52.49</v>
      </c>
      <c r="O384" s="62">
        <f t="shared" si="37"/>
        <v>7366.8212000000021</v>
      </c>
      <c r="P384" s="62">
        <v>-2700</v>
      </c>
      <c r="Q384" s="62">
        <v>0</v>
      </c>
      <c r="R384" s="62">
        <v>0</v>
      </c>
      <c r="S384" s="62">
        <v>0</v>
      </c>
      <c r="T384" s="62">
        <v>0</v>
      </c>
      <c r="U384" s="62">
        <v>0</v>
      </c>
      <c r="V384" s="62">
        <v>0</v>
      </c>
      <c r="W384" s="62">
        <f t="shared" si="35"/>
        <v>4666.8212000000021</v>
      </c>
      <c r="X384" s="62">
        <f t="shared" si="41"/>
        <v>4666.8212000000021</v>
      </c>
      <c r="Y384" s="62">
        <f t="shared" si="42"/>
        <v>0</v>
      </c>
      <c r="Z384" s="62">
        <v>0</v>
      </c>
      <c r="AA384" s="62">
        <f t="shared" si="43"/>
        <v>0</v>
      </c>
      <c r="AB384" s="62">
        <f t="shared" si="36"/>
        <v>2700</v>
      </c>
      <c r="AC384" s="62"/>
      <c r="AD384" s="62" t="s">
        <v>908</v>
      </c>
    </row>
    <row r="385" spans="1:30" hidden="1" x14ac:dyDescent="0.3">
      <c r="A385" s="2">
        <v>7</v>
      </c>
      <c r="B385" s="3" t="s">
        <v>91</v>
      </c>
      <c r="C385" s="4" t="s">
        <v>144</v>
      </c>
      <c r="D385" s="4" t="s">
        <v>909</v>
      </c>
      <c r="E385" s="4" t="str">
        <f>VLOOKUP(C385,'[2]CTRL AUTOS'!$E$2:$L$58,8,FALSE)</f>
        <v>ASHC</v>
      </c>
      <c r="F385" s="61" t="str">
        <f>VLOOKUP(C385,'[2]CTRL AUTOS'!$E$2:$K$58,7,FALSE)</f>
        <v>ASHC</v>
      </c>
      <c r="G385" s="4" t="s">
        <v>234</v>
      </c>
      <c r="H385" s="62">
        <v>106.64</v>
      </c>
      <c r="I385" s="62">
        <v>0</v>
      </c>
      <c r="J385" s="62">
        <v>0</v>
      </c>
      <c r="K385" s="62">
        <v>0</v>
      </c>
      <c r="L385" s="62">
        <v>0</v>
      </c>
      <c r="M385" s="62">
        <v>-3</v>
      </c>
      <c r="N385" s="62">
        <v>-25</v>
      </c>
      <c r="O385" s="62">
        <f t="shared" si="37"/>
        <v>78.64</v>
      </c>
      <c r="P385" s="62">
        <v>-2700</v>
      </c>
      <c r="Q385" s="62">
        <v>0</v>
      </c>
      <c r="R385" s="62">
        <v>-500</v>
      </c>
      <c r="S385" s="62">
        <v>0</v>
      </c>
      <c r="T385" s="62">
        <v>0</v>
      </c>
      <c r="U385" s="62">
        <v>0</v>
      </c>
      <c r="V385" s="62">
        <v>0</v>
      </c>
      <c r="W385" s="62">
        <f t="shared" si="35"/>
        <v>-3121.36</v>
      </c>
      <c r="X385" s="62">
        <f t="shared" si="41"/>
        <v>0</v>
      </c>
      <c r="Y385" s="62">
        <f t="shared" si="42"/>
        <v>-3121.36</v>
      </c>
      <c r="Z385" s="62">
        <v>0</v>
      </c>
      <c r="AA385" s="62">
        <f t="shared" si="43"/>
        <v>-3121.36</v>
      </c>
      <c r="AB385" s="62">
        <f t="shared" si="36"/>
        <v>-3042.7200000000003</v>
      </c>
      <c r="AC385" s="62"/>
      <c r="AD385" s="62"/>
    </row>
    <row r="386" spans="1:30" hidden="1" x14ac:dyDescent="0.3">
      <c r="A386" s="2">
        <v>7</v>
      </c>
      <c r="B386" s="3" t="s">
        <v>33</v>
      </c>
      <c r="C386" s="4" t="s">
        <v>67</v>
      </c>
      <c r="D386" s="4" t="s">
        <v>504</v>
      </c>
      <c r="E386" s="4" t="str">
        <f>VLOOKUP(C386,'[2]CTRL AUTOS'!$E$2:$L$58,8,FALSE)</f>
        <v>ASHC</v>
      </c>
      <c r="F386" s="61" t="str">
        <f>VLOOKUP(C386,'[2]CTRL AUTOS'!$E$2:$K$58,7,FALSE)</f>
        <v>ASHC</v>
      </c>
      <c r="G386" s="4" t="s">
        <v>234</v>
      </c>
      <c r="H386" s="62">
        <v>4058.15</v>
      </c>
      <c r="I386" s="62">
        <v>0</v>
      </c>
      <c r="J386" s="62">
        <v>-24</v>
      </c>
      <c r="K386" s="62">
        <v>0</v>
      </c>
      <c r="L386" s="62">
        <v>0</v>
      </c>
      <c r="M386" s="62">
        <v>0</v>
      </c>
      <c r="N386" s="62">
        <v>0</v>
      </c>
      <c r="O386" s="62">
        <f t="shared" si="37"/>
        <v>4034.15</v>
      </c>
      <c r="P386" s="62">
        <v>-2500</v>
      </c>
      <c r="Q386" s="62">
        <v>-3966</v>
      </c>
      <c r="R386" s="62">
        <v>-500</v>
      </c>
      <c r="S386" s="62">
        <v>0</v>
      </c>
      <c r="T386" s="62">
        <v>0</v>
      </c>
      <c r="U386" s="62">
        <v>0</v>
      </c>
      <c r="V386" s="62">
        <v>0</v>
      </c>
      <c r="W386" s="62">
        <f t="shared" ref="W386:W449" si="44">SUM(O386:V386)</f>
        <v>-2931.85</v>
      </c>
      <c r="X386" s="62">
        <f t="shared" si="41"/>
        <v>0</v>
      </c>
      <c r="Y386" s="62">
        <f t="shared" si="42"/>
        <v>-2931.85</v>
      </c>
      <c r="Z386" s="62">
        <v>0</v>
      </c>
      <c r="AA386" s="62">
        <f t="shared" si="43"/>
        <v>-2931.85</v>
      </c>
      <c r="AB386" s="62">
        <f t="shared" ref="AB386:AB449" si="45">+O386-X386+Z386+AA386</f>
        <v>1102.3000000000002</v>
      </c>
      <c r="AC386" s="62"/>
      <c r="AD386" s="62"/>
    </row>
    <row r="387" spans="1:30" hidden="1" x14ac:dyDescent="0.3">
      <c r="A387" s="2">
        <v>7</v>
      </c>
      <c r="B387" s="3" t="s">
        <v>35</v>
      </c>
      <c r="C387" s="4" t="s">
        <v>36</v>
      </c>
      <c r="D387" s="4" t="s">
        <v>510</v>
      </c>
      <c r="E387" s="4" t="str">
        <f>VLOOKUP(C387,'[2]CTRL AUTOS'!$E$2:$L$58,8,FALSE)</f>
        <v>ASHC</v>
      </c>
      <c r="F387" s="61" t="str">
        <f>VLOOKUP(C387,'[2]CTRL AUTOS'!$E$2:$K$58,7,FALSE)</f>
        <v>ASHC</v>
      </c>
      <c r="G387" s="4" t="s">
        <v>234</v>
      </c>
      <c r="H387" s="62">
        <v>9159.7099999999991</v>
      </c>
      <c r="I387" s="62">
        <v>-5059.9599999999982</v>
      </c>
      <c r="J387" s="62">
        <v>-223.2</v>
      </c>
      <c r="K387" s="62">
        <v>0</v>
      </c>
      <c r="L387" s="62">
        <v>0</v>
      </c>
      <c r="M387" s="62">
        <v>-50</v>
      </c>
      <c r="N387" s="62">
        <v>0</v>
      </c>
      <c r="O387" s="62">
        <f t="shared" si="37"/>
        <v>3826.5500000000011</v>
      </c>
      <c r="P387" s="62">
        <v>-2500</v>
      </c>
      <c r="Q387" s="62">
        <v>0</v>
      </c>
      <c r="R387" s="62">
        <v>0</v>
      </c>
      <c r="S387" s="62">
        <v>0</v>
      </c>
      <c r="T387" s="62">
        <v>0</v>
      </c>
      <c r="U387" s="62">
        <v>0</v>
      </c>
      <c r="V387" s="62">
        <v>0</v>
      </c>
      <c r="W387" s="62">
        <f t="shared" si="44"/>
        <v>1326.5500000000011</v>
      </c>
      <c r="X387" s="62">
        <f t="shared" si="41"/>
        <v>1326.5500000000011</v>
      </c>
      <c r="Y387" s="62">
        <f t="shared" si="42"/>
        <v>0</v>
      </c>
      <c r="Z387" s="62"/>
      <c r="AA387" s="62">
        <f t="shared" si="43"/>
        <v>0</v>
      </c>
      <c r="AB387" s="62">
        <f t="shared" si="45"/>
        <v>2500</v>
      </c>
      <c r="AC387" s="62"/>
      <c r="AD387" s="62" t="s">
        <v>910</v>
      </c>
    </row>
    <row r="388" spans="1:30" hidden="1" x14ac:dyDescent="0.3">
      <c r="A388" s="2">
        <v>7</v>
      </c>
      <c r="B388" s="3" t="s">
        <v>37</v>
      </c>
      <c r="C388" s="4" t="s">
        <v>24</v>
      </c>
      <c r="D388" s="4" t="s">
        <v>515</v>
      </c>
      <c r="E388" s="4" t="str">
        <f>VLOOKUP(C388,'[2]CTRL AUTOS'!$E$2:$L$58,8,FALSE)</f>
        <v>ASHC</v>
      </c>
      <c r="F388" s="61" t="str">
        <f>VLOOKUP(C388,'[2]CTRL AUTOS'!$E$2:$K$58,7,FALSE)</f>
        <v>ASHC</v>
      </c>
      <c r="G388" s="4" t="s">
        <v>234</v>
      </c>
      <c r="H388" s="62">
        <v>3341.45</v>
      </c>
      <c r="I388" s="62">
        <v>-289.98</v>
      </c>
      <c r="J388" s="62">
        <v>0</v>
      </c>
      <c r="K388" s="62">
        <v>0</v>
      </c>
      <c r="L388" s="62">
        <v>0</v>
      </c>
      <c r="M388" s="62">
        <v>-20</v>
      </c>
      <c r="N388" s="62">
        <v>0</v>
      </c>
      <c r="O388" s="62">
        <f t="shared" si="37"/>
        <v>3031.47</v>
      </c>
      <c r="P388" s="62">
        <v>-2700</v>
      </c>
      <c r="Q388" s="62">
        <v>0</v>
      </c>
      <c r="R388" s="62">
        <v>-500</v>
      </c>
      <c r="S388" s="62">
        <v>0</v>
      </c>
      <c r="T388" s="62">
        <v>0</v>
      </c>
      <c r="U388" s="62">
        <v>0</v>
      </c>
      <c r="V388" s="62">
        <v>0</v>
      </c>
      <c r="W388" s="62">
        <f t="shared" si="44"/>
        <v>-168.5300000000002</v>
      </c>
      <c r="X388" s="62">
        <f t="shared" si="41"/>
        <v>0</v>
      </c>
      <c r="Y388" s="62">
        <f t="shared" si="42"/>
        <v>-168.5300000000002</v>
      </c>
      <c r="Z388" s="62">
        <v>170</v>
      </c>
      <c r="AA388" s="62">
        <f t="shared" si="43"/>
        <v>1.4699999999997999</v>
      </c>
      <c r="AB388" s="62">
        <f t="shared" si="45"/>
        <v>3202.9399999999996</v>
      </c>
      <c r="AC388" s="62"/>
      <c r="AD388" s="62" t="s">
        <v>911</v>
      </c>
    </row>
    <row r="389" spans="1:30" hidden="1" x14ac:dyDescent="0.3">
      <c r="A389" s="2">
        <v>7</v>
      </c>
      <c r="B389" s="3" t="s">
        <v>114</v>
      </c>
      <c r="C389" s="4" t="s">
        <v>46</v>
      </c>
      <c r="D389" s="4" t="s">
        <v>257</v>
      </c>
      <c r="E389" s="4" t="str">
        <f>VLOOKUP(C389,'[2]CTRL AUTOS'!$E$2:$L$58,8,FALSE)</f>
        <v>ASHC</v>
      </c>
      <c r="F389" s="61" t="str">
        <f>VLOOKUP(C389,'[2]CTRL AUTOS'!$E$2:$K$58,7,FALSE)</f>
        <v>ASHC</v>
      </c>
      <c r="G389" s="4" t="s">
        <v>234</v>
      </c>
      <c r="H389" s="62">
        <v>0</v>
      </c>
      <c r="I389" s="62">
        <v>0</v>
      </c>
      <c r="J389" s="62">
        <v>0</v>
      </c>
      <c r="K389" s="62">
        <v>0</v>
      </c>
      <c r="L389" s="62">
        <v>0</v>
      </c>
      <c r="M389" s="62">
        <v>0</v>
      </c>
      <c r="N389" s="62">
        <v>0</v>
      </c>
      <c r="O389" s="62">
        <f t="shared" si="37"/>
        <v>0</v>
      </c>
      <c r="P389" s="62">
        <v>-2500</v>
      </c>
      <c r="Q389" s="62">
        <v>0</v>
      </c>
      <c r="R389" s="62">
        <v>-500</v>
      </c>
      <c r="S389" s="62">
        <v>0</v>
      </c>
      <c r="T389" s="62">
        <v>0</v>
      </c>
      <c r="U389" s="62">
        <v>0</v>
      </c>
      <c r="V389" s="62">
        <v>0</v>
      </c>
      <c r="W389" s="62">
        <f t="shared" si="44"/>
        <v>-3000</v>
      </c>
      <c r="X389" s="62">
        <f t="shared" si="41"/>
        <v>0</v>
      </c>
      <c r="Y389" s="62">
        <f t="shared" si="42"/>
        <v>-3000</v>
      </c>
      <c r="Z389" s="62">
        <f>2000+1000</f>
        <v>3000</v>
      </c>
      <c r="AA389" s="62">
        <f t="shared" si="43"/>
        <v>0</v>
      </c>
      <c r="AB389" s="62">
        <f t="shared" si="45"/>
        <v>3000</v>
      </c>
      <c r="AC389" s="62"/>
      <c r="AD389" s="62" t="s">
        <v>912</v>
      </c>
    </row>
    <row r="390" spans="1:30" hidden="1" x14ac:dyDescent="0.3">
      <c r="A390" s="2">
        <v>7</v>
      </c>
      <c r="B390" s="3" t="s">
        <v>43</v>
      </c>
      <c r="C390" s="4" t="s">
        <v>145</v>
      </c>
      <c r="D390" s="4" t="s">
        <v>913</v>
      </c>
      <c r="E390" s="4" t="str">
        <f>VLOOKUP(C390,'[2]CTRL AUTOS'!$E$2:$L$58,8,FALSE)</f>
        <v>ASHC</v>
      </c>
      <c r="F390" s="61" t="str">
        <f>VLOOKUP(C390,'[2]CTRL AUTOS'!$E$2:$K$58,7,FALSE)</f>
        <v>ASHC</v>
      </c>
      <c r="G390" s="4" t="s">
        <v>234</v>
      </c>
      <c r="H390" s="62">
        <v>1949.21</v>
      </c>
      <c r="I390" s="62">
        <v>0</v>
      </c>
      <c r="J390" s="62">
        <v>-18.95</v>
      </c>
      <c r="K390" s="62">
        <v>47.68</v>
      </c>
      <c r="L390" s="62">
        <v>0</v>
      </c>
      <c r="M390" s="62">
        <v>0</v>
      </c>
      <c r="N390" s="62">
        <v>0</v>
      </c>
      <c r="O390" s="62">
        <f t="shared" si="37"/>
        <v>1977.94</v>
      </c>
      <c r="P390" s="62">
        <v>-2700</v>
      </c>
      <c r="Q390" s="62">
        <v>0</v>
      </c>
      <c r="R390" s="62">
        <v>-500</v>
      </c>
      <c r="S390" s="62">
        <v>0</v>
      </c>
      <c r="T390" s="62">
        <v>0</v>
      </c>
      <c r="U390" s="62">
        <v>0</v>
      </c>
      <c r="V390" s="62">
        <v>0</v>
      </c>
      <c r="W390" s="62">
        <f t="shared" si="44"/>
        <v>-1222.06</v>
      </c>
      <c r="X390" s="62">
        <f t="shared" si="41"/>
        <v>0</v>
      </c>
      <c r="Y390" s="62">
        <f t="shared" si="42"/>
        <v>-1222.06</v>
      </c>
      <c r="Z390" s="62">
        <f>1000+250</f>
        <v>1250</v>
      </c>
      <c r="AA390" s="62">
        <f t="shared" si="43"/>
        <v>27.940000000000055</v>
      </c>
      <c r="AB390" s="62">
        <f t="shared" si="45"/>
        <v>3255.88</v>
      </c>
      <c r="AC390" s="62"/>
      <c r="AD390" s="62" t="s">
        <v>914</v>
      </c>
    </row>
    <row r="391" spans="1:30" hidden="1" x14ac:dyDescent="0.3">
      <c r="A391" s="2">
        <v>7</v>
      </c>
      <c r="B391" s="3" t="s">
        <v>84</v>
      </c>
      <c r="C391" s="4" t="s">
        <v>146</v>
      </c>
      <c r="D391" s="4" t="s">
        <v>915</v>
      </c>
      <c r="E391" s="4" t="str">
        <f>VLOOKUP(C391,'[2]CTRL AUTOS'!$E$2:$L$58,8,FALSE)</f>
        <v>ASHC</v>
      </c>
      <c r="F391" s="61" t="str">
        <f>VLOOKUP(C391,'[2]CTRL AUTOS'!$E$2:$K$58,7,FALSE)</f>
        <v>ASHC</v>
      </c>
      <c r="G391" s="4" t="s">
        <v>234</v>
      </c>
      <c r="H391" s="62">
        <v>7869.29</v>
      </c>
      <c r="I391" s="62">
        <v>-4883.2499999999982</v>
      </c>
      <c r="J391" s="62">
        <v>0</v>
      </c>
      <c r="K391" s="62">
        <v>0</v>
      </c>
      <c r="L391" s="62">
        <v>0</v>
      </c>
      <c r="M391" s="62">
        <v>-101.44</v>
      </c>
      <c r="N391" s="62">
        <v>-12</v>
      </c>
      <c r="O391" s="62">
        <f t="shared" si="37"/>
        <v>2872.6000000000017</v>
      </c>
      <c r="P391" s="62">
        <v>-2700</v>
      </c>
      <c r="Q391" s="62">
        <v>-40</v>
      </c>
      <c r="R391" s="62">
        <v>-500</v>
      </c>
      <c r="S391" s="62">
        <v>0</v>
      </c>
      <c r="T391" s="62">
        <v>0</v>
      </c>
      <c r="U391" s="62">
        <v>0</v>
      </c>
      <c r="V391" s="62">
        <v>0</v>
      </c>
      <c r="W391" s="62">
        <f t="shared" si="44"/>
        <v>-367.39999999999827</v>
      </c>
      <c r="X391" s="62">
        <f t="shared" si="41"/>
        <v>0</v>
      </c>
      <c r="Y391" s="62">
        <f t="shared" si="42"/>
        <v>-367.39999999999827</v>
      </c>
      <c r="Z391" s="62">
        <v>370</v>
      </c>
      <c r="AA391" s="62">
        <f t="shared" si="43"/>
        <v>2.600000000001728</v>
      </c>
      <c r="AB391" s="62">
        <f t="shared" si="45"/>
        <v>3245.2000000000035</v>
      </c>
      <c r="AC391" s="62"/>
      <c r="AD391" s="62" t="s">
        <v>916</v>
      </c>
    </row>
    <row r="392" spans="1:30" hidden="1" x14ac:dyDescent="0.3">
      <c r="A392" s="2">
        <v>7</v>
      </c>
      <c r="B392" s="3" t="s">
        <v>89</v>
      </c>
      <c r="C392" s="4" t="s">
        <v>4</v>
      </c>
      <c r="D392" s="4" t="s">
        <v>652</v>
      </c>
      <c r="E392" s="4" t="str">
        <f>VLOOKUP(C392,'[2]CTRL AUTOS'!$E$2:$L$58,8,FALSE)</f>
        <v>ASHC</v>
      </c>
      <c r="F392" s="61" t="str">
        <f>VLOOKUP(C392,'[2]CTRL AUTOS'!$E$2:$K$58,7,FALSE)</f>
        <v>ASHC</v>
      </c>
      <c r="G392" s="4" t="s">
        <v>234</v>
      </c>
      <c r="H392" s="62">
        <v>4701.5600000000004</v>
      </c>
      <c r="I392" s="62">
        <v>-985.36</v>
      </c>
      <c r="J392" s="62">
        <v>0</v>
      </c>
      <c r="K392" s="62">
        <v>0</v>
      </c>
      <c r="L392" s="62">
        <v>0</v>
      </c>
      <c r="M392" s="62">
        <v>-50</v>
      </c>
      <c r="N392" s="62">
        <v>0</v>
      </c>
      <c r="O392" s="62">
        <f t="shared" si="37"/>
        <v>3666.2000000000003</v>
      </c>
      <c r="P392" s="62">
        <v>-2500</v>
      </c>
      <c r="Q392" s="62">
        <v>0</v>
      </c>
      <c r="R392" s="62">
        <v>-500</v>
      </c>
      <c r="S392" s="62">
        <v>0</v>
      </c>
      <c r="T392" s="62">
        <v>0</v>
      </c>
      <c r="U392" s="62">
        <v>0</v>
      </c>
      <c r="V392" s="62">
        <v>0</v>
      </c>
      <c r="W392" s="62">
        <f t="shared" si="44"/>
        <v>666.20000000000027</v>
      </c>
      <c r="X392" s="62">
        <f t="shared" si="41"/>
        <v>666.20000000000027</v>
      </c>
      <c r="Y392" s="62">
        <f t="shared" si="42"/>
        <v>0</v>
      </c>
      <c r="Z392" s="62">
        <v>0</v>
      </c>
      <c r="AA392" s="62">
        <f t="shared" si="43"/>
        <v>0</v>
      </c>
      <c r="AB392" s="62">
        <f t="shared" si="45"/>
        <v>3000</v>
      </c>
      <c r="AC392" s="62"/>
      <c r="AD392" s="62" t="s">
        <v>917</v>
      </c>
    </row>
    <row r="393" spans="1:30" hidden="1" x14ac:dyDescent="0.3">
      <c r="A393" s="2">
        <v>7</v>
      </c>
      <c r="B393" s="3" t="s">
        <v>119</v>
      </c>
      <c r="C393" s="4" t="s">
        <v>97</v>
      </c>
      <c r="D393" s="4" t="s">
        <v>273</v>
      </c>
      <c r="E393" s="4" t="str">
        <f>VLOOKUP(C393,'[2]CTRL AUTOS'!$E$2:$L$58,8,FALSE)</f>
        <v>ASHC</v>
      </c>
      <c r="F393" s="61" t="str">
        <f>VLOOKUP(C393,'[2]CTRL AUTOS'!$E$2:$K$58,7,FALSE)</f>
        <v>ASHC</v>
      </c>
      <c r="G393" s="4" t="s">
        <v>234</v>
      </c>
      <c r="H393" s="62">
        <v>8373.7800000000007</v>
      </c>
      <c r="I393" s="62">
        <v>0</v>
      </c>
      <c r="J393" s="62">
        <v>-330.4</v>
      </c>
      <c r="K393" s="62">
        <v>0</v>
      </c>
      <c r="L393" s="62">
        <v>0</v>
      </c>
      <c r="M393" s="62">
        <v>-7.3199999999999994</v>
      </c>
      <c r="N393" s="62">
        <v>-61</v>
      </c>
      <c r="O393" s="62">
        <f t="shared" si="37"/>
        <v>7975.0600000000013</v>
      </c>
      <c r="P393" s="62">
        <v>-2500</v>
      </c>
      <c r="Q393" s="62">
        <v>0</v>
      </c>
      <c r="R393" s="62">
        <v>-500</v>
      </c>
      <c r="S393" s="62">
        <v>0</v>
      </c>
      <c r="T393" s="62">
        <v>0</v>
      </c>
      <c r="U393" s="62">
        <v>0</v>
      </c>
      <c r="V393" s="62">
        <v>0</v>
      </c>
      <c r="W393" s="62">
        <f t="shared" si="44"/>
        <v>4975.0600000000013</v>
      </c>
      <c r="X393" s="62">
        <f t="shared" si="41"/>
        <v>4975.0600000000013</v>
      </c>
      <c r="Y393" s="62">
        <f t="shared" si="42"/>
        <v>0</v>
      </c>
      <c r="Z393" s="62">
        <v>0</v>
      </c>
      <c r="AA393" s="62">
        <f t="shared" si="43"/>
        <v>0</v>
      </c>
      <c r="AB393" s="62">
        <f t="shared" si="45"/>
        <v>3000</v>
      </c>
      <c r="AC393" s="62"/>
      <c r="AD393" s="62" t="s">
        <v>918</v>
      </c>
    </row>
    <row r="394" spans="1:30" hidden="1" x14ac:dyDescent="0.3">
      <c r="A394" s="2">
        <v>7</v>
      </c>
      <c r="B394" s="3" t="s">
        <v>123</v>
      </c>
      <c r="C394" s="4" t="s">
        <v>59</v>
      </c>
      <c r="D394" s="4" t="s">
        <v>502</v>
      </c>
      <c r="E394" s="4" t="str">
        <f>VLOOKUP(C394,'[2]CTRL AUTOS'!$E$2:$L$58,8,FALSE)</f>
        <v>ASHC</v>
      </c>
      <c r="F394" s="61" t="str">
        <f>VLOOKUP(C394,'[2]CTRL AUTOS'!$E$2:$K$58,7,FALSE)</f>
        <v>ASHC</v>
      </c>
      <c r="G394" s="4" t="s">
        <v>234</v>
      </c>
      <c r="H394" s="62">
        <v>5770.3</v>
      </c>
      <c r="I394" s="62">
        <v>-803.74000000000024</v>
      </c>
      <c r="J394" s="62">
        <v>-240</v>
      </c>
      <c r="K394" s="62">
        <v>0</v>
      </c>
      <c r="L394" s="62">
        <v>0</v>
      </c>
      <c r="M394" s="62">
        <v>-50</v>
      </c>
      <c r="N394" s="62">
        <v>0</v>
      </c>
      <c r="O394" s="62">
        <f t="shared" si="37"/>
        <v>4676.5599999999995</v>
      </c>
      <c r="P394" s="62">
        <v>-2500</v>
      </c>
      <c r="Q394" s="62">
        <v>0</v>
      </c>
      <c r="R394" s="62">
        <v>-500</v>
      </c>
      <c r="S394" s="62">
        <v>0</v>
      </c>
      <c r="T394" s="62">
        <v>0</v>
      </c>
      <c r="U394" s="62">
        <v>0</v>
      </c>
      <c r="V394" s="62">
        <v>0</v>
      </c>
      <c r="W394" s="62">
        <f t="shared" si="44"/>
        <v>1676.5599999999995</v>
      </c>
      <c r="X394" s="62">
        <f t="shared" si="41"/>
        <v>1676.5599999999995</v>
      </c>
      <c r="Y394" s="62">
        <f t="shared" si="42"/>
        <v>0</v>
      </c>
      <c r="Z394" s="62">
        <v>0</v>
      </c>
      <c r="AA394" s="62">
        <f t="shared" si="43"/>
        <v>0</v>
      </c>
      <c r="AB394" s="62">
        <f t="shared" si="45"/>
        <v>3000</v>
      </c>
      <c r="AC394" s="62"/>
      <c r="AD394" s="62" t="s">
        <v>919</v>
      </c>
    </row>
    <row r="395" spans="1:30" hidden="1" x14ac:dyDescent="0.3">
      <c r="A395" s="2">
        <v>7</v>
      </c>
      <c r="B395" s="3" t="s">
        <v>5</v>
      </c>
      <c r="C395" s="4" t="s">
        <v>6</v>
      </c>
      <c r="D395" s="4" t="s">
        <v>570</v>
      </c>
      <c r="E395" s="4" t="str">
        <f>VLOOKUP(C395,'[2]CTRL AUTOS'!$E$2:$L$58,8,FALSE)</f>
        <v>ASHC</v>
      </c>
      <c r="F395" s="61" t="str">
        <f>VLOOKUP(C395,'[2]CTRL AUTOS'!$E$2:$K$58,7,FALSE)</f>
        <v>ASHC</v>
      </c>
      <c r="G395" s="4" t="s">
        <v>425</v>
      </c>
      <c r="H395" s="62">
        <v>0</v>
      </c>
      <c r="I395" s="62">
        <v>0</v>
      </c>
      <c r="J395" s="62">
        <v>0</v>
      </c>
      <c r="K395" s="62">
        <v>0</v>
      </c>
      <c r="L395" s="62">
        <v>0</v>
      </c>
      <c r="M395" s="62">
        <v>0</v>
      </c>
      <c r="N395" s="62">
        <v>0</v>
      </c>
      <c r="O395" s="62">
        <f t="shared" si="37"/>
        <v>0</v>
      </c>
      <c r="P395" s="62">
        <v>-2500</v>
      </c>
      <c r="Q395" s="62">
        <v>0</v>
      </c>
      <c r="R395" s="62">
        <v>0</v>
      </c>
      <c r="S395" s="62">
        <v>0</v>
      </c>
      <c r="T395" s="62">
        <v>0</v>
      </c>
      <c r="U395" s="62">
        <v>0</v>
      </c>
      <c r="V395" s="62">
        <v>0</v>
      </c>
      <c r="W395" s="62">
        <f t="shared" si="44"/>
        <v>-2500</v>
      </c>
      <c r="X395" s="62">
        <f t="shared" si="41"/>
        <v>0</v>
      </c>
      <c r="Y395" s="62">
        <f t="shared" si="42"/>
        <v>-2500</v>
      </c>
      <c r="Z395" s="62">
        <v>700</v>
      </c>
      <c r="AA395" s="62">
        <f t="shared" si="43"/>
        <v>-1800</v>
      </c>
      <c r="AB395" s="62">
        <f t="shared" si="45"/>
        <v>-1100</v>
      </c>
      <c r="AC395" s="62"/>
      <c r="AD395" s="62" t="s">
        <v>920</v>
      </c>
    </row>
    <row r="396" spans="1:30" hidden="1" x14ac:dyDescent="0.3">
      <c r="A396" s="2">
        <v>7</v>
      </c>
      <c r="B396" s="3" t="s">
        <v>5</v>
      </c>
      <c r="C396" s="4" t="s">
        <v>42</v>
      </c>
      <c r="D396" s="4" t="s">
        <v>570</v>
      </c>
      <c r="E396" s="4" t="str">
        <f>VLOOKUP(C396,'[2]CTRL AUTOS'!$E$2:$L$58,8,FALSE)</f>
        <v>ASHC</v>
      </c>
      <c r="F396" s="61" t="str">
        <f>VLOOKUP(C396,'[2]CTRL AUTOS'!$E$2:$K$58,7,FALSE)</f>
        <v>ASHC</v>
      </c>
      <c r="G396" s="4" t="s">
        <v>425</v>
      </c>
      <c r="H396" s="62">
        <v>0</v>
      </c>
      <c r="I396" s="62">
        <v>0</v>
      </c>
      <c r="J396" s="62">
        <v>0</v>
      </c>
      <c r="K396" s="62">
        <v>0</v>
      </c>
      <c r="L396" s="62">
        <v>0</v>
      </c>
      <c r="M396" s="62">
        <v>0</v>
      </c>
      <c r="N396" s="62">
        <v>0</v>
      </c>
      <c r="O396" s="62">
        <f t="shared" si="37"/>
        <v>0</v>
      </c>
      <c r="P396" s="62">
        <v>0</v>
      </c>
      <c r="Q396" s="62">
        <v>0</v>
      </c>
      <c r="R396" s="62">
        <v>0</v>
      </c>
      <c r="S396" s="62">
        <v>0</v>
      </c>
      <c r="T396" s="62">
        <v>-500</v>
      </c>
      <c r="U396" s="62">
        <v>0</v>
      </c>
      <c r="V396" s="62">
        <v>0</v>
      </c>
      <c r="W396" s="62">
        <f t="shared" si="44"/>
        <v>-500</v>
      </c>
      <c r="X396" s="62">
        <f t="shared" si="41"/>
        <v>0</v>
      </c>
      <c r="Y396" s="62">
        <f t="shared" si="42"/>
        <v>-500</v>
      </c>
      <c r="Z396" s="62">
        <v>0</v>
      </c>
      <c r="AA396" s="62">
        <f t="shared" si="43"/>
        <v>-500</v>
      </c>
      <c r="AB396" s="62">
        <f t="shared" si="45"/>
        <v>-500</v>
      </c>
      <c r="AC396" s="62"/>
      <c r="AD396" s="62"/>
    </row>
    <row r="397" spans="1:30" hidden="1" x14ac:dyDescent="0.3">
      <c r="A397" s="2">
        <v>7</v>
      </c>
      <c r="B397" s="3" t="s">
        <v>47</v>
      </c>
      <c r="C397" s="4" t="s">
        <v>147</v>
      </c>
      <c r="D397" s="4" t="s">
        <v>921</v>
      </c>
      <c r="E397" s="4" t="str">
        <f>VLOOKUP(C397,'[2]CTRL AUTOS'!$E$2:$L$58,8,FALSE)</f>
        <v>ASHC</v>
      </c>
      <c r="F397" s="61" t="str">
        <f>VLOOKUP(C397,'[2]CTRL AUTOS'!$E$2:$K$58,7,FALSE)</f>
        <v>ASHC</v>
      </c>
      <c r="G397" s="4" t="s">
        <v>234</v>
      </c>
      <c r="H397" s="62">
        <v>4649.8100000000004</v>
      </c>
      <c r="I397" s="62">
        <v>-1095.6700000000003</v>
      </c>
      <c r="J397" s="62">
        <v>0</v>
      </c>
      <c r="K397" s="62">
        <v>1011.75</v>
      </c>
      <c r="L397" s="62">
        <v>-50.829999999999984</v>
      </c>
      <c r="M397" s="62">
        <v>-50</v>
      </c>
      <c r="N397" s="62">
        <v>0</v>
      </c>
      <c r="O397" s="62">
        <f t="shared" si="37"/>
        <v>4465.0600000000004</v>
      </c>
      <c r="P397" s="62">
        <v>-2700</v>
      </c>
      <c r="Q397" s="62">
        <v>0</v>
      </c>
      <c r="R397" s="62">
        <v>607</v>
      </c>
      <c r="S397" s="62">
        <v>0</v>
      </c>
      <c r="T397" s="62">
        <v>0</v>
      </c>
      <c r="U397" s="62">
        <v>0</v>
      </c>
      <c r="V397" s="62">
        <v>0</v>
      </c>
      <c r="W397" s="62">
        <f t="shared" si="44"/>
        <v>2372.0600000000004</v>
      </c>
      <c r="X397" s="62">
        <f t="shared" si="41"/>
        <v>2372.0600000000004</v>
      </c>
      <c r="Y397" s="62">
        <f t="shared" si="42"/>
        <v>0</v>
      </c>
      <c r="Z397" s="62">
        <v>0</v>
      </c>
      <c r="AA397" s="62">
        <f t="shared" si="43"/>
        <v>0</v>
      </c>
      <c r="AB397" s="62">
        <f t="shared" si="45"/>
        <v>2093</v>
      </c>
      <c r="AC397" s="62"/>
      <c r="AD397" s="62" t="s">
        <v>922</v>
      </c>
    </row>
    <row r="398" spans="1:30" hidden="1" x14ac:dyDescent="0.3">
      <c r="A398" s="2">
        <v>7</v>
      </c>
      <c r="B398" s="3" t="s">
        <v>49</v>
      </c>
      <c r="C398" s="4" t="s">
        <v>96</v>
      </c>
      <c r="D398" s="4" t="s">
        <v>480</v>
      </c>
      <c r="E398" s="4" t="str">
        <f>VLOOKUP(C398,'[2]CTRL AUTOS'!$E$2:$L$58,8,FALSE)</f>
        <v>ASHC</v>
      </c>
      <c r="F398" s="61" t="str">
        <f>VLOOKUP(C398,'[2]CTRL AUTOS'!$E$2:$K$58,7,FALSE)</f>
        <v>ASHC</v>
      </c>
      <c r="G398" s="4" t="s">
        <v>234</v>
      </c>
      <c r="H398" s="62">
        <v>9096.01</v>
      </c>
      <c r="I398" s="62">
        <v>-233.98</v>
      </c>
      <c r="J398" s="62">
        <v>-99.2</v>
      </c>
      <c r="K398" s="62">
        <v>145.69999999999999</v>
      </c>
      <c r="L398" s="62">
        <v>0</v>
      </c>
      <c r="M398" s="62">
        <v>-20</v>
      </c>
      <c r="N398" s="62">
        <v>0</v>
      </c>
      <c r="O398" s="62">
        <f t="shared" si="37"/>
        <v>8888.5300000000007</v>
      </c>
      <c r="P398" s="62">
        <v>-2500</v>
      </c>
      <c r="Q398" s="62">
        <v>0</v>
      </c>
      <c r="R398" s="62">
        <v>0</v>
      </c>
      <c r="S398" s="62">
        <v>0</v>
      </c>
      <c r="T398" s="62">
        <v>0</v>
      </c>
      <c r="U398" s="62">
        <v>0</v>
      </c>
      <c r="V398" s="62">
        <v>0</v>
      </c>
      <c r="W398" s="62">
        <f t="shared" si="44"/>
        <v>6388.5300000000007</v>
      </c>
      <c r="X398" s="62">
        <f t="shared" si="41"/>
        <v>6388.5300000000007</v>
      </c>
      <c r="Y398" s="62">
        <f t="shared" si="42"/>
        <v>0</v>
      </c>
      <c r="Z398" s="62">
        <v>0</v>
      </c>
      <c r="AA398" s="62">
        <f t="shared" si="43"/>
        <v>0</v>
      </c>
      <c r="AB398" s="62">
        <f t="shared" si="45"/>
        <v>2500</v>
      </c>
      <c r="AC398" s="62"/>
      <c r="AD398" s="62" t="s">
        <v>923</v>
      </c>
    </row>
    <row r="399" spans="1:30" hidden="1" x14ac:dyDescent="0.3">
      <c r="A399" s="2">
        <v>7</v>
      </c>
      <c r="B399" s="3" t="s">
        <v>49</v>
      </c>
      <c r="C399" s="4" t="s">
        <v>104</v>
      </c>
      <c r="D399" s="4" t="s">
        <v>283</v>
      </c>
      <c r="E399" s="4" t="s">
        <v>924</v>
      </c>
      <c r="F399" s="61" t="s">
        <v>232</v>
      </c>
      <c r="G399" s="4" t="s">
        <v>234</v>
      </c>
      <c r="H399" s="62">
        <v>0</v>
      </c>
      <c r="I399" s="62">
        <v>0</v>
      </c>
      <c r="J399" s="62">
        <v>0</v>
      </c>
      <c r="K399" s="62">
        <v>0</v>
      </c>
      <c r="L399" s="62">
        <v>0</v>
      </c>
      <c r="M399" s="62">
        <v>0</v>
      </c>
      <c r="N399" s="62">
        <v>0</v>
      </c>
      <c r="O399" s="62">
        <f t="shared" si="37"/>
        <v>0</v>
      </c>
      <c r="P399" s="62">
        <v>0</v>
      </c>
      <c r="Q399" s="62">
        <v>0</v>
      </c>
      <c r="R399" s="62">
        <v>0</v>
      </c>
      <c r="S399" s="62">
        <v>0</v>
      </c>
      <c r="T399" s="62">
        <v>-700</v>
      </c>
      <c r="U399" s="62">
        <v>0</v>
      </c>
      <c r="V399" s="62">
        <v>0</v>
      </c>
      <c r="W399" s="62">
        <f t="shared" si="44"/>
        <v>-700</v>
      </c>
      <c r="X399" s="62">
        <f t="shared" si="41"/>
        <v>0</v>
      </c>
      <c r="Y399" s="62">
        <f t="shared" si="42"/>
        <v>-700</v>
      </c>
      <c r="Z399" s="62">
        <v>0</v>
      </c>
      <c r="AA399" s="62">
        <f t="shared" si="43"/>
        <v>-700</v>
      </c>
      <c r="AB399" s="62">
        <f t="shared" si="45"/>
        <v>-700</v>
      </c>
      <c r="AC399" s="62"/>
      <c r="AD399" s="62"/>
    </row>
    <row r="400" spans="1:30" hidden="1" x14ac:dyDescent="0.3">
      <c r="A400" s="2">
        <v>7</v>
      </c>
      <c r="B400" s="3" t="s">
        <v>115</v>
      </c>
      <c r="C400" s="4" t="s">
        <v>42</v>
      </c>
      <c r="D400" s="4" t="s">
        <v>755</v>
      </c>
      <c r="E400" s="4" t="str">
        <f>VLOOKUP(C400,'[2]CTRL AUTOS'!$E$2:$L$58,8,FALSE)</f>
        <v>ASHC</v>
      </c>
      <c r="F400" s="61" t="str">
        <f>VLOOKUP(C400,'[2]CTRL AUTOS'!$E$2:$K$58,7,FALSE)</f>
        <v>ASHC</v>
      </c>
      <c r="G400" s="4" t="s">
        <v>234</v>
      </c>
      <c r="H400" s="62">
        <v>6493.8</v>
      </c>
      <c r="I400" s="62">
        <v>-3218.7000000000003</v>
      </c>
      <c r="J400" s="62">
        <v>0</v>
      </c>
      <c r="K400" s="62">
        <v>0</v>
      </c>
      <c r="L400" s="62">
        <v>0</v>
      </c>
      <c r="M400" s="62">
        <v>-80</v>
      </c>
      <c r="N400" s="62">
        <v>0</v>
      </c>
      <c r="O400" s="62">
        <f t="shared" si="37"/>
        <v>3195.1</v>
      </c>
      <c r="P400" s="62">
        <v>-2500</v>
      </c>
      <c r="Q400" s="62">
        <v>0</v>
      </c>
      <c r="R400" s="62">
        <v>-500</v>
      </c>
      <c r="S400" s="62">
        <v>0</v>
      </c>
      <c r="T400" s="62">
        <v>0</v>
      </c>
      <c r="U400" s="62">
        <v>0</v>
      </c>
      <c r="V400" s="62">
        <v>0</v>
      </c>
      <c r="W400" s="62">
        <f t="shared" si="44"/>
        <v>195.09999999999991</v>
      </c>
      <c r="X400" s="62">
        <f t="shared" si="41"/>
        <v>195.09999999999991</v>
      </c>
      <c r="Y400" s="62">
        <f t="shared" si="42"/>
        <v>0</v>
      </c>
      <c r="Z400" s="62">
        <v>0</v>
      </c>
      <c r="AA400" s="62">
        <f t="shared" si="43"/>
        <v>0</v>
      </c>
      <c r="AB400" s="62">
        <f t="shared" si="45"/>
        <v>3000</v>
      </c>
      <c r="AC400" s="62"/>
      <c r="AD400" s="62" t="s">
        <v>925</v>
      </c>
    </row>
    <row r="401" spans="1:30" hidden="1" x14ac:dyDescent="0.3">
      <c r="A401" s="2">
        <v>7</v>
      </c>
      <c r="B401" s="3" t="s">
        <v>74</v>
      </c>
      <c r="C401" s="4" t="s">
        <v>77</v>
      </c>
      <c r="D401" s="4" t="s">
        <v>474</v>
      </c>
      <c r="E401" s="4" t="str">
        <f>VLOOKUP(C401,'[2]CTRL AUTOS'!$E$2:$L$58,8,FALSE)</f>
        <v>ASHC</v>
      </c>
      <c r="F401" s="61" t="str">
        <f>VLOOKUP(C401,'[2]CTRL AUTOS'!$E$2:$K$58,7,FALSE)</f>
        <v>ASHC</v>
      </c>
      <c r="G401" s="4" t="s">
        <v>234</v>
      </c>
      <c r="H401" s="62">
        <v>224.07</v>
      </c>
      <c r="I401" s="62">
        <v>-39.96</v>
      </c>
      <c r="J401" s="62">
        <v>0</v>
      </c>
      <c r="K401" s="62">
        <v>0</v>
      </c>
      <c r="L401" s="62">
        <v>0</v>
      </c>
      <c r="M401" s="62">
        <v>-10</v>
      </c>
      <c r="N401" s="62">
        <v>0</v>
      </c>
      <c r="O401" s="62">
        <f t="shared" si="37"/>
        <v>174.10999999999999</v>
      </c>
      <c r="P401" s="62">
        <f>(-2500/7)*6.5</f>
        <v>-2321.4285714285716</v>
      </c>
      <c r="Q401" s="62">
        <f>-4245*1.12</f>
        <v>-4754.4000000000005</v>
      </c>
      <c r="R401" s="62">
        <v>0</v>
      </c>
      <c r="S401" s="62">
        <v>0</v>
      </c>
      <c r="T401" s="62">
        <v>0</v>
      </c>
      <c r="U401" s="62">
        <v>0</v>
      </c>
      <c r="V401" s="62">
        <v>0</v>
      </c>
      <c r="W401" s="62">
        <f t="shared" si="44"/>
        <v>-6901.7185714285715</v>
      </c>
      <c r="X401" s="62">
        <f t="shared" si="41"/>
        <v>0</v>
      </c>
      <c r="Y401" s="62">
        <f t="shared" si="42"/>
        <v>-6901.7185714285715</v>
      </c>
      <c r="Z401" s="62">
        <v>0</v>
      </c>
      <c r="AA401" s="62">
        <f t="shared" si="43"/>
        <v>-6901.7185714285715</v>
      </c>
      <c r="AB401" s="62">
        <f t="shared" si="45"/>
        <v>-6727.6085714285718</v>
      </c>
      <c r="AC401" s="62"/>
      <c r="AD401" s="62" t="s">
        <v>926</v>
      </c>
    </row>
    <row r="402" spans="1:30" hidden="1" x14ac:dyDescent="0.3">
      <c r="A402" s="2">
        <v>7</v>
      </c>
      <c r="B402" s="3" t="s">
        <v>132</v>
      </c>
      <c r="C402" s="4" t="s">
        <v>54</v>
      </c>
      <c r="D402" s="4" t="s">
        <v>318</v>
      </c>
      <c r="E402" s="4" t="str">
        <f>VLOOKUP(C402,'[2]CTRL AUTOS'!$E$2:$L$58,8,FALSE)</f>
        <v>ASHC</v>
      </c>
      <c r="F402" s="61" t="str">
        <f>VLOOKUP(C402,'[2]CTRL AUTOS'!$E$2:$K$58,7,FALSE)</f>
        <v>ASHC</v>
      </c>
      <c r="G402" s="4" t="s">
        <v>234</v>
      </c>
      <c r="H402" s="62">
        <v>0</v>
      </c>
      <c r="I402" s="62">
        <v>0</v>
      </c>
      <c r="J402" s="62">
        <v>-7.25</v>
      </c>
      <c r="K402" s="62">
        <v>0</v>
      </c>
      <c r="L402" s="62">
        <v>0</v>
      </c>
      <c r="M402" s="62">
        <v>-16.439999999999998</v>
      </c>
      <c r="N402" s="62">
        <v>-137</v>
      </c>
      <c r="O402" s="62">
        <f t="shared" si="37"/>
        <v>-160.69</v>
      </c>
      <c r="P402" s="62">
        <v>-2500</v>
      </c>
      <c r="Q402" s="62">
        <v>0</v>
      </c>
      <c r="R402" s="62">
        <v>-500</v>
      </c>
      <c r="S402" s="62">
        <v>0</v>
      </c>
      <c r="T402" s="62">
        <v>0</v>
      </c>
      <c r="U402" s="62">
        <v>0</v>
      </c>
      <c r="V402" s="62">
        <v>0</v>
      </c>
      <c r="W402" s="62">
        <f t="shared" si="44"/>
        <v>-3160.69</v>
      </c>
      <c r="X402" s="62">
        <f t="shared" si="41"/>
        <v>0</v>
      </c>
      <c r="Y402" s="62">
        <f t="shared" si="42"/>
        <v>-3160.69</v>
      </c>
      <c r="Z402" s="62">
        <v>0</v>
      </c>
      <c r="AA402" s="62">
        <f t="shared" si="43"/>
        <v>-3160.69</v>
      </c>
      <c r="AB402" s="62">
        <f t="shared" si="45"/>
        <v>-3321.38</v>
      </c>
      <c r="AC402" s="62"/>
      <c r="AD402" s="62"/>
    </row>
    <row r="403" spans="1:30" hidden="1" x14ac:dyDescent="0.3">
      <c r="A403" s="2">
        <v>7</v>
      </c>
      <c r="B403" s="3" t="s">
        <v>51</v>
      </c>
      <c r="C403" s="4" t="s">
        <v>52</v>
      </c>
      <c r="D403" s="4" t="s">
        <v>313</v>
      </c>
      <c r="E403" s="4" t="str">
        <f>VLOOKUP(C403,'[2]CTRL AUTOS'!$E$2:$L$58,8,FALSE)</f>
        <v>ASHC</v>
      </c>
      <c r="F403" s="61" t="str">
        <f>VLOOKUP(C403,'[2]CTRL AUTOS'!$E$2:$K$58,7,FALSE)</f>
        <v>ASHC</v>
      </c>
      <c r="G403" s="4" t="s">
        <v>234</v>
      </c>
      <c r="H403" s="62">
        <v>3323.74</v>
      </c>
      <c r="I403" s="62">
        <v>0</v>
      </c>
      <c r="J403" s="62">
        <v>-86.1</v>
      </c>
      <c r="K403" s="62">
        <v>450.2</v>
      </c>
      <c r="L403" s="62">
        <v>-22.310000000000002</v>
      </c>
      <c r="M403" s="62">
        <v>0</v>
      </c>
      <c r="N403" s="62">
        <v>0</v>
      </c>
      <c r="O403" s="62">
        <f t="shared" si="37"/>
        <v>3665.5299999999997</v>
      </c>
      <c r="P403" s="62">
        <v>-2500</v>
      </c>
      <c r="Q403" s="62">
        <v>0</v>
      </c>
      <c r="R403" s="62">
        <v>0</v>
      </c>
      <c r="S403" s="62">
        <v>0</v>
      </c>
      <c r="T403" s="62">
        <v>-700</v>
      </c>
      <c r="U403" s="62">
        <v>0</v>
      </c>
      <c r="V403" s="62">
        <v>0</v>
      </c>
      <c r="W403" s="62">
        <f t="shared" si="44"/>
        <v>465.52999999999975</v>
      </c>
      <c r="X403" s="62">
        <f t="shared" si="41"/>
        <v>465.52999999999975</v>
      </c>
      <c r="Y403" s="62">
        <f t="shared" si="42"/>
        <v>0</v>
      </c>
      <c r="Z403" s="62">
        <v>0</v>
      </c>
      <c r="AA403" s="62">
        <f t="shared" si="43"/>
        <v>0</v>
      </c>
      <c r="AB403" s="62">
        <f t="shared" si="45"/>
        <v>3200</v>
      </c>
      <c r="AC403" s="62"/>
      <c r="AD403" s="62" t="s">
        <v>927</v>
      </c>
    </row>
    <row r="404" spans="1:30" hidden="1" x14ac:dyDescent="0.3">
      <c r="A404" s="2">
        <v>7</v>
      </c>
      <c r="B404" s="3" t="s">
        <v>131</v>
      </c>
      <c r="C404" s="4" t="s">
        <v>116</v>
      </c>
      <c r="D404" s="4" t="s">
        <v>928</v>
      </c>
      <c r="E404" s="4" t="str">
        <f>VLOOKUP(C404,'[2]CTRL AUTOS'!$E$2:$L$58,8,FALSE)</f>
        <v>BYER</v>
      </c>
      <c r="F404" s="61" t="str">
        <f>VLOOKUP(C404,'[2]CTRL AUTOS'!$E$2:$K$58,7,FALSE)</f>
        <v>BYER</v>
      </c>
      <c r="G404" s="4" t="s">
        <v>234</v>
      </c>
      <c r="H404" s="62">
        <v>6261.72</v>
      </c>
      <c r="I404" s="62">
        <v>0</v>
      </c>
      <c r="J404" s="62">
        <v>0</v>
      </c>
      <c r="K404" s="62">
        <v>0</v>
      </c>
      <c r="L404" s="62">
        <v>0</v>
      </c>
      <c r="M404" s="62">
        <v>0</v>
      </c>
      <c r="N404" s="62">
        <v>0</v>
      </c>
      <c r="O404" s="62">
        <f t="shared" si="37"/>
        <v>6261.72</v>
      </c>
      <c r="P404" s="62">
        <v>-2500</v>
      </c>
      <c r="Q404" s="62">
        <v>0</v>
      </c>
      <c r="R404" s="62">
        <v>-500</v>
      </c>
      <c r="S404" s="62">
        <v>0</v>
      </c>
      <c r="T404" s="62">
        <v>0</v>
      </c>
      <c r="U404" s="62">
        <v>0</v>
      </c>
      <c r="V404" s="62">
        <v>0</v>
      </c>
      <c r="W404" s="62">
        <f t="shared" si="44"/>
        <v>3261.7200000000003</v>
      </c>
      <c r="X404" s="62">
        <f t="shared" si="41"/>
        <v>3261.7200000000003</v>
      </c>
      <c r="Y404" s="62">
        <f t="shared" si="42"/>
        <v>0</v>
      </c>
      <c r="Z404" s="62">
        <v>0</v>
      </c>
      <c r="AA404" s="62">
        <f t="shared" si="43"/>
        <v>0</v>
      </c>
      <c r="AB404" s="62">
        <f t="shared" si="45"/>
        <v>3000</v>
      </c>
      <c r="AC404" s="62"/>
      <c r="AD404" s="62" t="s">
        <v>929</v>
      </c>
    </row>
    <row r="405" spans="1:30" hidden="1" x14ac:dyDescent="0.3">
      <c r="A405" s="2">
        <v>7</v>
      </c>
      <c r="B405" s="3" t="s">
        <v>78</v>
      </c>
      <c r="C405" s="4" t="s">
        <v>79</v>
      </c>
      <c r="D405" s="4" t="s">
        <v>475</v>
      </c>
      <c r="E405" s="4" t="str">
        <f>VLOOKUP(C405,'[2]CTRL AUTOS'!$E$2:$L$58,8,FALSE)</f>
        <v>BYER</v>
      </c>
      <c r="F405" s="61" t="str">
        <f>VLOOKUP(C405,'[2]CTRL AUTOS'!$E$2:$K$58,7,FALSE)</f>
        <v>BYER</v>
      </c>
      <c r="G405" s="4" t="s">
        <v>234</v>
      </c>
      <c r="H405" s="62">
        <v>2630.04</v>
      </c>
      <c r="I405" s="62">
        <v>-587.26</v>
      </c>
      <c r="J405" s="62">
        <v>0</v>
      </c>
      <c r="K405" s="62">
        <v>0</v>
      </c>
      <c r="L405" s="62">
        <v>-22.82</v>
      </c>
      <c r="M405" s="62">
        <v>-40</v>
      </c>
      <c r="N405" s="62">
        <v>0</v>
      </c>
      <c r="O405" s="62">
        <f>IF(H405+I405&lt;0,SUM(J405:N405),SUM(H405:N405))</f>
        <v>1979.96</v>
      </c>
      <c r="P405" s="62">
        <v>-2500</v>
      </c>
      <c r="Q405" s="62">
        <v>-2548</v>
      </c>
      <c r="R405" s="62">
        <v>0</v>
      </c>
      <c r="S405" s="62">
        <v>0</v>
      </c>
      <c r="T405" s="62">
        <v>0</v>
      </c>
      <c r="U405" s="62">
        <v>0</v>
      </c>
      <c r="V405" s="62">
        <v>0</v>
      </c>
      <c r="W405" s="62">
        <f t="shared" si="44"/>
        <v>-3068.04</v>
      </c>
      <c r="X405" s="62">
        <f t="shared" si="41"/>
        <v>0</v>
      </c>
      <c r="Y405" s="62">
        <f t="shared" si="42"/>
        <v>-3068.04</v>
      </c>
      <c r="Z405" s="62">
        <v>1020</v>
      </c>
      <c r="AA405" s="62">
        <f t="shared" si="43"/>
        <v>-2048.04</v>
      </c>
      <c r="AB405" s="62">
        <f t="shared" si="45"/>
        <v>951.92000000000007</v>
      </c>
      <c r="AC405" s="62"/>
      <c r="AD405" s="62" t="s">
        <v>930</v>
      </c>
    </row>
    <row r="406" spans="1:30" hidden="1" x14ac:dyDescent="0.3">
      <c r="A406" s="2">
        <v>7</v>
      </c>
      <c r="B406" s="3" t="s">
        <v>107</v>
      </c>
      <c r="C406" s="4" t="s">
        <v>148</v>
      </c>
      <c r="D406" s="4" t="s">
        <v>931</v>
      </c>
      <c r="E406" s="4" t="str">
        <f>VLOOKUP(C406,'[2]CTRL AUTOS'!$E$2:$L$58,8,FALSE)</f>
        <v>ASHC</v>
      </c>
      <c r="F406" s="61" t="str">
        <f>VLOOKUP(C406,'[2]CTRL AUTOS'!$E$2:$K$58,7,FALSE)</f>
        <v>ASHC</v>
      </c>
      <c r="G406" s="4" t="s">
        <v>234</v>
      </c>
      <c r="H406" s="62">
        <v>3385.7</v>
      </c>
      <c r="I406" s="62">
        <v>-1903.4700000000003</v>
      </c>
      <c r="J406" s="62">
        <v>0</v>
      </c>
      <c r="K406" s="62">
        <v>0</v>
      </c>
      <c r="L406" s="62">
        <v>0</v>
      </c>
      <c r="M406" s="62">
        <v>-70</v>
      </c>
      <c r="N406" s="62">
        <v>0</v>
      </c>
      <c r="O406" s="62">
        <f t="shared" si="37"/>
        <v>1412.2299999999996</v>
      </c>
      <c r="P406" s="62">
        <v>-2700</v>
      </c>
      <c r="Q406" s="62">
        <v>0</v>
      </c>
      <c r="R406" s="62">
        <v>-500</v>
      </c>
      <c r="S406" s="62">
        <v>0</v>
      </c>
      <c r="T406" s="62">
        <v>0</v>
      </c>
      <c r="U406" s="62">
        <v>0</v>
      </c>
      <c r="V406" s="62">
        <v>0</v>
      </c>
      <c r="W406" s="62">
        <f t="shared" si="44"/>
        <v>-1787.7700000000004</v>
      </c>
      <c r="X406" s="62">
        <f t="shared" si="41"/>
        <v>0</v>
      </c>
      <c r="Y406" s="62">
        <f t="shared" si="42"/>
        <v>-1787.7700000000004</v>
      </c>
      <c r="Z406" s="62">
        <v>1788</v>
      </c>
      <c r="AA406" s="62">
        <f t="shared" si="43"/>
        <v>0.22999999999956344</v>
      </c>
      <c r="AB406" s="62">
        <f t="shared" si="45"/>
        <v>3200.4599999999991</v>
      </c>
      <c r="AC406" s="62"/>
      <c r="AD406" s="62" t="s">
        <v>932</v>
      </c>
    </row>
    <row r="407" spans="1:30" hidden="1" x14ac:dyDescent="0.3">
      <c r="A407" s="2">
        <v>7</v>
      </c>
      <c r="B407" s="3" t="s">
        <v>87</v>
      </c>
      <c r="C407" s="4" t="s">
        <v>83</v>
      </c>
      <c r="D407" s="4" t="s">
        <v>592</v>
      </c>
      <c r="E407" s="4" t="str">
        <f>VLOOKUP(C407,'[2]CTRL AUTOS'!$E$2:$L$58,8,FALSE)</f>
        <v>ASHC</v>
      </c>
      <c r="F407" s="61" t="str">
        <f>VLOOKUP(C407,'[2]CTRL AUTOS'!$E$2:$K$58,7,FALSE)</f>
        <v>ASHC</v>
      </c>
      <c r="G407" s="4" t="s">
        <v>234</v>
      </c>
      <c r="H407" s="62">
        <v>3853.89</v>
      </c>
      <c r="I407" s="62">
        <v>-638.22000000000014</v>
      </c>
      <c r="J407" s="62">
        <v>-76</v>
      </c>
      <c r="K407" s="62">
        <v>0</v>
      </c>
      <c r="L407" s="62">
        <v>0</v>
      </c>
      <c r="M407" s="62">
        <v>-40</v>
      </c>
      <c r="N407" s="62">
        <v>0</v>
      </c>
      <c r="O407" s="62">
        <f t="shared" si="37"/>
        <v>3099.6699999999996</v>
      </c>
      <c r="P407" s="62">
        <v>-2700</v>
      </c>
      <c r="Q407" s="62">
        <v>0</v>
      </c>
      <c r="R407" s="62">
        <v>0</v>
      </c>
      <c r="S407" s="62">
        <v>0</v>
      </c>
      <c r="T407" s="62">
        <v>-500</v>
      </c>
      <c r="U407" s="62">
        <v>0</v>
      </c>
      <c r="V407" s="62">
        <v>0</v>
      </c>
      <c r="W407" s="62">
        <f t="shared" si="44"/>
        <v>-100.33000000000038</v>
      </c>
      <c r="X407" s="62">
        <f t="shared" si="41"/>
        <v>0</v>
      </c>
      <c r="Y407" s="62">
        <f t="shared" si="42"/>
        <v>-100.33000000000038</v>
      </c>
      <c r="Z407" s="62">
        <v>100</v>
      </c>
      <c r="AA407" s="62">
        <f t="shared" si="43"/>
        <v>-0.33000000000038199</v>
      </c>
      <c r="AB407" s="62">
        <f t="shared" si="45"/>
        <v>3199.3399999999992</v>
      </c>
      <c r="AC407" s="62"/>
      <c r="AD407" s="62" t="s">
        <v>933</v>
      </c>
    </row>
    <row r="408" spans="1:30" hidden="1" x14ac:dyDescent="0.3">
      <c r="A408" s="2">
        <v>7</v>
      </c>
      <c r="B408" s="3" t="s">
        <v>117</v>
      </c>
      <c r="C408" s="4" t="s">
        <v>118</v>
      </c>
      <c r="D408" s="4" t="s">
        <v>934</v>
      </c>
      <c r="E408" s="4" t="str">
        <f>VLOOKUP(C408,'[2]CTRL AUTOS'!$E$2:$L$58,8,FALSE)</f>
        <v>ASHC</v>
      </c>
      <c r="F408" s="61" t="str">
        <f>VLOOKUP(C408,'[2]CTRL AUTOS'!$E$2:$K$58,7,FALSE)</f>
        <v>ASHC</v>
      </c>
      <c r="G408" s="4" t="s">
        <v>234</v>
      </c>
      <c r="H408" s="62">
        <v>5951.99</v>
      </c>
      <c r="I408" s="62">
        <v>-3578.4500000000003</v>
      </c>
      <c r="J408" s="62">
        <v>0</v>
      </c>
      <c r="K408" s="62">
        <v>0</v>
      </c>
      <c r="L408" s="62">
        <v>-60.820000000000007</v>
      </c>
      <c r="M408" s="62">
        <v>-80</v>
      </c>
      <c r="N408" s="62">
        <v>0</v>
      </c>
      <c r="O408" s="62">
        <f t="shared" si="37"/>
        <v>2232.7199999999993</v>
      </c>
      <c r="P408" s="62">
        <v>-2500</v>
      </c>
      <c r="Q408" s="62">
        <v>0</v>
      </c>
      <c r="R408" s="62">
        <v>-500</v>
      </c>
      <c r="S408" s="62">
        <v>0</v>
      </c>
      <c r="T408" s="62">
        <v>0</v>
      </c>
      <c r="U408" s="62">
        <v>0</v>
      </c>
      <c r="V408" s="62">
        <v>0</v>
      </c>
      <c r="W408" s="62">
        <f t="shared" si="44"/>
        <v>-767.28000000000065</v>
      </c>
      <c r="X408" s="62">
        <f t="shared" si="41"/>
        <v>0</v>
      </c>
      <c r="Y408" s="62">
        <f t="shared" si="42"/>
        <v>-767.28000000000065</v>
      </c>
      <c r="Z408" s="62">
        <v>767</v>
      </c>
      <c r="AA408" s="62">
        <f t="shared" si="43"/>
        <v>-0.28000000000065484</v>
      </c>
      <c r="AB408" s="62">
        <f t="shared" si="45"/>
        <v>2999.4399999999987</v>
      </c>
      <c r="AC408" s="62"/>
      <c r="AD408" s="62" t="s">
        <v>935</v>
      </c>
    </row>
    <row r="409" spans="1:30" hidden="1" x14ac:dyDescent="0.3">
      <c r="A409" s="2">
        <v>7</v>
      </c>
      <c r="B409" s="3" t="s">
        <v>98</v>
      </c>
      <c r="C409" s="4" t="s">
        <v>112</v>
      </c>
      <c r="D409" s="4" t="s">
        <v>336</v>
      </c>
      <c r="E409" s="4" t="str">
        <f>VLOOKUP(C409,'[2]CTRL AUTOS'!$E$2:$L$58,8,FALSE)</f>
        <v>ASHC</v>
      </c>
      <c r="F409" s="61" t="str">
        <f>VLOOKUP(C409,'[2]CTRL AUTOS'!$E$2:$K$58,7,FALSE)</f>
        <v>ASHC</v>
      </c>
      <c r="G409" s="4" t="s">
        <v>234</v>
      </c>
      <c r="H409" s="62">
        <v>2245.42</v>
      </c>
      <c r="I409" s="62">
        <v>0</v>
      </c>
      <c r="J409" s="62">
        <v>-19.62</v>
      </c>
      <c r="K409" s="62">
        <v>37.82</v>
      </c>
      <c r="L409" s="62">
        <v>0</v>
      </c>
      <c r="M409" s="62">
        <v>-23.64</v>
      </c>
      <c r="N409" s="62">
        <v>-197</v>
      </c>
      <c r="O409" s="62">
        <f t="shared" si="37"/>
        <v>2042.9800000000005</v>
      </c>
      <c r="P409" s="62">
        <v>-2500</v>
      </c>
      <c r="Q409" s="62">
        <v>-2444</v>
      </c>
      <c r="R409" s="62">
        <v>0</v>
      </c>
      <c r="S409" s="62">
        <v>0</v>
      </c>
      <c r="T409" s="62">
        <v>-2500</v>
      </c>
      <c r="U409" s="62">
        <f>610</f>
        <v>610</v>
      </c>
      <c r="V409" s="62">
        <v>0</v>
      </c>
      <c r="W409" s="62">
        <f t="shared" si="44"/>
        <v>-4791.0199999999995</v>
      </c>
      <c r="X409" s="62">
        <f t="shared" si="41"/>
        <v>0</v>
      </c>
      <c r="Y409" s="62">
        <f t="shared" si="42"/>
        <v>-4791.0199999999995</v>
      </c>
      <c r="Z409" s="62">
        <f>2500+2100</f>
        <v>4600</v>
      </c>
      <c r="AA409" s="62">
        <f t="shared" si="43"/>
        <v>-191.01999999999953</v>
      </c>
      <c r="AB409" s="62">
        <f t="shared" si="45"/>
        <v>6451.9600000000009</v>
      </c>
      <c r="AC409" s="62"/>
      <c r="AD409" s="62" t="s">
        <v>936</v>
      </c>
    </row>
    <row r="410" spans="1:30" hidden="1" x14ac:dyDescent="0.3">
      <c r="A410" s="2">
        <v>7</v>
      </c>
      <c r="B410" s="3" t="s">
        <v>149</v>
      </c>
      <c r="C410" s="4" t="s">
        <v>69</v>
      </c>
      <c r="D410" s="4" t="s">
        <v>937</v>
      </c>
      <c r="E410" s="4" t="str">
        <f>VLOOKUP(C410,'[2]CTRL AUTOS'!$E$2:$L$58,8,FALSE)</f>
        <v>U64</v>
      </c>
      <c r="F410" s="61" t="str">
        <f>VLOOKUP(C410,'[2]CTRL AUTOS'!$E$2:$K$58,7,FALSE)</f>
        <v>BYER</v>
      </c>
      <c r="G410" s="4" t="s">
        <v>234</v>
      </c>
      <c r="H410" s="62">
        <v>701.39</v>
      </c>
      <c r="I410" s="62">
        <v>0</v>
      </c>
      <c r="J410" s="62">
        <v>0</v>
      </c>
      <c r="K410" s="62">
        <v>0</v>
      </c>
      <c r="L410" s="62">
        <v>0</v>
      </c>
      <c r="M410" s="62">
        <v>0</v>
      </c>
      <c r="N410" s="62">
        <v>0</v>
      </c>
      <c r="O410" s="62">
        <f t="shared" si="37"/>
        <v>701.39</v>
      </c>
      <c r="P410" s="62">
        <v>-701</v>
      </c>
      <c r="Q410" s="62">
        <v>0</v>
      </c>
      <c r="R410" s="62">
        <v>0</v>
      </c>
      <c r="S410" s="62">
        <v>0</v>
      </c>
      <c r="T410" s="62">
        <v>0</v>
      </c>
      <c r="U410" s="62">
        <v>0</v>
      </c>
      <c r="V410" s="62">
        <v>0</v>
      </c>
      <c r="W410" s="62">
        <f t="shared" si="44"/>
        <v>0.38999999999998636</v>
      </c>
      <c r="X410" s="62">
        <f t="shared" si="41"/>
        <v>0.38999999999998636</v>
      </c>
      <c r="Y410" s="62">
        <f t="shared" si="42"/>
        <v>0</v>
      </c>
      <c r="Z410" s="62">
        <v>0</v>
      </c>
      <c r="AA410" s="62">
        <f t="shared" si="43"/>
        <v>0</v>
      </c>
      <c r="AB410" s="62">
        <f t="shared" si="45"/>
        <v>701</v>
      </c>
      <c r="AC410" s="62"/>
      <c r="AD410" s="62"/>
    </row>
    <row r="411" spans="1:30" hidden="1" x14ac:dyDescent="0.3">
      <c r="A411" s="2">
        <v>7</v>
      </c>
      <c r="B411" s="3" t="s">
        <v>150</v>
      </c>
      <c r="C411" s="4" t="s">
        <v>104</v>
      </c>
      <c r="D411" s="4" t="s">
        <v>283</v>
      </c>
      <c r="E411" s="4" t="s">
        <v>232</v>
      </c>
      <c r="F411" s="61" t="s">
        <v>232</v>
      </c>
      <c r="G411" s="4" t="s">
        <v>425</v>
      </c>
      <c r="H411" s="62">
        <v>0</v>
      </c>
      <c r="I411" s="62">
        <v>0</v>
      </c>
      <c r="J411" s="62">
        <v>0</v>
      </c>
      <c r="K411" s="62">
        <v>0</v>
      </c>
      <c r="L411" s="62">
        <v>0</v>
      </c>
      <c r="M411" s="62">
        <v>0</v>
      </c>
      <c r="N411" s="62">
        <v>0</v>
      </c>
      <c r="O411" s="62">
        <f t="shared" si="37"/>
        <v>0</v>
      </c>
      <c r="P411" s="62">
        <v>-2500</v>
      </c>
      <c r="Q411" s="62">
        <v>0</v>
      </c>
      <c r="R411" s="62">
        <v>-500</v>
      </c>
      <c r="S411" s="62">
        <v>0</v>
      </c>
      <c r="T411" s="62">
        <v>0</v>
      </c>
      <c r="U411" s="62">
        <v>0</v>
      </c>
      <c r="V411" s="62">
        <v>0</v>
      </c>
      <c r="W411" s="62">
        <f t="shared" si="44"/>
        <v>-3000</v>
      </c>
      <c r="X411" s="62">
        <f t="shared" si="41"/>
        <v>0</v>
      </c>
      <c r="Y411" s="62">
        <f t="shared" si="42"/>
        <v>-3000</v>
      </c>
      <c r="Z411" s="62">
        <v>3000</v>
      </c>
      <c r="AA411" s="62">
        <f t="shared" si="43"/>
        <v>0</v>
      </c>
      <c r="AB411" s="62">
        <f t="shared" si="45"/>
        <v>3000</v>
      </c>
      <c r="AC411" s="62"/>
      <c r="AD411" s="62" t="s">
        <v>938</v>
      </c>
    </row>
    <row r="412" spans="1:30" hidden="1" x14ac:dyDescent="0.3">
      <c r="A412" s="69">
        <v>8</v>
      </c>
      <c r="B412" s="4" t="s">
        <v>172</v>
      </c>
      <c r="C412" s="4" t="s">
        <v>40</v>
      </c>
      <c r="D412" s="4" t="str">
        <f>VLOOKUP(C412,'[2]CTRL AUTOS'!$E$2:$M$58,9,FALSE)</f>
        <v>OHLM032370132</v>
      </c>
      <c r="E412" s="4" t="s">
        <v>232</v>
      </c>
      <c r="F412" s="4" t="s">
        <v>232</v>
      </c>
      <c r="G412" s="4" t="s">
        <v>234</v>
      </c>
      <c r="H412" s="62">
        <v>316.27999999999997</v>
      </c>
      <c r="I412" s="62">
        <v>-79.94</v>
      </c>
      <c r="J412" s="62">
        <v>0</v>
      </c>
      <c r="K412" s="62">
        <v>372.13</v>
      </c>
      <c r="L412" s="62">
        <v>0</v>
      </c>
      <c r="M412" s="62">
        <f>-3.2556-3</f>
        <v>-6.2555999999999994</v>
      </c>
      <c r="N412" s="62">
        <v>-27.129999999999995</v>
      </c>
      <c r="O412" s="62">
        <f t="shared" si="37"/>
        <v>575.08440000000007</v>
      </c>
      <c r="P412" s="62">
        <f>(-2500/7)*3</f>
        <v>-1071.4285714285716</v>
      </c>
      <c r="Q412" s="62">
        <v>0</v>
      </c>
      <c r="R412" s="62">
        <f>(-500/7)*3</f>
        <v>-214.28571428571428</v>
      </c>
      <c r="S412" s="62">
        <v>0</v>
      </c>
      <c r="T412" s="62">
        <f>IFERROR(VLOOKUP(B412,[2]HOJALATERÍA!$A$4:$BR$12,70,FALSE),0)</f>
        <v>0</v>
      </c>
      <c r="U412" s="62">
        <v>0</v>
      </c>
      <c r="V412" s="62">
        <v>0</v>
      </c>
      <c r="W412" s="62">
        <f t="shared" si="44"/>
        <v>-710.62988571428582</v>
      </c>
      <c r="X412" s="62">
        <f t="shared" si="41"/>
        <v>0</v>
      </c>
      <c r="Y412" s="62">
        <f t="shared" si="42"/>
        <v>-710.62988571428582</v>
      </c>
      <c r="Z412" s="62">
        <v>0</v>
      </c>
      <c r="AA412" s="62">
        <f t="shared" si="43"/>
        <v>-710.62988571428582</v>
      </c>
      <c r="AB412" s="62">
        <f t="shared" si="45"/>
        <v>-135.54548571428575</v>
      </c>
      <c r="AC412" s="4"/>
      <c r="AD412" s="4" t="s">
        <v>939</v>
      </c>
    </row>
    <row r="413" spans="1:30" hidden="1" x14ac:dyDescent="0.3">
      <c r="A413" s="69">
        <v>8</v>
      </c>
      <c r="B413" s="4" t="s">
        <v>173</v>
      </c>
      <c r="C413" s="4" t="s">
        <v>52</v>
      </c>
      <c r="D413" s="4" t="s">
        <v>934</v>
      </c>
      <c r="E413" s="4" t="str">
        <f>VLOOKUP(C413,'[2]CTRL AUTOS'!$E$2:$L$58,8,FALSE)</f>
        <v>ASHC</v>
      </c>
      <c r="F413" s="4" t="str">
        <f>VLOOKUP(C413,'[2]CTRL AUTOS'!$E$2:$K$58,7,FALSE)</f>
        <v>ASHC</v>
      </c>
      <c r="G413" s="4" t="s">
        <v>234</v>
      </c>
      <c r="H413" s="62">
        <v>1164.02</v>
      </c>
      <c r="I413" s="62">
        <v>0</v>
      </c>
      <c r="J413" s="62">
        <v>0</v>
      </c>
      <c r="K413" s="62">
        <v>0</v>
      </c>
      <c r="L413" s="62">
        <v>0</v>
      </c>
      <c r="M413" s="62">
        <v>-5</v>
      </c>
      <c r="N413" s="62">
        <v>0</v>
      </c>
      <c r="O413" s="62">
        <f t="shared" si="37"/>
        <v>1159.02</v>
      </c>
      <c r="P413" s="62">
        <f>(-2500/7)*3</f>
        <v>-1071.4285714285716</v>
      </c>
      <c r="Q413" s="62">
        <v>0</v>
      </c>
      <c r="R413" s="62">
        <v>-214.28571428571428</v>
      </c>
      <c r="S413" s="62">
        <v>0</v>
      </c>
      <c r="T413" s="62">
        <v>0</v>
      </c>
      <c r="U413" s="62">
        <v>0</v>
      </c>
      <c r="V413" s="62">
        <v>0</v>
      </c>
      <c r="W413" s="62">
        <f t="shared" si="44"/>
        <v>-126.69428571428585</v>
      </c>
      <c r="X413" s="62">
        <f>IF(W413&gt;=0,W413,0)</f>
        <v>0</v>
      </c>
      <c r="Y413" s="62">
        <f>IF(W413&lt;=0,W413,0)</f>
        <v>-126.69428571428585</v>
      </c>
      <c r="Z413" s="62">
        <v>127</v>
      </c>
      <c r="AA413" s="62">
        <f>+Y413+Z413</f>
        <v>0.30571428571414572</v>
      </c>
      <c r="AB413" s="62">
        <f t="shared" si="45"/>
        <v>1286.3257142857142</v>
      </c>
      <c r="AC413" s="4"/>
      <c r="AD413" s="4" t="s">
        <v>940</v>
      </c>
    </row>
    <row r="414" spans="1:30" hidden="1" x14ac:dyDescent="0.3">
      <c r="A414" s="69">
        <v>8</v>
      </c>
      <c r="B414" s="4" t="s">
        <v>174</v>
      </c>
      <c r="C414" s="4" t="s">
        <v>77</v>
      </c>
      <c r="D414" s="4" t="str">
        <f>VLOOKUP(C414,'[2]CTRL AUTOS'!$E$2:$M$58,9,FALSE)</f>
        <v>OHLM036759082</v>
      </c>
      <c r="E414" s="4" t="s">
        <v>232</v>
      </c>
      <c r="F414" s="4" t="s">
        <v>232</v>
      </c>
      <c r="G414" s="4" t="s">
        <v>234</v>
      </c>
      <c r="H414" s="62">
        <v>1731.02</v>
      </c>
      <c r="I414" s="62">
        <v>0</v>
      </c>
      <c r="J414" s="62">
        <v>0</v>
      </c>
      <c r="K414" s="62">
        <v>0</v>
      </c>
      <c r="L414" s="62">
        <v>0</v>
      </c>
      <c r="M414" s="62">
        <v>-5</v>
      </c>
      <c r="N414" s="62">
        <v>0</v>
      </c>
      <c r="O414" s="62">
        <f t="shared" si="37"/>
        <v>1726.02</v>
      </c>
      <c r="P414" s="62">
        <f>(-2500/7)*2</f>
        <v>-714.28571428571433</v>
      </c>
      <c r="Q414" s="62">
        <v>0</v>
      </c>
      <c r="R414" s="62">
        <v>-142.85714285714286</v>
      </c>
      <c r="S414" s="62">
        <v>0</v>
      </c>
      <c r="T414" s="62">
        <v>0</v>
      </c>
      <c r="U414" s="62">
        <v>0</v>
      </c>
      <c r="V414" s="62">
        <v>0</v>
      </c>
      <c r="W414" s="62">
        <f t="shared" si="44"/>
        <v>868.87714285714276</v>
      </c>
      <c r="X414" s="62">
        <f>IF(W414&gt;=0,W414,0)</f>
        <v>868.87714285714276</v>
      </c>
      <c r="Y414" s="62">
        <f>IF(W414&lt;=0,W414,0)</f>
        <v>0</v>
      </c>
      <c r="Z414" s="62">
        <v>0</v>
      </c>
      <c r="AA414" s="62">
        <f>+Y414+Z414</f>
        <v>0</v>
      </c>
      <c r="AB414" s="62">
        <f t="shared" si="45"/>
        <v>857.14285714285722</v>
      </c>
      <c r="AC414" s="4"/>
      <c r="AD414" s="4" t="s">
        <v>941</v>
      </c>
    </row>
    <row r="415" spans="1:30" hidden="1" x14ac:dyDescent="0.3">
      <c r="A415" s="69">
        <v>8</v>
      </c>
      <c r="B415" s="4" t="s">
        <v>175</v>
      </c>
      <c r="C415" s="4" t="s">
        <v>69</v>
      </c>
      <c r="D415" s="4" t="str">
        <f>VLOOKUP(C415,'[2]CTRL AUTOS'!$E$2:$M$58,9,FALSE)</f>
        <v xml:space="preserve">OHLM032762106
</v>
      </c>
      <c r="E415" s="4" t="s">
        <v>232</v>
      </c>
      <c r="F415" s="4" t="s">
        <v>232</v>
      </c>
      <c r="G415" s="4" t="s">
        <v>425</v>
      </c>
      <c r="H415" s="62">
        <v>1757.49</v>
      </c>
      <c r="I415" s="62">
        <v>-1510.43</v>
      </c>
      <c r="J415" s="62">
        <f>+I415*10.1%</f>
        <v>-152.55342999999999</v>
      </c>
      <c r="K415" s="4">
        <v>0</v>
      </c>
      <c r="L415" s="4">
        <v>0</v>
      </c>
      <c r="M415" s="4">
        <v>0</v>
      </c>
      <c r="N415" s="4">
        <v>0</v>
      </c>
      <c r="O415" s="62">
        <f>IF(H415+I415&lt;0,SUM(J415:N415),SUM(H415:N415))</f>
        <v>94.506569999999954</v>
      </c>
      <c r="P415" s="62">
        <f>(-2500/7)*2</f>
        <v>-714.28571428571433</v>
      </c>
      <c r="Q415" s="62">
        <v>0</v>
      </c>
      <c r="R415" s="62">
        <v>-142.85714285714286</v>
      </c>
      <c r="S415" s="62">
        <v>0</v>
      </c>
      <c r="T415" s="62">
        <v>0</v>
      </c>
      <c r="U415" s="62">
        <v>0</v>
      </c>
      <c r="V415" s="62">
        <v>0</v>
      </c>
      <c r="W415" s="62">
        <f t="shared" si="44"/>
        <v>-762.63628714285733</v>
      </c>
      <c r="X415" s="62">
        <f t="shared" si="41"/>
        <v>0</v>
      </c>
      <c r="Y415" s="62">
        <f t="shared" si="42"/>
        <v>-762.63628714285733</v>
      </c>
      <c r="Z415" s="62">
        <v>763</v>
      </c>
      <c r="AA415" s="62">
        <f t="shared" si="43"/>
        <v>0.36371285714267287</v>
      </c>
      <c r="AB415" s="62">
        <f t="shared" si="45"/>
        <v>857.87028285714268</v>
      </c>
      <c r="AC415" s="4"/>
      <c r="AD415" s="4" t="s">
        <v>942</v>
      </c>
    </row>
    <row r="416" spans="1:30" hidden="1" x14ac:dyDescent="0.3">
      <c r="A416" s="69">
        <v>8</v>
      </c>
      <c r="B416" s="3" t="s">
        <v>76</v>
      </c>
      <c r="C416" s="4" t="s">
        <v>40</v>
      </c>
      <c r="D416" s="4" t="s">
        <v>315</v>
      </c>
      <c r="E416" s="4" t="str">
        <f>VLOOKUP(C416,'[2]CTRL AUTOS'!$E$2:$L$58,8,FALSE)</f>
        <v>ASHC</v>
      </c>
      <c r="F416" s="61" t="str">
        <f>VLOOKUP(C416,'[2]CTRL AUTOS'!$E$2:$K$58,7,FALSE)</f>
        <v>ASHC</v>
      </c>
      <c r="G416" s="4" t="s">
        <v>234</v>
      </c>
      <c r="H416" s="62">
        <v>5599.8</v>
      </c>
      <c r="I416" s="62">
        <v>-1310.3600000000001</v>
      </c>
      <c r="J416" s="62">
        <v>0</v>
      </c>
      <c r="K416" s="62">
        <v>0</v>
      </c>
      <c r="L416" s="62">
        <v>-63.910000000000004</v>
      </c>
      <c r="M416" s="62">
        <v>-50</v>
      </c>
      <c r="N416" s="62">
        <v>0</v>
      </c>
      <c r="O416" s="62">
        <f t="shared" si="37"/>
        <v>4175.5300000000007</v>
      </c>
      <c r="P416" s="62">
        <v>-2500</v>
      </c>
      <c r="Q416" s="62">
        <f>-558*1.12</f>
        <v>-624.96</v>
      </c>
      <c r="R416" s="62">
        <v>0</v>
      </c>
      <c r="S416" s="62">
        <v>0</v>
      </c>
      <c r="T416" s="62">
        <v>0</v>
      </c>
      <c r="U416" s="62">
        <v>0</v>
      </c>
      <c r="V416" s="62">
        <v>0</v>
      </c>
      <c r="W416" s="62">
        <f t="shared" si="44"/>
        <v>1050.5700000000006</v>
      </c>
      <c r="X416" s="62">
        <f t="shared" si="41"/>
        <v>1050.5700000000006</v>
      </c>
      <c r="Y416" s="62">
        <f t="shared" si="42"/>
        <v>0</v>
      </c>
      <c r="Z416" s="62">
        <v>0</v>
      </c>
      <c r="AA416" s="62">
        <f t="shared" si="43"/>
        <v>0</v>
      </c>
      <c r="AB416" s="62">
        <f t="shared" si="45"/>
        <v>3124.96</v>
      </c>
      <c r="AC416" s="62"/>
      <c r="AD416" s="4" t="s">
        <v>943</v>
      </c>
    </row>
    <row r="417" spans="1:30" hidden="1" x14ac:dyDescent="0.3">
      <c r="A417" s="69">
        <v>8</v>
      </c>
      <c r="B417" s="3" t="s">
        <v>15</v>
      </c>
      <c r="C417" s="4" t="s">
        <v>137</v>
      </c>
      <c r="D417" s="4" t="s">
        <v>877</v>
      </c>
      <c r="E417" s="4" t="str">
        <f>VLOOKUP(C417,'[2]CTRL AUTOS'!$E$2:$L$58,8,FALSE)</f>
        <v>ASHC</v>
      </c>
      <c r="F417" s="61" t="str">
        <f>VLOOKUP(C417,'[2]CTRL AUTOS'!$E$2:$K$58,7,FALSE)</f>
        <v>ASHC</v>
      </c>
      <c r="G417" s="4" t="s">
        <v>234</v>
      </c>
      <c r="H417" s="62">
        <v>858.06</v>
      </c>
      <c r="I417" s="62">
        <v>0</v>
      </c>
      <c r="J417" s="62">
        <v>0</v>
      </c>
      <c r="K417" s="62">
        <v>0</v>
      </c>
      <c r="L417" s="62">
        <v>0</v>
      </c>
      <c r="M417" s="62">
        <v>-12.7944</v>
      </c>
      <c r="N417" s="62">
        <v>-106.62</v>
      </c>
      <c r="O417" s="62">
        <f t="shared" ref="O417:O472" si="46">IF(H417+I417&lt;0,SUM(J417:N417),SUM(H417:N417))</f>
        <v>738.64559999999994</v>
      </c>
      <c r="P417" s="62">
        <v>-2700</v>
      </c>
      <c r="Q417" s="62">
        <f>-327*1.12</f>
        <v>-366.24</v>
      </c>
      <c r="R417" s="62">
        <v>-500</v>
      </c>
      <c r="S417" s="62">
        <v>0</v>
      </c>
      <c r="T417" s="62">
        <v>0</v>
      </c>
      <c r="U417" s="62">
        <v>0</v>
      </c>
      <c r="V417" s="62">
        <v>0</v>
      </c>
      <c r="W417" s="62">
        <f t="shared" si="44"/>
        <v>-2827.5944</v>
      </c>
      <c r="X417" s="62">
        <f t="shared" si="41"/>
        <v>0</v>
      </c>
      <c r="Y417" s="62">
        <f t="shared" si="42"/>
        <v>-2827.5944</v>
      </c>
      <c r="Z417" s="62">
        <v>1600</v>
      </c>
      <c r="AA417" s="62">
        <f t="shared" si="43"/>
        <v>-1227.5944</v>
      </c>
      <c r="AB417" s="62">
        <f t="shared" si="45"/>
        <v>1111.0511999999999</v>
      </c>
      <c r="AC417" s="62"/>
      <c r="AD417" s="62" t="s">
        <v>944</v>
      </c>
    </row>
    <row r="418" spans="1:30" hidden="1" x14ac:dyDescent="0.3">
      <c r="A418" s="69">
        <v>8</v>
      </c>
      <c r="B418" s="3" t="s">
        <v>138</v>
      </c>
      <c r="C418" s="4" t="s">
        <v>50</v>
      </c>
      <c r="D418" s="4" t="s">
        <v>480</v>
      </c>
      <c r="E418" s="4" t="str">
        <f>VLOOKUP(C418,'[2]CTRL AUTOS'!$E$2:$L$58,8,FALSE)</f>
        <v>ASHC</v>
      </c>
      <c r="F418" s="61" t="str">
        <f>VLOOKUP(C418,'[2]CTRL AUTOS'!$E$2:$K$58,7,FALSE)</f>
        <v>ASHC</v>
      </c>
      <c r="G418" s="4" t="s">
        <v>234</v>
      </c>
      <c r="H418" s="62">
        <v>8457.67</v>
      </c>
      <c r="I418" s="62">
        <v>-4729.8299999999981</v>
      </c>
      <c r="J418" s="62">
        <v>-240</v>
      </c>
      <c r="K418" s="62">
        <v>0</v>
      </c>
      <c r="L418" s="62">
        <v>0</v>
      </c>
      <c r="M418" s="62">
        <v>-80</v>
      </c>
      <c r="N418" s="62">
        <v>0</v>
      </c>
      <c r="O418" s="62">
        <f t="shared" si="46"/>
        <v>3407.840000000002</v>
      </c>
      <c r="P418" s="62">
        <v>-2500</v>
      </c>
      <c r="Q418" s="62">
        <v>0</v>
      </c>
      <c r="R418" s="62">
        <v>-500</v>
      </c>
      <c r="S418" s="62">
        <v>0</v>
      </c>
      <c r="T418" s="62">
        <v>0</v>
      </c>
      <c r="U418" s="62">
        <v>0</v>
      </c>
      <c r="V418" s="62">
        <v>0</v>
      </c>
      <c r="W418" s="62">
        <f t="shared" si="44"/>
        <v>407.84000000000196</v>
      </c>
      <c r="X418" s="62">
        <f t="shared" si="41"/>
        <v>407.84000000000196</v>
      </c>
      <c r="Y418" s="62">
        <f t="shared" si="42"/>
        <v>0</v>
      </c>
      <c r="Z418" s="62">
        <v>0</v>
      </c>
      <c r="AA418" s="62">
        <f t="shared" si="43"/>
        <v>0</v>
      </c>
      <c r="AB418" s="62">
        <f t="shared" si="45"/>
        <v>3000</v>
      </c>
      <c r="AC418" s="62"/>
      <c r="AD418" s="62"/>
    </row>
    <row r="419" spans="1:30" hidden="1" x14ac:dyDescent="0.3">
      <c r="A419" s="69">
        <v>8</v>
      </c>
      <c r="B419" s="3" t="s">
        <v>139</v>
      </c>
      <c r="C419" s="4" t="s">
        <v>10</v>
      </c>
      <c r="D419" s="4" t="s">
        <v>343</v>
      </c>
      <c r="E419" s="4" t="str">
        <f>VLOOKUP(C419,'[2]CTRL AUTOS'!$E$2:$L$58,8,FALSE)</f>
        <v>ASHC</v>
      </c>
      <c r="F419" s="61" t="str">
        <f>VLOOKUP(C419,'[2]CTRL AUTOS'!$E$2:$K$58,7,FALSE)</f>
        <v>ASHC</v>
      </c>
      <c r="G419" s="4" t="s">
        <v>234</v>
      </c>
      <c r="H419" s="62">
        <v>4675.74</v>
      </c>
      <c r="I419" s="62">
        <v>-1948.9000000000003</v>
      </c>
      <c r="J419" s="62">
        <v>0</v>
      </c>
      <c r="K419" s="62">
        <v>19.579999999999998</v>
      </c>
      <c r="L419" s="62">
        <v>0</v>
      </c>
      <c r="M419" s="62">
        <v>-50</v>
      </c>
      <c r="N419" s="62">
        <v>0</v>
      </c>
      <c r="O419" s="62">
        <f t="shared" si="46"/>
        <v>2696.4199999999992</v>
      </c>
      <c r="P419" s="62">
        <f>(-2500/7)*6</f>
        <v>-2142.8571428571431</v>
      </c>
      <c r="Q419" s="62">
        <v>0</v>
      </c>
      <c r="R419" s="62">
        <v>-500</v>
      </c>
      <c r="S419" s="62">
        <v>0</v>
      </c>
      <c r="T419" s="62">
        <v>0</v>
      </c>
      <c r="U419" s="62">
        <v>510</v>
      </c>
      <c r="V419" s="62">
        <v>0</v>
      </c>
      <c r="W419" s="62">
        <f t="shared" si="44"/>
        <v>563.56285714285605</v>
      </c>
      <c r="X419" s="62">
        <f t="shared" si="41"/>
        <v>563.56285714285605</v>
      </c>
      <c r="Y419" s="62">
        <f t="shared" si="42"/>
        <v>0</v>
      </c>
      <c r="Z419" s="62">
        <v>0</v>
      </c>
      <c r="AA419" s="62">
        <f t="shared" si="43"/>
        <v>0</v>
      </c>
      <c r="AB419" s="62">
        <f t="shared" si="45"/>
        <v>2132.8571428571431</v>
      </c>
      <c r="AC419" s="62"/>
      <c r="AD419" s="62" t="s">
        <v>945</v>
      </c>
    </row>
    <row r="420" spans="1:30" hidden="1" x14ac:dyDescent="0.3">
      <c r="A420" s="69">
        <v>8</v>
      </c>
      <c r="B420" s="3" t="s">
        <v>11</v>
      </c>
      <c r="C420" s="4" t="s">
        <v>12</v>
      </c>
      <c r="D420" s="4" t="s">
        <v>509</v>
      </c>
      <c r="E420" s="4" t="str">
        <f>VLOOKUP(C420,'[2]CTRL AUTOS'!$E$2:$L$58,8,FALSE)</f>
        <v>ASHC</v>
      </c>
      <c r="F420" s="61" t="str">
        <f>VLOOKUP(C420,'[2]CTRL AUTOS'!$E$2:$K$58,7,FALSE)</f>
        <v>ASHC</v>
      </c>
      <c r="G420" s="4" t="s">
        <v>234</v>
      </c>
      <c r="H420" s="62">
        <v>6213.02</v>
      </c>
      <c r="I420" s="62">
        <v>-1794.37</v>
      </c>
      <c r="J420" s="62">
        <v>0</v>
      </c>
      <c r="K420" s="62">
        <v>0</v>
      </c>
      <c r="L420" s="62">
        <v>0</v>
      </c>
      <c r="M420" s="62">
        <v>-50</v>
      </c>
      <c r="N420" s="62">
        <v>0</v>
      </c>
      <c r="O420" s="62">
        <f t="shared" si="46"/>
        <v>4368.6500000000005</v>
      </c>
      <c r="P420" s="62">
        <v>-2700</v>
      </c>
      <c r="Q420" s="62">
        <v>0</v>
      </c>
      <c r="R420" s="62">
        <v>0</v>
      </c>
      <c r="S420" s="62">
        <v>0</v>
      </c>
      <c r="T420" s="62">
        <v>0</v>
      </c>
      <c r="U420" s="62">
        <v>0</v>
      </c>
      <c r="V420" s="62">
        <v>0</v>
      </c>
      <c r="W420" s="62">
        <f t="shared" si="44"/>
        <v>1668.6500000000005</v>
      </c>
      <c r="X420" s="62">
        <f t="shared" si="41"/>
        <v>1668.6500000000005</v>
      </c>
      <c r="Y420" s="62">
        <f t="shared" si="42"/>
        <v>0</v>
      </c>
      <c r="Z420" s="62">
        <v>0</v>
      </c>
      <c r="AA420" s="62">
        <f t="shared" si="43"/>
        <v>0</v>
      </c>
      <c r="AB420" s="62">
        <f t="shared" si="45"/>
        <v>2700</v>
      </c>
      <c r="AC420" s="62"/>
      <c r="AD420" s="62" t="s">
        <v>946</v>
      </c>
    </row>
    <row r="421" spans="1:30" hidden="1" x14ac:dyDescent="0.3">
      <c r="A421" s="69">
        <v>8</v>
      </c>
      <c r="B421" s="3" t="s">
        <v>80</v>
      </c>
      <c r="C421" s="4" t="s">
        <v>81</v>
      </c>
      <c r="D421" s="4" t="s">
        <v>317</v>
      </c>
      <c r="E421" s="4" t="str">
        <f>VLOOKUP(C421,'[2]CTRL AUTOS'!$E$2:$L$58,8,FALSE)</f>
        <v>ASHC</v>
      </c>
      <c r="F421" s="61" t="str">
        <f>VLOOKUP(C421,'[2]CTRL AUTOS'!$E$2:$K$58,7,FALSE)</f>
        <v>ASHC</v>
      </c>
      <c r="G421" s="4" t="s">
        <v>234</v>
      </c>
      <c r="H421" s="62">
        <v>0</v>
      </c>
      <c r="I421" s="62">
        <v>0</v>
      </c>
      <c r="J421" s="62">
        <v>0</v>
      </c>
      <c r="K421" s="62">
        <v>0</v>
      </c>
      <c r="L421" s="62">
        <v>0</v>
      </c>
      <c r="M421" s="62">
        <v>0</v>
      </c>
      <c r="N421" s="62">
        <v>0</v>
      </c>
      <c r="O421" s="62">
        <f t="shared" si="46"/>
        <v>0</v>
      </c>
      <c r="P421" s="62">
        <v>-2500</v>
      </c>
      <c r="Q421" s="62">
        <v>0</v>
      </c>
      <c r="R421" s="62">
        <v>0</v>
      </c>
      <c r="S421" s="62">
        <v>0</v>
      </c>
      <c r="T421" s="62">
        <v>0</v>
      </c>
      <c r="U421" s="62">
        <v>0</v>
      </c>
      <c r="V421" s="62">
        <v>0</v>
      </c>
      <c r="W421" s="62">
        <f t="shared" si="44"/>
        <v>-2500</v>
      </c>
      <c r="X421" s="62">
        <f t="shared" si="41"/>
        <v>0</v>
      </c>
      <c r="Y421" s="62">
        <f t="shared" si="42"/>
        <v>-2500</v>
      </c>
      <c r="Z421" s="62">
        <v>2500</v>
      </c>
      <c r="AA421" s="62">
        <f t="shared" si="43"/>
        <v>0</v>
      </c>
      <c r="AB421" s="62">
        <f t="shared" si="45"/>
        <v>2500</v>
      </c>
      <c r="AC421" s="62"/>
      <c r="AD421" s="62" t="s">
        <v>947</v>
      </c>
    </row>
    <row r="422" spans="1:30" hidden="1" x14ac:dyDescent="0.3">
      <c r="A422" s="69">
        <v>8</v>
      </c>
      <c r="B422" s="3" t="s">
        <v>13</v>
      </c>
      <c r="C422" s="4" t="s">
        <v>14</v>
      </c>
      <c r="D422" s="4" t="s">
        <v>505</v>
      </c>
      <c r="E422" s="4" t="str">
        <f>VLOOKUP(C422,'[2]CTRL AUTOS'!$E$2:$L$58,8,FALSE)</f>
        <v>ASHC</v>
      </c>
      <c r="F422" s="61" t="str">
        <f>VLOOKUP(C422,'[2]CTRL AUTOS'!$E$2:$K$58,7,FALSE)</f>
        <v>ASHC</v>
      </c>
      <c r="G422" s="4" t="s">
        <v>234</v>
      </c>
      <c r="H422" s="62">
        <v>7022.03</v>
      </c>
      <c r="I422" s="62">
        <v>0</v>
      </c>
      <c r="J422" s="62">
        <v>0</v>
      </c>
      <c r="K422" s="62">
        <v>0</v>
      </c>
      <c r="L422" s="62">
        <v>0</v>
      </c>
      <c r="M422" s="62">
        <v>-1.44</v>
      </c>
      <c r="N422" s="62">
        <v>-12</v>
      </c>
      <c r="O422" s="62">
        <f t="shared" si="46"/>
        <v>7008.59</v>
      </c>
      <c r="P422" s="62">
        <v>-2700</v>
      </c>
      <c r="Q422" s="62">
        <v>0</v>
      </c>
      <c r="R422" s="62">
        <v>0</v>
      </c>
      <c r="S422" s="62">
        <v>0</v>
      </c>
      <c r="T422" s="62">
        <v>0</v>
      </c>
      <c r="U422" s="62">
        <v>0</v>
      </c>
      <c r="V422" s="62">
        <v>0</v>
      </c>
      <c r="W422" s="62">
        <f t="shared" si="44"/>
        <v>4308.59</v>
      </c>
      <c r="X422" s="62">
        <f t="shared" si="41"/>
        <v>4308.59</v>
      </c>
      <c r="Y422" s="62">
        <f t="shared" si="42"/>
        <v>0</v>
      </c>
      <c r="Z422" s="62">
        <v>0</v>
      </c>
      <c r="AA422" s="62">
        <f t="shared" si="43"/>
        <v>0</v>
      </c>
      <c r="AB422" s="62">
        <f t="shared" si="45"/>
        <v>2700</v>
      </c>
      <c r="AC422" s="62"/>
      <c r="AD422" s="62" t="s">
        <v>948</v>
      </c>
    </row>
    <row r="423" spans="1:30" hidden="1" x14ac:dyDescent="0.3">
      <c r="A423" s="69">
        <v>8</v>
      </c>
      <c r="B423" s="3" t="s">
        <v>120</v>
      </c>
      <c r="C423" s="4" t="s">
        <v>38</v>
      </c>
      <c r="D423" s="4" t="s">
        <v>579</v>
      </c>
      <c r="E423" s="4" t="str">
        <f>VLOOKUP(C423,'[2]CTRL AUTOS'!$E$2:$L$58,8,FALSE)</f>
        <v>ASHC</v>
      </c>
      <c r="F423" s="61" t="str">
        <f>VLOOKUP(C423,'[2]CTRL AUTOS'!$E$2:$K$58,7,FALSE)</f>
        <v>ASHC</v>
      </c>
      <c r="G423" s="4" t="s">
        <v>234</v>
      </c>
      <c r="H423" s="62">
        <v>3511.77</v>
      </c>
      <c r="I423" s="62">
        <v>-416.92</v>
      </c>
      <c r="J423" s="62">
        <v>0</v>
      </c>
      <c r="K423" s="62">
        <v>0</v>
      </c>
      <c r="L423" s="62">
        <v>0</v>
      </c>
      <c r="M423" s="62">
        <v>-25</v>
      </c>
      <c r="N423" s="62">
        <v>0</v>
      </c>
      <c r="O423" s="62">
        <f t="shared" si="46"/>
        <v>3069.85</v>
      </c>
      <c r="P423" s="62">
        <v>-2500</v>
      </c>
      <c r="Q423" s="62">
        <v>0</v>
      </c>
      <c r="R423" s="62">
        <v>-500</v>
      </c>
      <c r="S423" s="62">
        <v>0</v>
      </c>
      <c r="T423" s="62">
        <v>0</v>
      </c>
      <c r="U423" s="62">
        <v>0</v>
      </c>
      <c r="V423" s="62">
        <v>0</v>
      </c>
      <c r="W423" s="62">
        <f t="shared" si="44"/>
        <v>69.849999999999909</v>
      </c>
      <c r="X423" s="62">
        <f t="shared" si="41"/>
        <v>69.849999999999909</v>
      </c>
      <c r="Y423" s="62">
        <f t="shared" si="42"/>
        <v>0</v>
      </c>
      <c r="Z423" s="62">
        <v>0</v>
      </c>
      <c r="AA423" s="62">
        <f t="shared" si="43"/>
        <v>0</v>
      </c>
      <c r="AB423" s="62">
        <f t="shared" si="45"/>
        <v>3000</v>
      </c>
      <c r="AC423" s="62"/>
      <c r="AD423" s="62" t="s">
        <v>949</v>
      </c>
    </row>
    <row r="424" spans="1:30" hidden="1" x14ac:dyDescent="0.3">
      <c r="A424" s="69">
        <v>8</v>
      </c>
      <c r="B424" s="3" t="s">
        <v>111</v>
      </c>
      <c r="C424" s="4" t="s">
        <v>63</v>
      </c>
      <c r="D424" s="4" t="s">
        <v>374</v>
      </c>
      <c r="E424" s="4" t="str">
        <f>VLOOKUP(C424,'[2]CTRL AUTOS'!$E$2:$L$58,8,FALSE)</f>
        <v>BYER</v>
      </c>
      <c r="F424" s="61" t="str">
        <f>VLOOKUP(C424,'[2]CTRL AUTOS'!$E$2:$K$58,7,FALSE)</f>
        <v>BYER</v>
      </c>
      <c r="G424" s="4" t="s">
        <v>234</v>
      </c>
      <c r="H424" s="62">
        <v>8140.66</v>
      </c>
      <c r="I424" s="62">
        <v>-2475.67</v>
      </c>
      <c r="J424" s="62">
        <v>0</v>
      </c>
      <c r="K424" s="62">
        <v>0</v>
      </c>
      <c r="L424" s="62">
        <v>0</v>
      </c>
      <c r="M424" s="62">
        <v>-65</v>
      </c>
      <c r="N424" s="62">
        <v>0</v>
      </c>
      <c r="O424" s="62">
        <f t="shared" si="46"/>
        <v>5599.99</v>
      </c>
      <c r="P424" s="62">
        <v>-2500</v>
      </c>
      <c r="Q424" s="62">
        <v>-531</v>
      </c>
      <c r="R424" s="62">
        <v>0</v>
      </c>
      <c r="S424" s="62">
        <v>0</v>
      </c>
      <c r="T424" s="62">
        <v>0</v>
      </c>
      <c r="U424" s="62">
        <v>0</v>
      </c>
      <c r="V424" s="62">
        <v>0</v>
      </c>
      <c r="W424" s="62">
        <f t="shared" si="44"/>
        <v>2568.9899999999998</v>
      </c>
      <c r="X424" s="62">
        <f>IF(W424&gt;=0,W424,0)</f>
        <v>2568.9899999999998</v>
      </c>
      <c r="Y424" s="62">
        <f>IF(W424&lt;=0,W424,0)</f>
        <v>0</v>
      </c>
      <c r="Z424" s="62">
        <v>0</v>
      </c>
      <c r="AA424" s="62">
        <f>+Y424+Z424</f>
        <v>0</v>
      </c>
      <c r="AB424" s="62">
        <f t="shared" si="45"/>
        <v>3031</v>
      </c>
      <c r="AC424" s="62"/>
      <c r="AD424" s="62" t="s">
        <v>950</v>
      </c>
    </row>
    <row r="425" spans="1:30" hidden="1" x14ac:dyDescent="0.3">
      <c r="A425" s="69">
        <v>8</v>
      </c>
      <c r="B425" s="3" t="s">
        <v>111</v>
      </c>
      <c r="C425" s="4" t="s">
        <v>16</v>
      </c>
      <c r="D425" s="4" t="str">
        <f>VLOOKUP(C425,'[2]CTRL AUTOS'!$E$2:$M$58,9,FALSE)</f>
        <v>OHLM032370140</v>
      </c>
      <c r="E425" s="4" t="str">
        <f>VLOOKUP(C425,'[2]CTRL AUTOS'!$E$2:$L$58,8,FALSE)</f>
        <v>ASHC</v>
      </c>
      <c r="F425" s="61" t="str">
        <f>VLOOKUP(C425,'[2]CTRL AUTOS'!$E$2:$K$58,7,FALSE)</f>
        <v>ASHC</v>
      </c>
      <c r="G425" s="4" t="s">
        <v>234</v>
      </c>
      <c r="H425" s="62">
        <v>0</v>
      </c>
      <c r="I425" s="62">
        <v>0</v>
      </c>
      <c r="J425" s="62">
        <v>0</v>
      </c>
      <c r="K425" s="62">
        <v>0</v>
      </c>
      <c r="L425" s="62">
        <v>0</v>
      </c>
      <c r="M425" s="62">
        <v>0</v>
      </c>
      <c r="N425" s="62">
        <v>0</v>
      </c>
      <c r="O425" s="62">
        <f t="shared" si="46"/>
        <v>0</v>
      </c>
      <c r="P425" s="62">
        <v>0</v>
      </c>
      <c r="Q425" s="62">
        <v>0</v>
      </c>
      <c r="R425" s="62">
        <v>0</v>
      </c>
      <c r="S425" s="62"/>
      <c r="T425" s="62">
        <v>-585</v>
      </c>
      <c r="U425" s="62">
        <v>0</v>
      </c>
      <c r="V425" s="62">
        <v>0</v>
      </c>
      <c r="W425" s="62">
        <f t="shared" si="44"/>
        <v>-585</v>
      </c>
      <c r="X425" s="62">
        <f t="shared" ref="X425:X457" si="47">IF(W425&gt;=0,W425,0)</f>
        <v>0</v>
      </c>
      <c r="Y425" s="62">
        <f t="shared" ref="Y425:Y457" si="48">IF(W425&lt;=0,W425,0)</f>
        <v>-585</v>
      </c>
      <c r="Z425" s="62">
        <v>585</v>
      </c>
      <c r="AA425" s="62">
        <f t="shared" ref="AA425:AA457" si="49">+Y425+Z425</f>
        <v>0</v>
      </c>
      <c r="AB425" s="62">
        <f t="shared" si="45"/>
        <v>585</v>
      </c>
      <c r="AC425" s="62"/>
      <c r="AD425" s="62" t="s">
        <v>950</v>
      </c>
    </row>
    <row r="426" spans="1:30" hidden="1" x14ac:dyDescent="0.3">
      <c r="A426" s="69">
        <v>8</v>
      </c>
      <c r="B426" s="3" t="s">
        <v>121</v>
      </c>
      <c r="C426" s="4" t="s">
        <v>156</v>
      </c>
      <c r="D426" s="4" t="s">
        <v>1072</v>
      </c>
      <c r="E426" s="4" t="str">
        <f>VLOOKUP(C426,'[2]CTRL AUTOS'!$E$2:$L$58,8,FALSE)</f>
        <v>ASHC</v>
      </c>
      <c r="F426" s="61" t="str">
        <f>VLOOKUP(C426,'[2]CTRL AUTOS'!$E$2:$K$58,7,FALSE)</f>
        <v>ASHC</v>
      </c>
      <c r="G426" s="4" t="s">
        <v>234</v>
      </c>
      <c r="H426" s="62">
        <v>4385.08</v>
      </c>
      <c r="I426" s="62">
        <v>-624.01</v>
      </c>
      <c r="J426" s="62">
        <v>0</v>
      </c>
      <c r="K426" s="62">
        <v>0</v>
      </c>
      <c r="L426" s="62">
        <v>0</v>
      </c>
      <c r="M426" s="62">
        <v>-35</v>
      </c>
      <c r="N426" s="62">
        <v>0</v>
      </c>
      <c r="O426" s="62">
        <f t="shared" si="46"/>
        <v>3726.0699999999997</v>
      </c>
      <c r="P426" s="62">
        <v>-2700</v>
      </c>
      <c r="Q426" s="62">
        <v>0</v>
      </c>
      <c r="R426" s="62">
        <v>-500</v>
      </c>
      <c r="S426" s="62">
        <v>0</v>
      </c>
      <c r="T426" s="62">
        <v>0</v>
      </c>
      <c r="U426" s="62">
        <v>112</v>
      </c>
      <c r="V426" s="62">
        <v>0</v>
      </c>
      <c r="W426" s="62">
        <f t="shared" si="44"/>
        <v>638.06999999999971</v>
      </c>
      <c r="X426" s="62">
        <f t="shared" si="47"/>
        <v>638.06999999999971</v>
      </c>
      <c r="Y426" s="62">
        <f t="shared" si="48"/>
        <v>0</v>
      </c>
      <c r="Z426" s="62">
        <v>0</v>
      </c>
      <c r="AA426" s="62">
        <f t="shared" si="49"/>
        <v>0</v>
      </c>
      <c r="AB426" s="62">
        <f t="shared" si="45"/>
        <v>3088</v>
      </c>
      <c r="AC426" s="62"/>
      <c r="AD426" s="62" t="s">
        <v>951</v>
      </c>
    </row>
    <row r="427" spans="1:30" hidden="1" x14ac:dyDescent="0.3">
      <c r="A427" s="69">
        <v>8</v>
      </c>
      <c r="B427" s="3" t="s">
        <v>17</v>
      </c>
      <c r="C427" s="4" t="s">
        <v>18</v>
      </c>
      <c r="D427" s="4" t="s">
        <v>572</v>
      </c>
      <c r="E427" s="4" t="str">
        <f>VLOOKUP(C427,'[2]CTRL AUTOS'!$E$2:$L$58,8,FALSE)</f>
        <v>ASHC</v>
      </c>
      <c r="F427" s="61" t="str">
        <f>VLOOKUP(C427,'[2]CTRL AUTOS'!$E$2:$K$58,7,FALSE)</f>
        <v>ASHC</v>
      </c>
      <c r="G427" s="4" t="s">
        <v>234</v>
      </c>
      <c r="H427" s="62">
        <v>3567.24</v>
      </c>
      <c r="I427" s="62">
        <v>-1396.5400000000004</v>
      </c>
      <c r="J427" s="62">
        <v>0</v>
      </c>
      <c r="K427" s="62">
        <v>0</v>
      </c>
      <c r="L427" s="62">
        <v>0</v>
      </c>
      <c r="M427" s="62">
        <v>-50</v>
      </c>
      <c r="N427" s="62">
        <v>0</v>
      </c>
      <c r="O427" s="62">
        <f t="shared" si="46"/>
        <v>2120.6999999999994</v>
      </c>
      <c r="P427" s="62">
        <v>-2700</v>
      </c>
      <c r="Q427" s="62">
        <v>0</v>
      </c>
      <c r="R427" s="62">
        <v>0</v>
      </c>
      <c r="S427" s="62">
        <v>0</v>
      </c>
      <c r="T427" s="62">
        <v>0</v>
      </c>
      <c r="U427" s="62">
        <v>0</v>
      </c>
      <c r="V427" s="62">
        <v>0</v>
      </c>
      <c r="W427" s="62">
        <f t="shared" si="44"/>
        <v>-579.30000000000064</v>
      </c>
      <c r="X427" s="62">
        <f t="shared" si="47"/>
        <v>0</v>
      </c>
      <c r="Y427" s="62">
        <f t="shared" si="48"/>
        <v>-579.30000000000064</v>
      </c>
      <c r="Z427" s="62">
        <v>579</v>
      </c>
      <c r="AA427" s="62">
        <f t="shared" si="49"/>
        <v>-0.30000000000063665</v>
      </c>
      <c r="AB427" s="62">
        <f t="shared" si="45"/>
        <v>2699.3999999999987</v>
      </c>
      <c r="AC427" s="62"/>
      <c r="AD427" s="62" t="s">
        <v>952</v>
      </c>
    </row>
    <row r="428" spans="1:30" hidden="1" x14ac:dyDescent="0.3">
      <c r="A428" s="69">
        <v>8</v>
      </c>
      <c r="B428" s="3" t="s">
        <v>19</v>
      </c>
      <c r="C428" s="4" t="s">
        <v>20</v>
      </c>
      <c r="D428" s="4" t="s">
        <v>239</v>
      </c>
      <c r="E428" s="4" t="str">
        <f>VLOOKUP(C428,'[2]CTRL AUTOS'!$E$2:$L$58,8,FALSE)</f>
        <v>ASHC</v>
      </c>
      <c r="F428" s="61" t="str">
        <f>VLOOKUP(C428,'[2]CTRL AUTOS'!$E$2:$K$58,7,FALSE)</f>
        <v>ASHC</v>
      </c>
      <c r="G428" s="4" t="s">
        <v>234</v>
      </c>
      <c r="H428" s="62">
        <v>6640.53</v>
      </c>
      <c r="I428" s="62">
        <v>-291.93</v>
      </c>
      <c r="J428" s="62">
        <v>-28</v>
      </c>
      <c r="K428" s="62">
        <v>14.68</v>
      </c>
      <c r="L428" s="62">
        <v>-64.29000000000002</v>
      </c>
      <c r="M428" s="62">
        <v>-25</v>
      </c>
      <c r="N428" s="62">
        <v>0</v>
      </c>
      <c r="O428" s="62">
        <f t="shared" si="46"/>
        <v>6245.99</v>
      </c>
      <c r="P428" s="62">
        <v>-2500</v>
      </c>
      <c r="Q428" s="62">
        <v>0</v>
      </c>
      <c r="R428" s="62">
        <v>0</v>
      </c>
      <c r="S428" s="62">
        <v>0</v>
      </c>
      <c r="T428" s="62">
        <v>0</v>
      </c>
      <c r="U428" s="62">
        <v>0</v>
      </c>
      <c r="V428" s="62">
        <v>0</v>
      </c>
      <c r="W428" s="62">
        <f t="shared" si="44"/>
        <v>3745.99</v>
      </c>
      <c r="X428" s="62">
        <f t="shared" si="47"/>
        <v>3745.99</v>
      </c>
      <c r="Y428" s="62">
        <f t="shared" si="48"/>
        <v>0</v>
      </c>
      <c r="Z428" s="62">
        <v>0</v>
      </c>
      <c r="AA428" s="62">
        <f t="shared" si="49"/>
        <v>0</v>
      </c>
      <c r="AB428" s="62">
        <f t="shared" si="45"/>
        <v>2500</v>
      </c>
      <c r="AC428" s="62"/>
      <c r="AD428" s="62" t="s">
        <v>953</v>
      </c>
    </row>
    <row r="429" spans="1:30" hidden="1" x14ac:dyDescent="0.3">
      <c r="A429" s="69">
        <v>8</v>
      </c>
      <c r="B429" s="3" t="s">
        <v>128</v>
      </c>
      <c r="C429" s="4" t="s">
        <v>44</v>
      </c>
      <c r="D429" s="4" t="s">
        <v>467</v>
      </c>
      <c r="E429" s="4" t="str">
        <f>VLOOKUP(C429,'[2]CTRL AUTOS'!$E$2:$L$58,8,FALSE)</f>
        <v>ASHC</v>
      </c>
      <c r="F429" s="61" t="str">
        <f>VLOOKUP(C429,'[2]CTRL AUTOS'!$E$2:$K$58,7,FALSE)</f>
        <v>ASHC</v>
      </c>
      <c r="G429" s="4" t="s">
        <v>234</v>
      </c>
      <c r="H429" s="62">
        <v>10808.68</v>
      </c>
      <c r="I429" s="62">
        <v>-2065.4</v>
      </c>
      <c r="J429" s="62">
        <v>-116</v>
      </c>
      <c r="K429" s="62">
        <v>375.86</v>
      </c>
      <c r="L429" s="62">
        <v>0</v>
      </c>
      <c r="M429" s="62">
        <v>-65</v>
      </c>
      <c r="N429" s="62">
        <v>0</v>
      </c>
      <c r="O429" s="62">
        <f t="shared" si="46"/>
        <v>8938.1400000000012</v>
      </c>
      <c r="P429" s="62">
        <v>-2500</v>
      </c>
      <c r="Q429" s="62">
        <v>0</v>
      </c>
      <c r="R429" s="62">
        <v>0</v>
      </c>
      <c r="S429" s="62">
        <v>0</v>
      </c>
      <c r="T429" s="62">
        <v>-500</v>
      </c>
      <c r="U429" s="62">
        <v>0</v>
      </c>
      <c r="V429" s="62">
        <v>0</v>
      </c>
      <c r="W429" s="62">
        <f t="shared" si="44"/>
        <v>5938.1400000000012</v>
      </c>
      <c r="X429" s="62">
        <f t="shared" si="47"/>
        <v>5938.1400000000012</v>
      </c>
      <c r="Y429" s="62">
        <f t="shared" si="48"/>
        <v>0</v>
      </c>
      <c r="Z429" s="62">
        <v>0</v>
      </c>
      <c r="AA429" s="62">
        <f t="shared" si="49"/>
        <v>0</v>
      </c>
      <c r="AB429" s="62">
        <f t="shared" si="45"/>
        <v>3000</v>
      </c>
      <c r="AC429" s="62"/>
      <c r="AD429" s="62" t="s">
        <v>954</v>
      </c>
    </row>
    <row r="430" spans="1:30" hidden="1" x14ac:dyDescent="0.3">
      <c r="A430" s="69">
        <v>8</v>
      </c>
      <c r="B430" s="3" t="s">
        <v>128</v>
      </c>
      <c r="C430" s="4" t="s">
        <v>155</v>
      </c>
      <c r="D430" s="4"/>
      <c r="E430" s="4" t="str">
        <f>VLOOKUP(C430,'[2]CTRL AUTOS'!$E$2:$L$58,8,FALSE)</f>
        <v>ASHC</v>
      </c>
      <c r="F430" s="61" t="str">
        <f>VLOOKUP(C430,'[2]CTRL AUTOS'!$E$2:$K$58,7,FALSE)</f>
        <v>ASHC</v>
      </c>
      <c r="G430" s="4" t="s">
        <v>234</v>
      </c>
      <c r="H430" s="62">
        <v>0</v>
      </c>
      <c r="I430" s="62">
        <v>0</v>
      </c>
      <c r="J430" s="62">
        <v>0</v>
      </c>
      <c r="K430" s="62">
        <v>0</v>
      </c>
      <c r="L430" s="62">
        <v>0</v>
      </c>
      <c r="M430" s="62">
        <v>0</v>
      </c>
      <c r="N430" s="62">
        <v>0</v>
      </c>
      <c r="O430" s="62">
        <f t="shared" si="46"/>
        <v>0</v>
      </c>
      <c r="P430" s="62">
        <v>0</v>
      </c>
      <c r="Q430" s="62">
        <v>0</v>
      </c>
      <c r="R430" s="62">
        <v>-500</v>
      </c>
      <c r="S430" s="62">
        <v>0</v>
      </c>
      <c r="T430" s="62">
        <v>0</v>
      </c>
      <c r="U430" s="62">
        <v>0</v>
      </c>
      <c r="V430" s="62">
        <v>0</v>
      </c>
      <c r="W430" s="62">
        <f t="shared" si="44"/>
        <v>-500</v>
      </c>
      <c r="X430" s="62">
        <f t="shared" si="47"/>
        <v>0</v>
      </c>
      <c r="Y430" s="62">
        <f t="shared" si="48"/>
        <v>-500</v>
      </c>
      <c r="Z430" s="62">
        <v>500</v>
      </c>
      <c r="AA430" s="62">
        <f t="shared" si="49"/>
        <v>0</v>
      </c>
      <c r="AB430" s="62">
        <f t="shared" si="45"/>
        <v>500</v>
      </c>
      <c r="AC430" s="62"/>
      <c r="AD430" s="62" t="s">
        <v>954</v>
      </c>
    </row>
    <row r="431" spans="1:30" hidden="1" x14ac:dyDescent="0.3">
      <c r="A431" s="69">
        <v>8</v>
      </c>
      <c r="B431" s="3" t="s">
        <v>21</v>
      </c>
      <c r="C431" s="4" t="s">
        <v>22</v>
      </c>
      <c r="D431" s="4" t="s">
        <v>319</v>
      </c>
      <c r="E431" s="4" t="str">
        <f>VLOOKUP(C431,'[2]CTRL AUTOS'!$E$2:$L$58,8,FALSE)</f>
        <v>ASHC</v>
      </c>
      <c r="F431" s="61" t="str">
        <f>VLOOKUP(C431,'[2]CTRL AUTOS'!$E$2:$K$58,7,FALSE)</f>
        <v>ASHC</v>
      </c>
      <c r="G431" s="4" t="s">
        <v>234</v>
      </c>
      <c r="H431" s="62">
        <v>2894.08</v>
      </c>
      <c r="I431" s="62">
        <v>-1075.43</v>
      </c>
      <c r="J431" s="62">
        <v>0</v>
      </c>
      <c r="K431" s="62">
        <v>164.24</v>
      </c>
      <c r="L431" s="62">
        <v>0</v>
      </c>
      <c r="M431" s="62">
        <v>-50</v>
      </c>
      <c r="N431" s="62">
        <v>0</v>
      </c>
      <c r="O431" s="62">
        <f t="shared" si="46"/>
        <v>1932.8899999999999</v>
      </c>
      <c r="P431" s="62">
        <v>-2500</v>
      </c>
      <c r="Q431" s="62">
        <v>0</v>
      </c>
      <c r="R431" s="62">
        <v>0</v>
      </c>
      <c r="S431" s="62">
        <v>0</v>
      </c>
      <c r="T431" s="62">
        <v>-700</v>
      </c>
      <c r="U431" s="62">
        <v>37</v>
      </c>
      <c r="V431" s="62">
        <v>0</v>
      </c>
      <c r="W431" s="62">
        <f t="shared" si="44"/>
        <v>-1230.1100000000001</v>
      </c>
      <c r="X431" s="62">
        <f t="shared" si="47"/>
        <v>0</v>
      </c>
      <c r="Y431" s="62">
        <f t="shared" si="48"/>
        <v>-1230.1100000000001</v>
      </c>
      <c r="Z431" s="62">
        <v>1230</v>
      </c>
      <c r="AA431" s="62">
        <f t="shared" si="49"/>
        <v>-0.11000000000012733</v>
      </c>
      <c r="AB431" s="62">
        <f t="shared" si="45"/>
        <v>3162.7799999999997</v>
      </c>
      <c r="AC431" s="62"/>
      <c r="AD431" s="62" t="s">
        <v>955</v>
      </c>
    </row>
    <row r="432" spans="1:30" hidden="1" x14ac:dyDescent="0.3">
      <c r="A432" s="69">
        <v>8</v>
      </c>
      <c r="B432" s="3" t="s">
        <v>64</v>
      </c>
      <c r="C432" s="4" t="s">
        <v>140</v>
      </c>
      <c r="D432" s="4" t="s">
        <v>680</v>
      </c>
      <c r="E432" s="4" t="str">
        <f>VLOOKUP(C432,'[2]CTRL AUTOS'!$E$2:$L$58,8,FALSE)</f>
        <v>ASHC</v>
      </c>
      <c r="F432" s="61" t="str">
        <f>VLOOKUP(C432,'[2]CTRL AUTOS'!$E$2:$K$58,7,FALSE)</f>
        <v>ASHC</v>
      </c>
      <c r="G432" s="4" t="s">
        <v>234</v>
      </c>
      <c r="H432" s="62">
        <v>5323.47</v>
      </c>
      <c r="I432" s="62">
        <v>0</v>
      </c>
      <c r="J432" s="62">
        <v>-64</v>
      </c>
      <c r="K432" s="62">
        <v>640.83000000000004</v>
      </c>
      <c r="L432" s="62">
        <v>0</v>
      </c>
      <c r="M432" s="62">
        <v>-5</v>
      </c>
      <c r="N432" s="62">
        <v>0</v>
      </c>
      <c r="O432" s="62">
        <f t="shared" si="46"/>
        <v>5895.3</v>
      </c>
      <c r="P432" s="62">
        <v>-2700</v>
      </c>
      <c r="Q432" s="62">
        <v>0</v>
      </c>
      <c r="R432" s="62">
        <v>0</v>
      </c>
      <c r="S432" s="62">
        <v>0</v>
      </c>
      <c r="T432" s="62">
        <v>0</v>
      </c>
      <c r="U432" s="62">
        <v>0</v>
      </c>
      <c r="V432" s="62">
        <v>0</v>
      </c>
      <c r="W432" s="62">
        <f t="shared" si="44"/>
        <v>3195.3</v>
      </c>
      <c r="X432" s="62">
        <f t="shared" si="47"/>
        <v>3195.3</v>
      </c>
      <c r="Y432" s="62">
        <f t="shared" si="48"/>
        <v>0</v>
      </c>
      <c r="Z432" s="62">
        <v>0</v>
      </c>
      <c r="AA432" s="62">
        <f t="shared" si="49"/>
        <v>0</v>
      </c>
      <c r="AB432" s="62">
        <f t="shared" si="45"/>
        <v>2700</v>
      </c>
      <c r="AC432" s="62"/>
      <c r="AD432" s="62" t="s">
        <v>956</v>
      </c>
    </row>
    <row r="433" spans="1:30" hidden="1" x14ac:dyDescent="0.3">
      <c r="A433" s="69">
        <v>8</v>
      </c>
      <c r="B433" s="3" t="s">
        <v>90</v>
      </c>
      <c r="C433" s="4" t="s">
        <v>16</v>
      </c>
      <c r="D433" s="4" t="s">
        <v>314</v>
      </c>
      <c r="E433" s="4" t="str">
        <f>VLOOKUP(C433,'[2]CTRL AUTOS'!$E$2:$L$58,8,FALSE)</f>
        <v>ASHC</v>
      </c>
      <c r="F433" s="61" t="str">
        <f>VLOOKUP(C433,'[2]CTRL AUTOS'!$E$2:$K$58,7,FALSE)</f>
        <v>ASHC</v>
      </c>
      <c r="G433" s="4" t="s">
        <v>234</v>
      </c>
      <c r="H433" s="62">
        <v>7939.2</v>
      </c>
      <c r="I433" s="62">
        <v>-2887.5599999999995</v>
      </c>
      <c r="J433" s="62">
        <v>-107.2</v>
      </c>
      <c r="K433" s="62">
        <v>0</v>
      </c>
      <c r="L433" s="62">
        <v>0</v>
      </c>
      <c r="M433" s="62">
        <f>-1.6512-70</f>
        <v>-71.651200000000003</v>
      </c>
      <c r="N433" s="62">
        <v>-13.760000000000003</v>
      </c>
      <c r="O433" s="62">
        <f t="shared" si="46"/>
        <v>4859.0288</v>
      </c>
      <c r="P433" s="62">
        <v>-2500</v>
      </c>
      <c r="Q433" s="62">
        <v>0</v>
      </c>
      <c r="R433" s="62">
        <v>-500</v>
      </c>
      <c r="S433" s="62">
        <v>0</v>
      </c>
      <c r="T433" s="62">
        <v>0</v>
      </c>
      <c r="U433" s="62">
        <v>0</v>
      </c>
      <c r="V433" s="62">
        <v>0</v>
      </c>
      <c r="W433" s="62">
        <f t="shared" si="44"/>
        <v>1859.0288</v>
      </c>
      <c r="X433" s="62">
        <f t="shared" si="47"/>
        <v>1859.0288</v>
      </c>
      <c r="Y433" s="62">
        <f t="shared" si="48"/>
        <v>0</v>
      </c>
      <c r="Z433" s="62">
        <v>0</v>
      </c>
      <c r="AA433" s="62">
        <f t="shared" si="49"/>
        <v>0</v>
      </c>
      <c r="AB433" s="62">
        <f t="shared" si="45"/>
        <v>3000</v>
      </c>
      <c r="AC433" s="62"/>
      <c r="AD433" s="62" t="s">
        <v>957</v>
      </c>
    </row>
    <row r="434" spans="1:30" hidden="1" x14ac:dyDescent="0.3">
      <c r="A434" s="69">
        <v>8</v>
      </c>
      <c r="B434" s="3" t="s">
        <v>23</v>
      </c>
      <c r="C434" s="4" t="s">
        <v>24</v>
      </c>
      <c r="D434" s="4" t="s">
        <v>515</v>
      </c>
      <c r="E434" s="4" t="str">
        <f>VLOOKUP(C434,'[2]CTRL AUTOS'!$E$2:$L$58,8,FALSE)</f>
        <v>ASHC</v>
      </c>
      <c r="F434" s="61" t="str">
        <f>VLOOKUP(C434,'[2]CTRL AUTOS'!$E$2:$K$58,7,FALSE)</f>
        <v>ASHC</v>
      </c>
      <c r="G434" s="4" t="s">
        <v>234</v>
      </c>
      <c r="H434" s="62">
        <v>5004.7</v>
      </c>
      <c r="I434" s="62">
        <v>-2812.15</v>
      </c>
      <c r="J434" s="62">
        <v>-24</v>
      </c>
      <c r="K434" s="62">
        <v>0</v>
      </c>
      <c r="L434" s="62">
        <v>0</v>
      </c>
      <c r="M434" s="62">
        <f>-28.3356-65</f>
        <v>-93.335599999999999</v>
      </c>
      <c r="N434" s="62">
        <v>-236.13</v>
      </c>
      <c r="O434" s="62">
        <f t="shared" si="46"/>
        <v>1839.0843999999997</v>
      </c>
      <c r="P434" s="62">
        <v>-2700</v>
      </c>
      <c r="Q434" s="62">
        <f>-579*1.12</f>
        <v>-648.48</v>
      </c>
      <c r="R434" s="62">
        <v>0</v>
      </c>
      <c r="S434" s="62">
        <v>0</v>
      </c>
      <c r="T434" s="62">
        <v>0</v>
      </c>
      <c r="U434" s="62">
        <v>0</v>
      </c>
      <c r="V434" s="62">
        <v>0</v>
      </c>
      <c r="W434" s="62">
        <f t="shared" si="44"/>
        <v>-1509.3956000000003</v>
      </c>
      <c r="X434" s="62">
        <f t="shared" si="47"/>
        <v>0</v>
      </c>
      <c r="Y434" s="62">
        <f t="shared" si="48"/>
        <v>-1509.3956000000003</v>
      </c>
      <c r="Z434" s="62">
        <f>800+709</f>
        <v>1509</v>
      </c>
      <c r="AA434" s="62">
        <f t="shared" si="49"/>
        <v>-0.39560000000028595</v>
      </c>
      <c r="AB434" s="62">
        <f t="shared" si="45"/>
        <v>3347.6887999999994</v>
      </c>
      <c r="AC434" s="62"/>
      <c r="AD434" s="62" t="s">
        <v>958</v>
      </c>
    </row>
    <row r="435" spans="1:30" hidden="1" x14ac:dyDescent="0.3">
      <c r="A435" s="69">
        <v>8</v>
      </c>
      <c r="B435" s="3" t="s">
        <v>23</v>
      </c>
      <c r="C435" s="4" t="s">
        <v>22</v>
      </c>
      <c r="D435" s="4" t="s">
        <v>319</v>
      </c>
      <c r="E435" s="4" t="str">
        <f>VLOOKUP(C435,'[2]CTRL AUTOS'!$E$2:$L$58,8,FALSE)</f>
        <v>ASHC</v>
      </c>
      <c r="F435" s="61" t="str">
        <f>VLOOKUP(C435,'[2]CTRL AUTOS'!$E$2:$K$58,7,FALSE)</f>
        <v>ASHC</v>
      </c>
      <c r="G435" s="4" t="s">
        <v>234</v>
      </c>
      <c r="H435" s="62">
        <v>0</v>
      </c>
      <c r="I435" s="62">
        <v>0</v>
      </c>
      <c r="J435" s="62">
        <v>0</v>
      </c>
      <c r="K435" s="62">
        <v>0</v>
      </c>
      <c r="L435" s="62">
        <v>0</v>
      </c>
      <c r="M435" s="62">
        <v>0</v>
      </c>
      <c r="N435" s="62">
        <v>0</v>
      </c>
      <c r="O435" s="62">
        <f t="shared" si="46"/>
        <v>0</v>
      </c>
      <c r="P435" s="62">
        <v>0</v>
      </c>
      <c r="Q435" s="62">
        <v>0</v>
      </c>
      <c r="R435" s="62">
        <v>0</v>
      </c>
      <c r="S435" s="62">
        <v>0</v>
      </c>
      <c r="T435" s="62">
        <v>-500</v>
      </c>
      <c r="U435" s="62">
        <v>0</v>
      </c>
      <c r="V435" s="62">
        <v>0</v>
      </c>
      <c r="W435" s="62">
        <f t="shared" si="44"/>
        <v>-500</v>
      </c>
      <c r="X435" s="62">
        <f t="shared" si="47"/>
        <v>0</v>
      </c>
      <c r="Y435" s="62">
        <f t="shared" si="48"/>
        <v>-500</v>
      </c>
      <c r="Z435" s="62">
        <v>500</v>
      </c>
      <c r="AA435" s="62">
        <f t="shared" si="49"/>
        <v>0</v>
      </c>
      <c r="AB435" s="62">
        <f t="shared" si="45"/>
        <v>500</v>
      </c>
      <c r="AC435" s="62"/>
      <c r="AD435" s="62"/>
    </row>
    <row r="436" spans="1:30" hidden="1" x14ac:dyDescent="0.3">
      <c r="A436" s="69">
        <v>8</v>
      </c>
      <c r="B436" s="3" t="s">
        <v>108</v>
      </c>
      <c r="C436" s="4" t="s">
        <v>75</v>
      </c>
      <c r="D436" s="4" t="s">
        <v>744</v>
      </c>
      <c r="E436" s="4" t="str">
        <f>VLOOKUP(C436,'[2]CTRL AUTOS'!$E$2:$L$58,8,FALSE)</f>
        <v>U64</v>
      </c>
      <c r="F436" s="61" t="str">
        <f>VLOOKUP(C436,'[2]CTRL AUTOS'!$E$2:$K$58,7,FALSE)</f>
        <v>BYER</v>
      </c>
      <c r="G436" s="4" t="s">
        <v>234</v>
      </c>
      <c r="H436" s="62">
        <v>7636.3</v>
      </c>
      <c r="I436" s="62">
        <v>-2007.88</v>
      </c>
      <c r="J436" s="62">
        <v>-120</v>
      </c>
      <c r="K436" s="62">
        <v>230.05</v>
      </c>
      <c r="L436" s="62">
        <v>0</v>
      </c>
      <c r="M436" s="62">
        <v>-65</v>
      </c>
      <c r="N436" s="62">
        <v>-62</v>
      </c>
      <c r="O436" s="62">
        <f t="shared" si="46"/>
        <v>5611.47</v>
      </c>
      <c r="P436" s="62">
        <v>-2500</v>
      </c>
      <c r="Q436" s="62">
        <v>0</v>
      </c>
      <c r="R436" s="62">
        <v>-500</v>
      </c>
      <c r="S436" s="62">
        <v>0</v>
      </c>
      <c r="T436" s="62">
        <v>-700</v>
      </c>
      <c r="U436" s="62">
        <v>0</v>
      </c>
      <c r="V436" s="62">
        <v>0</v>
      </c>
      <c r="W436" s="62">
        <f t="shared" si="44"/>
        <v>1911.4700000000003</v>
      </c>
      <c r="X436" s="62">
        <f t="shared" si="47"/>
        <v>1911.4700000000003</v>
      </c>
      <c r="Y436" s="62">
        <f t="shared" si="48"/>
        <v>0</v>
      </c>
      <c r="Z436" s="62">
        <v>0</v>
      </c>
      <c r="AA436" s="62">
        <f t="shared" si="49"/>
        <v>0</v>
      </c>
      <c r="AB436" s="62">
        <f t="shared" si="45"/>
        <v>3700</v>
      </c>
      <c r="AC436" s="62"/>
      <c r="AD436" s="62" t="s">
        <v>959</v>
      </c>
    </row>
    <row r="437" spans="1:30" hidden="1" x14ac:dyDescent="0.3">
      <c r="A437" s="69">
        <v>8</v>
      </c>
      <c r="B437" s="3" t="s">
        <v>85</v>
      </c>
      <c r="C437" s="4" t="s">
        <v>86</v>
      </c>
      <c r="D437" s="4" t="s">
        <v>519</v>
      </c>
      <c r="E437" s="4" t="str">
        <f>VLOOKUP(C437,'[2]CTRL AUTOS'!$E$2:$L$58,8,FALSE)</f>
        <v>ASHC</v>
      </c>
      <c r="F437" s="61" t="str">
        <f>VLOOKUP(C437,'[2]CTRL AUTOS'!$E$2:$K$58,7,FALSE)</f>
        <v>ASHC</v>
      </c>
      <c r="G437" s="4" t="s">
        <v>234</v>
      </c>
      <c r="H437" s="62">
        <v>4511.05</v>
      </c>
      <c r="I437" s="62">
        <v>-760.98</v>
      </c>
      <c r="J437" s="62">
        <v>-60</v>
      </c>
      <c r="K437" s="62">
        <v>0</v>
      </c>
      <c r="L437" s="62">
        <v>0</v>
      </c>
      <c r="M437" s="62">
        <v>-35</v>
      </c>
      <c r="N437" s="62">
        <v>0</v>
      </c>
      <c r="O437" s="62">
        <f t="shared" si="46"/>
        <v>3655.07</v>
      </c>
      <c r="P437" s="62">
        <v>-2500</v>
      </c>
      <c r="Q437" s="62">
        <v>0</v>
      </c>
      <c r="R437" s="62">
        <v>-500</v>
      </c>
      <c r="S437" s="62">
        <v>0</v>
      </c>
      <c r="T437" s="62">
        <v>0</v>
      </c>
      <c r="U437" s="62">
        <v>0</v>
      </c>
      <c r="V437" s="62">
        <v>0</v>
      </c>
      <c r="W437" s="62">
        <f t="shared" si="44"/>
        <v>655.07000000000016</v>
      </c>
      <c r="X437" s="62">
        <f t="shared" si="47"/>
        <v>655.07000000000016</v>
      </c>
      <c r="Y437" s="62">
        <f t="shared" si="48"/>
        <v>0</v>
      </c>
      <c r="Z437" s="62">
        <v>0</v>
      </c>
      <c r="AA437" s="62">
        <f t="shared" si="49"/>
        <v>0</v>
      </c>
      <c r="AB437" s="62">
        <f t="shared" si="45"/>
        <v>3000</v>
      </c>
      <c r="AC437" s="62"/>
      <c r="AD437" s="62" t="s">
        <v>960</v>
      </c>
    </row>
    <row r="438" spans="1:30" hidden="1" x14ac:dyDescent="0.3">
      <c r="A438" s="69">
        <v>8</v>
      </c>
      <c r="B438" s="3" t="s">
        <v>136</v>
      </c>
      <c r="C438" s="4" t="s">
        <v>56</v>
      </c>
      <c r="D438" s="4" t="s">
        <v>336</v>
      </c>
      <c r="E438" s="4" t="str">
        <f>VLOOKUP(C438,'[2]CTRL AUTOS'!$E$2:$L$58,8,FALSE)</f>
        <v>U64</v>
      </c>
      <c r="F438" s="61" t="str">
        <f>VLOOKUP(C438,'[2]CTRL AUTOS'!$E$2:$K$58,7,FALSE)</f>
        <v>BYER</v>
      </c>
      <c r="G438" s="4" t="s">
        <v>234</v>
      </c>
      <c r="H438" s="62">
        <v>3148.43</v>
      </c>
      <c r="I438" s="62">
        <v>-598.89</v>
      </c>
      <c r="J438" s="62">
        <v>0</v>
      </c>
      <c r="K438" s="62">
        <v>0</v>
      </c>
      <c r="L438" s="62">
        <v>0</v>
      </c>
      <c r="M438" s="62">
        <v>-35</v>
      </c>
      <c r="N438" s="62">
        <v>-167</v>
      </c>
      <c r="O438" s="62">
        <f t="shared" si="46"/>
        <v>2347.54</v>
      </c>
      <c r="P438" s="62">
        <v>-2500</v>
      </c>
      <c r="Q438" s="62">
        <v>0</v>
      </c>
      <c r="R438" s="62">
        <v>-500</v>
      </c>
      <c r="S438" s="62">
        <v>0</v>
      </c>
      <c r="T438" s="62">
        <v>0</v>
      </c>
      <c r="U438" s="62">
        <v>0</v>
      </c>
      <c r="V438" s="62">
        <v>0</v>
      </c>
      <c r="W438" s="62">
        <f t="shared" si="44"/>
        <v>-652.46</v>
      </c>
      <c r="X438" s="62">
        <f t="shared" si="47"/>
        <v>0</v>
      </c>
      <c r="Y438" s="62">
        <f t="shared" si="48"/>
        <v>-652.46</v>
      </c>
      <c r="Z438" s="62">
        <v>452</v>
      </c>
      <c r="AA438" s="62">
        <f t="shared" si="49"/>
        <v>-200.46000000000004</v>
      </c>
      <c r="AB438" s="62">
        <f t="shared" si="45"/>
        <v>2599.08</v>
      </c>
      <c r="AC438" s="62"/>
      <c r="AD438" s="62" t="s">
        <v>961</v>
      </c>
    </row>
    <row r="439" spans="1:30" hidden="1" x14ac:dyDescent="0.3">
      <c r="A439" s="69">
        <v>8</v>
      </c>
      <c r="B439" s="3" t="s">
        <v>25</v>
      </c>
      <c r="C439" s="4" t="s">
        <v>26</v>
      </c>
      <c r="D439" s="4" t="s">
        <v>575</v>
      </c>
      <c r="E439" s="4" t="str">
        <f>VLOOKUP(C439,'[2]CTRL AUTOS'!$E$2:$L$58,8,FALSE)</f>
        <v>ASHC</v>
      </c>
      <c r="F439" s="61" t="str">
        <f>VLOOKUP(C439,'[2]CTRL AUTOS'!$E$2:$K$58,7,FALSE)</f>
        <v>ASHC</v>
      </c>
      <c r="G439" s="4" t="s">
        <v>234</v>
      </c>
      <c r="H439" s="62">
        <v>0</v>
      </c>
      <c r="I439" s="62">
        <v>0</v>
      </c>
      <c r="J439" s="62">
        <v>0</v>
      </c>
      <c r="K439" s="62">
        <v>0</v>
      </c>
      <c r="L439" s="62">
        <v>0</v>
      </c>
      <c r="M439" s="62">
        <v>0</v>
      </c>
      <c r="N439" s="62">
        <v>0</v>
      </c>
      <c r="O439" s="62">
        <f t="shared" si="46"/>
        <v>0</v>
      </c>
      <c r="P439" s="62">
        <v>-2500</v>
      </c>
      <c r="Q439" s="62">
        <v>0</v>
      </c>
      <c r="R439" s="62">
        <v>0</v>
      </c>
      <c r="S439" s="62">
        <v>0</v>
      </c>
      <c r="T439" s="62">
        <v>-1000</v>
      </c>
      <c r="U439" s="62">
        <v>316</v>
      </c>
      <c r="V439" s="62">
        <v>0</v>
      </c>
      <c r="W439" s="62">
        <f t="shared" si="44"/>
        <v>-3184</v>
      </c>
      <c r="X439" s="62">
        <f t="shared" si="47"/>
        <v>0</v>
      </c>
      <c r="Y439" s="62">
        <f t="shared" si="48"/>
        <v>-3184</v>
      </c>
      <c r="Z439" s="62">
        <f>350+200+300+200+250+1000</f>
        <v>2300</v>
      </c>
      <c r="AA439" s="62">
        <f t="shared" si="49"/>
        <v>-884</v>
      </c>
      <c r="AB439" s="62">
        <f t="shared" si="45"/>
        <v>1416</v>
      </c>
      <c r="AC439" s="62"/>
      <c r="AD439" s="62" t="s">
        <v>962</v>
      </c>
    </row>
    <row r="440" spans="1:30" hidden="1" x14ac:dyDescent="0.3">
      <c r="A440" s="69">
        <v>8</v>
      </c>
      <c r="B440" s="3" t="s">
        <v>27</v>
      </c>
      <c r="C440" s="4" t="s">
        <v>137</v>
      </c>
      <c r="D440" s="4" t="s">
        <v>877</v>
      </c>
      <c r="E440" s="4" t="str">
        <f>VLOOKUP(C440,'[2]CTRL AUTOS'!$E$2:$L$58,8,FALSE)</f>
        <v>ASHC</v>
      </c>
      <c r="F440" s="61" t="str">
        <f>VLOOKUP(C440,'[2]CTRL AUTOS'!$E$2:$K$58,7,FALSE)</f>
        <v>ASHC</v>
      </c>
      <c r="G440" s="4" t="s">
        <v>234</v>
      </c>
      <c r="H440" s="62">
        <v>0</v>
      </c>
      <c r="I440" s="62">
        <v>0</v>
      </c>
      <c r="J440" s="62">
        <v>0</v>
      </c>
      <c r="K440" s="62">
        <v>0</v>
      </c>
      <c r="L440" s="62">
        <v>0</v>
      </c>
      <c r="M440" s="62">
        <v>0</v>
      </c>
      <c r="N440" s="62">
        <v>0</v>
      </c>
      <c r="O440" s="62">
        <f t="shared" si="46"/>
        <v>0</v>
      </c>
      <c r="P440" s="62">
        <v>0</v>
      </c>
      <c r="Q440" s="62">
        <v>0</v>
      </c>
      <c r="R440" s="62">
        <v>500</v>
      </c>
      <c r="S440" s="62">
        <v>0</v>
      </c>
      <c r="T440" s="62">
        <v>0</v>
      </c>
      <c r="U440" s="62">
        <v>0</v>
      </c>
      <c r="V440" s="62">
        <v>0</v>
      </c>
      <c r="W440" s="62">
        <f t="shared" si="44"/>
        <v>500</v>
      </c>
      <c r="X440" s="62">
        <f t="shared" si="47"/>
        <v>500</v>
      </c>
      <c r="Y440" s="62">
        <f t="shared" si="48"/>
        <v>0</v>
      </c>
      <c r="Z440" s="62">
        <v>0</v>
      </c>
      <c r="AA440" s="62">
        <f t="shared" si="49"/>
        <v>0</v>
      </c>
      <c r="AB440" s="62">
        <f t="shared" si="45"/>
        <v>-500</v>
      </c>
      <c r="AC440" s="62"/>
      <c r="AD440" s="62" t="s">
        <v>963</v>
      </c>
    </row>
    <row r="441" spans="1:30" hidden="1" x14ac:dyDescent="0.3">
      <c r="A441" s="69">
        <v>8</v>
      </c>
      <c r="B441" s="3" t="s">
        <v>9</v>
      </c>
      <c r="C441" s="4" t="s">
        <v>10</v>
      </c>
      <c r="D441" s="4" t="s">
        <v>343</v>
      </c>
      <c r="E441" s="4" t="str">
        <f>VLOOKUP(C441,'[2]CTRL AUTOS'!$E$2:$L$58,8,FALSE)</f>
        <v>ASHC</v>
      </c>
      <c r="F441" s="61" t="str">
        <f>VLOOKUP(C441,'[2]CTRL AUTOS'!$E$2:$K$58,7,FALSE)</f>
        <v>ASHC</v>
      </c>
      <c r="G441" s="4" t="s">
        <v>425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62">
        <f t="shared" si="46"/>
        <v>0</v>
      </c>
      <c r="P441" s="62">
        <v>0</v>
      </c>
      <c r="Q441" s="62">
        <f>-700*1.12</f>
        <v>-784.00000000000011</v>
      </c>
      <c r="R441" s="62">
        <v>0</v>
      </c>
      <c r="S441" s="62">
        <v>0</v>
      </c>
      <c r="T441" s="62">
        <v>-700</v>
      </c>
      <c r="U441" s="62">
        <v>0</v>
      </c>
      <c r="V441" s="62">
        <v>0</v>
      </c>
      <c r="W441" s="62">
        <f t="shared" si="44"/>
        <v>-1484</v>
      </c>
      <c r="X441" s="62">
        <f t="shared" si="47"/>
        <v>0</v>
      </c>
      <c r="Y441" s="62">
        <f t="shared" si="48"/>
        <v>-1484</v>
      </c>
      <c r="Z441" s="62">
        <v>0</v>
      </c>
      <c r="AA441" s="62">
        <f t="shared" si="49"/>
        <v>-1484</v>
      </c>
      <c r="AB441" s="62">
        <f t="shared" si="45"/>
        <v>-1484</v>
      </c>
      <c r="AC441" s="62"/>
      <c r="AD441" s="62"/>
    </row>
    <row r="442" spans="1:30" hidden="1" x14ac:dyDescent="0.3">
      <c r="A442" s="69">
        <v>8</v>
      </c>
      <c r="B442" s="3" t="s">
        <v>70</v>
      </c>
      <c r="C442" s="4" t="s">
        <v>71</v>
      </c>
      <c r="D442" s="4" t="s">
        <v>588</v>
      </c>
      <c r="E442" s="4" t="str">
        <f>VLOOKUP(C442,'[2]CTRL AUTOS'!$E$2:$L$58,8,FALSE)</f>
        <v>ASHC</v>
      </c>
      <c r="F442" s="61" t="str">
        <f>VLOOKUP(C442,'[2]CTRL AUTOS'!$E$2:$K$58,7,FALSE)</f>
        <v>ASHC</v>
      </c>
      <c r="G442" s="4" t="s">
        <v>234</v>
      </c>
      <c r="H442" s="62">
        <v>0</v>
      </c>
      <c r="I442" s="62">
        <v>0</v>
      </c>
      <c r="J442" s="62">
        <v>-59.87</v>
      </c>
      <c r="K442" s="62">
        <v>374.13</v>
      </c>
      <c r="L442" s="62">
        <v>0</v>
      </c>
      <c r="M442" s="62">
        <v>-5</v>
      </c>
      <c r="N442" s="62">
        <v>0</v>
      </c>
      <c r="O442" s="62">
        <f t="shared" si="46"/>
        <v>309.26</v>
      </c>
      <c r="P442" s="62">
        <v>-309</v>
      </c>
      <c r="Q442" s="62">
        <v>0</v>
      </c>
      <c r="R442" s="62">
        <v>0</v>
      </c>
      <c r="S442" s="62">
        <v>0</v>
      </c>
      <c r="T442" s="62">
        <v>0</v>
      </c>
      <c r="U442" s="62">
        <v>0</v>
      </c>
      <c r="V442" s="62">
        <v>0</v>
      </c>
      <c r="W442" s="62">
        <f t="shared" si="44"/>
        <v>0.25999999999999091</v>
      </c>
      <c r="X442" s="62">
        <f t="shared" si="47"/>
        <v>0.25999999999999091</v>
      </c>
      <c r="Y442" s="62">
        <f t="shared" si="48"/>
        <v>0</v>
      </c>
      <c r="Z442" s="62">
        <v>0</v>
      </c>
      <c r="AA442" s="62">
        <f t="shared" si="49"/>
        <v>0</v>
      </c>
      <c r="AB442" s="62">
        <f t="shared" si="45"/>
        <v>309</v>
      </c>
      <c r="AC442" s="62"/>
      <c r="AD442" s="62"/>
    </row>
    <row r="443" spans="1:30" hidden="1" x14ac:dyDescent="0.3">
      <c r="A443" s="69">
        <v>8</v>
      </c>
      <c r="B443" s="3" t="s">
        <v>29</v>
      </c>
      <c r="C443" s="4" t="s">
        <v>141</v>
      </c>
      <c r="D443" s="4" t="s">
        <v>901</v>
      </c>
      <c r="E443" s="4" t="str">
        <f>VLOOKUP(C443,'[2]CTRL AUTOS'!$E$2:$L$58,8,FALSE)</f>
        <v>ASHC</v>
      </c>
      <c r="F443" s="61" t="str">
        <f>VLOOKUP(C443,'[2]CTRL AUTOS'!$E$2:$K$58,7,FALSE)</f>
        <v>ASHC</v>
      </c>
      <c r="G443" s="4" t="s">
        <v>234</v>
      </c>
      <c r="H443" s="62">
        <v>2620.77</v>
      </c>
      <c r="I443" s="62">
        <v>-664.5</v>
      </c>
      <c r="J443" s="62">
        <v>0</v>
      </c>
      <c r="K443" s="62">
        <v>0</v>
      </c>
      <c r="L443" s="62">
        <v>0</v>
      </c>
      <c r="M443" s="62">
        <f>-9.2196-35</f>
        <v>-44.2196</v>
      </c>
      <c r="N443" s="62">
        <v>-76.829999999999984</v>
      </c>
      <c r="O443" s="62">
        <f t="shared" si="46"/>
        <v>1835.2204000000002</v>
      </c>
      <c r="P443" s="62">
        <v>-2700</v>
      </c>
      <c r="Q443" s="62">
        <f>-801</f>
        <v>-801</v>
      </c>
      <c r="R443" s="62">
        <v>0</v>
      </c>
      <c r="S443" s="62">
        <v>0</v>
      </c>
      <c r="T443" s="62">
        <v>0</v>
      </c>
      <c r="U443" s="62">
        <v>0</v>
      </c>
      <c r="V443" s="62">
        <v>0</v>
      </c>
      <c r="W443" s="62">
        <f t="shared" si="44"/>
        <v>-1665.7795999999998</v>
      </c>
      <c r="X443" s="62">
        <f t="shared" si="47"/>
        <v>0</v>
      </c>
      <c r="Y443" s="62">
        <f t="shared" si="48"/>
        <v>-1665.7795999999998</v>
      </c>
      <c r="Z443" s="62">
        <v>0</v>
      </c>
      <c r="AA443" s="62">
        <f t="shared" si="49"/>
        <v>-1665.7795999999998</v>
      </c>
      <c r="AB443" s="62">
        <f t="shared" si="45"/>
        <v>169.44080000000031</v>
      </c>
      <c r="AC443" s="62"/>
      <c r="AD443" s="62"/>
    </row>
    <row r="444" spans="1:30" hidden="1" x14ac:dyDescent="0.3">
      <c r="A444" s="69">
        <v>8</v>
      </c>
      <c r="B444" s="3" t="s">
        <v>109</v>
      </c>
      <c r="C444" s="4" t="s">
        <v>142</v>
      </c>
      <c r="D444" s="4" t="s">
        <v>657</v>
      </c>
      <c r="E444" s="4" t="str">
        <f>VLOOKUP(C444,'[2]CTRL AUTOS'!$E$2:$L$58,8,FALSE)</f>
        <v>ASHC</v>
      </c>
      <c r="F444" s="61" t="str">
        <f>VLOOKUP(C444,'[2]CTRL AUTOS'!$E$2:$K$58,7,FALSE)</f>
        <v>ASHC</v>
      </c>
      <c r="G444" s="4" t="s">
        <v>425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62">
        <f t="shared" si="46"/>
        <v>0</v>
      </c>
      <c r="P444" s="62">
        <v>-2700</v>
      </c>
      <c r="Q444" s="62">
        <f>-2000*1.12</f>
        <v>-2240</v>
      </c>
      <c r="R444" s="62">
        <v>-500</v>
      </c>
      <c r="S444" s="62">
        <v>0</v>
      </c>
      <c r="T444" s="62">
        <v>0</v>
      </c>
      <c r="U444" s="62">
        <v>0</v>
      </c>
      <c r="V444" s="62">
        <v>0</v>
      </c>
      <c r="W444" s="62">
        <f t="shared" si="44"/>
        <v>-5440</v>
      </c>
      <c r="X444" s="62">
        <f t="shared" si="47"/>
        <v>0</v>
      </c>
      <c r="Y444" s="62">
        <f t="shared" si="48"/>
        <v>-5440</v>
      </c>
      <c r="Z444" s="62">
        <v>800</v>
      </c>
      <c r="AA444" s="62">
        <f t="shared" si="49"/>
        <v>-4640</v>
      </c>
      <c r="AB444" s="62">
        <f t="shared" si="45"/>
        <v>-3840</v>
      </c>
      <c r="AC444" s="62"/>
      <c r="AD444" s="62" t="s">
        <v>964</v>
      </c>
    </row>
    <row r="445" spans="1:30" hidden="1" x14ac:dyDescent="0.3">
      <c r="A445" s="69">
        <v>8</v>
      </c>
      <c r="B445" s="3" t="s">
        <v>72</v>
      </c>
      <c r="C445" s="4" t="s">
        <v>73</v>
      </c>
      <c r="D445" s="4" t="s">
        <v>368</v>
      </c>
      <c r="E445" s="4" t="str">
        <f>VLOOKUP(C445,'[2]CTRL AUTOS'!$E$2:$L$58,8,FALSE)</f>
        <v>U64</v>
      </c>
      <c r="F445" s="61" t="str">
        <f>VLOOKUP(C445,'[2]CTRL AUTOS'!$E$2:$K$58,7,FALSE)</f>
        <v>BYER</v>
      </c>
      <c r="G445" s="4" t="s">
        <v>234</v>
      </c>
      <c r="H445" s="62">
        <v>11463.97</v>
      </c>
      <c r="I445" s="62">
        <v>-3420.3</v>
      </c>
      <c r="J445" s="62">
        <v>-131.19999999999999</v>
      </c>
      <c r="K445" s="62">
        <v>0</v>
      </c>
      <c r="L445" s="62">
        <v>-95.89</v>
      </c>
      <c r="M445" s="62">
        <v>-70</v>
      </c>
      <c r="N445" s="62">
        <v>0</v>
      </c>
      <c r="O445" s="62">
        <f t="shared" si="46"/>
        <v>7746.579999999999</v>
      </c>
      <c r="P445" s="62">
        <v>-2500</v>
      </c>
      <c r="Q445" s="62">
        <v>0</v>
      </c>
      <c r="R445" s="62">
        <v>0</v>
      </c>
      <c r="S445" s="62">
        <v>-700</v>
      </c>
      <c r="T445" s="62">
        <v>0</v>
      </c>
      <c r="U445" s="62">
        <v>0</v>
      </c>
      <c r="V445" s="62">
        <v>0</v>
      </c>
      <c r="W445" s="62">
        <f t="shared" si="44"/>
        <v>4546.579999999999</v>
      </c>
      <c r="X445" s="62">
        <f t="shared" si="47"/>
        <v>4546.579999999999</v>
      </c>
      <c r="Y445" s="62">
        <f t="shared" si="48"/>
        <v>0</v>
      </c>
      <c r="Z445" s="62">
        <v>0</v>
      </c>
      <c r="AA445" s="62">
        <f t="shared" si="49"/>
        <v>0</v>
      </c>
      <c r="AB445" s="62">
        <f t="shared" si="45"/>
        <v>3200</v>
      </c>
      <c r="AC445" s="62"/>
      <c r="AD445" s="62" t="s">
        <v>965</v>
      </c>
    </row>
    <row r="446" spans="1:30" hidden="1" x14ac:dyDescent="0.3">
      <c r="A446" s="69">
        <v>8</v>
      </c>
      <c r="B446" s="3" t="s">
        <v>92</v>
      </c>
      <c r="C446" s="4" t="s">
        <v>30</v>
      </c>
      <c r="D446" s="4" t="s">
        <v>521</v>
      </c>
      <c r="E446" s="4" t="str">
        <f>VLOOKUP(C446,'[2]CTRL AUTOS'!$E$2:$L$58,8,FALSE)</f>
        <v>ASHC</v>
      </c>
      <c r="F446" s="61" t="str">
        <f>VLOOKUP(C446,'[2]CTRL AUTOS'!$E$2:$K$58,7,FALSE)</f>
        <v>ASHC</v>
      </c>
      <c r="G446" s="4" t="s">
        <v>234</v>
      </c>
      <c r="H446" s="62">
        <v>7289.62</v>
      </c>
      <c r="I446" s="62">
        <v>-2074.4700000000007</v>
      </c>
      <c r="J446" s="62">
        <v>0</v>
      </c>
      <c r="K446" s="62">
        <v>0</v>
      </c>
      <c r="L446" s="62">
        <v>0</v>
      </c>
      <c r="M446" s="62">
        <v>-65</v>
      </c>
      <c r="N446" s="62">
        <v>0</v>
      </c>
      <c r="O446" s="62">
        <f t="shared" si="46"/>
        <v>5150.1499999999996</v>
      </c>
      <c r="P446" s="62">
        <v>-2500</v>
      </c>
      <c r="Q446" s="62">
        <v>0</v>
      </c>
      <c r="R446" s="62">
        <v>-500</v>
      </c>
      <c r="S446" s="62">
        <v>0</v>
      </c>
      <c r="T446" s="62">
        <v>0</v>
      </c>
      <c r="U446" s="62">
        <v>0</v>
      </c>
      <c r="V446" s="62">
        <v>0</v>
      </c>
      <c r="W446" s="62">
        <f t="shared" si="44"/>
        <v>2150.1499999999996</v>
      </c>
      <c r="X446" s="62">
        <f t="shared" si="47"/>
        <v>2150.1499999999996</v>
      </c>
      <c r="Y446" s="62">
        <f t="shared" si="48"/>
        <v>0</v>
      </c>
      <c r="Z446" s="62">
        <v>0</v>
      </c>
      <c r="AA446" s="62">
        <f t="shared" si="49"/>
        <v>0</v>
      </c>
      <c r="AB446" s="62">
        <f t="shared" si="45"/>
        <v>3000</v>
      </c>
      <c r="AC446" s="62"/>
      <c r="AD446" s="62" t="s">
        <v>966</v>
      </c>
    </row>
    <row r="447" spans="1:30" hidden="1" x14ac:dyDescent="0.3">
      <c r="A447" s="69">
        <v>8</v>
      </c>
      <c r="B447" s="3" t="s">
        <v>105</v>
      </c>
      <c r="C447" s="4" t="s">
        <v>106</v>
      </c>
      <c r="D447" s="4" t="s">
        <v>646</v>
      </c>
      <c r="E447" s="4" t="str">
        <f>VLOOKUP(C447,'[2]CTRL AUTOS'!$E$2:$L$58,8,FALSE)</f>
        <v>ASHC</v>
      </c>
      <c r="F447" s="61" t="str">
        <f>VLOOKUP(C447,'[2]CTRL AUTOS'!$E$2:$K$58,7,FALSE)</f>
        <v>ASHC</v>
      </c>
      <c r="G447" s="4" t="s">
        <v>425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62">
        <f t="shared" si="46"/>
        <v>0</v>
      </c>
      <c r="P447" s="62">
        <v>-2600</v>
      </c>
      <c r="Q447" s="62">
        <v>0</v>
      </c>
      <c r="R447" s="62">
        <v>0</v>
      </c>
      <c r="S447" s="62">
        <v>0</v>
      </c>
      <c r="T447" s="62">
        <v>0</v>
      </c>
      <c r="U447" s="62">
        <v>0</v>
      </c>
      <c r="V447" s="62">
        <v>0</v>
      </c>
      <c r="W447" s="62">
        <f t="shared" si="44"/>
        <v>-2600</v>
      </c>
      <c r="X447" s="62">
        <f t="shared" si="47"/>
        <v>0</v>
      </c>
      <c r="Y447" s="62">
        <f t="shared" si="48"/>
        <v>-2600</v>
      </c>
      <c r="Z447" s="62">
        <f>2500+100</f>
        <v>2600</v>
      </c>
      <c r="AA447" s="62">
        <f t="shared" si="49"/>
        <v>0</v>
      </c>
      <c r="AB447" s="62">
        <f t="shared" si="45"/>
        <v>2600</v>
      </c>
      <c r="AC447" s="62"/>
      <c r="AD447" s="62" t="s">
        <v>967</v>
      </c>
    </row>
    <row r="448" spans="1:30" hidden="1" x14ac:dyDescent="0.3">
      <c r="A448" s="69">
        <v>8</v>
      </c>
      <c r="B448" s="3" t="s">
        <v>31</v>
      </c>
      <c r="C448" s="4" t="s">
        <v>143</v>
      </c>
      <c r="D448" s="4" t="s">
        <v>907</v>
      </c>
      <c r="E448" s="4" t="str">
        <f>VLOOKUP(C448,'[2]CTRL AUTOS'!$E$2:$L$58,8,FALSE)</f>
        <v>ASHC</v>
      </c>
      <c r="F448" s="61" t="str">
        <f>VLOOKUP(C448,'[2]CTRL AUTOS'!$E$2:$K$58,7,FALSE)</f>
        <v>ASHC</v>
      </c>
      <c r="G448" s="4" t="s">
        <v>234</v>
      </c>
      <c r="H448" s="62">
        <v>10404.39</v>
      </c>
      <c r="I448" s="62">
        <v>-4312.4999999999991</v>
      </c>
      <c r="J448" s="62">
        <v>-149.6</v>
      </c>
      <c r="K448" s="62">
        <v>0</v>
      </c>
      <c r="L448" s="62">
        <v>0</v>
      </c>
      <c r="M448" s="62">
        <v>-80</v>
      </c>
      <c r="N448" s="62">
        <v>0</v>
      </c>
      <c r="O448" s="62">
        <f t="shared" si="46"/>
        <v>5862.29</v>
      </c>
      <c r="P448" s="62">
        <v>-2700</v>
      </c>
      <c r="Q448" s="62">
        <v>0</v>
      </c>
      <c r="R448" s="62">
        <v>0</v>
      </c>
      <c r="S448" s="62">
        <v>0</v>
      </c>
      <c r="T448" s="62">
        <v>0</v>
      </c>
      <c r="U448" s="62">
        <v>0</v>
      </c>
      <c r="V448" s="62">
        <v>0</v>
      </c>
      <c r="W448" s="62">
        <f t="shared" si="44"/>
        <v>3162.29</v>
      </c>
      <c r="X448" s="62">
        <f t="shared" si="47"/>
        <v>3162.29</v>
      </c>
      <c r="Y448" s="62">
        <f t="shared" si="48"/>
        <v>0</v>
      </c>
      <c r="Z448" s="62">
        <v>0</v>
      </c>
      <c r="AA448" s="62">
        <f t="shared" si="49"/>
        <v>0</v>
      </c>
      <c r="AB448" s="62">
        <f t="shared" si="45"/>
        <v>2700</v>
      </c>
      <c r="AC448" s="62"/>
      <c r="AD448" s="62" t="s">
        <v>968</v>
      </c>
    </row>
    <row r="449" spans="1:30" hidden="1" x14ac:dyDescent="0.3">
      <c r="A449" s="69">
        <v>8</v>
      </c>
      <c r="B449" s="3" t="s">
        <v>91</v>
      </c>
      <c r="C449" s="4" t="s">
        <v>144</v>
      </c>
      <c r="D449" s="4" t="s">
        <v>909</v>
      </c>
      <c r="E449" s="4" t="str">
        <f>VLOOKUP(C449,'[2]CTRL AUTOS'!$E$2:$L$58,8,FALSE)</f>
        <v>ASHC</v>
      </c>
      <c r="F449" s="61" t="str">
        <f>VLOOKUP(C449,'[2]CTRL AUTOS'!$E$2:$K$58,7,FALSE)</f>
        <v>ASHC</v>
      </c>
      <c r="G449" s="4" t="s">
        <v>234</v>
      </c>
      <c r="H449" s="62">
        <v>3457.41</v>
      </c>
      <c r="I449" s="62">
        <v>-39.950000000000003</v>
      </c>
      <c r="J449" s="62">
        <v>0</v>
      </c>
      <c r="K449" s="62">
        <v>0</v>
      </c>
      <c r="L449" s="62">
        <v>0</v>
      </c>
      <c r="M449" s="62">
        <v>-3</v>
      </c>
      <c r="N449" s="62">
        <v>0</v>
      </c>
      <c r="O449" s="62">
        <f t="shared" si="46"/>
        <v>3414.46</v>
      </c>
      <c r="P449" s="62">
        <v>-2700</v>
      </c>
      <c r="Q449" s="62">
        <v>-3308.26</v>
      </c>
      <c r="R449" s="62">
        <v>-500</v>
      </c>
      <c r="S449" s="62">
        <v>0</v>
      </c>
      <c r="T449" s="62">
        <v>0</v>
      </c>
      <c r="U449" s="62">
        <v>0</v>
      </c>
      <c r="V449" s="62">
        <v>0</v>
      </c>
      <c r="W449" s="62">
        <f t="shared" si="44"/>
        <v>-3093.8</v>
      </c>
      <c r="X449" s="62">
        <f t="shared" si="47"/>
        <v>0</v>
      </c>
      <c r="Y449" s="62">
        <f t="shared" si="48"/>
        <v>-3093.8</v>
      </c>
      <c r="Z449" s="62">
        <v>0</v>
      </c>
      <c r="AA449" s="62">
        <f t="shared" si="49"/>
        <v>-3093.8</v>
      </c>
      <c r="AB449" s="62">
        <f t="shared" si="45"/>
        <v>320.65999999999985</v>
      </c>
      <c r="AC449" s="62"/>
      <c r="AD449" s="62" t="s">
        <v>969</v>
      </c>
    </row>
    <row r="450" spans="1:30" hidden="1" x14ac:dyDescent="0.3">
      <c r="A450" s="69">
        <v>8</v>
      </c>
      <c r="B450" s="3" t="s">
        <v>33</v>
      </c>
      <c r="C450" s="4" t="s">
        <v>67</v>
      </c>
      <c r="D450" s="4" t="s">
        <v>504</v>
      </c>
      <c r="E450" s="4" t="str">
        <f>VLOOKUP(C450,'[2]CTRL AUTOS'!$E$2:$L$58,8,FALSE)</f>
        <v>ASHC</v>
      </c>
      <c r="F450" s="61" t="str">
        <f>VLOOKUP(C450,'[2]CTRL AUTOS'!$E$2:$K$58,7,FALSE)</f>
        <v>ASHC</v>
      </c>
      <c r="G450" s="4" t="s">
        <v>234</v>
      </c>
      <c r="H450" s="62">
        <v>2574.4699999999998</v>
      </c>
      <c r="I450" s="62">
        <v>0</v>
      </c>
      <c r="J450" s="62">
        <v>-18.45</v>
      </c>
      <c r="K450" s="62">
        <v>115.3</v>
      </c>
      <c r="L450" s="62">
        <v>0</v>
      </c>
      <c r="M450" s="62">
        <v>-5</v>
      </c>
      <c r="N450" s="62">
        <v>0</v>
      </c>
      <c r="O450" s="62">
        <f t="shared" si="46"/>
        <v>2666.32</v>
      </c>
      <c r="P450" s="62">
        <v>-2500</v>
      </c>
      <c r="Q450" s="62">
        <v>-2932</v>
      </c>
      <c r="R450" s="62">
        <v>-500</v>
      </c>
      <c r="S450" s="62">
        <v>0</v>
      </c>
      <c r="T450" s="62">
        <v>0</v>
      </c>
      <c r="U450" s="62">
        <v>0</v>
      </c>
      <c r="V450" s="62">
        <v>0</v>
      </c>
      <c r="W450" s="62">
        <f t="shared" ref="W450:W513" si="50">SUM(O450:V450)</f>
        <v>-3265.68</v>
      </c>
      <c r="X450" s="62">
        <f t="shared" si="47"/>
        <v>0</v>
      </c>
      <c r="Y450" s="62">
        <f t="shared" si="48"/>
        <v>-3265.68</v>
      </c>
      <c r="Z450" s="62">
        <v>334</v>
      </c>
      <c r="AA450" s="62">
        <f t="shared" si="49"/>
        <v>-2931.68</v>
      </c>
      <c r="AB450" s="62">
        <f t="shared" ref="AB450:AB513" si="51">+O450-X450+Z450+AA450</f>
        <v>68.640000000000327</v>
      </c>
      <c r="AC450" s="62"/>
      <c r="AD450" s="62" t="s">
        <v>970</v>
      </c>
    </row>
    <row r="451" spans="1:30" hidden="1" x14ac:dyDescent="0.3">
      <c r="A451" s="69">
        <v>8</v>
      </c>
      <c r="B451" s="3" t="s">
        <v>35</v>
      </c>
      <c r="C451" s="4" t="s">
        <v>36</v>
      </c>
      <c r="D451" s="4" t="s">
        <v>510</v>
      </c>
      <c r="E451" s="4" t="str">
        <f>VLOOKUP(C451,'[2]CTRL AUTOS'!$E$2:$L$58,8,FALSE)</f>
        <v>ASHC</v>
      </c>
      <c r="F451" s="61" t="str">
        <f>VLOOKUP(C451,'[2]CTRL AUTOS'!$E$2:$K$58,7,FALSE)</f>
        <v>ASHC</v>
      </c>
      <c r="G451" s="4" t="s">
        <v>234</v>
      </c>
      <c r="H451" s="62">
        <v>6402.7</v>
      </c>
      <c r="I451" s="62">
        <v>-3164.5800000000004</v>
      </c>
      <c r="J451" s="62">
        <v>0</v>
      </c>
      <c r="K451" s="62">
        <v>0</v>
      </c>
      <c r="L451" s="62">
        <v>0</v>
      </c>
      <c r="M451" s="62">
        <v>-70</v>
      </c>
      <c r="N451" s="62">
        <v>0</v>
      </c>
      <c r="O451" s="62">
        <f t="shared" si="46"/>
        <v>3168.1199999999994</v>
      </c>
      <c r="P451" s="62">
        <f>(-2500/7)*6.5</f>
        <v>-2321.4285714285716</v>
      </c>
      <c r="Q451" s="62">
        <v>0</v>
      </c>
      <c r="R451" s="62">
        <v>0</v>
      </c>
      <c r="S451" s="62">
        <v>0</v>
      </c>
      <c r="T451" s="62">
        <v>0</v>
      </c>
      <c r="U451" s="62">
        <v>27</v>
      </c>
      <c r="V451" s="62">
        <v>0</v>
      </c>
      <c r="W451" s="62">
        <f t="shared" si="50"/>
        <v>873.69142857142788</v>
      </c>
      <c r="X451" s="62">
        <f t="shared" si="47"/>
        <v>873.69142857142788</v>
      </c>
      <c r="Y451" s="62">
        <f t="shared" si="48"/>
        <v>0</v>
      </c>
      <c r="Z451" s="62">
        <v>0</v>
      </c>
      <c r="AA451" s="62">
        <f t="shared" si="49"/>
        <v>0</v>
      </c>
      <c r="AB451" s="62">
        <f t="shared" si="51"/>
        <v>2294.4285714285716</v>
      </c>
      <c r="AC451" s="62"/>
      <c r="AD451" s="62" t="s">
        <v>971</v>
      </c>
    </row>
    <row r="452" spans="1:30" hidden="1" x14ac:dyDescent="0.3">
      <c r="A452" s="69">
        <v>8</v>
      </c>
      <c r="B452" s="3" t="s">
        <v>37</v>
      </c>
      <c r="C452" s="4" t="s">
        <v>24</v>
      </c>
      <c r="D452" s="4" t="s">
        <v>515</v>
      </c>
      <c r="E452" s="4" t="str">
        <f>VLOOKUP(C452,'[2]CTRL AUTOS'!$E$2:$L$58,8,FALSE)</f>
        <v>ASHC</v>
      </c>
      <c r="F452" s="61" t="str">
        <f>VLOOKUP(C452,'[2]CTRL AUTOS'!$E$2:$K$58,7,FALSE)</f>
        <v>ASHC</v>
      </c>
      <c r="G452" s="4" t="s">
        <v>234</v>
      </c>
      <c r="H452" s="62">
        <v>3040.43</v>
      </c>
      <c r="I452" s="62">
        <v>-1224.3700000000001</v>
      </c>
      <c r="J452" s="62">
        <v>-30.11</v>
      </c>
      <c r="K452" s="62">
        <v>188.21</v>
      </c>
      <c r="L452" s="62">
        <v>0</v>
      </c>
      <c r="M452" s="62">
        <f>-35.76-50</f>
        <v>-85.759999999999991</v>
      </c>
      <c r="N452" s="62">
        <v>-298</v>
      </c>
      <c r="O452" s="62">
        <f t="shared" si="46"/>
        <v>1590.3999999999999</v>
      </c>
      <c r="P452" s="62">
        <v>-2700</v>
      </c>
      <c r="Q452" s="62">
        <v>0</v>
      </c>
      <c r="R452" s="62">
        <v>-500</v>
      </c>
      <c r="S452" s="62">
        <v>-700</v>
      </c>
      <c r="T452" s="62">
        <v>0</v>
      </c>
      <c r="U452" s="62">
        <v>0</v>
      </c>
      <c r="V452" s="62">
        <v>0</v>
      </c>
      <c r="W452" s="62">
        <f t="shared" si="50"/>
        <v>-2309.6000000000004</v>
      </c>
      <c r="X452" s="62">
        <f t="shared" si="47"/>
        <v>0</v>
      </c>
      <c r="Y452" s="62">
        <f t="shared" si="48"/>
        <v>-2309.6000000000004</v>
      </c>
      <c r="Z452" s="62">
        <v>0</v>
      </c>
      <c r="AA452" s="62">
        <f t="shared" si="49"/>
        <v>-2309.6000000000004</v>
      </c>
      <c r="AB452" s="62">
        <f t="shared" si="51"/>
        <v>-719.2000000000005</v>
      </c>
      <c r="AC452" s="62"/>
      <c r="AD452" s="62"/>
    </row>
    <row r="453" spans="1:30" hidden="1" x14ac:dyDescent="0.3">
      <c r="A453" s="69">
        <v>8</v>
      </c>
      <c r="B453" s="3" t="s">
        <v>114</v>
      </c>
      <c r="C453" s="4" t="s">
        <v>46</v>
      </c>
      <c r="D453" s="4" t="s">
        <v>257</v>
      </c>
      <c r="E453" s="4" t="str">
        <f>VLOOKUP(C453,'[2]CTRL AUTOS'!$E$2:$L$58,8,FALSE)</f>
        <v>ASHC</v>
      </c>
      <c r="F453" s="61" t="str">
        <f>VLOOKUP(C453,'[2]CTRL AUTOS'!$E$2:$K$58,7,FALSE)</f>
        <v>ASHC</v>
      </c>
      <c r="G453" s="4" t="s">
        <v>234</v>
      </c>
      <c r="H453" s="62">
        <v>0</v>
      </c>
      <c r="I453" s="62">
        <v>0</v>
      </c>
      <c r="J453" s="62">
        <v>0</v>
      </c>
      <c r="K453" s="62">
        <v>0</v>
      </c>
      <c r="L453" s="62">
        <v>0</v>
      </c>
      <c r="M453" s="62">
        <v>0</v>
      </c>
      <c r="N453" s="62">
        <v>0</v>
      </c>
      <c r="O453" s="62">
        <f t="shared" si="46"/>
        <v>0</v>
      </c>
      <c r="P453" s="62">
        <v>-2500</v>
      </c>
      <c r="Q453" s="62">
        <v>0</v>
      </c>
      <c r="R453" s="62">
        <v>-500</v>
      </c>
      <c r="S453" s="62">
        <v>0</v>
      </c>
      <c r="T453" s="62">
        <v>0</v>
      </c>
      <c r="U453" s="62">
        <v>0</v>
      </c>
      <c r="V453" s="62">
        <v>0</v>
      </c>
      <c r="W453" s="62">
        <f t="shared" si="50"/>
        <v>-3000</v>
      </c>
      <c r="X453" s="62">
        <f t="shared" si="47"/>
        <v>0</v>
      </c>
      <c r="Y453" s="62">
        <f t="shared" si="48"/>
        <v>-3000</v>
      </c>
      <c r="Z453" s="62">
        <f>2000+500</f>
        <v>2500</v>
      </c>
      <c r="AA453" s="62">
        <f t="shared" si="49"/>
        <v>-500</v>
      </c>
      <c r="AB453" s="62">
        <f t="shared" si="51"/>
        <v>2000</v>
      </c>
      <c r="AC453" s="62"/>
      <c r="AD453" s="62" t="s">
        <v>972</v>
      </c>
    </row>
    <row r="454" spans="1:30" hidden="1" x14ac:dyDescent="0.3">
      <c r="A454" s="69">
        <v>8</v>
      </c>
      <c r="B454" s="3" t="s">
        <v>43</v>
      </c>
      <c r="C454" s="4" t="s">
        <v>145</v>
      </c>
      <c r="D454" s="4" t="s">
        <v>913</v>
      </c>
      <c r="E454" s="4" t="str">
        <f>VLOOKUP(C454,'[2]CTRL AUTOS'!$E$2:$L$58,8,FALSE)</f>
        <v>ASHC</v>
      </c>
      <c r="F454" s="61" t="str">
        <f>VLOOKUP(C454,'[2]CTRL AUTOS'!$E$2:$K$58,7,FALSE)</f>
        <v>ASHC</v>
      </c>
      <c r="G454" s="4" t="s">
        <v>234</v>
      </c>
      <c r="H454" s="62">
        <v>418.98</v>
      </c>
      <c r="I454" s="62">
        <v>0</v>
      </c>
      <c r="J454" s="62">
        <v>0</v>
      </c>
      <c r="K454" s="62">
        <v>19.579999999999998</v>
      </c>
      <c r="L454" s="62">
        <v>0</v>
      </c>
      <c r="M454" s="62">
        <v>-4.08</v>
      </c>
      <c r="N454" s="62">
        <v>-34</v>
      </c>
      <c r="O454" s="62">
        <f t="shared" si="46"/>
        <v>400.48</v>
      </c>
      <c r="P454" s="62">
        <v>-2700</v>
      </c>
      <c r="Q454" s="62">
        <v>0</v>
      </c>
      <c r="R454" s="62">
        <v>-500</v>
      </c>
      <c r="S454" s="62">
        <v>0</v>
      </c>
      <c r="T454" s="62">
        <v>0</v>
      </c>
      <c r="U454" s="62">
        <v>28</v>
      </c>
      <c r="V454" s="62">
        <v>0</v>
      </c>
      <c r="W454" s="62">
        <f t="shared" si="50"/>
        <v>-2771.52</v>
      </c>
      <c r="X454" s="62">
        <f t="shared" si="47"/>
        <v>0</v>
      </c>
      <c r="Y454" s="62">
        <f t="shared" si="48"/>
        <v>-2771.52</v>
      </c>
      <c r="Z454" s="62">
        <f>1000+1270</f>
        <v>2270</v>
      </c>
      <c r="AA454" s="62">
        <f t="shared" si="49"/>
        <v>-501.52</v>
      </c>
      <c r="AB454" s="62">
        <f t="shared" si="51"/>
        <v>2168.96</v>
      </c>
      <c r="AC454" s="62"/>
      <c r="AD454" s="62" t="s">
        <v>973</v>
      </c>
    </row>
    <row r="455" spans="1:30" hidden="1" x14ac:dyDescent="0.3">
      <c r="A455" s="69">
        <v>8</v>
      </c>
      <c r="B455" s="3" t="s">
        <v>84</v>
      </c>
      <c r="C455" s="4" t="s">
        <v>146</v>
      </c>
      <c r="D455" s="4" t="s">
        <v>915</v>
      </c>
      <c r="E455" s="4" t="str">
        <f>VLOOKUP(C455,'[2]CTRL AUTOS'!$E$2:$L$58,8,FALSE)</f>
        <v>ASHC</v>
      </c>
      <c r="F455" s="61" t="str">
        <f>VLOOKUP(C455,'[2]CTRL AUTOS'!$E$2:$K$58,7,FALSE)</f>
        <v>ASHC</v>
      </c>
      <c r="G455" s="4" t="s">
        <v>234</v>
      </c>
      <c r="H455" s="62">
        <v>8907.02</v>
      </c>
      <c r="I455" s="62">
        <v>-5819.7899999999991</v>
      </c>
      <c r="J455" s="62">
        <v>0</v>
      </c>
      <c r="K455" s="62">
        <v>0</v>
      </c>
      <c r="L455" s="62">
        <v>0</v>
      </c>
      <c r="M455" s="62">
        <v>-80</v>
      </c>
      <c r="N455" s="62">
        <v>0</v>
      </c>
      <c r="O455" s="62">
        <f t="shared" si="46"/>
        <v>3007.2300000000014</v>
      </c>
      <c r="P455" s="62">
        <v>-2700</v>
      </c>
      <c r="Q455" s="62">
        <v>0</v>
      </c>
      <c r="R455" s="62">
        <v>-500</v>
      </c>
      <c r="S455" s="62">
        <v>0</v>
      </c>
      <c r="T455" s="62">
        <v>0</v>
      </c>
      <c r="U455" s="62">
        <v>3</v>
      </c>
      <c r="V455" s="62">
        <v>0</v>
      </c>
      <c r="W455" s="62">
        <f t="shared" si="50"/>
        <v>-189.76999999999862</v>
      </c>
      <c r="X455" s="62">
        <f t="shared" si="47"/>
        <v>0</v>
      </c>
      <c r="Y455" s="62">
        <f t="shared" si="48"/>
        <v>-189.76999999999862</v>
      </c>
      <c r="Z455" s="62">
        <v>200</v>
      </c>
      <c r="AA455" s="62">
        <f t="shared" si="49"/>
        <v>10.230000000001382</v>
      </c>
      <c r="AB455" s="62">
        <f t="shared" si="51"/>
        <v>3217.4600000000028</v>
      </c>
      <c r="AC455" s="62"/>
      <c r="AD455" s="62" t="s">
        <v>974</v>
      </c>
    </row>
    <row r="456" spans="1:30" hidden="1" x14ac:dyDescent="0.3">
      <c r="A456" s="69">
        <v>8</v>
      </c>
      <c r="B456" s="3" t="s">
        <v>89</v>
      </c>
      <c r="C456" s="4" t="s">
        <v>4</v>
      </c>
      <c r="D456" s="4" t="s">
        <v>652</v>
      </c>
      <c r="E456" s="4" t="str">
        <f>VLOOKUP(C456,'[2]CTRL AUTOS'!$E$2:$L$58,8,FALSE)</f>
        <v>ASHC</v>
      </c>
      <c r="F456" s="61" t="str">
        <f>VLOOKUP(C456,'[2]CTRL AUTOS'!$E$2:$K$58,7,FALSE)</f>
        <v>ASHC</v>
      </c>
      <c r="G456" s="4" t="s">
        <v>234</v>
      </c>
      <c r="H456" s="62">
        <v>3974</v>
      </c>
      <c r="I456" s="62">
        <v>-1300.6000000000001</v>
      </c>
      <c r="J456" s="62">
        <v>0</v>
      </c>
      <c r="K456" s="62">
        <v>0</v>
      </c>
      <c r="L456" s="62">
        <v>0</v>
      </c>
      <c r="M456" s="62">
        <v>-50</v>
      </c>
      <c r="N456" s="62">
        <v>0</v>
      </c>
      <c r="O456" s="62">
        <f t="shared" si="46"/>
        <v>2623.3999999999996</v>
      </c>
      <c r="P456" s="62">
        <v>-2500</v>
      </c>
      <c r="Q456" s="62">
        <v>0</v>
      </c>
      <c r="R456" s="62">
        <v>-500</v>
      </c>
      <c r="S456" s="62">
        <v>0</v>
      </c>
      <c r="T456" s="62">
        <v>0</v>
      </c>
      <c r="U456" s="62">
        <v>0</v>
      </c>
      <c r="V456" s="62">
        <v>0</v>
      </c>
      <c r="W456" s="62">
        <f t="shared" si="50"/>
        <v>-376.60000000000036</v>
      </c>
      <c r="X456" s="62">
        <f t="shared" si="47"/>
        <v>0</v>
      </c>
      <c r="Y456" s="62">
        <f t="shared" si="48"/>
        <v>-376.60000000000036</v>
      </c>
      <c r="Z456" s="62">
        <v>377</v>
      </c>
      <c r="AA456" s="62">
        <f t="shared" si="49"/>
        <v>0.3999999999996362</v>
      </c>
      <c r="AB456" s="62">
        <f t="shared" si="51"/>
        <v>3000.7999999999993</v>
      </c>
      <c r="AC456" s="62"/>
      <c r="AD456" s="62" t="s">
        <v>975</v>
      </c>
    </row>
    <row r="457" spans="1:30" hidden="1" x14ac:dyDescent="0.3">
      <c r="A457" s="69">
        <v>8</v>
      </c>
      <c r="B457" s="3" t="s">
        <v>123</v>
      </c>
      <c r="C457" s="4" t="s">
        <v>59</v>
      </c>
      <c r="D457" s="4" t="s">
        <v>502</v>
      </c>
      <c r="E457" s="4" t="str">
        <f>VLOOKUP(C457,'[2]CTRL AUTOS'!$E$2:$L$58,8,FALSE)</f>
        <v>ASHC</v>
      </c>
      <c r="F457" s="61" t="str">
        <f>VLOOKUP(C457,'[2]CTRL AUTOS'!$E$2:$K$58,7,FALSE)</f>
        <v>ASHC</v>
      </c>
      <c r="G457" s="4" t="s">
        <v>234</v>
      </c>
      <c r="H457" s="62">
        <v>2799.35</v>
      </c>
      <c r="I457" s="62">
        <v>-1805.0600000000004</v>
      </c>
      <c r="J457" s="62">
        <v>0</v>
      </c>
      <c r="K457" s="62">
        <v>0</v>
      </c>
      <c r="L457" s="62">
        <v>0</v>
      </c>
      <c r="M457" s="62">
        <v>-50</v>
      </c>
      <c r="N457" s="62">
        <v>0</v>
      </c>
      <c r="O457" s="62">
        <f t="shared" si="46"/>
        <v>944.28999999999951</v>
      </c>
      <c r="P457" s="62">
        <v>-2500</v>
      </c>
      <c r="Q457" s="62">
        <v>0</v>
      </c>
      <c r="R457" s="62">
        <v>-500</v>
      </c>
      <c r="S457" s="62">
        <v>0</v>
      </c>
      <c r="T457" s="62">
        <v>0</v>
      </c>
      <c r="U457" s="62">
        <v>0</v>
      </c>
      <c r="V457" s="62">
        <v>0</v>
      </c>
      <c r="W457" s="62">
        <f t="shared" si="50"/>
        <v>-2055.7100000000005</v>
      </c>
      <c r="X457" s="62">
        <f t="shared" si="47"/>
        <v>0</v>
      </c>
      <c r="Y457" s="62">
        <f t="shared" si="48"/>
        <v>-2055.7100000000005</v>
      </c>
      <c r="Z457" s="62">
        <v>2056</v>
      </c>
      <c r="AA457" s="62">
        <f t="shared" si="49"/>
        <v>0.28999999999950887</v>
      </c>
      <c r="AB457" s="62">
        <f t="shared" si="51"/>
        <v>3000.579999999999</v>
      </c>
      <c r="AC457" s="62"/>
      <c r="AD457" s="62" t="s">
        <v>976</v>
      </c>
    </row>
    <row r="458" spans="1:30" hidden="1" x14ac:dyDescent="0.3">
      <c r="A458" s="69">
        <v>8</v>
      </c>
      <c r="B458" s="3" t="s">
        <v>5</v>
      </c>
      <c r="C458" s="4" t="s">
        <v>6</v>
      </c>
      <c r="D458" s="4" t="s">
        <v>570</v>
      </c>
      <c r="E458" s="4" t="str">
        <f>VLOOKUP(C458,'[2]CTRL AUTOS'!$E$2:$L$58,8,FALSE)</f>
        <v>ASHC</v>
      </c>
      <c r="F458" s="61" t="str">
        <f>VLOOKUP(C458,'[2]CTRL AUTOS'!$E$2:$K$58,7,FALSE)</f>
        <v>ASHC</v>
      </c>
      <c r="G458" s="4" t="s">
        <v>425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62">
        <f t="shared" si="46"/>
        <v>0</v>
      </c>
      <c r="P458" s="62">
        <v>-2500</v>
      </c>
      <c r="Q458" s="62">
        <f>-2300*1.12</f>
        <v>-2576.0000000000005</v>
      </c>
      <c r="R458" s="62">
        <v>0</v>
      </c>
      <c r="S458" s="62">
        <v>0</v>
      </c>
      <c r="T458" s="62">
        <v>0</v>
      </c>
      <c r="U458" s="62">
        <v>0</v>
      </c>
      <c r="V458" s="62">
        <v>0</v>
      </c>
      <c r="W458" s="62">
        <f t="shared" si="50"/>
        <v>-5076</v>
      </c>
      <c r="X458" s="62">
        <f>IF(W458&gt;=0,W458,0)</f>
        <v>0</v>
      </c>
      <c r="Y458" s="62">
        <f>IF(W458&lt;=0,W458,0)</f>
        <v>-5076</v>
      </c>
      <c r="Z458" s="62">
        <f>800+700</f>
        <v>1500</v>
      </c>
      <c r="AA458" s="62">
        <f>+Y458+Z458</f>
        <v>-3576</v>
      </c>
      <c r="AB458" s="62">
        <f t="shared" si="51"/>
        <v>-2076</v>
      </c>
      <c r="AC458" s="62"/>
      <c r="AD458" s="62" t="s">
        <v>977</v>
      </c>
    </row>
    <row r="459" spans="1:30" hidden="1" x14ac:dyDescent="0.3">
      <c r="A459" s="69">
        <v>8</v>
      </c>
      <c r="B459" s="3" t="s">
        <v>5</v>
      </c>
      <c r="C459" s="4" t="s">
        <v>42</v>
      </c>
      <c r="D459" s="4" t="s">
        <v>570</v>
      </c>
      <c r="E459" s="4" t="str">
        <f>VLOOKUP(C459,'[2]CTRL AUTOS'!$E$2:$L$58,8,FALSE)</f>
        <v>ASHC</v>
      </c>
      <c r="F459" s="61" t="str">
        <f>VLOOKUP(C459,'[2]CTRL AUTOS'!$E$2:$K$58,7,FALSE)</f>
        <v>ASHC</v>
      </c>
      <c r="G459" s="4" t="s">
        <v>425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62">
        <f t="shared" si="46"/>
        <v>0</v>
      </c>
      <c r="P459" s="62">
        <v>0</v>
      </c>
      <c r="Q459" s="62">
        <v>0</v>
      </c>
      <c r="R459" s="62">
        <v>0</v>
      </c>
      <c r="S459" s="62">
        <v>0</v>
      </c>
      <c r="T459" s="62">
        <v>-500</v>
      </c>
      <c r="U459" s="62">
        <v>0</v>
      </c>
      <c r="V459" s="62">
        <v>0</v>
      </c>
      <c r="W459" s="62">
        <f t="shared" si="50"/>
        <v>-500</v>
      </c>
      <c r="X459" s="62">
        <f>IF(W459&gt;=0,W459,0)</f>
        <v>0</v>
      </c>
      <c r="Y459" s="62">
        <f>IF(W459&lt;=0,W459,0)</f>
        <v>-500</v>
      </c>
      <c r="Z459" s="62">
        <v>500</v>
      </c>
      <c r="AA459" s="62">
        <f>+Y459+Z459</f>
        <v>0</v>
      </c>
      <c r="AB459" s="62">
        <f t="shared" si="51"/>
        <v>500</v>
      </c>
      <c r="AC459" s="62"/>
      <c r="AD459" s="62"/>
    </row>
    <row r="460" spans="1:30" hidden="1" x14ac:dyDescent="0.3">
      <c r="A460" s="69">
        <v>8</v>
      </c>
      <c r="B460" s="3" t="s">
        <v>47</v>
      </c>
      <c r="C460" s="4" t="s">
        <v>147</v>
      </c>
      <c r="D460" s="4" t="s">
        <v>921</v>
      </c>
      <c r="E460" s="4" t="str">
        <f>VLOOKUP(C460,'[2]CTRL AUTOS'!$E$2:$L$58,8,FALSE)</f>
        <v>ASHC</v>
      </c>
      <c r="F460" s="61" t="str">
        <f>VLOOKUP(C460,'[2]CTRL AUTOS'!$E$2:$K$58,7,FALSE)</f>
        <v>ASHC</v>
      </c>
      <c r="G460" s="4" t="s">
        <v>234</v>
      </c>
      <c r="H460" s="62">
        <v>4780.72</v>
      </c>
      <c r="I460" s="62">
        <v>-2143.15</v>
      </c>
      <c r="J460" s="62">
        <v>0</v>
      </c>
      <c r="K460" s="62">
        <v>349.22</v>
      </c>
      <c r="L460" s="62">
        <v>-53.289999999999985</v>
      </c>
      <c r="M460" s="62">
        <v>-65</v>
      </c>
      <c r="N460" s="62">
        <v>0</v>
      </c>
      <c r="O460" s="62">
        <f t="shared" si="46"/>
        <v>2868.5</v>
      </c>
      <c r="P460" s="62">
        <v>-2700</v>
      </c>
      <c r="Q460" s="62">
        <v>0</v>
      </c>
      <c r="R460" s="62">
        <v>0</v>
      </c>
      <c r="S460" s="62">
        <v>0</v>
      </c>
      <c r="T460" s="62">
        <v>0</v>
      </c>
      <c r="U460" s="62">
        <v>0</v>
      </c>
      <c r="V460" s="62">
        <v>0</v>
      </c>
      <c r="W460" s="62">
        <f t="shared" si="50"/>
        <v>168.5</v>
      </c>
      <c r="X460" s="62">
        <f t="shared" ref="X460:X523" si="52">IF(W460&gt;=0,W460,0)</f>
        <v>168.5</v>
      </c>
      <c r="Y460" s="62">
        <f t="shared" ref="Y460:Y523" si="53">IF(W460&lt;=0,W460,0)</f>
        <v>0</v>
      </c>
      <c r="Z460" s="62">
        <v>0</v>
      </c>
      <c r="AA460" s="62">
        <f t="shared" ref="AA460:AA523" si="54">+Y460+Z460</f>
        <v>0</v>
      </c>
      <c r="AB460" s="62">
        <f t="shared" si="51"/>
        <v>2700</v>
      </c>
      <c r="AC460" s="62"/>
      <c r="AD460" s="62" t="s">
        <v>978</v>
      </c>
    </row>
    <row r="461" spans="1:30" hidden="1" x14ac:dyDescent="0.3">
      <c r="A461" s="69">
        <v>8</v>
      </c>
      <c r="B461" s="3" t="s">
        <v>49</v>
      </c>
      <c r="C461" s="4" t="s">
        <v>96</v>
      </c>
      <c r="D461" s="4" t="s">
        <v>480</v>
      </c>
      <c r="E461" s="4" t="str">
        <f>VLOOKUP(C461,'[2]CTRL AUTOS'!$E$2:$L$58,8,FALSE)</f>
        <v>ASHC</v>
      </c>
      <c r="F461" s="61" t="str">
        <f>VLOOKUP(C461,'[2]CTRL AUTOS'!$E$2:$K$58,7,FALSE)</f>
        <v>ASHC</v>
      </c>
      <c r="G461" s="4" t="s">
        <v>234</v>
      </c>
      <c r="H461" s="62">
        <v>6554.29</v>
      </c>
      <c r="I461" s="62">
        <v>0</v>
      </c>
      <c r="J461" s="62">
        <v>-54.4</v>
      </c>
      <c r="K461" s="62">
        <v>0</v>
      </c>
      <c r="L461" s="62">
        <v>0</v>
      </c>
      <c r="M461" s="62">
        <v>0</v>
      </c>
      <c r="N461" s="62">
        <v>0</v>
      </c>
      <c r="O461" s="62">
        <f t="shared" si="46"/>
        <v>6499.89</v>
      </c>
      <c r="P461" s="62">
        <v>-2500</v>
      </c>
      <c r="Q461" s="62">
        <v>0</v>
      </c>
      <c r="R461" s="62">
        <v>0</v>
      </c>
      <c r="S461" s="62">
        <v>0</v>
      </c>
      <c r="T461" s="62">
        <v>-700</v>
      </c>
      <c r="U461" s="62">
        <v>0</v>
      </c>
      <c r="V461" s="62">
        <v>0</v>
      </c>
      <c r="W461" s="62">
        <f t="shared" si="50"/>
        <v>3299.8900000000003</v>
      </c>
      <c r="X461" s="62">
        <f t="shared" si="52"/>
        <v>3299.8900000000003</v>
      </c>
      <c r="Y461" s="62">
        <f t="shared" si="53"/>
        <v>0</v>
      </c>
      <c r="Z461" s="62">
        <v>0</v>
      </c>
      <c r="AA461" s="62">
        <f t="shared" si="54"/>
        <v>0</v>
      </c>
      <c r="AB461" s="62">
        <f t="shared" si="51"/>
        <v>3200</v>
      </c>
      <c r="AC461" s="62"/>
      <c r="AD461" s="62" t="s">
        <v>979</v>
      </c>
    </row>
    <row r="462" spans="1:30" hidden="1" x14ac:dyDescent="0.3">
      <c r="A462" s="69">
        <v>8</v>
      </c>
      <c r="B462" s="3" t="s">
        <v>49</v>
      </c>
      <c r="C462" s="4" t="s">
        <v>104</v>
      </c>
      <c r="D462" s="4" t="s">
        <v>283</v>
      </c>
      <c r="E462" s="4" t="s">
        <v>924</v>
      </c>
      <c r="F462" s="61" t="s">
        <v>232</v>
      </c>
      <c r="G462" s="4" t="s">
        <v>234</v>
      </c>
      <c r="H462" s="62">
        <v>0</v>
      </c>
      <c r="I462" s="62">
        <v>0</v>
      </c>
      <c r="J462" s="62">
        <v>0</v>
      </c>
      <c r="K462" s="62">
        <v>0</v>
      </c>
      <c r="L462" s="62">
        <v>0</v>
      </c>
      <c r="M462" s="62">
        <v>0</v>
      </c>
      <c r="N462" s="62">
        <v>0</v>
      </c>
      <c r="O462" s="62">
        <f t="shared" si="46"/>
        <v>0</v>
      </c>
      <c r="P462" s="62">
        <v>0</v>
      </c>
      <c r="Q462" s="62">
        <v>0</v>
      </c>
      <c r="R462" s="62">
        <v>0</v>
      </c>
      <c r="S462" s="62">
        <v>0</v>
      </c>
      <c r="T462" s="62">
        <v>-700</v>
      </c>
      <c r="U462" s="62">
        <v>0</v>
      </c>
      <c r="V462" s="62">
        <v>0</v>
      </c>
      <c r="W462" s="62">
        <f t="shared" si="50"/>
        <v>-700</v>
      </c>
      <c r="X462" s="62">
        <f t="shared" si="52"/>
        <v>0</v>
      </c>
      <c r="Y462" s="62">
        <f t="shared" si="53"/>
        <v>-700</v>
      </c>
      <c r="Z462" s="62">
        <v>700</v>
      </c>
      <c r="AA462" s="62">
        <f t="shared" si="54"/>
        <v>0</v>
      </c>
      <c r="AB462" s="62">
        <f t="shared" si="51"/>
        <v>700</v>
      </c>
      <c r="AC462" s="62"/>
      <c r="AD462" s="62" t="s">
        <v>979</v>
      </c>
    </row>
    <row r="463" spans="1:30" hidden="1" x14ac:dyDescent="0.3">
      <c r="A463" s="69">
        <v>8</v>
      </c>
      <c r="B463" s="3" t="s">
        <v>115</v>
      </c>
      <c r="C463" s="4" t="s">
        <v>42</v>
      </c>
      <c r="D463" s="4" t="s">
        <v>755</v>
      </c>
      <c r="E463" s="4" t="str">
        <f>VLOOKUP(C463,'[2]CTRL AUTOS'!$E$2:$L$58,8,FALSE)</f>
        <v>ASHC</v>
      </c>
      <c r="F463" s="61" t="str">
        <f>VLOOKUP(C463,'[2]CTRL AUTOS'!$E$2:$K$58,7,FALSE)</f>
        <v>ASHC</v>
      </c>
      <c r="G463" s="4" t="s">
        <v>234</v>
      </c>
      <c r="H463" s="62">
        <v>4186.53</v>
      </c>
      <c r="I463" s="62">
        <v>-1288.5900000000001</v>
      </c>
      <c r="J463" s="62">
        <v>0</v>
      </c>
      <c r="K463" s="62">
        <v>0</v>
      </c>
      <c r="L463" s="62">
        <v>0</v>
      </c>
      <c r="M463" s="62">
        <v>-50</v>
      </c>
      <c r="N463" s="62">
        <v>0</v>
      </c>
      <c r="O463" s="62">
        <f t="shared" si="46"/>
        <v>2847.9399999999996</v>
      </c>
      <c r="P463" s="62">
        <v>-2500</v>
      </c>
      <c r="Q463" s="62">
        <v>0</v>
      </c>
      <c r="R463" s="62">
        <v>-500</v>
      </c>
      <c r="S463" s="62">
        <v>0</v>
      </c>
      <c r="T463" s="62">
        <v>0</v>
      </c>
      <c r="U463" s="62">
        <v>0</v>
      </c>
      <c r="V463" s="62">
        <v>0</v>
      </c>
      <c r="W463" s="62">
        <f t="shared" si="50"/>
        <v>-152.0600000000004</v>
      </c>
      <c r="X463" s="62">
        <f t="shared" si="52"/>
        <v>0</v>
      </c>
      <c r="Y463" s="62">
        <f t="shared" si="53"/>
        <v>-152.0600000000004</v>
      </c>
      <c r="Z463" s="62">
        <v>152</v>
      </c>
      <c r="AA463" s="62">
        <f t="shared" si="54"/>
        <v>-6.0000000000400178E-2</v>
      </c>
      <c r="AB463" s="62">
        <f t="shared" si="51"/>
        <v>2999.8799999999992</v>
      </c>
      <c r="AC463" s="62"/>
      <c r="AD463" s="62" t="s">
        <v>980</v>
      </c>
    </row>
    <row r="464" spans="1:30" hidden="1" x14ac:dyDescent="0.3">
      <c r="A464" s="69">
        <v>8</v>
      </c>
      <c r="B464" s="3" t="s">
        <v>132</v>
      </c>
      <c r="C464" s="4" t="s">
        <v>54</v>
      </c>
      <c r="D464" s="4" t="s">
        <v>318</v>
      </c>
      <c r="E464" s="4" t="str">
        <f>VLOOKUP(C464,'[2]CTRL AUTOS'!$E$2:$L$58,8,FALSE)</f>
        <v>ASHC</v>
      </c>
      <c r="F464" s="61" t="str">
        <f>VLOOKUP(C464,'[2]CTRL AUTOS'!$E$2:$K$58,7,FALSE)</f>
        <v>ASHC</v>
      </c>
      <c r="G464" s="4" t="s">
        <v>234</v>
      </c>
      <c r="H464" s="62">
        <v>0</v>
      </c>
      <c r="I464" s="62">
        <v>0</v>
      </c>
      <c r="J464" s="62">
        <v>0</v>
      </c>
      <c r="K464" s="62">
        <v>0</v>
      </c>
      <c r="L464" s="62">
        <v>0</v>
      </c>
      <c r="M464" s="62">
        <v>0</v>
      </c>
      <c r="N464" s="62">
        <v>0</v>
      </c>
      <c r="O464" s="62">
        <f t="shared" si="46"/>
        <v>0</v>
      </c>
      <c r="P464" s="62">
        <f>(-2500/7)*6</f>
        <v>-2142.8571428571431</v>
      </c>
      <c r="Q464" s="62">
        <f>-3161</f>
        <v>-3161</v>
      </c>
      <c r="R464" s="62">
        <f>(-500/7)*6</f>
        <v>-428.57142857142856</v>
      </c>
      <c r="S464" s="62">
        <v>0</v>
      </c>
      <c r="T464" s="62">
        <v>-440</v>
      </c>
      <c r="U464" s="62">
        <v>0</v>
      </c>
      <c r="V464" s="62">
        <v>0</v>
      </c>
      <c r="W464" s="62">
        <f t="shared" si="50"/>
        <v>-6172.4285714285716</v>
      </c>
      <c r="X464" s="62">
        <f t="shared" si="52"/>
        <v>0</v>
      </c>
      <c r="Y464" s="62">
        <f t="shared" si="53"/>
        <v>-6172.4285714285716</v>
      </c>
      <c r="Z464" s="62">
        <v>0</v>
      </c>
      <c r="AA464" s="62">
        <f t="shared" si="54"/>
        <v>-6172.4285714285716</v>
      </c>
      <c r="AB464" s="62">
        <f t="shared" si="51"/>
        <v>-6172.4285714285716</v>
      </c>
      <c r="AC464" s="62"/>
      <c r="AD464" s="62" t="s">
        <v>981</v>
      </c>
    </row>
    <row r="465" spans="1:32" hidden="1" x14ac:dyDescent="0.3">
      <c r="A465" s="69">
        <v>8</v>
      </c>
      <c r="B465" s="3" t="s">
        <v>51</v>
      </c>
      <c r="C465" s="4" t="s">
        <v>52</v>
      </c>
      <c r="D465" s="4" t="s">
        <v>313</v>
      </c>
      <c r="E465" s="4" t="str">
        <f>VLOOKUP(C465,'[2]CTRL AUTOS'!$E$2:$L$58,8,FALSE)</f>
        <v>ASHC</v>
      </c>
      <c r="F465" s="61" t="str">
        <f>VLOOKUP(C465,'[2]CTRL AUTOS'!$E$2:$K$58,7,FALSE)</f>
        <v>ASHC</v>
      </c>
      <c r="G465" s="4" t="s">
        <v>234</v>
      </c>
      <c r="H465" s="70">
        <v>1117.1099999999999</v>
      </c>
      <c r="I465" s="62">
        <v>0</v>
      </c>
      <c r="J465" s="62">
        <v>0</v>
      </c>
      <c r="K465" s="62">
        <v>0</v>
      </c>
      <c r="L465" s="62">
        <v>-8.74</v>
      </c>
      <c r="M465" s="62">
        <v>-5</v>
      </c>
      <c r="N465" s="62">
        <v>0</v>
      </c>
      <c r="O465" s="62">
        <f t="shared" si="46"/>
        <v>1103.3699999999999</v>
      </c>
      <c r="P465" s="62">
        <v>-2500</v>
      </c>
      <c r="Q465" s="62">
        <v>0</v>
      </c>
      <c r="R465" s="62">
        <v>0</v>
      </c>
      <c r="S465" s="62">
        <v>0</v>
      </c>
      <c r="T465" s="62">
        <v>-700</v>
      </c>
      <c r="U465" s="62">
        <v>0</v>
      </c>
      <c r="V465" s="62">
        <v>0</v>
      </c>
      <c r="W465" s="62">
        <f t="shared" si="50"/>
        <v>-2096.63</v>
      </c>
      <c r="X465" s="62">
        <f t="shared" si="52"/>
        <v>0</v>
      </c>
      <c r="Y465" s="62">
        <f t="shared" si="53"/>
        <v>-2096.63</v>
      </c>
      <c r="Z465" s="62">
        <v>2097</v>
      </c>
      <c r="AA465" s="62">
        <f t="shared" si="54"/>
        <v>0.36999999999989086</v>
      </c>
      <c r="AB465" s="62">
        <f t="shared" si="51"/>
        <v>3200.74</v>
      </c>
      <c r="AC465" s="62"/>
      <c r="AD465" s="62" t="s">
        <v>982</v>
      </c>
    </row>
    <row r="466" spans="1:32" hidden="1" x14ac:dyDescent="0.3">
      <c r="A466" s="69">
        <v>8</v>
      </c>
      <c r="B466" s="3" t="s">
        <v>131</v>
      </c>
      <c r="C466" s="4" t="s">
        <v>116</v>
      </c>
      <c r="D466" s="4" t="s">
        <v>928</v>
      </c>
      <c r="E466" s="4" t="str">
        <f>VLOOKUP(C466,'[2]CTRL AUTOS'!$E$2:$L$58,8,FALSE)</f>
        <v>BYER</v>
      </c>
      <c r="F466" s="61" t="str">
        <f>VLOOKUP(C466,'[2]CTRL AUTOS'!$E$2:$K$58,7,FALSE)</f>
        <v>BYER</v>
      </c>
      <c r="G466" s="4" t="s">
        <v>234</v>
      </c>
      <c r="H466" s="62">
        <v>4840.37</v>
      </c>
      <c r="I466" s="62">
        <v>-1538.06</v>
      </c>
      <c r="J466" s="62">
        <v>-41</v>
      </c>
      <c r="K466" s="62">
        <v>0</v>
      </c>
      <c r="L466" s="62">
        <v>-55.75</v>
      </c>
      <c r="M466" s="62">
        <v>-50</v>
      </c>
      <c r="N466" s="62">
        <v>0</v>
      </c>
      <c r="O466" s="62">
        <f t="shared" si="46"/>
        <v>3155.56</v>
      </c>
      <c r="P466" s="62">
        <v>-2500</v>
      </c>
      <c r="Q466" s="62">
        <v>0</v>
      </c>
      <c r="R466" s="62">
        <v>-500</v>
      </c>
      <c r="S466" s="62">
        <v>0</v>
      </c>
      <c r="T466" s="62">
        <v>0</v>
      </c>
      <c r="U466" s="62">
        <v>0</v>
      </c>
      <c r="V466" s="62">
        <v>0</v>
      </c>
      <c r="W466" s="62">
        <f t="shared" si="50"/>
        <v>155.55999999999995</v>
      </c>
      <c r="X466" s="62">
        <f t="shared" si="52"/>
        <v>155.55999999999995</v>
      </c>
      <c r="Y466" s="62">
        <f t="shared" si="53"/>
        <v>0</v>
      </c>
      <c r="Z466" s="62">
        <v>0</v>
      </c>
      <c r="AA466" s="62">
        <f t="shared" si="54"/>
        <v>0</v>
      </c>
      <c r="AB466" s="62">
        <f t="shared" si="51"/>
        <v>3000</v>
      </c>
      <c r="AC466" s="62"/>
      <c r="AD466" s="62" t="s">
        <v>983</v>
      </c>
    </row>
    <row r="467" spans="1:32" hidden="1" x14ac:dyDescent="0.3">
      <c r="A467" s="69">
        <v>8</v>
      </c>
      <c r="B467" s="3" t="s">
        <v>78</v>
      </c>
      <c r="C467" s="4" t="s">
        <v>79</v>
      </c>
      <c r="D467" s="4" t="s">
        <v>475</v>
      </c>
      <c r="E467" s="4" t="str">
        <f>VLOOKUP(C467,'[2]CTRL AUTOS'!$E$2:$L$58,8,FALSE)</f>
        <v>BYER</v>
      </c>
      <c r="F467" s="61" t="str">
        <f>VLOOKUP(C467,'[2]CTRL AUTOS'!$E$2:$K$58,7,FALSE)</f>
        <v>BYER</v>
      </c>
      <c r="G467" s="4" t="s">
        <v>234</v>
      </c>
      <c r="H467" s="62">
        <v>1326.38</v>
      </c>
      <c r="I467" s="62">
        <v>-374.48</v>
      </c>
      <c r="J467" s="62">
        <v>0</v>
      </c>
      <c r="K467" s="62">
        <v>0</v>
      </c>
      <c r="L467" s="62">
        <v>-11.94</v>
      </c>
      <c r="M467" s="62">
        <v>-25</v>
      </c>
      <c r="N467" s="62">
        <v>0</v>
      </c>
      <c r="O467" s="62">
        <f t="shared" si="46"/>
        <v>914.96</v>
      </c>
      <c r="P467" s="62">
        <v>-2500</v>
      </c>
      <c r="Q467" s="62">
        <v>-2048</v>
      </c>
      <c r="R467" s="62">
        <v>0</v>
      </c>
      <c r="S467" s="62">
        <v>0</v>
      </c>
      <c r="T467" s="62">
        <v>0</v>
      </c>
      <c r="U467" s="62">
        <v>0</v>
      </c>
      <c r="V467" s="62">
        <v>0</v>
      </c>
      <c r="W467" s="62">
        <f t="shared" si="50"/>
        <v>-3633.04</v>
      </c>
      <c r="X467" s="62">
        <f t="shared" si="52"/>
        <v>0</v>
      </c>
      <c r="Y467" s="62">
        <f t="shared" si="53"/>
        <v>-3633.04</v>
      </c>
      <c r="Z467" s="62">
        <v>0</v>
      </c>
      <c r="AA467" s="62">
        <f t="shared" si="54"/>
        <v>-3633.04</v>
      </c>
      <c r="AB467" s="62">
        <f t="shared" si="51"/>
        <v>-2718.08</v>
      </c>
      <c r="AC467" s="62"/>
      <c r="AD467" s="62"/>
    </row>
    <row r="468" spans="1:32" hidden="1" x14ac:dyDescent="0.3">
      <c r="A468" s="69">
        <v>8</v>
      </c>
      <c r="B468" s="3" t="s">
        <v>107</v>
      </c>
      <c r="C468" s="4" t="s">
        <v>148</v>
      </c>
      <c r="D468" s="4" t="s">
        <v>931</v>
      </c>
      <c r="E468" s="4" t="str">
        <f>VLOOKUP(C468,'[2]CTRL AUTOS'!$E$2:$L$58,8,FALSE)</f>
        <v>ASHC</v>
      </c>
      <c r="F468" s="61" t="str">
        <f>VLOOKUP(C468,'[2]CTRL AUTOS'!$E$2:$K$58,7,FALSE)</f>
        <v>ASHC</v>
      </c>
      <c r="G468" s="4" t="s">
        <v>234</v>
      </c>
      <c r="H468" s="62">
        <v>3522.17</v>
      </c>
      <c r="I468" s="62">
        <v>-2951.7299999999996</v>
      </c>
      <c r="J468" s="62">
        <v>0</v>
      </c>
      <c r="K468" s="62">
        <v>0</v>
      </c>
      <c r="L468" s="62">
        <v>0</v>
      </c>
      <c r="M468" s="62">
        <f>-16.56-70</f>
        <v>-86.56</v>
      </c>
      <c r="N468" s="62">
        <v>-138</v>
      </c>
      <c r="O468" s="62">
        <f t="shared" si="46"/>
        <v>345.88000000000051</v>
      </c>
      <c r="P468" s="62">
        <v>-2700</v>
      </c>
      <c r="Q468" s="62">
        <v>0</v>
      </c>
      <c r="R468" s="62">
        <v>-500</v>
      </c>
      <c r="S468" s="62">
        <v>0</v>
      </c>
      <c r="T468" s="62">
        <v>0</v>
      </c>
      <c r="U468" s="62">
        <v>0</v>
      </c>
      <c r="V468" s="62">
        <v>0</v>
      </c>
      <c r="W468" s="62">
        <f t="shared" si="50"/>
        <v>-2854.1199999999994</v>
      </c>
      <c r="X468" s="62">
        <f t="shared" si="52"/>
        <v>0</v>
      </c>
      <c r="Y468" s="62">
        <f t="shared" si="53"/>
        <v>-2854.1199999999994</v>
      </c>
      <c r="Z468" s="62">
        <v>2854</v>
      </c>
      <c r="AA468" s="62">
        <f t="shared" si="54"/>
        <v>-0.11999999999943611</v>
      </c>
      <c r="AB468" s="62">
        <f t="shared" si="51"/>
        <v>3199.7600000000011</v>
      </c>
      <c r="AC468" s="62"/>
      <c r="AD468" s="62" t="s">
        <v>984</v>
      </c>
    </row>
    <row r="469" spans="1:32" hidden="1" x14ac:dyDescent="0.3">
      <c r="A469" s="69">
        <v>8</v>
      </c>
      <c r="B469" s="3" t="s">
        <v>87</v>
      </c>
      <c r="C469" s="4" t="s">
        <v>83</v>
      </c>
      <c r="D469" s="4" t="s">
        <v>592</v>
      </c>
      <c r="E469" s="4" t="str">
        <f>VLOOKUP(C469,'[2]CTRL AUTOS'!$E$2:$L$58,8,FALSE)</f>
        <v>ASHC</v>
      </c>
      <c r="F469" s="61" t="str">
        <f>VLOOKUP(C469,'[2]CTRL AUTOS'!$E$2:$K$58,7,FALSE)</f>
        <v>ASHC</v>
      </c>
      <c r="G469" s="4" t="s">
        <v>234</v>
      </c>
      <c r="H469" s="62">
        <v>1822.7</v>
      </c>
      <c r="I469" s="62">
        <v>0</v>
      </c>
      <c r="J469" s="62">
        <v>0</v>
      </c>
      <c r="K469" s="62">
        <v>0</v>
      </c>
      <c r="L469" s="62">
        <v>0</v>
      </c>
      <c r="M469" s="62">
        <v>-12.959999999999999</v>
      </c>
      <c r="N469" s="62">
        <v>-108</v>
      </c>
      <c r="O469" s="62">
        <f t="shared" si="46"/>
        <v>1701.74</v>
      </c>
      <c r="P469" s="62">
        <v>-2700</v>
      </c>
      <c r="Q469" s="62">
        <v>0</v>
      </c>
      <c r="R469" s="62">
        <v>0</v>
      </c>
      <c r="S469" s="62">
        <v>0</v>
      </c>
      <c r="T469" s="62">
        <v>-500</v>
      </c>
      <c r="U469" s="62">
        <v>0</v>
      </c>
      <c r="V469" s="62">
        <v>0</v>
      </c>
      <c r="W469" s="62">
        <f t="shared" si="50"/>
        <v>-1498.26</v>
      </c>
      <c r="X469" s="62">
        <f t="shared" si="52"/>
        <v>0</v>
      </c>
      <c r="Y469" s="62">
        <f t="shared" si="53"/>
        <v>-1498.26</v>
      </c>
      <c r="Z469" s="62">
        <f>1000+498</f>
        <v>1498</v>
      </c>
      <c r="AA469" s="62">
        <f t="shared" si="54"/>
        <v>-0.25999999999999091</v>
      </c>
      <c r="AB469" s="62">
        <f t="shared" si="51"/>
        <v>3199.4799999999996</v>
      </c>
      <c r="AC469" s="62"/>
      <c r="AD469" s="62" t="s">
        <v>985</v>
      </c>
    </row>
    <row r="470" spans="1:32" hidden="1" x14ac:dyDescent="0.3">
      <c r="A470" s="69">
        <v>8</v>
      </c>
      <c r="B470" s="3" t="s">
        <v>117</v>
      </c>
      <c r="C470" s="4" t="s">
        <v>118</v>
      </c>
      <c r="D470" s="4" t="s">
        <v>934</v>
      </c>
      <c r="E470" s="4" t="str">
        <f>VLOOKUP(C470,'[2]CTRL AUTOS'!$E$2:$L$58,8,FALSE)</f>
        <v>ASHC</v>
      </c>
      <c r="F470" s="61" t="str">
        <f>VLOOKUP(C470,'[2]CTRL AUTOS'!$E$2:$K$58,7,FALSE)</f>
        <v>ASHC</v>
      </c>
      <c r="G470" s="4" t="s">
        <v>234</v>
      </c>
      <c r="H470" s="62">
        <v>4918.3599999999997</v>
      </c>
      <c r="I470" s="62">
        <v>-3419.2100000000005</v>
      </c>
      <c r="J470" s="62">
        <v>0</v>
      </c>
      <c r="K470" s="62">
        <v>0</v>
      </c>
      <c r="L470" s="62">
        <v>-50.07</v>
      </c>
      <c r="M470" s="62">
        <v>-70</v>
      </c>
      <c r="N470" s="62">
        <v>0</v>
      </c>
      <c r="O470" s="62">
        <f t="shared" si="46"/>
        <v>1379.0799999999992</v>
      </c>
      <c r="P470" s="62">
        <v>-2500</v>
      </c>
      <c r="Q470" s="62">
        <v>0</v>
      </c>
      <c r="R470" s="62">
        <v>-500</v>
      </c>
      <c r="S470" s="62">
        <v>0</v>
      </c>
      <c r="T470" s="62">
        <v>0</v>
      </c>
      <c r="U470" s="62">
        <v>0</v>
      </c>
      <c r="V470" s="62">
        <v>0</v>
      </c>
      <c r="W470" s="62">
        <f t="shared" si="50"/>
        <v>-1620.9200000000008</v>
      </c>
      <c r="X470" s="62">
        <f t="shared" si="52"/>
        <v>0</v>
      </c>
      <c r="Y470" s="62">
        <f t="shared" si="53"/>
        <v>-1620.9200000000008</v>
      </c>
      <c r="Z470" s="62">
        <v>1620</v>
      </c>
      <c r="AA470" s="62">
        <f t="shared" si="54"/>
        <v>-0.92000000000075488</v>
      </c>
      <c r="AB470" s="62">
        <f t="shared" si="51"/>
        <v>2998.159999999998</v>
      </c>
      <c r="AC470" s="62"/>
      <c r="AD470" s="62"/>
    </row>
    <row r="471" spans="1:32" hidden="1" x14ac:dyDescent="0.3">
      <c r="A471" s="69">
        <v>8</v>
      </c>
      <c r="B471" s="3" t="s">
        <v>98</v>
      </c>
      <c r="C471" s="4" t="s">
        <v>112</v>
      </c>
      <c r="D471" s="4" t="s">
        <v>336</v>
      </c>
      <c r="E471" s="4" t="str">
        <f>VLOOKUP(C471,'[2]CTRL AUTOS'!$E$2:$L$58,8,FALSE)</f>
        <v>ASHC</v>
      </c>
      <c r="F471" s="61" t="str">
        <f>VLOOKUP(C471,'[2]CTRL AUTOS'!$E$2:$K$58,7,FALSE)</f>
        <v>ASHC</v>
      </c>
      <c r="G471" s="4" t="s">
        <v>234</v>
      </c>
      <c r="H471" s="62">
        <v>1518.02</v>
      </c>
      <c r="I471" s="62">
        <v>0</v>
      </c>
      <c r="J471" s="62">
        <v>-59.54</v>
      </c>
      <c r="K471" s="62">
        <v>0</v>
      </c>
      <c r="L471" s="62">
        <v>0</v>
      </c>
      <c r="M471" s="62">
        <v>-69</v>
      </c>
      <c r="N471" s="62">
        <v>-575</v>
      </c>
      <c r="O471" s="62">
        <f>IF(H471+I471&lt;0,SUM(J471:N471),SUM(H471:N471))</f>
        <v>814.48</v>
      </c>
      <c r="P471" s="62">
        <v>-2500</v>
      </c>
      <c r="Q471" s="62">
        <f>-191*1.12</f>
        <v>-213.92000000000002</v>
      </c>
      <c r="R471" s="62">
        <v>0</v>
      </c>
      <c r="S471" s="62">
        <v>0</v>
      </c>
      <c r="T471" s="62">
        <v>-2500</v>
      </c>
      <c r="U471" s="62">
        <v>0</v>
      </c>
      <c r="V471" s="62">
        <v>0</v>
      </c>
      <c r="W471" s="62">
        <f t="shared" si="50"/>
        <v>-4399.4400000000005</v>
      </c>
      <c r="X471" s="62">
        <f t="shared" si="52"/>
        <v>0</v>
      </c>
      <c r="Y471" s="62">
        <f t="shared" si="53"/>
        <v>-4399.4400000000005</v>
      </c>
      <c r="Z471" s="62">
        <f>2500+1500+1000</f>
        <v>5000</v>
      </c>
      <c r="AA471" s="62">
        <f t="shared" si="54"/>
        <v>600.55999999999949</v>
      </c>
      <c r="AB471" s="62">
        <f t="shared" si="51"/>
        <v>6415.0399999999991</v>
      </c>
      <c r="AC471" s="62"/>
      <c r="AD471" s="62" t="s">
        <v>986</v>
      </c>
    </row>
    <row r="472" spans="1:32" hidden="1" x14ac:dyDescent="0.3">
      <c r="A472" s="69">
        <v>8</v>
      </c>
      <c r="B472" s="3" t="s">
        <v>150</v>
      </c>
      <c r="C472" s="4" t="s">
        <v>104</v>
      </c>
      <c r="D472" s="4" t="s">
        <v>283</v>
      </c>
      <c r="E472" s="4" t="s">
        <v>232</v>
      </c>
      <c r="F472" s="61" t="s">
        <v>232</v>
      </c>
      <c r="G472" s="4" t="s">
        <v>425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62">
        <f t="shared" si="46"/>
        <v>0</v>
      </c>
      <c r="P472" s="62">
        <v>-2500</v>
      </c>
      <c r="Q472" s="62">
        <v>0</v>
      </c>
      <c r="R472" s="62">
        <v>-500</v>
      </c>
      <c r="S472" s="62">
        <v>0</v>
      </c>
      <c r="T472" s="62">
        <v>0</v>
      </c>
      <c r="U472" s="62">
        <v>0</v>
      </c>
      <c r="V472" s="62">
        <v>0</v>
      </c>
      <c r="W472" s="62">
        <f t="shared" si="50"/>
        <v>-3000</v>
      </c>
      <c r="X472" s="62">
        <f t="shared" si="52"/>
        <v>0</v>
      </c>
      <c r="Y472" s="62">
        <f t="shared" si="53"/>
        <v>-3000</v>
      </c>
      <c r="Z472" s="62">
        <v>3000</v>
      </c>
      <c r="AA472" s="62">
        <f t="shared" si="54"/>
        <v>0</v>
      </c>
      <c r="AB472" s="62">
        <f t="shared" si="51"/>
        <v>3000</v>
      </c>
      <c r="AC472" s="62"/>
      <c r="AD472" s="62" t="s">
        <v>987</v>
      </c>
    </row>
    <row r="473" spans="1:32" hidden="1" x14ac:dyDescent="0.3">
      <c r="A473" s="2">
        <v>8</v>
      </c>
      <c r="B473" s="3" t="s">
        <v>134</v>
      </c>
      <c r="C473" s="4" t="s">
        <v>52</v>
      </c>
      <c r="D473" s="4" t="s">
        <v>313</v>
      </c>
      <c r="E473" s="4" t="str">
        <f>VLOOKUP(C473,'[2]CTRL AUTOS'!$E$2:$L$58,8,FALSE)</f>
        <v>ASHC</v>
      </c>
      <c r="F473" s="61" t="str">
        <f>VLOOKUP(C473,'[2]CTRL AUTOS'!$E$2:$K$58,7,FALSE)</f>
        <v>ASHC</v>
      </c>
      <c r="G473" s="4" t="s">
        <v>234</v>
      </c>
      <c r="H473" s="62">
        <v>74.569999999999993</v>
      </c>
      <c r="I473" s="62">
        <f>IFERROR(VLOOKUP(B473,[3]Hoja1!$L$41:$Q$88,6,FALSE),0)</f>
        <v>0</v>
      </c>
      <c r="J473" s="62">
        <f>IFERROR(VLOOKUP(B473,[3]Hoja1!$L$41:$R$88,7,FALSE),0)</f>
        <v>0</v>
      </c>
      <c r="K473" s="62">
        <v>0</v>
      </c>
      <c r="L473" s="62">
        <f>IFERROR(VLOOKUP(B473,[3]Hoja1!$L$41:$S$88,8,FALSE),0)</f>
        <v>0</v>
      </c>
      <c r="M473" s="62">
        <f>IFERROR(VLOOKUP(B473,[3]Hoja1!$L$41:$U$88,10,FALSE),0)</f>
        <v>0</v>
      </c>
      <c r="N473" s="62">
        <f>IFERROR(VLOOKUP(B473,[3]Hoja1!$L$41:$T$88,9,FALSE),0)</f>
        <v>0</v>
      </c>
      <c r="O473" s="62">
        <f>IF(H473+I473&lt;0,SUM(J473:N473),SUM(H473:N473))</f>
        <v>74.569999999999993</v>
      </c>
      <c r="P473" s="62">
        <f>(-2500/7)*2</f>
        <v>-714.28571428571433</v>
      </c>
      <c r="Q473" s="62">
        <v>-831</v>
      </c>
      <c r="R473" s="62">
        <v>0</v>
      </c>
      <c r="S473" s="62">
        <v>0</v>
      </c>
      <c r="T473" s="62">
        <v>0</v>
      </c>
      <c r="U473" s="62">
        <v>0</v>
      </c>
      <c r="V473" s="62">
        <v>0</v>
      </c>
      <c r="W473" s="62">
        <f t="shared" si="50"/>
        <v>-1470.7157142857143</v>
      </c>
      <c r="X473" s="62">
        <f t="shared" si="52"/>
        <v>0</v>
      </c>
      <c r="Y473" s="62">
        <f t="shared" si="53"/>
        <v>-1470.7157142857143</v>
      </c>
      <c r="Z473" s="62">
        <v>0</v>
      </c>
      <c r="AA473" s="62">
        <f t="shared" si="54"/>
        <v>-1470.7157142857143</v>
      </c>
      <c r="AB473" s="62">
        <f t="shared" si="51"/>
        <v>-1396.1457142857143</v>
      </c>
      <c r="AC473" s="62"/>
      <c r="AD473" s="62" t="s">
        <v>988</v>
      </c>
    </row>
    <row r="474" spans="1:32" hidden="1" x14ac:dyDescent="0.3">
      <c r="A474" s="2">
        <v>8</v>
      </c>
      <c r="B474" s="3" t="s">
        <v>149</v>
      </c>
      <c r="C474" s="4" t="s">
        <v>71</v>
      </c>
      <c r="D474" s="4"/>
      <c r="E474" s="4" t="s">
        <v>232</v>
      </c>
      <c r="F474" s="61" t="s">
        <v>232</v>
      </c>
      <c r="G474" s="4" t="s">
        <v>234</v>
      </c>
      <c r="H474" s="62">
        <v>4953.93</v>
      </c>
      <c r="I474" s="62">
        <f>IFERROR(VLOOKUP(B474,[3]Hoja1!$L$41:$Q$88,6,FALSE),0)</f>
        <v>-1481.13</v>
      </c>
      <c r="J474" s="62">
        <f>IFERROR(VLOOKUP(B474,[3]Hoja1!$L$41:$R$88,7,FALSE),0)</f>
        <v>0</v>
      </c>
      <c r="K474" s="62">
        <v>0</v>
      </c>
      <c r="L474" s="62">
        <f>IFERROR(VLOOKUP(B474,[3]Hoja1!$L$41:$S$88,8,FALSE),0)</f>
        <v>0</v>
      </c>
      <c r="M474" s="62">
        <v>-50</v>
      </c>
      <c r="N474" s="62">
        <f>IFERROR(VLOOKUP(B474,[3]Hoja1!$L$41:$T$88,9,FALSE),0)</f>
        <v>0</v>
      </c>
      <c r="O474" s="62">
        <f t="shared" ref="O474:O537" si="55">IF(H474+I474&lt;0,SUM(J474:N474),SUM(H474:N474))</f>
        <v>3422.8</v>
      </c>
      <c r="P474" s="62">
        <v>-3423</v>
      </c>
      <c r="Q474" s="62">
        <v>0</v>
      </c>
      <c r="R474" s="62">
        <v>0</v>
      </c>
      <c r="S474" s="62">
        <v>0</v>
      </c>
      <c r="T474" s="62">
        <v>0</v>
      </c>
      <c r="U474" s="62">
        <v>0</v>
      </c>
      <c r="V474" s="62">
        <v>0</v>
      </c>
      <c r="W474" s="62">
        <f t="shared" si="50"/>
        <v>-0.1999999999998181</v>
      </c>
      <c r="X474" s="62">
        <f t="shared" si="52"/>
        <v>0</v>
      </c>
      <c r="Y474" s="62">
        <f t="shared" si="53"/>
        <v>-0.1999999999998181</v>
      </c>
      <c r="Z474" s="62">
        <v>0</v>
      </c>
      <c r="AA474" s="62">
        <f t="shared" si="54"/>
        <v>-0.1999999999998181</v>
      </c>
      <c r="AB474" s="62">
        <f t="shared" si="51"/>
        <v>3422.6000000000004</v>
      </c>
      <c r="AC474" s="4"/>
      <c r="AD474" s="4"/>
    </row>
    <row r="475" spans="1:32" hidden="1" x14ac:dyDescent="0.3">
      <c r="A475" s="2">
        <v>8</v>
      </c>
      <c r="B475" t="s">
        <v>176</v>
      </c>
      <c r="C475" s="4" t="s">
        <v>158</v>
      </c>
      <c r="D475" s="4"/>
      <c r="E475" s="4" t="s">
        <v>232</v>
      </c>
      <c r="F475" s="61" t="s">
        <v>232</v>
      </c>
      <c r="G475" s="4" t="s">
        <v>234</v>
      </c>
      <c r="H475" s="62">
        <v>398.95</v>
      </c>
      <c r="I475" s="62">
        <f>IFERROR(VLOOKUP(B475,[3]Hoja1!$L$41:$Q$88,6,FALSE),0)</f>
        <v>-209.94</v>
      </c>
      <c r="J475" s="62">
        <f>IFERROR(VLOOKUP(B475,[3]Hoja1!$L$41:$R$88,7,FALSE),0)</f>
        <v>0</v>
      </c>
      <c r="K475" s="62">
        <v>0</v>
      </c>
      <c r="L475" s="62">
        <f>IFERROR(VLOOKUP(B475,[3]Hoja1!$L$41:$S$88,8,FALSE),0)</f>
        <v>0</v>
      </c>
      <c r="M475" s="62">
        <v>-25</v>
      </c>
      <c r="N475" s="62">
        <f>IFERROR(VLOOKUP(B475,[3]Hoja1!$L$41:$T$88,9,FALSE),0)</f>
        <v>0</v>
      </c>
      <c r="O475" s="62">
        <f t="shared" si="55"/>
        <v>164.01</v>
      </c>
      <c r="P475" s="62">
        <v>-164</v>
      </c>
      <c r="Q475" s="62">
        <v>0</v>
      </c>
      <c r="R475" s="62">
        <v>0</v>
      </c>
      <c r="S475" s="62">
        <v>0</v>
      </c>
      <c r="T475" s="62">
        <v>0</v>
      </c>
      <c r="U475" s="62">
        <v>0</v>
      </c>
      <c r="V475" s="62">
        <v>0</v>
      </c>
      <c r="W475" s="62">
        <f t="shared" si="50"/>
        <v>9.9999999999909051E-3</v>
      </c>
      <c r="X475" s="62">
        <f t="shared" si="52"/>
        <v>9.9999999999909051E-3</v>
      </c>
      <c r="Y475" s="62">
        <f t="shared" si="53"/>
        <v>0</v>
      </c>
      <c r="Z475" s="62">
        <v>0</v>
      </c>
      <c r="AA475" s="62">
        <f t="shared" si="54"/>
        <v>0</v>
      </c>
      <c r="AB475" s="62">
        <f t="shared" si="51"/>
        <v>164</v>
      </c>
      <c r="AC475" s="4"/>
      <c r="AD475" s="4"/>
    </row>
    <row r="476" spans="1:32" hidden="1" x14ac:dyDescent="0.3">
      <c r="A476" s="2">
        <v>8</v>
      </c>
      <c r="B476" t="s">
        <v>177</v>
      </c>
      <c r="C476" s="4" t="s">
        <v>40</v>
      </c>
      <c r="D476" s="4"/>
      <c r="E476" s="4" t="s">
        <v>232</v>
      </c>
      <c r="F476" s="61" t="s">
        <v>232</v>
      </c>
      <c r="G476" s="4" t="s">
        <v>234</v>
      </c>
      <c r="H476" s="62">
        <v>4029.53</v>
      </c>
      <c r="I476" s="62">
        <f>IFERROR(VLOOKUP(B476,[3]Hoja1!$L$41:$Q$88,6,FALSE),0)</f>
        <v>0</v>
      </c>
      <c r="J476" s="62">
        <f>IFERROR(VLOOKUP(B476,[3]Hoja1!$L$41:$R$88,7,FALSE),0)</f>
        <v>0</v>
      </c>
      <c r="K476" s="62">
        <v>0</v>
      </c>
      <c r="L476" s="62">
        <f>IFERROR(VLOOKUP(B476,[3]Hoja1!$L$41:$S$88,8,FALSE),0)</f>
        <v>0</v>
      </c>
      <c r="M476" s="62">
        <f>IFERROR(VLOOKUP(B476,[3]Hoja1!$L$41:$U$88,10,FALSE),0)</f>
        <v>0</v>
      </c>
      <c r="N476" s="62">
        <f>IFERROR(VLOOKUP(B476,[3]Hoja1!$L$41:$T$88,9,FALSE),0)</f>
        <v>0</v>
      </c>
      <c r="O476" s="62">
        <f t="shared" si="55"/>
        <v>4029.53</v>
      </c>
      <c r="P476" s="62">
        <v>-4030</v>
      </c>
      <c r="Q476" s="62">
        <v>0</v>
      </c>
      <c r="R476" s="62">
        <v>0</v>
      </c>
      <c r="S476" s="62">
        <v>0</v>
      </c>
      <c r="T476" s="62">
        <v>0</v>
      </c>
      <c r="U476" s="62">
        <v>0</v>
      </c>
      <c r="V476" s="62">
        <v>0</v>
      </c>
      <c r="W476" s="62">
        <f t="shared" si="50"/>
        <v>-0.46999999999979991</v>
      </c>
      <c r="X476" s="62">
        <f t="shared" si="52"/>
        <v>0</v>
      </c>
      <c r="Y476" s="62">
        <f t="shared" si="53"/>
        <v>-0.46999999999979991</v>
      </c>
      <c r="Z476" s="62">
        <v>0</v>
      </c>
      <c r="AA476" s="62">
        <f t="shared" si="54"/>
        <v>-0.46999999999979991</v>
      </c>
      <c r="AB476" s="62">
        <f t="shared" si="51"/>
        <v>4029.0600000000004</v>
      </c>
      <c r="AC476" s="4"/>
      <c r="AD476" s="4"/>
    </row>
    <row r="477" spans="1:32" hidden="1" x14ac:dyDescent="0.3">
      <c r="A477" s="2">
        <v>8</v>
      </c>
      <c r="B477" t="s">
        <v>178</v>
      </c>
      <c r="C477" s="4"/>
      <c r="D477" s="4"/>
      <c r="E477" s="4" t="s">
        <v>232</v>
      </c>
      <c r="F477" s="61" t="s">
        <v>232</v>
      </c>
      <c r="G477" s="4" t="s">
        <v>234</v>
      </c>
      <c r="H477" s="62">
        <v>1170.3900000000001</v>
      </c>
      <c r="I477" s="62">
        <f>IFERROR(VLOOKUP(B477,[3]Hoja1!$L$41:$Q$88,6,FALSE),0)</f>
        <v>0</v>
      </c>
      <c r="J477" s="62">
        <f>IFERROR(VLOOKUP(B477,[3]Hoja1!$L$41:$R$88,7,FALSE),0)</f>
        <v>0</v>
      </c>
      <c r="K477" s="62">
        <v>0</v>
      </c>
      <c r="L477" s="62">
        <f>IFERROR(VLOOKUP(B477,[3]Hoja1!$L$41:$S$88,8,FALSE),0)</f>
        <v>0</v>
      </c>
      <c r="M477" s="62">
        <f>IFERROR(VLOOKUP(B477,[3]Hoja1!$L$41:$U$88,10,FALSE),0)</f>
        <v>0</v>
      </c>
      <c r="N477" s="62">
        <f>IFERROR(VLOOKUP(B477,[3]Hoja1!$L$41:$T$88,9,FALSE),0)</f>
        <v>0</v>
      </c>
      <c r="O477" s="62">
        <f t="shared" si="55"/>
        <v>1170.3900000000001</v>
      </c>
      <c r="P477" s="62">
        <v>-1170</v>
      </c>
      <c r="Q477" s="62">
        <v>0</v>
      </c>
      <c r="R477" s="62">
        <v>0</v>
      </c>
      <c r="S477" s="62">
        <v>0</v>
      </c>
      <c r="T477" s="62">
        <v>0</v>
      </c>
      <c r="U477" s="62">
        <v>0</v>
      </c>
      <c r="V477" s="62">
        <v>0</v>
      </c>
      <c r="W477" s="62">
        <f t="shared" si="50"/>
        <v>0.39000000000010004</v>
      </c>
      <c r="X477" s="62">
        <f t="shared" si="52"/>
        <v>0.39000000000010004</v>
      </c>
      <c r="Y477" s="62">
        <f t="shared" si="53"/>
        <v>0</v>
      </c>
      <c r="Z477" s="62">
        <v>0</v>
      </c>
      <c r="AA477" s="62">
        <f t="shared" si="54"/>
        <v>0</v>
      </c>
      <c r="AB477" s="62">
        <f t="shared" si="51"/>
        <v>1170</v>
      </c>
      <c r="AC477" s="4"/>
      <c r="AD477" s="4"/>
    </row>
    <row r="478" spans="1:32" hidden="1" x14ac:dyDescent="0.3">
      <c r="A478" s="69">
        <v>9</v>
      </c>
      <c r="B478" s="4" t="s">
        <v>186</v>
      </c>
      <c r="C478" s="4" t="s">
        <v>54</v>
      </c>
      <c r="D478" s="4" t="s">
        <v>318</v>
      </c>
      <c r="E478" s="4" t="s">
        <v>232</v>
      </c>
      <c r="F478" s="4" t="s">
        <v>232</v>
      </c>
      <c r="G478" s="4" t="s">
        <v>234</v>
      </c>
      <c r="H478" s="62">
        <v>1240.5999999999999</v>
      </c>
      <c r="I478" s="62">
        <v>0</v>
      </c>
      <c r="J478" s="62">
        <v>0</v>
      </c>
      <c r="K478" s="62">
        <v>0</v>
      </c>
      <c r="L478" s="62">
        <v>0</v>
      </c>
      <c r="M478" s="62">
        <v>0</v>
      </c>
      <c r="N478" s="62">
        <v>0</v>
      </c>
      <c r="O478" s="62">
        <f t="shared" si="55"/>
        <v>1240.5999999999999</v>
      </c>
      <c r="P478" s="62">
        <f>(-2500/7)*5.5</f>
        <v>-1964.2857142857144</v>
      </c>
      <c r="Q478" s="62">
        <v>0</v>
      </c>
      <c r="R478" s="62">
        <v>-392.85714285714289</v>
      </c>
      <c r="S478" s="62">
        <v>0</v>
      </c>
      <c r="T478" s="62">
        <v>0</v>
      </c>
      <c r="U478" s="62">
        <v>0</v>
      </c>
      <c r="V478" s="62">
        <v>0</v>
      </c>
      <c r="W478" s="62">
        <f t="shared" si="50"/>
        <v>-1116.5428571428574</v>
      </c>
      <c r="X478" s="62">
        <f t="shared" si="52"/>
        <v>0</v>
      </c>
      <c r="Y478" s="62">
        <f t="shared" si="53"/>
        <v>-1116.5428571428574</v>
      </c>
      <c r="Z478" s="62">
        <f>850+267</f>
        <v>1117</v>
      </c>
      <c r="AA478" s="62">
        <f t="shared" si="54"/>
        <v>0.4571428571425713</v>
      </c>
      <c r="AB478" s="62">
        <f t="shared" si="51"/>
        <v>2358.0571428571425</v>
      </c>
      <c r="AC478" s="4">
        <v>1920</v>
      </c>
      <c r="AD478" s="4" t="s">
        <v>989</v>
      </c>
      <c r="AF478" s="54"/>
    </row>
    <row r="479" spans="1:32" hidden="1" x14ac:dyDescent="0.3">
      <c r="A479" s="69">
        <v>9</v>
      </c>
      <c r="B479" s="4" t="s">
        <v>183</v>
      </c>
      <c r="C479" s="4" t="s">
        <v>40</v>
      </c>
      <c r="D479" s="4" t="s">
        <v>315</v>
      </c>
      <c r="E479" s="4" t="s">
        <v>232</v>
      </c>
      <c r="F479" s="4" t="s">
        <v>232</v>
      </c>
      <c r="G479" s="4" t="s">
        <v>234</v>
      </c>
      <c r="H479" s="62">
        <v>2848.12</v>
      </c>
      <c r="I479" s="62">
        <v>-1140.6200000000001</v>
      </c>
      <c r="J479" s="62">
        <v>-9.6</v>
      </c>
      <c r="K479" s="62">
        <v>0</v>
      </c>
      <c r="L479" s="62">
        <v>0</v>
      </c>
      <c r="M479" s="62">
        <v>-40</v>
      </c>
      <c r="N479" s="62">
        <v>0</v>
      </c>
      <c r="O479" s="62">
        <f t="shared" si="55"/>
        <v>1657.8999999999999</v>
      </c>
      <c r="P479" s="62">
        <f>(-2500/7)*5.5</f>
        <v>-1964.2857142857144</v>
      </c>
      <c r="Q479" s="62">
        <v>0</v>
      </c>
      <c r="R479" s="62">
        <v>-392.85714285714289</v>
      </c>
      <c r="S479" s="62">
        <v>0</v>
      </c>
      <c r="T479" s="62">
        <v>0</v>
      </c>
      <c r="U479" s="62">
        <v>0</v>
      </c>
      <c r="V479" s="62">
        <v>0</v>
      </c>
      <c r="W479" s="62">
        <f t="shared" si="50"/>
        <v>-699.24285714285747</v>
      </c>
      <c r="X479" s="62">
        <f t="shared" si="52"/>
        <v>0</v>
      </c>
      <c r="Y479" s="62">
        <f t="shared" si="53"/>
        <v>-699.24285714285747</v>
      </c>
      <c r="Z479" s="62">
        <v>400</v>
      </c>
      <c r="AA479" s="62">
        <f t="shared" si="54"/>
        <v>-299.24285714285747</v>
      </c>
      <c r="AB479" s="62">
        <f t="shared" si="51"/>
        <v>1758.6571428571422</v>
      </c>
      <c r="AC479" s="4"/>
      <c r="AD479" s="4" t="s">
        <v>990</v>
      </c>
      <c r="AF479" s="54"/>
    </row>
    <row r="480" spans="1:32" hidden="1" x14ac:dyDescent="0.3">
      <c r="A480" s="69">
        <v>9</v>
      </c>
      <c r="B480" s="4" t="s">
        <v>187</v>
      </c>
      <c r="C480" s="4" t="s">
        <v>75</v>
      </c>
      <c r="D480" s="4" t="s">
        <v>333</v>
      </c>
      <c r="E480" s="4" t="s">
        <v>241</v>
      </c>
      <c r="F480" s="4" t="s">
        <v>291</v>
      </c>
      <c r="G480" s="4" t="s">
        <v>234</v>
      </c>
      <c r="H480" s="62">
        <v>4065.04</v>
      </c>
      <c r="I480" s="62">
        <v>-1791.54</v>
      </c>
      <c r="J480" s="62">
        <v>0</v>
      </c>
      <c r="K480" s="62">
        <v>0</v>
      </c>
      <c r="L480" s="62">
        <v>0</v>
      </c>
      <c r="M480" s="62">
        <v>-50</v>
      </c>
      <c r="N480" s="62">
        <v>0</v>
      </c>
      <c r="O480" s="62">
        <f t="shared" si="55"/>
        <v>2223.5</v>
      </c>
      <c r="P480" s="62">
        <f>(-2500/7)*6</f>
        <v>-2142.8571428571431</v>
      </c>
      <c r="Q480" s="62">
        <v>0</v>
      </c>
      <c r="R480" s="62">
        <v>-428.57142857142998</v>
      </c>
      <c r="S480" s="62">
        <v>0</v>
      </c>
      <c r="T480" s="62">
        <v>0</v>
      </c>
      <c r="U480" s="62">
        <v>0</v>
      </c>
      <c r="V480" s="62">
        <v>0</v>
      </c>
      <c r="W480" s="62">
        <f t="shared" si="50"/>
        <v>-347.92857142857309</v>
      </c>
      <c r="X480" s="62">
        <f t="shared" si="52"/>
        <v>0</v>
      </c>
      <c r="Y480" s="62">
        <f t="shared" si="53"/>
        <v>-347.92857142857309</v>
      </c>
      <c r="Z480" s="62">
        <v>348</v>
      </c>
      <c r="AA480" s="62">
        <f t="shared" si="54"/>
        <v>7.1428571426906728E-2</v>
      </c>
      <c r="AB480" s="62">
        <f t="shared" si="51"/>
        <v>2571.5714285714271</v>
      </c>
      <c r="AC480" s="4">
        <v>2000</v>
      </c>
      <c r="AD480" s="4" t="s">
        <v>991</v>
      </c>
      <c r="AF480" s="54"/>
    </row>
    <row r="481" spans="1:32" hidden="1" x14ac:dyDescent="0.3">
      <c r="A481" s="69">
        <v>9</v>
      </c>
      <c r="B481" s="4" t="s">
        <v>190</v>
      </c>
      <c r="C481" s="4" t="s">
        <v>50</v>
      </c>
      <c r="D481" s="4" t="s">
        <v>480</v>
      </c>
      <c r="E481" s="4" t="s">
        <v>232</v>
      </c>
      <c r="F481" s="4" t="s">
        <v>232</v>
      </c>
      <c r="G481" s="4" t="s">
        <v>234</v>
      </c>
      <c r="H481" s="62">
        <v>5467.18</v>
      </c>
      <c r="I481" s="62">
        <v>0</v>
      </c>
      <c r="J481" s="62">
        <v>0</v>
      </c>
      <c r="K481" s="62">
        <v>0</v>
      </c>
      <c r="L481" s="62">
        <v>0</v>
      </c>
      <c r="M481" s="62">
        <v>0</v>
      </c>
      <c r="N481" s="62">
        <v>0</v>
      </c>
      <c r="O481" s="62">
        <f t="shared" si="55"/>
        <v>5467.18</v>
      </c>
      <c r="P481" s="62">
        <f>(-2500/7)*3</f>
        <v>-1071.4285714285716</v>
      </c>
      <c r="Q481" s="62">
        <v>0</v>
      </c>
      <c r="R481" s="62">
        <v>0</v>
      </c>
      <c r="S481" s="62">
        <v>0</v>
      </c>
      <c r="T481" s="62">
        <v>0</v>
      </c>
      <c r="U481" s="62">
        <v>0</v>
      </c>
      <c r="V481" s="62">
        <v>0</v>
      </c>
      <c r="W481" s="62">
        <f t="shared" si="50"/>
        <v>4395.7514285714287</v>
      </c>
      <c r="X481" s="62">
        <f t="shared" si="52"/>
        <v>4395.7514285714287</v>
      </c>
      <c r="Y481" s="62">
        <f t="shared" si="53"/>
        <v>0</v>
      </c>
      <c r="Z481" s="62">
        <v>0</v>
      </c>
      <c r="AA481" s="62">
        <f t="shared" si="54"/>
        <v>0</v>
      </c>
      <c r="AB481" s="62">
        <f t="shared" si="51"/>
        <v>1071.4285714285716</v>
      </c>
      <c r="AC481" s="4"/>
      <c r="AD481" s="4" t="s">
        <v>992</v>
      </c>
      <c r="AF481" s="54"/>
    </row>
    <row r="482" spans="1:32" hidden="1" x14ac:dyDescent="0.3">
      <c r="A482" s="69">
        <v>9</v>
      </c>
      <c r="B482" s="4" t="s">
        <v>190</v>
      </c>
      <c r="C482" s="4" t="s">
        <v>142</v>
      </c>
      <c r="D482" s="4" t="s">
        <v>1079</v>
      </c>
      <c r="E482" s="4" t="s">
        <v>232</v>
      </c>
      <c r="F482" s="4" t="s">
        <v>232</v>
      </c>
      <c r="G482" s="4" t="s">
        <v>234</v>
      </c>
      <c r="H482" s="62">
        <v>0</v>
      </c>
      <c r="I482" s="62">
        <v>0</v>
      </c>
      <c r="J482" s="62">
        <v>0</v>
      </c>
      <c r="K482" s="62">
        <v>0</v>
      </c>
      <c r="L482" s="62">
        <v>0</v>
      </c>
      <c r="M482" s="62">
        <v>0</v>
      </c>
      <c r="N482" s="62">
        <v>0</v>
      </c>
      <c r="O482" s="62">
        <f t="shared" si="55"/>
        <v>0</v>
      </c>
      <c r="P482" s="62">
        <f>(-2700/7)*2</f>
        <v>-771.42857142857144</v>
      </c>
      <c r="Q482" s="62">
        <v>0</v>
      </c>
      <c r="R482" s="62">
        <v>-357.14285714286001</v>
      </c>
      <c r="S482" s="62">
        <v>0</v>
      </c>
      <c r="T482" s="62">
        <v>0</v>
      </c>
      <c r="U482" s="62">
        <v>0</v>
      </c>
      <c r="V482" s="62">
        <v>0</v>
      </c>
      <c r="W482" s="62">
        <f t="shared" si="50"/>
        <v>-1128.5714285714314</v>
      </c>
      <c r="X482" s="62">
        <f t="shared" si="52"/>
        <v>0</v>
      </c>
      <c r="Y482" s="62">
        <f t="shared" si="53"/>
        <v>-1128.5714285714314</v>
      </c>
      <c r="Z482" s="62">
        <v>1129</v>
      </c>
      <c r="AA482" s="62">
        <f t="shared" si="54"/>
        <v>0.42857142856860264</v>
      </c>
      <c r="AB482" s="62">
        <f t="shared" si="51"/>
        <v>1129.4285714285686</v>
      </c>
      <c r="AC482" s="4">
        <v>2000</v>
      </c>
      <c r="AD482" s="4" t="s">
        <v>993</v>
      </c>
      <c r="AF482" s="54"/>
    </row>
    <row r="483" spans="1:32" hidden="1" x14ac:dyDescent="0.3">
      <c r="A483" s="69">
        <v>9</v>
      </c>
      <c r="B483" s="4" t="s">
        <v>185</v>
      </c>
      <c r="C483" s="4" t="s">
        <v>34</v>
      </c>
      <c r="D483" s="4" t="s">
        <v>285</v>
      </c>
      <c r="E483" s="4" t="s">
        <v>232</v>
      </c>
      <c r="F483" s="4" t="s">
        <v>232</v>
      </c>
      <c r="G483" s="4" t="s">
        <v>234</v>
      </c>
      <c r="H483" s="62">
        <v>2122.4699999999998</v>
      </c>
      <c r="I483" s="62">
        <v>-1343.7299999999998</v>
      </c>
      <c r="J483" s="62">
        <v>0</v>
      </c>
      <c r="K483" s="62">
        <v>0</v>
      </c>
      <c r="L483" s="62">
        <v>0</v>
      </c>
      <c r="M483" s="62">
        <v>-40</v>
      </c>
      <c r="N483" s="62">
        <v>0</v>
      </c>
      <c r="O483" s="62">
        <f t="shared" si="55"/>
        <v>738.74</v>
      </c>
      <c r="P483" s="62">
        <f>(-2500/7)*4</f>
        <v>-1428.5714285714287</v>
      </c>
      <c r="Q483" s="62">
        <v>0</v>
      </c>
      <c r="R483" s="62">
        <v>-285.71428571428999</v>
      </c>
      <c r="S483" s="62">
        <v>0</v>
      </c>
      <c r="T483" s="62">
        <v>0</v>
      </c>
      <c r="U483" s="62">
        <v>0</v>
      </c>
      <c r="V483" s="62">
        <v>0</v>
      </c>
      <c r="W483" s="62">
        <f t="shared" si="50"/>
        <v>-975.54571428571865</v>
      </c>
      <c r="X483" s="62">
        <f t="shared" si="52"/>
        <v>0</v>
      </c>
      <c r="Y483" s="62">
        <f t="shared" si="53"/>
        <v>-975.54571428571865</v>
      </c>
      <c r="Z483" s="62">
        <v>976</v>
      </c>
      <c r="AA483" s="62">
        <f t="shared" si="54"/>
        <v>0.45428571428135456</v>
      </c>
      <c r="AB483" s="62">
        <f t="shared" si="51"/>
        <v>1715.1942857142812</v>
      </c>
      <c r="AC483" s="4">
        <v>2000</v>
      </c>
      <c r="AD483" s="4" t="s">
        <v>994</v>
      </c>
      <c r="AF483" s="54"/>
    </row>
    <row r="484" spans="1:32" hidden="1" x14ac:dyDescent="0.3">
      <c r="A484" s="69">
        <v>9</v>
      </c>
      <c r="B484" s="4" t="s">
        <v>189</v>
      </c>
      <c r="C484" s="4" t="s">
        <v>24</v>
      </c>
      <c r="D484" s="4" t="s">
        <v>515</v>
      </c>
      <c r="E484" s="4" t="s">
        <v>232</v>
      </c>
      <c r="F484" s="4" t="s">
        <v>232</v>
      </c>
      <c r="G484" s="4" t="s">
        <v>234</v>
      </c>
      <c r="H484" s="62">
        <v>2449.54</v>
      </c>
      <c r="I484" s="62">
        <v>0</v>
      </c>
      <c r="J484" s="62">
        <v>0</v>
      </c>
      <c r="K484" s="62">
        <v>0</v>
      </c>
      <c r="L484" s="62">
        <v>0</v>
      </c>
      <c r="M484" s="62">
        <v>0</v>
      </c>
      <c r="N484" s="62">
        <v>0</v>
      </c>
      <c r="O484" s="62">
        <f t="shared" si="55"/>
        <v>2449.54</v>
      </c>
      <c r="P484" s="62">
        <f>(-2500/7)*4</f>
        <v>-1428.5714285714287</v>
      </c>
      <c r="Q484" s="62">
        <v>0</v>
      </c>
      <c r="R484" s="62">
        <v>-285.71428571428999</v>
      </c>
      <c r="S484" s="62">
        <v>0</v>
      </c>
      <c r="T484" s="62">
        <v>0</v>
      </c>
      <c r="U484" s="62">
        <v>0</v>
      </c>
      <c r="V484" s="62">
        <v>0</v>
      </c>
      <c r="W484" s="62">
        <f t="shared" si="50"/>
        <v>735.25428571428131</v>
      </c>
      <c r="X484" s="62">
        <f t="shared" si="52"/>
        <v>735.25428571428131</v>
      </c>
      <c r="Y484" s="62">
        <f t="shared" si="53"/>
        <v>0</v>
      </c>
      <c r="Z484" s="62">
        <v>0</v>
      </c>
      <c r="AA484" s="62">
        <f t="shared" si="54"/>
        <v>0</v>
      </c>
      <c r="AB484" s="62">
        <f t="shared" si="51"/>
        <v>1714.2857142857188</v>
      </c>
      <c r="AC484" s="4">
        <v>1000</v>
      </c>
      <c r="AD484" s="4" t="s">
        <v>995</v>
      </c>
      <c r="AF484" s="54"/>
    </row>
    <row r="485" spans="1:32" hidden="1" x14ac:dyDescent="0.3">
      <c r="A485" s="69">
        <v>9</v>
      </c>
      <c r="B485" s="3" t="s">
        <v>109</v>
      </c>
      <c r="C485" s="4" t="s">
        <v>142</v>
      </c>
      <c r="D485" s="4" t="s">
        <v>657</v>
      </c>
      <c r="E485" s="4" t="s">
        <v>232</v>
      </c>
      <c r="F485" s="61" t="s">
        <v>232</v>
      </c>
      <c r="G485" s="4" t="s">
        <v>425</v>
      </c>
      <c r="H485" s="62">
        <v>0</v>
      </c>
      <c r="I485" s="62">
        <v>0</v>
      </c>
      <c r="J485" s="62">
        <v>0</v>
      </c>
      <c r="K485" s="62">
        <v>0</v>
      </c>
      <c r="L485" s="62">
        <v>0</v>
      </c>
      <c r="M485" s="62">
        <v>0</v>
      </c>
      <c r="N485" s="62">
        <v>0</v>
      </c>
      <c r="O485" s="62">
        <f t="shared" si="55"/>
        <v>0</v>
      </c>
      <c r="P485" s="62">
        <f>(-2700/7)*3</f>
        <v>-1157.1428571428571</v>
      </c>
      <c r="Q485" s="62">
        <f>-4640</f>
        <v>-4640</v>
      </c>
      <c r="R485" s="62">
        <v>3000</v>
      </c>
      <c r="S485" s="62">
        <v>0</v>
      </c>
      <c r="T485" s="62">
        <v>0</v>
      </c>
      <c r="U485" s="62">
        <v>0</v>
      </c>
      <c r="V485" s="62">
        <v>0</v>
      </c>
      <c r="W485" s="62">
        <f t="shared" si="50"/>
        <v>-2797.1428571428569</v>
      </c>
      <c r="X485" s="62">
        <f t="shared" si="52"/>
        <v>0</v>
      </c>
      <c r="Y485" s="62">
        <f t="shared" si="53"/>
        <v>-2797.1428571428569</v>
      </c>
      <c r="Z485" s="62">
        <f>1500+700</f>
        <v>2200</v>
      </c>
      <c r="AA485" s="62">
        <f t="shared" si="54"/>
        <v>-597.14285714285688</v>
      </c>
      <c r="AB485" s="62">
        <f t="shared" si="51"/>
        <v>1602.8571428571431</v>
      </c>
      <c r="AC485" s="4"/>
      <c r="AD485" s="4" t="s">
        <v>996</v>
      </c>
      <c r="AF485" s="54"/>
    </row>
    <row r="486" spans="1:32" hidden="1" x14ac:dyDescent="0.3">
      <c r="A486" s="69">
        <v>9</v>
      </c>
      <c r="B486" s="3" t="s">
        <v>37</v>
      </c>
      <c r="C486" s="4" t="s">
        <v>24</v>
      </c>
      <c r="D486" s="4" t="s">
        <v>515</v>
      </c>
      <c r="E486" s="4" t="s">
        <v>232</v>
      </c>
      <c r="F486" s="61" t="s">
        <v>232</v>
      </c>
      <c r="G486" s="4" t="s">
        <v>234</v>
      </c>
      <c r="H486" s="62">
        <v>0</v>
      </c>
      <c r="I486" s="62">
        <v>0</v>
      </c>
      <c r="J486" s="62">
        <v>0</v>
      </c>
      <c r="K486" s="62">
        <v>0</v>
      </c>
      <c r="L486" s="62">
        <v>0</v>
      </c>
      <c r="M486" s="62">
        <v>0</v>
      </c>
      <c r="N486" s="62">
        <v>0</v>
      </c>
      <c r="O486" s="62">
        <f t="shared" si="55"/>
        <v>0</v>
      </c>
      <c r="P486" s="62">
        <f>(-2700/7)*2</f>
        <v>-771.42857142857144</v>
      </c>
      <c r="Q486" s="62">
        <v>-2310</v>
      </c>
      <c r="R486" s="62">
        <v>1000</v>
      </c>
      <c r="S486" s="62">
        <v>-4338</v>
      </c>
      <c r="T486" s="62">
        <v>0</v>
      </c>
      <c r="U486" s="62">
        <v>0</v>
      </c>
      <c r="V486" s="62">
        <v>0</v>
      </c>
      <c r="W486" s="62">
        <f t="shared" si="50"/>
        <v>-6419.4285714285716</v>
      </c>
      <c r="X486" s="62">
        <f t="shared" si="52"/>
        <v>0</v>
      </c>
      <c r="Y486" s="62">
        <f t="shared" si="53"/>
        <v>-6419.4285714285716</v>
      </c>
      <c r="Z486" s="62">
        <v>0</v>
      </c>
      <c r="AA486" s="62">
        <f t="shared" si="54"/>
        <v>-6419.4285714285716</v>
      </c>
      <c r="AB486" s="62">
        <f t="shared" si="51"/>
        <v>-6419.4285714285716</v>
      </c>
      <c r="AC486" s="4"/>
      <c r="AD486" s="4" t="s">
        <v>997</v>
      </c>
      <c r="AF486" s="54"/>
    </row>
    <row r="487" spans="1:32" hidden="1" x14ac:dyDescent="0.3">
      <c r="A487" s="69">
        <v>9</v>
      </c>
      <c r="B487" s="4" t="s">
        <v>173</v>
      </c>
      <c r="C487" s="4" t="s">
        <v>52</v>
      </c>
      <c r="D487" s="4" t="s">
        <v>934</v>
      </c>
      <c r="E487" s="4" t="s">
        <v>232</v>
      </c>
      <c r="F487" s="4" t="s">
        <v>232</v>
      </c>
      <c r="G487" s="4" t="s">
        <v>234</v>
      </c>
      <c r="H487" s="62">
        <v>2268.65</v>
      </c>
      <c r="I487" s="62">
        <v>-216.14</v>
      </c>
      <c r="J487" s="62">
        <v>-4.6500000000000004</v>
      </c>
      <c r="K487" s="62">
        <v>29.04</v>
      </c>
      <c r="L487" s="62">
        <v>0</v>
      </c>
      <c r="M487" s="62">
        <v>-15</v>
      </c>
      <c r="N487" s="62">
        <v>0</v>
      </c>
      <c r="O487" s="62">
        <f t="shared" si="55"/>
        <v>2061.9</v>
      </c>
      <c r="P487" s="62">
        <v>-2500</v>
      </c>
      <c r="Q487" s="62">
        <v>0</v>
      </c>
      <c r="R487" s="62">
        <v>-500</v>
      </c>
      <c r="S487" s="62">
        <v>0</v>
      </c>
      <c r="T487" s="62">
        <v>0</v>
      </c>
      <c r="U487" s="62">
        <v>0</v>
      </c>
      <c r="V487" s="62">
        <v>0</v>
      </c>
      <c r="W487" s="62">
        <f t="shared" si="50"/>
        <v>-938.09999999999991</v>
      </c>
      <c r="X487" s="62">
        <f t="shared" si="52"/>
        <v>0</v>
      </c>
      <c r="Y487" s="62">
        <f t="shared" si="53"/>
        <v>-938.09999999999991</v>
      </c>
      <c r="Z487" s="62">
        <v>938</v>
      </c>
      <c r="AA487" s="62">
        <f t="shared" si="54"/>
        <v>-9.9999999999909051E-2</v>
      </c>
      <c r="AB487" s="62">
        <f t="shared" si="51"/>
        <v>2999.8</v>
      </c>
      <c r="AC487" s="4"/>
      <c r="AD487" s="4" t="s">
        <v>998</v>
      </c>
      <c r="AF487" s="54"/>
    </row>
    <row r="488" spans="1:32" hidden="1" x14ac:dyDescent="0.3">
      <c r="A488" s="69">
        <v>9</v>
      </c>
      <c r="B488" s="4" t="s">
        <v>174</v>
      </c>
      <c r="C488" s="4" t="s">
        <v>77</v>
      </c>
      <c r="D488" s="4" t="s">
        <v>474</v>
      </c>
      <c r="E488" s="4" t="s">
        <v>232</v>
      </c>
      <c r="F488" s="4" t="s">
        <v>232</v>
      </c>
      <c r="G488" s="4" t="s">
        <v>234</v>
      </c>
      <c r="H488" s="62">
        <v>3420.81</v>
      </c>
      <c r="I488" s="62">
        <v>0</v>
      </c>
      <c r="J488" s="62">
        <v>-51.91</v>
      </c>
      <c r="K488" s="62">
        <v>184.16</v>
      </c>
      <c r="L488" s="62">
        <v>0</v>
      </c>
      <c r="M488" s="62">
        <v>0</v>
      </c>
      <c r="N488" s="62">
        <v>0</v>
      </c>
      <c r="O488" s="62">
        <f t="shared" si="55"/>
        <v>3553.06</v>
      </c>
      <c r="P488" s="62">
        <v>-2500</v>
      </c>
      <c r="Q488" s="62">
        <v>0</v>
      </c>
      <c r="R488" s="62">
        <v>-500</v>
      </c>
      <c r="S488" s="62">
        <v>0</v>
      </c>
      <c r="T488" s="62">
        <v>0</v>
      </c>
      <c r="U488" s="62">
        <v>0</v>
      </c>
      <c r="V488" s="62">
        <v>0</v>
      </c>
      <c r="W488" s="62">
        <f t="shared" si="50"/>
        <v>553.05999999999995</v>
      </c>
      <c r="X488" s="62">
        <f t="shared" si="52"/>
        <v>553.05999999999995</v>
      </c>
      <c r="Y488" s="62">
        <f t="shared" si="53"/>
        <v>0</v>
      </c>
      <c r="Z488" s="62">
        <v>0</v>
      </c>
      <c r="AA488" s="62">
        <f t="shared" si="54"/>
        <v>0</v>
      </c>
      <c r="AB488" s="62">
        <f t="shared" si="51"/>
        <v>3000</v>
      </c>
      <c r="AC488" s="4"/>
      <c r="AD488" s="4" t="s">
        <v>995</v>
      </c>
      <c r="AF488" s="54"/>
    </row>
    <row r="489" spans="1:32" hidden="1" x14ac:dyDescent="0.3">
      <c r="A489" s="69">
        <v>9</v>
      </c>
      <c r="B489" s="4" t="s">
        <v>175</v>
      </c>
      <c r="C489" s="4" t="s">
        <v>69</v>
      </c>
      <c r="D489" s="4" t="str">
        <f>VLOOKUP(C489,'[2]CTRL AUTOS'!$E$2:$M$58,9,FALSE)</f>
        <v xml:space="preserve">OHLM032762106
</v>
      </c>
      <c r="E489" s="4" t="s">
        <v>232</v>
      </c>
      <c r="F489" s="4" t="s">
        <v>232</v>
      </c>
      <c r="G489" s="4" t="s">
        <v>425</v>
      </c>
      <c r="H489" s="62">
        <v>4630.8999999999996</v>
      </c>
      <c r="I489" s="62">
        <v>-4460.37</v>
      </c>
      <c r="J489" s="62">
        <v>-450.49736999999993</v>
      </c>
      <c r="K489" s="62">
        <v>0</v>
      </c>
      <c r="L489" s="62">
        <v>0</v>
      </c>
      <c r="M489" s="62">
        <v>0</v>
      </c>
      <c r="N489" s="62">
        <v>0</v>
      </c>
      <c r="O489" s="62">
        <f t="shared" si="55"/>
        <v>-279.96737000000019</v>
      </c>
      <c r="P489" s="62">
        <v>-2500</v>
      </c>
      <c r="Q489" s="62">
        <v>0</v>
      </c>
      <c r="R489" s="62">
        <v>-500</v>
      </c>
      <c r="S489" s="62">
        <v>0</v>
      </c>
      <c r="T489" s="62">
        <v>0</v>
      </c>
      <c r="U489" s="62">
        <v>0</v>
      </c>
      <c r="V489" s="62">
        <v>0</v>
      </c>
      <c r="W489" s="62">
        <f t="shared" si="50"/>
        <v>-3279.9673700000003</v>
      </c>
      <c r="X489" s="62">
        <f t="shared" si="52"/>
        <v>0</v>
      </c>
      <c r="Y489" s="62">
        <f t="shared" si="53"/>
        <v>-3279.9673700000003</v>
      </c>
      <c r="Z489" s="62">
        <v>1000</v>
      </c>
      <c r="AA489" s="62">
        <f t="shared" si="54"/>
        <v>-2279.9673700000003</v>
      </c>
      <c r="AB489" s="62">
        <f t="shared" si="51"/>
        <v>-1559.9347400000006</v>
      </c>
      <c r="AC489" s="4"/>
      <c r="AD489" s="4" t="s">
        <v>999</v>
      </c>
      <c r="AF489" s="54"/>
    </row>
    <row r="490" spans="1:32" hidden="1" x14ac:dyDescent="0.3">
      <c r="A490" s="69">
        <v>9</v>
      </c>
      <c r="B490" s="3" t="s">
        <v>76</v>
      </c>
      <c r="C490" s="4" t="s">
        <v>40</v>
      </c>
      <c r="D490" s="4" t="s">
        <v>315</v>
      </c>
      <c r="E490" s="4" t="str">
        <f>VLOOKUP(C490,'[2]CTRL AUTOS'!$E$2:$L$58,8,FALSE)</f>
        <v>ASHC</v>
      </c>
      <c r="F490" s="61" t="str">
        <f>VLOOKUP(C490,'[2]CTRL AUTOS'!$E$2:$K$58,7,FALSE)</f>
        <v>ASHC</v>
      </c>
      <c r="G490" s="4" t="s">
        <v>234</v>
      </c>
      <c r="H490" s="62">
        <v>2165.75</v>
      </c>
      <c r="I490" s="62">
        <v>-327.71</v>
      </c>
      <c r="J490" s="62">
        <v>-24</v>
      </c>
      <c r="K490" s="62">
        <v>0</v>
      </c>
      <c r="L490" s="62">
        <v>-20.580000000000002</v>
      </c>
      <c r="M490" s="62">
        <v>-15</v>
      </c>
      <c r="N490" s="62">
        <v>0</v>
      </c>
      <c r="O490" s="62">
        <f t="shared" si="55"/>
        <v>1778.46</v>
      </c>
      <c r="P490" s="62">
        <v>-2500</v>
      </c>
      <c r="Q490" s="62">
        <v>0</v>
      </c>
      <c r="R490" s="62">
        <v>0</v>
      </c>
      <c r="S490" s="62">
        <v>0</v>
      </c>
      <c r="T490" s="62">
        <v>0</v>
      </c>
      <c r="U490" s="62">
        <v>694</v>
      </c>
      <c r="V490" s="62">
        <v>0</v>
      </c>
      <c r="W490" s="62">
        <f t="shared" si="50"/>
        <v>-27.539999999999964</v>
      </c>
      <c r="X490" s="62">
        <f t="shared" si="52"/>
        <v>0</v>
      </c>
      <c r="Y490" s="62">
        <f t="shared" si="53"/>
        <v>-27.539999999999964</v>
      </c>
      <c r="Z490" s="62">
        <v>0</v>
      </c>
      <c r="AA490" s="62">
        <f t="shared" si="54"/>
        <v>-27.539999999999964</v>
      </c>
      <c r="AB490" s="62">
        <f t="shared" si="51"/>
        <v>1750.92</v>
      </c>
      <c r="AC490" s="62"/>
      <c r="AD490" s="4" t="s">
        <v>1000</v>
      </c>
      <c r="AF490" s="54"/>
    </row>
    <row r="491" spans="1:32" hidden="1" x14ac:dyDescent="0.3">
      <c r="A491" s="69">
        <v>9</v>
      </c>
      <c r="B491" s="3" t="s">
        <v>15</v>
      </c>
      <c r="C491" s="4" t="s">
        <v>137</v>
      </c>
      <c r="D491" s="4" t="s">
        <v>877</v>
      </c>
      <c r="E491" s="4" t="str">
        <f>VLOOKUP(C491,'[2]CTRL AUTOS'!$E$2:$L$58,8,FALSE)</f>
        <v>ASHC</v>
      </c>
      <c r="F491" s="61" t="str">
        <f>VLOOKUP(C491,'[2]CTRL AUTOS'!$E$2:$K$58,7,FALSE)</f>
        <v>ASHC</v>
      </c>
      <c r="G491" s="4" t="s">
        <v>234</v>
      </c>
      <c r="H491" s="62">
        <v>2707.83</v>
      </c>
      <c r="I491" s="62">
        <v>-1070.8399999999999</v>
      </c>
      <c r="J491" s="62">
        <v>-19.2</v>
      </c>
      <c r="K491" s="62">
        <v>0</v>
      </c>
      <c r="L491" s="62">
        <v>0</v>
      </c>
      <c r="M491" s="62">
        <v>-54.169600000000003</v>
      </c>
      <c r="N491" s="62">
        <v>-118.08</v>
      </c>
      <c r="O491" s="62">
        <f t="shared" si="55"/>
        <v>1445.5404000000001</v>
      </c>
      <c r="P491" s="62">
        <v>-2700</v>
      </c>
      <c r="Q491" s="62">
        <f>-1228*1.12</f>
        <v>-1375.3600000000001</v>
      </c>
      <c r="R491" s="62">
        <v>-500</v>
      </c>
      <c r="S491" s="62">
        <v>0</v>
      </c>
      <c r="T491" s="62">
        <v>0</v>
      </c>
      <c r="U491" s="62">
        <v>0</v>
      </c>
      <c r="V491" s="62">
        <v>0</v>
      </c>
      <c r="W491" s="62">
        <f t="shared" si="50"/>
        <v>-3129.8195999999998</v>
      </c>
      <c r="X491" s="62">
        <f t="shared" si="52"/>
        <v>0</v>
      </c>
      <c r="Y491" s="62">
        <f t="shared" si="53"/>
        <v>-3129.8195999999998</v>
      </c>
      <c r="Z491" s="62">
        <v>1200</v>
      </c>
      <c r="AA491" s="62">
        <f t="shared" si="54"/>
        <v>-1929.8195999999998</v>
      </c>
      <c r="AB491" s="62">
        <f t="shared" si="51"/>
        <v>715.72080000000005</v>
      </c>
      <c r="AC491" s="62"/>
      <c r="AD491" s="4" t="s">
        <v>1001</v>
      </c>
      <c r="AF491" s="54"/>
    </row>
    <row r="492" spans="1:32" hidden="1" x14ac:dyDescent="0.3">
      <c r="A492" s="69">
        <v>9</v>
      </c>
      <c r="B492" s="3" t="s">
        <v>139</v>
      </c>
      <c r="C492" s="4" t="s">
        <v>10</v>
      </c>
      <c r="D492" s="4" t="s">
        <v>343</v>
      </c>
      <c r="E492" s="4" t="str">
        <f>VLOOKUP(C492,'[2]CTRL AUTOS'!$E$2:$L$58,8,FALSE)</f>
        <v>ASHC</v>
      </c>
      <c r="F492" s="61" t="str">
        <f>VLOOKUP(C492,'[2]CTRL AUTOS'!$E$2:$K$58,7,FALSE)</f>
        <v>ASHC</v>
      </c>
      <c r="G492" s="4" t="s">
        <v>234</v>
      </c>
      <c r="H492" s="62">
        <v>4928.79</v>
      </c>
      <c r="I492" s="62">
        <v>-2725.7700000000009</v>
      </c>
      <c r="J492" s="62">
        <v>0</v>
      </c>
      <c r="K492" s="62">
        <v>0</v>
      </c>
      <c r="L492" s="62">
        <v>0</v>
      </c>
      <c r="M492" s="62">
        <v>-55</v>
      </c>
      <c r="N492" s="62">
        <v>0</v>
      </c>
      <c r="O492" s="62">
        <f t="shared" si="55"/>
        <v>2148.0199999999991</v>
      </c>
      <c r="P492" s="62">
        <f>(-2500/7)*7</f>
        <v>-2500</v>
      </c>
      <c r="Q492" s="62">
        <v>0</v>
      </c>
      <c r="R492" s="62">
        <v>-500</v>
      </c>
      <c r="S492" s="62">
        <v>0</v>
      </c>
      <c r="T492" s="62">
        <v>0</v>
      </c>
      <c r="U492" s="62">
        <v>0</v>
      </c>
      <c r="V492" s="62">
        <v>0</v>
      </c>
      <c r="W492" s="62">
        <f t="shared" si="50"/>
        <v>-851.98000000000093</v>
      </c>
      <c r="X492" s="62">
        <f t="shared" si="52"/>
        <v>0</v>
      </c>
      <c r="Y492" s="62">
        <f t="shared" si="53"/>
        <v>-851.98000000000093</v>
      </c>
      <c r="Z492" s="62">
        <v>852</v>
      </c>
      <c r="AA492" s="62">
        <f t="shared" si="54"/>
        <v>1.9999999999072315E-2</v>
      </c>
      <c r="AB492" s="62">
        <f t="shared" si="51"/>
        <v>3000.0399999999981</v>
      </c>
      <c r="AC492" s="62"/>
      <c r="AD492" s="4" t="s">
        <v>1002</v>
      </c>
      <c r="AF492" s="54"/>
    </row>
    <row r="493" spans="1:32" hidden="1" x14ac:dyDescent="0.3">
      <c r="A493" s="69">
        <v>9</v>
      </c>
      <c r="B493" s="3" t="s">
        <v>11</v>
      </c>
      <c r="C493" s="4" t="s">
        <v>12</v>
      </c>
      <c r="D493" s="4" t="s">
        <v>509</v>
      </c>
      <c r="E493" s="4" t="str">
        <f>VLOOKUP(C493,'[2]CTRL AUTOS'!$E$2:$L$58,8,FALSE)</f>
        <v>ASHC</v>
      </c>
      <c r="F493" s="61" t="str">
        <f>VLOOKUP(C493,'[2]CTRL AUTOS'!$E$2:$K$58,7,FALSE)</f>
        <v>ASHC</v>
      </c>
      <c r="G493" s="4" t="s">
        <v>234</v>
      </c>
      <c r="H493" s="62">
        <v>0</v>
      </c>
      <c r="I493" s="62">
        <v>0</v>
      </c>
      <c r="J493" s="62">
        <v>0</v>
      </c>
      <c r="K493" s="62">
        <v>0</v>
      </c>
      <c r="L493" s="62">
        <v>0</v>
      </c>
      <c r="M493" s="62">
        <v>0</v>
      </c>
      <c r="N493" s="62">
        <v>0</v>
      </c>
      <c r="O493" s="62">
        <f t="shared" si="55"/>
        <v>0</v>
      </c>
      <c r="P493" s="62">
        <v>0</v>
      </c>
      <c r="Q493" s="62">
        <v>0</v>
      </c>
      <c r="R493" s="62">
        <v>5000</v>
      </c>
      <c r="S493" s="62">
        <v>0</v>
      </c>
      <c r="T493" s="62">
        <v>-4900</v>
      </c>
      <c r="U493" s="62">
        <v>0</v>
      </c>
      <c r="V493" s="62">
        <v>0</v>
      </c>
      <c r="W493" s="62">
        <f t="shared" si="50"/>
        <v>100</v>
      </c>
      <c r="X493" s="62">
        <f t="shared" si="52"/>
        <v>100</v>
      </c>
      <c r="Y493" s="62">
        <f t="shared" si="53"/>
        <v>0</v>
      </c>
      <c r="Z493" s="62">
        <v>0</v>
      </c>
      <c r="AA493" s="62">
        <f t="shared" si="54"/>
        <v>0</v>
      </c>
      <c r="AB493" s="62">
        <f t="shared" si="51"/>
        <v>-100</v>
      </c>
      <c r="AC493" s="62"/>
      <c r="AD493" s="4" t="s">
        <v>1003</v>
      </c>
      <c r="AF493" s="54"/>
    </row>
    <row r="494" spans="1:32" hidden="1" x14ac:dyDescent="0.3">
      <c r="A494" s="69">
        <v>9</v>
      </c>
      <c r="B494" s="3" t="s">
        <v>80</v>
      </c>
      <c r="C494" s="4" t="s">
        <v>81</v>
      </c>
      <c r="D494" s="4" t="s">
        <v>317</v>
      </c>
      <c r="E494" s="4" t="str">
        <f>VLOOKUP(C494,'[2]CTRL AUTOS'!$E$2:$L$58,8,FALSE)</f>
        <v>ASHC</v>
      </c>
      <c r="F494" s="61" t="str">
        <f>VLOOKUP(C494,'[2]CTRL AUTOS'!$E$2:$K$58,7,FALSE)</f>
        <v>ASHC</v>
      </c>
      <c r="G494" s="4" t="s">
        <v>234</v>
      </c>
      <c r="H494" s="62">
        <v>0</v>
      </c>
      <c r="I494" s="62">
        <v>0</v>
      </c>
      <c r="J494" s="62">
        <v>0</v>
      </c>
      <c r="K494" s="62">
        <v>0</v>
      </c>
      <c r="L494" s="62">
        <v>0</v>
      </c>
      <c r="M494" s="62">
        <v>0</v>
      </c>
      <c r="N494" s="62">
        <v>0</v>
      </c>
      <c r="O494" s="62">
        <f t="shared" si="55"/>
        <v>0</v>
      </c>
      <c r="P494" s="62">
        <v>-2500</v>
      </c>
      <c r="Q494" s="62">
        <v>0</v>
      </c>
      <c r="R494" s="62">
        <v>0</v>
      </c>
      <c r="S494" s="62">
        <v>0</v>
      </c>
      <c r="T494" s="62">
        <v>0</v>
      </c>
      <c r="U494" s="62">
        <v>0</v>
      </c>
      <c r="V494" s="62">
        <v>0</v>
      </c>
      <c r="W494" s="62">
        <f t="shared" si="50"/>
        <v>-2500</v>
      </c>
      <c r="X494" s="62">
        <f t="shared" si="52"/>
        <v>0</v>
      </c>
      <c r="Y494" s="62">
        <f t="shared" si="53"/>
        <v>-2500</v>
      </c>
      <c r="Z494" s="62">
        <v>2500</v>
      </c>
      <c r="AA494" s="62">
        <f t="shared" si="54"/>
        <v>0</v>
      </c>
      <c r="AB494" s="62">
        <f t="shared" si="51"/>
        <v>2500</v>
      </c>
      <c r="AC494" s="62"/>
      <c r="AD494" s="4" t="s">
        <v>1004</v>
      </c>
      <c r="AF494" s="54"/>
    </row>
    <row r="495" spans="1:32" hidden="1" x14ac:dyDescent="0.3">
      <c r="A495" s="69">
        <v>9</v>
      </c>
      <c r="B495" s="3" t="s">
        <v>13</v>
      </c>
      <c r="C495" s="4" t="s">
        <v>14</v>
      </c>
      <c r="D495" s="4" t="s">
        <v>505</v>
      </c>
      <c r="E495" s="4" t="str">
        <f>VLOOKUP(C495,'[2]CTRL AUTOS'!$E$2:$L$58,8,FALSE)</f>
        <v>ASHC</v>
      </c>
      <c r="F495" s="61" t="str">
        <f>VLOOKUP(C495,'[2]CTRL AUTOS'!$E$2:$K$58,7,FALSE)</f>
        <v>ASHC</v>
      </c>
      <c r="G495" s="4" t="s">
        <v>234</v>
      </c>
      <c r="H495" s="62">
        <v>5408.63</v>
      </c>
      <c r="I495" s="62">
        <v>0</v>
      </c>
      <c r="J495" s="62">
        <v>-44</v>
      </c>
      <c r="K495" s="62">
        <v>0</v>
      </c>
      <c r="L495" s="62">
        <v>0</v>
      </c>
      <c r="M495" s="62">
        <v>0</v>
      </c>
      <c r="N495" s="62">
        <v>0</v>
      </c>
      <c r="O495" s="62">
        <f t="shared" si="55"/>
        <v>5364.63</v>
      </c>
      <c r="P495" s="62">
        <v>-2700</v>
      </c>
      <c r="Q495" s="62">
        <v>0</v>
      </c>
      <c r="R495" s="62">
        <v>0</v>
      </c>
      <c r="S495" s="62">
        <v>0</v>
      </c>
      <c r="T495" s="62">
        <v>0</v>
      </c>
      <c r="U495" s="62">
        <v>0</v>
      </c>
      <c r="V495" s="62">
        <v>0</v>
      </c>
      <c r="W495" s="62">
        <f t="shared" si="50"/>
        <v>2664.63</v>
      </c>
      <c r="X495" s="62">
        <f t="shared" si="52"/>
        <v>2664.63</v>
      </c>
      <c r="Y495" s="62">
        <f t="shared" si="53"/>
        <v>0</v>
      </c>
      <c r="Z495" s="62">
        <v>0</v>
      </c>
      <c r="AA495" s="62">
        <f t="shared" si="54"/>
        <v>0</v>
      </c>
      <c r="AB495" s="62">
        <f t="shared" si="51"/>
        <v>2700</v>
      </c>
      <c r="AC495" s="62"/>
      <c r="AD495" s="4" t="s">
        <v>995</v>
      </c>
      <c r="AF495" s="54"/>
    </row>
    <row r="496" spans="1:32" hidden="1" x14ac:dyDescent="0.3">
      <c r="A496" s="69">
        <v>9</v>
      </c>
      <c r="B496" s="3" t="s">
        <v>120</v>
      </c>
      <c r="C496" s="4" t="s">
        <v>38</v>
      </c>
      <c r="D496" s="4" t="s">
        <v>579</v>
      </c>
      <c r="E496" s="4" t="str">
        <f>VLOOKUP(C496,'[2]CTRL AUTOS'!$E$2:$L$58,8,FALSE)</f>
        <v>ASHC</v>
      </c>
      <c r="F496" s="61" t="str">
        <f>VLOOKUP(C496,'[2]CTRL AUTOS'!$E$2:$K$58,7,FALSE)</f>
        <v>ASHC</v>
      </c>
      <c r="G496" s="4" t="s">
        <v>234</v>
      </c>
      <c r="H496" s="62">
        <v>3004.93</v>
      </c>
      <c r="I496" s="62">
        <v>-802.1400000000001</v>
      </c>
      <c r="J496" s="62">
        <v>0</v>
      </c>
      <c r="K496" s="62">
        <v>0</v>
      </c>
      <c r="L496" s="62">
        <v>0</v>
      </c>
      <c r="M496" s="62">
        <v>-35</v>
      </c>
      <c r="N496" s="62">
        <v>0</v>
      </c>
      <c r="O496" s="62">
        <f t="shared" si="55"/>
        <v>2167.79</v>
      </c>
      <c r="P496" s="62">
        <v>-2500</v>
      </c>
      <c r="Q496" s="62">
        <v>0</v>
      </c>
      <c r="R496" s="62">
        <v>-500</v>
      </c>
      <c r="S496" s="62">
        <v>0</v>
      </c>
      <c r="T496" s="62">
        <v>0</v>
      </c>
      <c r="U496" s="62">
        <v>0</v>
      </c>
      <c r="V496" s="62">
        <v>0</v>
      </c>
      <c r="W496" s="62">
        <f t="shared" si="50"/>
        <v>-832.21</v>
      </c>
      <c r="X496" s="62">
        <f t="shared" si="52"/>
        <v>0</v>
      </c>
      <c r="Y496" s="62">
        <f t="shared" si="53"/>
        <v>-832.21</v>
      </c>
      <c r="Z496" s="62">
        <v>832</v>
      </c>
      <c r="AA496" s="62">
        <f t="shared" si="54"/>
        <v>-0.21000000000003638</v>
      </c>
      <c r="AB496" s="62">
        <f t="shared" si="51"/>
        <v>2999.58</v>
      </c>
      <c r="AC496" s="62"/>
      <c r="AD496" s="4" t="s">
        <v>1005</v>
      </c>
      <c r="AF496" s="54"/>
    </row>
    <row r="497" spans="1:32" hidden="1" x14ac:dyDescent="0.3">
      <c r="A497" s="69">
        <v>9</v>
      </c>
      <c r="B497" s="3" t="s">
        <v>111</v>
      </c>
      <c r="C497" s="4" t="s">
        <v>63</v>
      </c>
      <c r="D497" s="4" t="s">
        <v>374</v>
      </c>
      <c r="E497" s="4" t="str">
        <f>VLOOKUP(C497,'[2]CTRL AUTOS'!$E$2:$L$58,8,FALSE)</f>
        <v>BYER</v>
      </c>
      <c r="F497" s="61" t="str">
        <f>VLOOKUP(C497,'[2]CTRL AUTOS'!$E$2:$K$58,7,FALSE)</f>
        <v>BYER</v>
      </c>
      <c r="G497" s="4" t="s">
        <v>234</v>
      </c>
      <c r="H497" s="62">
        <v>6718.54</v>
      </c>
      <c r="I497" s="62">
        <v>-1850.04</v>
      </c>
      <c r="J497" s="62">
        <v>-44</v>
      </c>
      <c r="K497" s="62">
        <v>0</v>
      </c>
      <c r="L497" s="62">
        <v>0</v>
      </c>
      <c r="M497" s="62">
        <v>-80</v>
      </c>
      <c r="N497" s="62">
        <v>0</v>
      </c>
      <c r="O497" s="62">
        <f t="shared" si="55"/>
        <v>4744.5</v>
      </c>
      <c r="P497" s="62">
        <v>-2500</v>
      </c>
      <c r="Q497" s="62">
        <v>0</v>
      </c>
      <c r="R497" s="62">
        <v>0</v>
      </c>
      <c r="S497" s="62">
        <v>0</v>
      </c>
      <c r="T497" s="62">
        <v>0</v>
      </c>
      <c r="U497" s="62">
        <v>0</v>
      </c>
      <c r="V497" s="62">
        <v>0</v>
      </c>
      <c r="W497" s="62">
        <f t="shared" si="50"/>
        <v>2244.5</v>
      </c>
      <c r="X497" s="62">
        <f t="shared" si="52"/>
        <v>2244.5</v>
      </c>
      <c r="Y497" s="62">
        <f t="shared" si="53"/>
        <v>0</v>
      </c>
      <c r="Z497" s="62">
        <v>0</v>
      </c>
      <c r="AA497" s="62">
        <f t="shared" si="54"/>
        <v>0</v>
      </c>
      <c r="AB497" s="62">
        <f t="shared" si="51"/>
        <v>2500</v>
      </c>
      <c r="AC497" s="62"/>
      <c r="AD497" s="4" t="s">
        <v>995</v>
      </c>
      <c r="AF497" s="54"/>
    </row>
    <row r="498" spans="1:32" hidden="1" x14ac:dyDescent="0.3">
      <c r="A498" s="69">
        <v>9</v>
      </c>
      <c r="B498" s="3" t="s">
        <v>111</v>
      </c>
      <c r="C498" s="4" t="s">
        <v>16</v>
      </c>
      <c r="D498" s="4" t="str">
        <f>VLOOKUP(C498,'[2]CTRL AUTOS'!$E$2:$M$58,9,FALSE)</f>
        <v>OHLM032370140</v>
      </c>
      <c r="E498" s="4" t="str">
        <f>VLOOKUP(C498,'[2]CTRL AUTOS'!$E$2:$L$58,8,FALSE)</f>
        <v>ASHC</v>
      </c>
      <c r="F498" s="61" t="str">
        <f>VLOOKUP(C498,'[2]CTRL AUTOS'!$E$2:$K$58,7,FALSE)</f>
        <v>ASHC</v>
      </c>
      <c r="G498" s="4" t="s">
        <v>234</v>
      </c>
      <c r="H498" s="62">
        <v>0</v>
      </c>
      <c r="I498" s="62">
        <v>0</v>
      </c>
      <c r="J498" s="62">
        <v>0</v>
      </c>
      <c r="K498" s="62">
        <v>0</v>
      </c>
      <c r="L498" s="62">
        <v>0</v>
      </c>
      <c r="M498" s="62">
        <v>0</v>
      </c>
      <c r="N498" s="62">
        <v>0</v>
      </c>
      <c r="O498" s="62">
        <f t="shared" si="55"/>
        <v>0</v>
      </c>
      <c r="P498" s="62">
        <v>0</v>
      </c>
      <c r="Q498" s="62">
        <v>0</v>
      </c>
      <c r="R498" s="62">
        <v>0</v>
      </c>
      <c r="S498" s="62">
        <v>0</v>
      </c>
      <c r="T498" s="62">
        <v>-585</v>
      </c>
      <c r="U498" s="62">
        <v>0</v>
      </c>
      <c r="V498" s="62">
        <v>0</v>
      </c>
      <c r="W498" s="62">
        <f t="shared" si="50"/>
        <v>-585</v>
      </c>
      <c r="X498" s="62">
        <f t="shared" si="52"/>
        <v>0</v>
      </c>
      <c r="Y498" s="62">
        <f t="shared" si="53"/>
        <v>-585</v>
      </c>
      <c r="Z498" s="62">
        <v>585</v>
      </c>
      <c r="AA498" s="62">
        <f t="shared" si="54"/>
        <v>0</v>
      </c>
      <c r="AB498" s="62">
        <f t="shared" si="51"/>
        <v>585</v>
      </c>
      <c r="AC498" s="62"/>
      <c r="AD498" s="4" t="s">
        <v>1006</v>
      </c>
      <c r="AF498" s="54"/>
    </row>
    <row r="499" spans="1:32" hidden="1" x14ac:dyDescent="0.3">
      <c r="A499" s="69">
        <v>9</v>
      </c>
      <c r="B499" s="3" t="s">
        <v>121</v>
      </c>
      <c r="C499" s="4" t="s">
        <v>156</v>
      </c>
      <c r="D499" s="4" t="s">
        <v>1072</v>
      </c>
      <c r="E499" s="4" t="str">
        <f>VLOOKUP(C499,'[2]CTRL AUTOS'!$E$2:$L$58,8,FALSE)</f>
        <v>ASHC</v>
      </c>
      <c r="F499" s="61" t="str">
        <f>VLOOKUP(C499,'[2]CTRL AUTOS'!$E$2:$K$58,7,FALSE)</f>
        <v>ASHC</v>
      </c>
      <c r="G499" s="4" t="s">
        <v>234</v>
      </c>
      <c r="H499" s="62">
        <v>6903.21</v>
      </c>
      <c r="I499" s="62">
        <v>-1551.18</v>
      </c>
      <c r="J499" s="62">
        <v>-24.8</v>
      </c>
      <c r="K499" s="62">
        <v>0</v>
      </c>
      <c r="L499" s="62">
        <v>0</v>
      </c>
      <c r="M499" s="62">
        <v>-40</v>
      </c>
      <c r="N499" s="62">
        <v>0</v>
      </c>
      <c r="O499" s="62">
        <f t="shared" si="55"/>
        <v>5287.23</v>
      </c>
      <c r="P499" s="62">
        <v>-2700</v>
      </c>
      <c r="Q499" s="62">
        <v>0</v>
      </c>
      <c r="R499" s="62">
        <v>-500</v>
      </c>
      <c r="S499" s="62">
        <v>0</v>
      </c>
      <c r="T499" s="62">
        <v>0</v>
      </c>
      <c r="U499" s="62">
        <v>0</v>
      </c>
      <c r="V499" s="62">
        <v>0</v>
      </c>
      <c r="W499" s="62">
        <f t="shared" si="50"/>
        <v>2087.2299999999996</v>
      </c>
      <c r="X499" s="62">
        <f t="shared" si="52"/>
        <v>2087.2299999999996</v>
      </c>
      <c r="Y499" s="62">
        <f t="shared" si="53"/>
        <v>0</v>
      </c>
      <c r="Z499" s="62">
        <v>0</v>
      </c>
      <c r="AA499" s="62">
        <f t="shared" si="54"/>
        <v>0</v>
      </c>
      <c r="AB499" s="62">
        <f t="shared" si="51"/>
        <v>3200</v>
      </c>
      <c r="AC499" s="62"/>
      <c r="AD499" s="4" t="s">
        <v>995</v>
      </c>
      <c r="AF499" s="54"/>
    </row>
    <row r="500" spans="1:32" hidden="1" x14ac:dyDescent="0.3">
      <c r="A500" s="69">
        <v>9</v>
      </c>
      <c r="B500" s="3" t="s">
        <v>17</v>
      </c>
      <c r="C500" s="4" t="s">
        <v>18</v>
      </c>
      <c r="D500" s="4" t="s">
        <v>572</v>
      </c>
      <c r="E500" s="4" t="str">
        <f>VLOOKUP(C500,'[2]CTRL AUTOS'!$E$2:$L$58,8,FALSE)</f>
        <v>ASHC</v>
      </c>
      <c r="F500" s="61" t="str">
        <f>VLOOKUP(C500,'[2]CTRL AUTOS'!$E$2:$K$58,7,FALSE)</f>
        <v>ASHC</v>
      </c>
      <c r="G500" s="4" t="s">
        <v>234</v>
      </c>
      <c r="H500" s="62">
        <v>1049.69</v>
      </c>
      <c r="I500" s="62">
        <v>-72</v>
      </c>
      <c r="J500" s="62">
        <v>0</v>
      </c>
      <c r="K500" s="62">
        <v>0</v>
      </c>
      <c r="L500" s="62">
        <v>0</v>
      </c>
      <c r="M500" s="62">
        <v>-3</v>
      </c>
      <c r="N500" s="62">
        <v>0</v>
      </c>
      <c r="O500" s="62">
        <f t="shared" si="55"/>
        <v>974.69</v>
      </c>
      <c r="P500" s="62">
        <v>-2700</v>
      </c>
      <c r="Q500" s="62">
        <v>0</v>
      </c>
      <c r="R500" s="62">
        <v>0</v>
      </c>
      <c r="S500" s="62">
        <v>0</v>
      </c>
      <c r="T500" s="62">
        <v>0</v>
      </c>
      <c r="U500" s="62">
        <v>0</v>
      </c>
      <c r="V500" s="62">
        <v>0</v>
      </c>
      <c r="W500" s="62">
        <f t="shared" si="50"/>
        <v>-1725.31</v>
      </c>
      <c r="X500" s="62">
        <f t="shared" si="52"/>
        <v>0</v>
      </c>
      <c r="Y500" s="62">
        <f t="shared" si="53"/>
        <v>-1725.31</v>
      </c>
      <c r="Z500" s="62">
        <v>500</v>
      </c>
      <c r="AA500" s="62">
        <f t="shared" si="54"/>
        <v>-1225.31</v>
      </c>
      <c r="AB500" s="62">
        <f t="shared" si="51"/>
        <v>249.38000000000011</v>
      </c>
      <c r="AC500" s="62"/>
      <c r="AD500" s="4" t="s">
        <v>1007</v>
      </c>
      <c r="AF500" s="54"/>
    </row>
    <row r="501" spans="1:32" hidden="1" x14ac:dyDescent="0.3">
      <c r="A501" s="69">
        <v>9</v>
      </c>
      <c r="B501" s="3" t="s">
        <v>19</v>
      </c>
      <c r="C501" s="4" t="s">
        <v>20</v>
      </c>
      <c r="D501" s="4" t="s">
        <v>239</v>
      </c>
      <c r="E501" s="4" t="str">
        <f>VLOOKUP(C501,'[2]CTRL AUTOS'!$E$2:$L$58,8,FALSE)</f>
        <v>ASHC</v>
      </c>
      <c r="F501" s="61" t="str">
        <f>VLOOKUP(C501,'[2]CTRL AUTOS'!$E$2:$K$58,7,FALSE)</f>
        <v>ASHC</v>
      </c>
      <c r="G501" s="4" t="s">
        <v>234</v>
      </c>
      <c r="H501" s="62">
        <v>6894.68</v>
      </c>
      <c r="I501" s="62">
        <v>-537.45000000000005</v>
      </c>
      <c r="J501" s="62">
        <v>-51.04</v>
      </c>
      <c r="K501" s="62">
        <v>163.98</v>
      </c>
      <c r="L501" s="62">
        <v>-55.73</v>
      </c>
      <c r="M501" s="62">
        <v>-25</v>
      </c>
      <c r="N501" s="62">
        <v>0</v>
      </c>
      <c r="O501" s="62">
        <f t="shared" si="55"/>
        <v>6389.4400000000005</v>
      </c>
      <c r="P501" s="62">
        <v>-2500</v>
      </c>
      <c r="Q501" s="62">
        <v>0</v>
      </c>
      <c r="R501" s="62">
        <v>0</v>
      </c>
      <c r="S501" s="62">
        <v>0</v>
      </c>
      <c r="T501" s="62">
        <v>0</v>
      </c>
      <c r="U501" s="62">
        <v>0</v>
      </c>
      <c r="V501" s="62">
        <v>0</v>
      </c>
      <c r="W501" s="62">
        <f t="shared" si="50"/>
        <v>3889.4400000000005</v>
      </c>
      <c r="X501" s="62">
        <f t="shared" si="52"/>
        <v>3889.4400000000005</v>
      </c>
      <c r="Y501" s="62">
        <f t="shared" si="53"/>
        <v>0</v>
      </c>
      <c r="Z501" s="62">
        <v>0</v>
      </c>
      <c r="AA501" s="62">
        <f t="shared" si="54"/>
        <v>0</v>
      </c>
      <c r="AB501" s="62">
        <f t="shared" si="51"/>
        <v>2500</v>
      </c>
      <c r="AC501" s="62"/>
      <c r="AD501" s="4" t="s">
        <v>995</v>
      </c>
      <c r="AF501" s="54"/>
    </row>
    <row r="502" spans="1:32" hidden="1" x14ac:dyDescent="0.3">
      <c r="A502" s="69">
        <v>9</v>
      </c>
      <c r="B502" s="3" t="s">
        <v>128</v>
      </c>
      <c r="C502" s="4" t="s">
        <v>44</v>
      </c>
      <c r="D502" s="4" t="s">
        <v>467</v>
      </c>
      <c r="E502" s="4" t="str">
        <f>VLOOKUP(C502,'[2]CTRL AUTOS'!$E$2:$L$58,8,FALSE)</f>
        <v>ASHC</v>
      </c>
      <c r="F502" s="61" t="str">
        <f>VLOOKUP(C502,'[2]CTRL AUTOS'!$E$2:$K$58,7,FALSE)</f>
        <v>ASHC</v>
      </c>
      <c r="G502" s="4" t="s">
        <v>234</v>
      </c>
      <c r="H502" s="62">
        <v>8966.7000000000007</v>
      </c>
      <c r="I502" s="62">
        <v>-4862.5999999999976</v>
      </c>
      <c r="J502" s="62">
        <v>-61.6</v>
      </c>
      <c r="K502" s="62">
        <v>-87.95</v>
      </c>
      <c r="L502" s="62">
        <v>0</v>
      </c>
      <c r="M502" s="62">
        <v>-70</v>
      </c>
      <c r="N502" s="62">
        <v>0</v>
      </c>
      <c r="O502" s="62">
        <f t="shared" si="55"/>
        <v>3884.5500000000034</v>
      </c>
      <c r="P502" s="62">
        <v>-2500</v>
      </c>
      <c r="Q502" s="62">
        <v>0</v>
      </c>
      <c r="R502" s="62">
        <v>-500</v>
      </c>
      <c r="S502" s="62">
        <v>0</v>
      </c>
      <c r="T502" s="62">
        <v>0</v>
      </c>
      <c r="U502" s="62">
        <v>0</v>
      </c>
      <c r="V502" s="62">
        <v>0</v>
      </c>
      <c r="W502" s="62">
        <f t="shared" si="50"/>
        <v>884.55000000000337</v>
      </c>
      <c r="X502" s="62">
        <f t="shared" si="52"/>
        <v>884.55000000000337</v>
      </c>
      <c r="Y502" s="62">
        <f t="shared" si="53"/>
        <v>0</v>
      </c>
      <c r="Z502" s="62">
        <v>0</v>
      </c>
      <c r="AA502" s="62">
        <f t="shared" si="54"/>
        <v>0</v>
      </c>
      <c r="AB502" s="62">
        <f t="shared" si="51"/>
        <v>3000</v>
      </c>
      <c r="AC502" s="62"/>
      <c r="AD502" s="4" t="s">
        <v>995</v>
      </c>
      <c r="AF502" s="54"/>
    </row>
    <row r="503" spans="1:32" hidden="1" x14ac:dyDescent="0.3">
      <c r="A503" s="69">
        <v>9</v>
      </c>
      <c r="B503" s="3" t="s">
        <v>128</v>
      </c>
      <c r="C503" s="4" t="s">
        <v>155</v>
      </c>
      <c r="D503" s="4"/>
      <c r="E503" s="4" t="str">
        <f>VLOOKUP(C503,'[2]CTRL AUTOS'!$E$2:$L$58,8,FALSE)</f>
        <v>ASHC</v>
      </c>
      <c r="F503" s="61" t="str">
        <f>VLOOKUP(C503,'[2]CTRL AUTOS'!$E$2:$K$58,7,FALSE)</f>
        <v>ASHC</v>
      </c>
      <c r="G503" s="4" t="s">
        <v>234</v>
      </c>
      <c r="H503" s="62">
        <v>0</v>
      </c>
      <c r="I503" s="62">
        <v>0</v>
      </c>
      <c r="J503" s="62">
        <v>0</v>
      </c>
      <c r="K503" s="62">
        <v>0</v>
      </c>
      <c r="L503" s="62">
        <v>0</v>
      </c>
      <c r="M503" s="62">
        <v>0</v>
      </c>
      <c r="N503" s="62">
        <v>0</v>
      </c>
      <c r="O503" s="62">
        <f t="shared" si="55"/>
        <v>0</v>
      </c>
      <c r="P503" s="62">
        <v>0</v>
      </c>
      <c r="Q503" s="62">
        <v>0</v>
      </c>
      <c r="R503" s="62">
        <v>0</v>
      </c>
      <c r="S503" s="62">
        <v>0</v>
      </c>
      <c r="T503" s="62">
        <v>0</v>
      </c>
      <c r="U503" s="62">
        <v>0</v>
      </c>
      <c r="V503" s="62">
        <v>0</v>
      </c>
      <c r="W503" s="62">
        <f t="shared" si="50"/>
        <v>0</v>
      </c>
      <c r="X503" s="62">
        <f t="shared" si="52"/>
        <v>0</v>
      </c>
      <c r="Y503" s="62">
        <f t="shared" si="53"/>
        <v>0</v>
      </c>
      <c r="Z503" s="62">
        <v>0</v>
      </c>
      <c r="AA503" s="62">
        <f t="shared" si="54"/>
        <v>0</v>
      </c>
      <c r="AB503" s="62">
        <f t="shared" si="51"/>
        <v>0</v>
      </c>
      <c r="AC503" s="62"/>
      <c r="AD503" s="4"/>
      <c r="AF503" s="54"/>
    </row>
    <row r="504" spans="1:32" hidden="1" x14ac:dyDescent="0.3">
      <c r="A504" s="69">
        <v>9</v>
      </c>
      <c r="B504" s="3" t="s">
        <v>21</v>
      </c>
      <c r="C504" s="4" t="s">
        <v>22</v>
      </c>
      <c r="D504" s="4" t="s">
        <v>319</v>
      </c>
      <c r="E504" s="4" t="str">
        <f>VLOOKUP(C504,'[2]CTRL AUTOS'!$E$2:$L$58,8,FALSE)</f>
        <v>ASHC</v>
      </c>
      <c r="F504" s="61" t="str">
        <f>VLOOKUP(C504,'[2]CTRL AUTOS'!$E$2:$K$58,7,FALSE)</f>
        <v>ASHC</v>
      </c>
      <c r="G504" s="4" t="s">
        <v>234</v>
      </c>
      <c r="H504" s="62">
        <v>851.52</v>
      </c>
      <c r="I504" s="62">
        <v>0</v>
      </c>
      <c r="J504" s="62">
        <v>0</v>
      </c>
      <c r="K504" s="62">
        <v>0</v>
      </c>
      <c r="L504" s="62">
        <v>0</v>
      </c>
      <c r="M504" s="62">
        <v>0</v>
      </c>
      <c r="N504" s="62">
        <v>0</v>
      </c>
      <c r="O504" s="62">
        <f t="shared" si="55"/>
        <v>851.52</v>
      </c>
      <c r="P504" s="62">
        <v>-2500</v>
      </c>
      <c r="Q504" s="62">
        <v>0</v>
      </c>
      <c r="R504" s="62">
        <v>0</v>
      </c>
      <c r="S504" s="62">
        <v>0</v>
      </c>
      <c r="T504" s="62">
        <v>-700</v>
      </c>
      <c r="U504" s="62">
        <v>0</v>
      </c>
      <c r="V504" s="62">
        <v>0</v>
      </c>
      <c r="W504" s="62">
        <f t="shared" si="50"/>
        <v>-2348.48</v>
      </c>
      <c r="X504" s="62">
        <f t="shared" si="52"/>
        <v>0</v>
      </c>
      <c r="Y504" s="62">
        <f t="shared" si="53"/>
        <v>-2348.48</v>
      </c>
      <c r="Z504" s="62">
        <v>1500</v>
      </c>
      <c r="AA504" s="62">
        <f t="shared" si="54"/>
        <v>-848.48</v>
      </c>
      <c r="AB504" s="62">
        <f t="shared" si="51"/>
        <v>1503.04</v>
      </c>
      <c r="AC504" s="62"/>
      <c r="AD504" s="4" t="s">
        <v>1008</v>
      </c>
      <c r="AF504" s="54"/>
    </row>
    <row r="505" spans="1:32" hidden="1" x14ac:dyDescent="0.3">
      <c r="A505" s="69">
        <v>9</v>
      </c>
      <c r="B505" s="3" t="s">
        <v>64</v>
      </c>
      <c r="C505" s="4" t="s">
        <v>140</v>
      </c>
      <c r="D505" s="4" t="s">
        <v>680</v>
      </c>
      <c r="E505" s="4" t="str">
        <f>VLOOKUP(C505,'[2]CTRL AUTOS'!$E$2:$L$58,8,FALSE)</f>
        <v>ASHC</v>
      </c>
      <c r="F505" s="61" t="str">
        <f>VLOOKUP(C505,'[2]CTRL AUTOS'!$E$2:$K$58,7,FALSE)</f>
        <v>ASHC</v>
      </c>
      <c r="G505" s="4" t="s">
        <v>234</v>
      </c>
      <c r="H505" s="62">
        <v>5283.41</v>
      </c>
      <c r="I505" s="62">
        <v>0</v>
      </c>
      <c r="J505" s="62">
        <v>-84.8</v>
      </c>
      <c r="K505" s="62">
        <v>181.15</v>
      </c>
      <c r="L505" s="62">
        <v>0</v>
      </c>
      <c r="M505" s="62">
        <v>0</v>
      </c>
      <c r="N505" s="62">
        <v>0</v>
      </c>
      <c r="O505" s="62">
        <f t="shared" si="55"/>
        <v>5379.7599999999993</v>
      </c>
      <c r="P505" s="62">
        <f>(-2700/7)*6.5</f>
        <v>-2507.1428571428573</v>
      </c>
      <c r="Q505" s="62">
        <v>0</v>
      </c>
      <c r="R505" s="62">
        <v>0</v>
      </c>
      <c r="S505" s="62">
        <v>0</v>
      </c>
      <c r="T505" s="62">
        <v>0</v>
      </c>
      <c r="U505" s="62">
        <v>0</v>
      </c>
      <c r="V505" s="62">
        <v>0</v>
      </c>
      <c r="W505" s="62">
        <f t="shared" si="50"/>
        <v>2872.617142857142</v>
      </c>
      <c r="X505" s="62">
        <f t="shared" si="52"/>
        <v>2872.617142857142</v>
      </c>
      <c r="Y505" s="62">
        <f t="shared" si="53"/>
        <v>0</v>
      </c>
      <c r="Z505" s="62">
        <v>0</v>
      </c>
      <c r="AA505" s="62">
        <f t="shared" si="54"/>
        <v>0</v>
      </c>
      <c r="AB505" s="62">
        <f t="shared" si="51"/>
        <v>2507.1428571428573</v>
      </c>
      <c r="AC505" s="62"/>
      <c r="AD505" s="4" t="s">
        <v>1009</v>
      </c>
      <c r="AF505" s="54"/>
    </row>
    <row r="506" spans="1:32" hidden="1" x14ac:dyDescent="0.3">
      <c r="A506" s="69">
        <v>9</v>
      </c>
      <c r="B506" s="3" t="s">
        <v>90</v>
      </c>
      <c r="C506" s="4" t="s">
        <v>16</v>
      </c>
      <c r="D506" s="4" t="s">
        <v>314</v>
      </c>
      <c r="E506" s="4" t="str">
        <f>VLOOKUP(C506,'[2]CTRL AUTOS'!$E$2:$L$58,8,FALSE)</f>
        <v>ASHC</v>
      </c>
      <c r="F506" s="61" t="str">
        <f>VLOOKUP(C506,'[2]CTRL AUTOS'!$E$2:$K$58,7,FALSE)</f>
        <v>ASHC</v>
      </c>
      <c r="G506" s="4" t="s">
        <v>234</v>
      </c>
      <c r="H506" s="62">
        <v>8433.2999999999993</v>
      </c>
      <c r="I506" s="62">
        <v>-3850.8199999999997</v>
      </c>
      <c r="J506" s="62">
        <v>-61.6</v>
      </c>
      <c r="K506" s="62">
        <v>0</v>
      </c>
      <c r="L506" s="62">
        <v>0</v>
      </c>
      <c r="M506" s="62">
        <v>-65</v>
      </c>
      <c r="N506" s="62">
        <v>0</v>
      </c>
      <c r="O506" s="62">
        <f t="shared" si="55"/>
        <v>4455.8799999999992</v>
      </c>
      <c r="P506" s="62">
        <f>(-2500/7)*6.5</f>
        <v>-2321.4285714285716</v>
      </c>
      <c r="Q506" s="62">
        <v>0</v>
      </c>
      <c r="R506" s="62">
        <v>-500</v>
      </c>
      <c r="S506" s="62">
        <v>0</v>
      </c>
      <c r="T506" s="62">
        <v>0</v>
      </c>
      <c r="U506" s="62">
        <v>0</v>
      </c>
      <c r="V506" s="62">
        <v>0</v>
      </c>
      <c r="W506" s="62">
        <f t="shared" si="50"/>
        <v>1634.4514285714276</v>
      </c>
      <c r="X506" s="62">
        <f t="shared" si="52"/>
        <v>1634.4514285714276</v>
      </c>
      <c r="Y506" s="62">
        <f t="shared" si="53"/>
        <v>0</v>
      </c>
      <c r="Z506" s="62">
        <v>0</v>
      </c>
      <c r="AA506" s="62">
        <f t="shared" si="54"/>
        <v>0</v>
      </c>
      <c r="AB506" s="62">
        <f t="shared" si="51"/>
        <v>2821.4285714285716</v>
      </c>
      <c r="AC506" s="62"/>
      <c r="AD506" s="4" t="s">
        <v>1010</v>
      </c>
      <c r="AF506" s="54"/>
    </row>
    <row r="507" spans="1:32" hidden="1" x14ac:dyDescent="0.3">
      <c r="A507" s="69">
        <v>9</v>
      </c>
      <c r="B507" s="3" t="s">
        <v>23</v>
      </c>
      <c r="C507" s="4" t="s">
        <v>24</v>
      </c>
      <c r="D507" s="4" t="s">
        <v>515</v>
      </c>
      <c r="E507" s="4" t="str">
        <f>VLOOKUP(C507,'[2]CTRL AUTOS'!$E$2:$L$58,8,FALSE)</f>
        <v>ASHC</v>
      </c>
      <c r="F507" s="61" t="str">
        <f>VLOOKUP(C507,'[2]CTRL AUTOS'!$E$2:$K$58,7,FALSE)</f>
        <v>ASHC</v>
      </c>
      <c r="G507" s="4" t="s">
        <v>234</v>
      </c>
      <c r="H507" s="62">
        <v>4702.3100000000004</v>
      </c>
      <c r="I507" s="62">
        <v>-2831.29</v>
      </c>
      <c r="J507" s="62">
        <v>-44</v>
      </c>
      <c r="K507" s="62">
        <v>0</v>
      </c>
      <c r="L507" s="62">
        <v>0</v>
      </c>
      <c r="M507" s="62">
        <v>-77.340400000000002</v>
      </c>
      <c r="N507" s="62">
        <v>-186.17000000000002</v>
      </c>
      <c r="O507" s="62">
        <f t="shared" si="55"/>
        <v>1563.5096000000003</v>
      </c>
      <c r="P507" s="62">
        <v>-2700</v>
      </c>
      <c r="Q507" s="62">
        <v>0</v>
      </c>
      <c r="R507" s="62">
        <v>0</v>
      </c>
      <c r="S507" s="62">
        <v>0</v>
      </c>
      <c r="T507" s="62">
        <v>0</v>
      </c>
      <c r="U507" s="62">
        <v>0</v>
      </c>
      <c r="V507" s="62">
        <v>0</v>
      </c>
      <c r="W507" s="62">
        <f t="shared" si="50"/>
        <v>-1136.4903999999997</v>
      </c>
      <c r="X507" s="62">
        <f t="shared" si="52"/>
        <v>0</v>
      </c>
      <c r="Y507" s="62">
        <f t="shared" si="53"/>
        <v>-1136.4903999999997</v>
      </c>
      <c r="Z507" s="62">
        <v>200</v>
      </c>
      <c r="AA507" s="62">
        <f t="shared" si="54"/>
        <v>-936.49039999999968</v>
      </c>
      <c r="AB507" s="62">
        <f t="shared" si="51"/>
        <v>827.01920000000064</v>
      </c>
      <c r="AC507" s="62"/>
      <c r="AD507" s="4" t="s">
        <v>1011</v>
      </c>
      <c r="AF507" s="54"/>
    </row>
    <row r="508" spans="1:32" hidden="1" x14ac:dyDescent="0.3">
      <c r="A508" s="69">
        <v>9</v>
      </c>
      <c r="B508" s="3" t="s">
        <v>23</v>
      </c>
      <c r="C508" s="4" t="s">
        <v>22</v>
      </c>
      <c r="D508" s="4" t="s">
        <v>319</v>
      </c>
      <c r="E508" s="4" t="str">
        <f>VLOOKUP(C508,'[2]CTRL AUTOS'!$E$2:$L$58,8,FALSE)</f>
        <v>ASHC</v>
      </c>
      <c r="F508" s="61" t="str">
        <f>VLOOKUP(C508,'[2]CTRL AUTOS'!$E$2:$K$58,7,FALSE)</f>
        <v>ASHC</v>
      </c>
      <c r="G508" s="4" t="s">
        <v>234</v>
      </c>
      <c r="H508" s="62">
        <v>0</v>
      </c>
      <c r="I508" s="62">
        <v>0</v>
      </c>
      <c r="J508" s="62">
        <v>0</v>
      </c>
      <c r="K508" s="62">
        <v>0</v>
      </c>
      <c r="L508" s="62">
        <v>0</v>
      </c>
      <c r="M508" s="62">
        <v>0</v>
      </c>
      <c r="N508" s="62">
        <v>0</v>
      </c>
      <c r="O508" s="62">
        <f t="shared" si="55"/>
        <v>0</v>
      </c>
      <c r="P508" s="62">
        <v>0</v>
      </c>
      <c r="Q508" s="62">
        <v>0</v>
      </c>
      <c r="R508" s="62">
        <v>0</v>
      </c>
      <c r="S508" s="62">
        <v>0</v>
      </c>
      <c r="T508" s="62">
        <v>-700</v>
      </c>
      <c r="U508" s="62">
        <v>0</v>
      </c>
      <c r="V508" s="62">
        <v>0</v>
      </c>
      <c r="W508" s="62">
        <f t="shared" si="50"/>
        <v>-700</v>
      </c>
      <c r="X508" s="62">
        <f t="shared" si="52"/>
        <v>0</v>
      </c>
      <c r="Y508" s="62">
        <f t="shared" si="53"/>
        <v>-700</v>
      </c>
      <c r="Z508" s="62">
        <v>700</v>
      </c>
      <c r="AA508" s="62">
        <f t="shared" si="54"/>
        <v>0</v>
      </c>
      <c r="AB508" s="62">
        <f t="shared" si="51"/>
        <v>700</v>
      </c>
      <c r="AC508" s="62"/>
      <c r="AD508" s="4"/>
      <c r="AF508" s="54"/>
    </row>
    <row r="509" spans="1:32" hidden="1" x14ac:dyDescent="0.3">
      <c r="A509" s="69">
        <v>9</v>
      </c>
      <c r="B509" s="3" t="s">
        <v>108</v>
      </c>
      <c r="C509" s="4" t="s">
        <v>75</v>
      </c>
      <c r="D509" s="4" t="s">
        <v>744</v>
      </c>
      <c r="E509" s="4" t="str">
        <f>VLOOKUP(C509,'[2]CTRL AUTOS'!$E$2:$L$58,8,FALSE)</f>
        <v>U64</v>
      </c>
      <c r="F509" s="61" t="str">
        <f>VLOOKUP(C509,'[2]CTRL AUTOS'!$E$2:$K$58,7,FALSE)</f>
        <v>BYER</v>
      </c>
      <c r="G509" s="4" t="s">
        <v>234</v>
      </c>
      <c r="H509" s="62">
        <v>6608.13</v>
      </c>
      <c r="I509" s="62">
        <v>-1758.92</v>
      </c>
      <c r="J509" s="62">
        <v>-83.2</v>
      </c>
      <c r="K509" s="62">
        <v>0</v>
      </c>
      <c r="L509" s="62">
        <v>0</v>
      </c>
      <c r="M509" s="62">
        <v>-50</v>
      </c>
      <c r="N509" s="62">
        <v>0</v>
      </c>
      <c r="O509" s="62">
        <f t="shared" si="55"/>
        <v>4716.01</v>
      </c>
      <c r="P509" s="62">
        <v>-2500</v>
      </c>
      <c r="Q509" s="62">
        <v>0</v>
      </c>
      <c r="R509" s="62">
        <v>-143</v>
      </c>
      <c r="S509" s="62">
        <v>0</v>
      </c>
      <c r="T509" s="62">
        <v>-700</v>
      </c>
      <c r="U509" s="62">
        <v>0</v>
      </c>
      <c r="V509" s="62">
        <v>0</v>
      </c>
      <c r="W509" s="62">
        <f t="shared" si="50"/>
        <v>1373.0100000000002</v>
      </c>
      <c r="X509" s="62">
        <f t="shared" si="52"/>
        <v>1373.0100000000002</v>
      </c>
      <c r="Y509" s="62">
        <f t="shared" si="53"/>
        <v>0</v>
      </c>
      <c r="Z509" s="62">
        <v>0</v>
      </c>
      <c r="AA509" s="62">
        <f t="shared" si="54"/>
        <v>0</v>
      </c>
      <c r="AB509" s="62">
        <f t="shared" si="51"/>
        <v>3343</v>
      </c>
      <c r="AC509" s="62"/>
      <c r="AD509" s="4" t="s">
        <v>995</v>
      </c>
      <c r="AF509" s="54"/>
    </row>
    <row r="510" spans="1:32" hidden="1" x14ac:dyDescent="0.3">
      <c r="A510" s="69">
        <v>9</v>
      </c>
      <c r="B510" s="3" t="s">
        <v>85</v>
      </c>
      <c r="C510" s="4" t="s">
        <v>86</v>
      </c>
      <c r="D510" s="4" t="s">
        <v>519</v>
      </c>
      <c r="E510" s="4" t="str">
        <f>VLOOKUP(C510,'[2]CTRL AUTOS'!$E$2:$L$58,8,FALSE)</f>
        <v>ASHC</v>
      </c>
      <c r="F510" s="61" t="str">
        <f>VLOOKUP(C510,'[2]CTRL AUTOS'!$E$2:$K$58,7,FALSE)</f>
        <v>ASHC</v>
      </c>
      <c r="G510" s="4" t="s">
        <v>234</v>
      </c>
      <c r="H510" s="62">
        <v>2434.0100000000002</v>
      </c>
      <c r="I510" s="62">
        <v>-1108.23</v>
      </c>
      <c r="J510" s="62">
        <v>0</v>
      </c>
      <c r="K510" s="62">
        <v>0</v>
      </c>
      <c r="L510" s="62">
        <v>0</v>
      </c>
      <c r="M510" s="62">
        <v>-40</v>
      </c>
      <c r="N510" s="62">
        <v>0</v>
      </c>
      <c r="O510" s="62">
        <f t="shared" si="55"/>
        <v>1285.7800000000002</v>
      </c>
      <c r="P510" s="62">
        <v>-2500</v>
      </c>
      <c r="Q510" s="62">
        <v>0</v>
      </c>
      <c r="R510" s="62">
        <v>-500</v>
      </c>
      <c r="S510" s="62">
        <v>0</v>
      </c>
      <c r="T510" s="62">
        <v>0</v>
      </c>
      <c r="U510" s="62">
        <v>0</v>
      </c>
      <c r="V510" s="62">
        <v>0</v>
      </c>
      <c r="W510" s="62">
        <f t="shared" si="50"/>
        <v>-1714.2199999999998</v>
      </c>
      <c r="X510" s="62">
        <f t="shared" si="52"/>
        <v>0</v>
      </c>
      <c r="Y510" s="62">
        <f t="shared" si="53"/>
        <v>-1714.2199999999998</v>
      </c>
      <c r="Z510" s="62">
        <v>0</v>
      </c>
      <c r="AA510" s="62">
        <f t="shared" si="54"/>
        <v>-1714.2199999999998</v>
      </c>
      <c r="AB510" s="62">
        <f t="shared" si="51"/>
        <v>-428.4399999999996</v>
      </c>
      <c r="AC510" s="62"/>
      <c r="AD510" s="4"/>
      <c r="AF510" s="54"/>
    </row>
    <row r="511" spans="1:32" hidden="1" x14ac:dyDescent="0.3">
      <c r="A511" s="69">
        <v>9</v>
      </c>
      <c r="B511" s="3" t="s">
        <v>136</v>
      </c>
      <c r="C511" s="4" t="s">
        <v>56</v>
      </c>
      <c r="D511" s="4" t="s">
        <v>336</v>
      </c>
      <c r="E511" s="4" t="str">
        <f>VLOOKUP(C511,'[2]CTRL AUTOS'!$E$2:$L$58,8,FALSE)</f>
        <v>U64</v>
      </c>
      <c r="F511" s="61" t="str">
        <f>VLOOKUP(C511,'[2]CTRL AUTOS'!$E$2:$K$58,7,FALSE)</f>
        <v>BYER</v>
      </c>
      <c r="G511" s="4" t="s">
        <v>234</v>
      </c>
      <c r="H511" s="62">
        <v>3999.97</v>
      </c>
      <c r="I511" s="62">
        <v>-1001.88</v>
      </c>
      <c r="J511" s="62">
        <v>-114</v>
      </c>
      <c r="K511" s="62">
        <v>304.74</v>
      </c>
      <c r="L511" s="62">
        <v>0</v>
      </c>
      <c r="M511" s="62">
        <v>-18</v>
      </c>
      <c r="N511" s="62">
        <v>-149</v>
      </c>
      <c r="O511" s="62">
        <f t="shared" si="55"/>
        <v>3021.83</v>
      </c>
      <c r="P511" s="62">
        <v>-2500</v>
      </c>
      <c r="Q511" s="62">
        <f>-200*1.12</f>
        <v>-224.00000000000003</v>
      </c>
      <c r="R511" s="62">
        <v>-500</v>
      </c>
      <c r="S511" s="62">
        <v>0</v>
      </c>
      <c r="T511" s="62">
        <v>0</v>
      </c>
      <c r="U511" s="62">
        <v>0</v>
      </c>
      <c r="V511" s="62">
        <v>0</v>
      </c>
      <c r="W511" s="62">
        <f t="shared" si="50"/>
        <v>-202.17000000000007</v>
      </c>
      <c r="X511" s="62">
        <f t="shared" si="52"/>
        <v>0</v>
      </c>
      <c r="Y511" s="62">
        <f t="shared" si="53"/>
        <v>-202.17000000000007</v>
      </c>
      <c r="Z511" s="62">
        <v>137</v>
      </c>
      <c r="AA511" s="62">
        <f t="shared" si="54"/>
        <v>-65.170000000000073</v>
      </c>
      <c r="AB511" s="62">
        <f t="shared" si="51"/>
        <v>3093.66</v>
      </c>
      <c r="AC511" s="62"/>
      <c r="AD511" s="4" t="s">
        <v>1012</v>
      </c>
      <c r="AF511" s="54"/>
    </row>
    <row r="512" spans="1:32" hidden="1" x14ac:dyDescent="0.3">
      <c r="A512" s="69">
        <v>9</v>
      </c>
      <c r="B512" s="3" t="s">
        <v>25</v>
      </c>
      <c r="C512" s="4" t="s">
        <v>26</v>
      </c>
      <c r="D512" s="4" t="s">
        <v>575</v>
      </c>
      <c r="E512" s="4" t="str">
        <f>VLOOKUP(C512,'[2]CTRL AUTOS'!$E$2:$L$58,8,FALSE)</f>
        <v>ASHC</v>
      </c>
      <c r="F512" s="61" t="str">
        <f>VLOOKUP(C512,'[2]CTRL AUTOS'!$E$2:$K$58,7,FALSE)</f>
        <v>ASHC</v>
      </c>
      <c r="G512" s="4" t="s">
        <v>234</v>
      </c>
      <c r="H512" s="62">
        <v>0</v>
      </c>
      <c r="I512" s="62">
        <v>0</v>
      </c>
      <c r="J512" s="62">
        <v>0</v>
      </c>
      <c r="K512" s="62">
        <v>0</v>
      </c>
      <c r="L512" s="62">
        <v>0</v>
      </c>
      <c r="M512" s="62">
        <v>0</v>
      </c>
      <c r="N512" s="62">
        <v>0</v>
      </c>
      <c r="O512" s="62">
        <f t="shared" si="55"/>
        <v>0</v>
      </c>
      <c r="P512" s="62">
        <v>-2500</v>
      </c>
      <c r="Q512" s="62">
        <f>-884*1.12</f>
        <v>-990.08</v>
      </c>
      <c r="R512" s="62">
        <v>0</v>
      </c>
      <c r="S512" s="62">
        <v>0</v>
      </c>
      <c r="T512" s="62">
        <v>-333</v>
      </c>
      <c r="U512" s="62">
        <v>0</v>
      </c>
      <c r="V512" s="62">
        <v>0</v>
      </c>
      <c r="W512" s="62">
        <f t="shared" si="50"/>
        <v>-3823.08</v>
      </c>
      <c r="X512" s="62">
        <f t="shared" si="52"/>
        <v>0</v>
      </c>
      <c r="Y512" s="62">
        <f t="shared" si="53"/>
        <v>-3823.08</v>
      </c>
      <c r="Z512" s="62">
        <v>448</v>
      </c>
      <c r="AA512" s="62">
        <f t="shared" si="54"/>
        <v>-3375.08</v>
      </c>
      <c r="AB512" s="62">
        <f t="shared" si="51"/>
        <v>-2927.08</v>
      </c>
      <c r="AC512" s="62"/>
      <c r="AD512" s="4" t="s">
        <v>1013</v>
      </c>
      <c r="AF512" s="54"/>
    </row>
    <row r="513" spans="1:32" hidden="1" x14ac:dyDescent="0.3">
      <c r="A513" s="69">
        <v>9</v>
      </c>
      <c r="B513" s="3" t="s">
        <v>27</v>
      </c>
      <c r="C513" s="4" t="s">
        <v>137</v>
      </c>
      <c r="D513" s="4" t="s">
        <v>877</v>
      </c>
      <c r="E513" s="4" t="str">
        <f>VLOOKUP(C513,'[2]CTRL AUTOS'!$E$2:$L$58,8,FALSE)</f>
        <v>ASHC</v>
      </c>
      <c r="F513" s="61" t="str">
        <f>VLOOKUP(C513,'[2]CTRL AUTOS'!$E$2:$K$58,7,FALSE)</f>
        <v>ASHC</v>
      </c>
      <c r="G513" s="4" t="s">
        <v>234</v>
      </c>
      <c r="H513" s="62">
        <v>0</v>
      </c>
      <c r="I513" s="62">
        <v>0</v>
      </c>
      <c r="J513" s="62">
        <v>0</v>
      </c>
      <c r="K513" s="62">
        <v>0</v>
      </c>
      <c r="L513" s="62">
        <v>0</v>
      </c>
      <c r="M513" s="62">
        <v>0</v>
      </c>
      <c r="N513" s="62">
        <v>0</v>
      </c>
      <c r="O513" s="62">
        <f t="shared" si="55"/>
        <v>0</v>
      </c>
      <c r="P513" s="62">
        <v>0</v>
      </c>
      <c r="Q513" s="62">
        <v>0</v>
      </c>
      <c r="R513" s="62">
        <v>500</v>
      </c>
      <c r="S513" s="62">
        <v>0</v>
      </c>
      <c r="T513" s="62">
        <v>0</v>
      </c>
      <c r="U513" s="62">
        <v>0</v>
      </c>
      <c r="V513" s="62">
        <v>0</v>
      </c>
      <c r="W513" s="62">
        <f t="shared" si="50"/>
        <v>500</v>
      </c>
      <c r="X513" s="62">
        <f t="shared" si="52"/>
        <v>500</v>
      </c>
      <c r="Y513" s="62">
        <f t="shared" si="53"/>
        <v>0</v>
      </c>
      <c r="Z513" s="62">
        <v>0</v>
      </c>
      <c r="AA513" s="62">
        <f t="shared" si="54"/>
        <v>0</v>
      </c>
      <c r="AB513" s="62">
        <f t="shared" si="51"/>
        <v>-500</v>
      </c>
      <c r="AC513" s="62"/>
      <c r="AD513" s="4" t="s">
        <v>995</v>
      </c>
      <c r="AF513" s="54"/>
    </row>
    <row r="514" spans="1:32" hidden="1" x14ac:dyDescent="0.3">
      <c r="A514" s="69">
        <v>9</v>
      </c>
      <c r="B514" s="3" t="s">
        <v>9</v>
      </c>
      <c r="C514" s="4" t="s">
        <v>10</v>
      </c>
      <c r="D514" s="4" t="s">
        <v>343</v>
      </c>
      <c r="E514" s="4" t="str">
        <f>VLOOKUP(C514,'[2]CTRL AUTOS'!$E$2:$L$58,8,FALSE)</f>
        <v>ASHC</v>
      </c>
      <c r="F514" s="61" t="str">
        <f>VLOOKUP(C514,'[2]CTRL AUTOS'!$E$2:$K$58,7,FALSE)</f>
        <v>ASHC</v>
      </c>
      <c r="G514" s="4" t="s">
        <v>425</v>
      </c>
      <c r="H514" s="62">
        <v>0</v>
      </c>
      <c r="I514" s="62">
        <v>0</v>
      </c>
      <c r="J514" s="62">
        <v>0</v>
      </c>
      <c r="K514" s="62">
        <v>0</v>
      </c>
      <c r="L514" s="62">
        <v>0</v>
      </c>
      <c r="M514" s="62">
        <v>0</v>
      </c>
      <c r="N514" s="62">
        <v>0</v>
      </c>
      <c r="O514" s="62">
        <f t="shared" si="55"/>
        <v>0</v>
      </c>
      <c r="P514" s="62">
        <v>0</v>
      </c>
      <c r="Q514" s="62">
        <v>-1484</v>
      </c>
      <c r="R514" s="62">
        <v>0</v>
      </c>
      <c r="S514" s="62">
        <v>0</v>
      </c>
      <c r="T514" s="62">
        <v>-700</v>
      </c>
      <c r="U514" s="62">
        <v>0</v>
      </c>
      <c r="V514" s="62">
        <v>0</v>
      </c>
      <c r="W514" s="62">
        <f t="shared" ref="W514:W577" si="56">SUM(O514:V514)</f>
        <v>-2184</v>
      </c>
      <c r="X514" s="62">
        <f t="shared" si="52"/>
        <v>0</v>
      </c>
      <c r="Y514" s="62">
        <f t="shared" si="53"/>
        <v>-2184</v>
      </c>
      <c r="Z514" s="62">
        <v>0</v>
      </c>
      <c r="AA514" s="62">
        <f t="shared" si="54"/>
        <v>-2184</v>
      </c>
      <c r="AB514" s="62">
        <f t="shared" ref="AB514:AB577" si="57">+O514-X514+Z514+AA514</f>
        <v>-2184</v>
      </c>
      <c r="AC514" s="62"/>
      <c r="AD514" s="4" t="s">
        <v>1014</v>
      </c>
      <c r="AF514" s="54"/>
    </row>
    <row r="515" spans="1:32" hidden="1" x14ac:dyDescent="0.3">
      <c r="A515" s="69">
        <v>9</v>
      </c>
      <c r="B515" s="3" t="s">
        <v>70</v>
      </c>
      <c r="C515" s="4" t="s">
        <v>71</v>
      </c>
      <c r="D515" s="4" t="s">
        <v>588</v>
      </c>
      <c r="E515" s="4" t="str">
        <f>VLOOKUP(C515,'[2]CTRL AUTOS'!$E$2:$L$58,8,FALSE)</f>
        <v>ASHC</v>
      </c>
      <c r="F515" s="61" t="str">
        <f>VLOOKUP(C515,'[2]CTRL AUTOS'!$E$2:$K$58,7,FALSE)</f>
        <v>ASHC</v>
      </c>
      <c r="G515" s="4" t="s">
        <v>234</v>
      </c>
      <c r="H515" s="62">
        <v>4915.45</v>
      </c>
      <c r="I515" s="62">
        <v>0</v>
      </c>
      <c r="J515" s="62">
        <v>0</v>
      </c>
      <c r="K515" s="62">
        <v>0</v>
      </c>
      <c r="L515" s="62">
        <v>0</v>
      </c>
      <c r="M515" s="62">
        <v>0</v>
      </c>
      <c r="N515" s="62">
        <v>0</v>
      </c>
      <c r="O515" s="62">
        <f t="shared" si="55"/>
        <v>4915.45</v>
      </c>
      <c r="P515" s="62">
        <v>-4915</v>
      </c>
      <c r="Q515" s="62">
        <v>0</v>
      </c>
      <c r="R515" s="62">
        <v>0</v>
      </c>
      <c r="S515" s="62">
        <v>0</v>
      </c>
      <c r="T515" s="62">
        <v>0</v>
      </c>
      <c r="U515" s="62">
        <v>0</v>
      </c>
      <c r="V515" s="62">
        <v>0</v>
      </c>
      <c r="W515" s="62">
        <f t="shared" si="56"/>
        <v>0.4499999999998181</v>
      </c>
      <c r="X515" s="62">
        <f t="shared" si="52"/>
        <v>0.4499999999998181</v>
      </c>
      <c r="Y515" s="62">
        <f t="shared" si="53"/>
        <v>0</v>
      </c>
      <c r="Z515" s="62">
        <v>0</v>
      </c>
      <c r="AA515" s="62">
        <f t="shared" si="54"/>
        <v>0</v>
      </c>
      <c r="AB515" s="62">
        <f t="shared" si="57"/>
        <v>4915</v>
      </c>
      <c r="AC515" s="62"/>
      <c r="AD515" s="4"/>
      <c r="AF515" s="54"/>
    </row>
    <row r="516" spans="1:32" hidden="1" x14ac:dyDescent="0.3">
      <c r="A516" s="69">
        <v>9</v>
      </c>
      <c r="B516" s="3" t="s">
        <v>29</v>
      </c>
      <c r="C516" s="4" t="s">
        <v>141</v>
      </c>
      <c r="D516" s="4" t="s">
        <v>901</v>
      </c>
      <c r="E516" s="4" t="str">
        <f>VLOOKUP(C516,'[2]CTRL AUTOS'!$E$2:$L$58,8,FALSE)</f>
        <v>ASHC</v>
      </c>
      <c r="F516" s="61" t="str">
        <f>VLOOKUP(C516,'[2]CTRL AUTOS'!$E$2:$K$58,7,FALSE)</f>
        <v>ASHC</v>
      </c>
      <c r="G516" s="4" t="s">
        <v>234</v>
      </c>
      <c r="H516" s="62">
        <v>3627.33</v>
      </c>
      <c r="I516" s="62">
        <v>-1073.23</v>
      </c>
      <c r="J516" s="62">
        <v>-38.4</v>
      </c>
      <c r="K516" s="62">
        <v>0</v>
      </c>
      <c r="L516" s="62">
        <v>0</v>
      </c>
      <c r="M516" s="62">
        <v>-43.2196</v>
      </c>
      <c r="N516" s="62">
        <v>-26.83</v>
      </c>
      <c r="O516" s="62">
        <f t="shared" si="55"/>
        <v>2445.6504</v>
      </c>
      <c r="P516" s="62">
        <v>-2700</v>
      </c>
      <c r="Q516" s="62">
        <f>-1666*1.12</f>
        <v>-1865.92</v>
      </c>
      <c r="R516" s="62">
        <v>0</v>
      </c>
      <c r="S516" s="62">
        <v>0</v>
      </c>
      <c r="T516" s="62">
        <v>0</v>
      </c>
      <c r="U516" s="62">
        <v>0</v>
      </c>
      <c r="V516" s="62">
        <v>0</v>
      </c>
      <c r="W516" s="62">
        <f t="shared" si="56"/>
        <v>-2120.2696000000001</v>
      </c>
      <c r="X516" s="62">
        <f t="shared" si="52"/>
        <v>0</v>
      </c>
      <c r="Y516" s="62">
        <f t="shared" si="53"/>
        <v>-2120.2696000000001</v>
      </c>
      <c r="Z516" s="62">
        <v>1000</v>
      </c>
      <c r="AA516" s="62">
        <f t="shared" si="54"/>
        <v>-1120.2696000000001</v>
      </c>
      <c r="AB516" s="62">
        <f t="shared" si="57"/>
        <v>2325.3807999999999</v>
      </c>
      <c r="AC516" s="62"/>
      <c r="AD516" s="4" t="s">
        <v>1015</v>
      </c>
      <c r="AF516" s="54"/>
    </row>
    <row r="517" spans="1:32" hidden="1" x14ac:dyDescent="0.3">
      <c r="A517" s="69">
        <v>9</v>
      </c>
      <c r="B517" s="3" t="s">
        <v>72</v>
      </c>
      <c r="C517" s="4" t="s">
        <v>73</v>
      </c>
      <c r="D517" s="4" t="s">
        <v>368</v>
      </c>
      <c r="E517" s="4" t="str">
        <f>VLOOKUP(C517,'[2]CTRL AUTOS'!$E$2:$L$58,8,FALSE)</f>
        <v>U64</v>
      </c>
      <c r="F517" s="61" t="str">
        <f>VLOOKUP(C517,'[2]CTRL AUTOS'!$E$2:$K$58,7,FALSE)</f>
        <v>BYER</v>
      </c>
      <c r="G517" s="4" t="s">
        <v>234</v>
      </c>
      <c r="H517" s="62">
        <v>11299.85</v>
      </c>
      <c r="I517" s="62">
        <v>-3824.23</v>
      </c>
      <c r="J517" s="62">
        <v>-178</v>
      </c>
      <c r="K517" s="62">
        <v>0</v>
      </c>
      <c r="L517" s="62">
        <v>-99.93</v>
      </c>
      <c r="M517" s="62">
        <v>-4</v>
      </c>
      <c r="N517" s="62">
        <v>-32.450000000000003</v>
      </c>
      <c r="O517" s="62">
        <f t="shared" si="55"/>
        <v>7161.2400000000007</v>
      </c>
      <c r="P517" s="62">
        <v>-2500</v>
      </c>
      <c r="Q517" s="62">
        <v>0</v>
      </c>
      <c r="R517" s="62">
        <v>0</v>
      </c>
      <c r="S517" s="62">
        <v>-700</v>
      </c>
      <c r="T517" s="62">
        <v>0</v>
      </c>
      <c r="U517" s="62">
        <v>0</v>
      </c>
      <c r="V517" s="62">
        <v>0</v>
      </c>
      <c r="W517" s="62">
        <f t="shared" si="56"/>
        <v>3961.2400000000007</v>
      </c>
      <c r="X517" s="62">
        <f t="shared" si="52"/>
        <v>3961.2400000000007</v>
      </c>
      <c r="Y517" s="62">
        <f t="shared" si="53"/>
        <v>0</v>
      </c>
      <c r="Z517" s="62">
        <v>0</v>
      </c>
      <c r="AA517" s="62">
        <f t="shared" si="54"/>
        <v>0</v>
      </c>
      <c r="AB517" s="62">
        <f t="shared" si="57"/>
        <v>3200</v>
      </c>
      <c r="AC517" s="62"/>
      <c r="AD517" s="4" t="s">
        <v>1016</v>
      </c>
      <c r="AF517" s="54"/>
    </row>
    <row r="518" spans="1:32" hidden="1" x14ac:dyDescent="0.3">
      <c r="A518" s="69">
        <v>9</v>
      </c>
      <c r="B518" s="3" t="s">
        <v>92</v>
      </c>
      <c r="C518" s="4" t="s">
        <v>30</v>
      </c>
      <c r="D518" s="4" t="s">
        <v>521</v>
      </c>
      <c r="E518" s="4" t="str">
        <f>VLOOKUP(C518,'[2]CTRL AUTOS'!$E$2:$L$58,8,FALSE)</f>
        <v>ASHC</v>
      </c>
      <c r="F518" s="61" t="str">
        <f>VLOOKUP(C518,'[2]CTRL AUTOS'!$E$2:$K$58,7,FALSE)</f>
        <v>ASHC</v>
      </c>
      <c r="G518" s="4" t="s">
        <v>234</v>
      </c>
      <c r="H518" s="62">
        <v>8736.7999999999993</v>
      </c>
      <c r="I518" s="62">
        <v>-3026.0699999999997</v>
      </c>
      <c r="J518" s="62">
        <v>-48</v>
      </c>
      <c r="K518" s="62">
        <v>14.68</v>
      </c>
      <c r="L518" s="62">
        <v>0</v>
      </c>
      <c r="M518" s="62">
        <v>-65</v>
      </c>
      <c r="N518" s="62">
        <v>0</v>
      </c>
      <c r="O518" s="62">
        <f t="shared" si="55"/>
        <v>5612.41</v>
      </c>
      <c r="P518" s="62">
        <v>-2500</v>
      </c>
      <c r="Q518" s="62">
        <v>0</v>
      </c>
      <c r="R518" s="62">
        <v>-500</v>
      </c>
      <c r="S518" s="62">
        <v>0</v>
      </c>
      <c r="T518" s="62">
        <v>0</v>
      </c>
      <c r="U518" s="62">
        <v>0</v>
      </c>
      <c r="V518" s="62">
        <v>0</v>
      </c>
      <c r="W518" s="62">
        <f t="shared" si="56"/>
        <v>2612.41</v>
      </c>
      <c r="X518" s="62">
        <f t="shared" si="52"/>
        <v>2612.41</v>
      </c>
      <c r="Y518" s="62">
        <f t="shared" si="53"/>
        <v>0</v>
      </c>
      <c r="Z518" s="62">
        <v>0</v>
      </c>
      <c r="AA518" s="62">
        <f t="shared" si="54"/>
        <v>0</v>
      </c>
      <c r="AB518" s="62">
        <f t="shared" si="57"/>
        <v>3000</v>
      </c>
      <c r="AC518" s="62"/>
      <c r="AD518" s="4" t="s">
        <v>995</v>
      </c>
      <c r="AF518" s="54"/>
    </row>
    <row r="519" spans="1:32" hidden="1" x14ac:dyDescent="0.3">
      <c r="A519" s="69">
        <v>9</v>
      </c>
      <c r="B519" s="3" t="s">
        <v>105</v>
      </c>
      <c r="C519" s="4" t="s">
        <v>106</v>
      </c>
      <c r="D519" s="4" t="s">
        <v>646</v>
      </c>
      <c r="E519" s="4" t="str">
        <f>VLOOKUP(C519,'[2]CTRL AUTOS'!$E$2:$L$58,8,FALSE)</f>
        <v>ASHC</v>
      </c>
      <c r="F519" s="61" t="str">
        <f>VLOOKUP(C519,'[2]CTRL AUTOS'!$E$2:$K$58,7,FALSE)</f>
        <v>ASHC</v>
      </c>
      <c r="G519" s="4" t="s">
        <v>425</v>
      </c>
      <c r="H519" s="62">
        <v>0</v>
      </c>
      <c r="I519" s="62">
        <v>0</v>
      </c>
      <c r="J519" s="62">
        <v>0</v>
      </c>
      <c r="K519" s="62">
        <v>0</v>
      </c>
      <c r="L519" s="62">
        <v>0</v>
      </c>
      <c r="M519" s="62">
        <v>0</v>
      </c>
      <c r="N519" s="62">
        <v>0</v>
      </c>
      <c r="O519" s="62">
        <f t="shared" si="55"/>
        <v>0</v>
      </c>
      <c r="P519" s="62">
        <v>-2500</v>
      </c>
      <c r="Q519" s="62">
        <v>0</v>
      </c>
      <c r="R519" s="62">
        <v>0</v>
      </c>
      <c r="S519" s="62">
        <v>0</v>
      </c>
      <c r="T519" s="62">
        <v>0</v>
      </c>
      <c r="U519" s="62">
        <v>-100</v>
      </c>
      <c r="V519" s="62">
        <v>0</v>
      </c>
      <c r="W519" s="62">
        <f t="shared" si="56"/>
        <v>-2600</v>
      </c>
      <c r="X519" s="62">
        <f t="shared" si="52"/>
        <v>0</v>
      </c>
      <c r="Y519" s="62">
        <f t="shared" si="53"/>
        <v>-2600</v>
      </c>
      <c r="Z519" s="62">
        <v>2500</v>
      </c>
      <c r="AA519" s="62">
        <f t="shared" si="54"/>
        <v>-100</v>
      </c>
      <c r="AB519" s="62">
        <f t="shared" si="57"/>
        <v>2400</v>
      </c>
      <c r="AC519" s="62"/>
      <c r="AD519" s="71" t="s">
        <v>1017</v>
      </c>
      <c r="AF519" s="54"/>
    </row>
    <row r="520" spans="1:32" hidden="1" x14ac:dyDescent="0.3">
      <c r="A520" s="69">
        <v>9</v>
      </c>
      <c r="B520" s="3" t="s">
        <v>31</v>
      </c>
      <c r="C520" s="4" t="s">
        <v>143</v>
      </c>
      <c r="D520" s="4" t="s">
        <v>907</v>
      </c>
      <c r="E520" s="4" t="str">
        <f>VLOOKUP(C520,'[2]CTRL AUTOS'!$E$2:$L$58,8,FALSE)</f>
        <v>ASHC</v>
      </c>
      <c r="F520" s="61" t="str">
        <f>VLOOKUP(C520,'[2]CTRL AUTOS'!$E$2:$K$58,7,FALSE)</f>
        <v>ASHC</v>
      </c>
      <c r="G520" s="4" t="s">
        <v>234</v>
      </c>
      <c r="H520" s="62">
        <v>11232.85</v>
      </c>
      <c r="I520" s="62">
        <v>-6344.1199999999944</v>
      </c>
      <c r="J520" s="62">
        <v>-100.8</v>
      </c>
      <c r="K520" s="62">
        <v>0</v>
      </c>
      <c r="L520" s="62">
        <v>0</v>
      </c>
      <c r="M520" s="62">
        <v>-80</v>
      </c>
      <c r="N520" s="62">
        <v>0</v>
      </c>
      <c r="O520" s="62">
        <f t="shared" si="55"/>
        <v>4707.9300000000057</v>
      </c>
      <c r="P520" s="62">
        <f>(-2700/7)*6.5</f>
        <v>-2507.1428571428573</v>
      </c>
      <c r="Q520" s="62">
        <v>0</v>
      </c>
      <c r="R520" s="62">
        <v>0</v>
      </c>
      <c r="S520" s="62">
        <v>0</v>
      </c>
      <c r="T520" s="62">
        <v>0</v>
      </c>
      <c r="U520" s="62">
        <v>0</v>
      </c>
      <c r="V520" s="62">
        <v>0</v>
      </c>
      <c r="W520" s="62">
        <f t="shared" si="56"/>
        <v>2200.7871428571484</v>
      </c>
      <c r="X520" s="62">
        <f t="shared" si="52"/>
        <v>2200.7871428571484</v>
      </c>
      <c r="Y520" s="62">
        <f t="shared" si="53"/>
        <v>0</v>
      </c>
      <c r="Z520" s="62">
        <v>0</v>
      </c>
      <c r="AA520" s="62">
        <f t="shared" si="54"/>
        <v>0</v>
      </c>
      <c r="AB520" s="62">
        <f t="shared" si="57"/>
        <v>2507.1428571428573</v>
      </c>
      <c r="AC520" s="62"/>
      <c r="AD520" s="4" t="s">
        <v>1018</v>
      </c>
      <c r="AF520" s="54"/>
    </row>
    <row r="521" spans="1:32" hidden="1" x14ac:dyDescent="0.3">
      <c r="A521" s="69">
        <v>9</v>
      </c>
      <c r="B521" s="3" t="s">
        <v>91</v>
      </c>
      <c r="C521" s="4" t="s">
        <v>144</v>
      </c>
      <c r="D521" s="4" t="s">
        <v>909</v>
      </c>
      <c r="E521" s="4" t="str">
        <f>VLOOKUP(C521,'[2]CTRL AUTOS'!$E$2:$L$58,8,FALSE)</f>
        <v>ASHC</v>
      </c>
      <c r="F521" s="61" t="str">
        <f>VLOOKUP(C521,'[2]CTRL AUTOS'!$E$2:$K$58,7,FALSE)</f>
        <v>ASHC</v>
      </c>
      <c r="G521" s="4" t="s">
        <v>234</v>
      </c>
      <c r="H521" s="62">
        <v>3668.4</v>
      </c>
      <c r="I521" s="62">
        <v>-489.86</v>
      </c>
      <c r="J521" s="62">
        <v>0</v>
      </c>
      <c r="K521" s="62">
        <v>0</v>
      </c>
      <c r="L521" s="62">
        <v>0</v>
      </c>
      <c r="M521" s="62">
        <v>-10</v>
      </c>
      <c r="N521" s="62">
        <v>0</v>
      </c>
      <c r="O521" s="62">
        <f t="shared" si="55"/>
        <v>3168.54</v>
      </c>
      <c r="P521" s="62">
        <v>-2700</v>
      </c>
      <c r="Q521" s="62">
        <f>-3094*1.12</f>
        <v>-3465.28</v>
      </c>
      <c r="R521" s="62">
        <v>-500</v>
      </c>
      <c r="S521" s="62">
        <v>0</v>
      </c>
      <c r="T521" s="62">
        <v>0</v>
      </c>
      <c r="U521" s="62">
        <v>0</v>
      </c>
      <c r="V521" s="62">
        <v>0</v>
      </c>
      <c r="W521" s="62">
        <f t="shared" si="56"/>
        <v>-3496.7400000000002</v>
      </c>
      <c r="X521" s="62">
        <f t="shared" si="52"/>
        <v>0</v>
      </c>
      <c r="Y521" s="62">
        <f t="shared" si="53"/>
        <v>-3496.7400000000002</v>
      </c>
      <c r="Z521" s="62">
        <v>1000</v>
      </c>
      <c r="AA521" s="62">
        <f t="shared" si="54"/>
        <v>-2496.7400000000002</v>
      </c>
      <c r="AB521" s="62">
        <f t="shared" si="57"/>
        <v>1671.7999999999997</v>
      </c>
      <c r="AC521" s="62"/>
      <c r="AD521" s="4" t="s">
        <v>1019</v>
      </c>
      <c r="AF521" s="54"/>
    </row>
    <row r="522" spans="1:32" hidden="1" x14ac:dyDescent="0.3">
      <c r="A522" s="69">
        <v>9</v>
      </c>
      <c r="B522" s="3" t="s">
        <v>33</v>
      </c>
      <c r="C522" s="4" t="s">
        <v>67</v>
      </c>
      <c r="D522" s="4" t="s">
        <v>504</v>
      </c>
      <c r="E522" s="4" t="str">
        <f>VLOOKUP(C522,'[2]CTRL AUTOS'!$E$2:$L$58,8,FALSE)</f>
        <v>ASHC</v>
      </c>
      <c r="F522" s="61" t="str">
        <f>VLOOKUP(C522,'[2]CTRL AUTOS'!$E$2:$K$58,7,FALSE)</f>
        <v>ASHC</v>
      </c>
      <c r="G522" s="4" t="s">
        <v>234</v>
      </c>
      <c r="H522" s="62">
        <v>2014.71</v>
      </c>
      <c r="I522" s="62">
        <v>-89.94</v>
      </c>
      <c r="J522" s="62">
        <v>0</v>
      </c>
      <c r="K522" s="62">
        <v>0</v>
      </c>
      <c r="L522" s="62">
        <v>0</v>
      </c>
      <c r="M522" s="62">
        <v>-3</v>
      </c>
      <c r="N522" s="62">
        <v>0</v>
      </c>
      <c r="O522" s="62">
        <f t="shared" si="55"/>
        <v>1921.77</v>
      </c>
      <c r="P522" s="62">
        <v>-2500</v>
      </c>
      <c r="Q522" s="62">
        <v>-2932</v>
      </c>
      <c r="R522" s="62">
        <v>-107</v>
      </c>
      <c r="S522" s="62">
        <v>0</v>
      </c>
      <c r="T522" s="62">
        <v>0</v>
      </c>
      <c r="U522" s="62">
        <v>0</v>
      </c>
      <c r="V522" s="62">
        <v>0</v>
      </c>
      <c r="W522" s="62">
        <f t="shared" si="56"/>
        <v>-3617.23</v>
      </c>
      <c r="X522" s="62">
        <f t="shared" si="52"/>
        <v>0</v>
      </c>
      <c r="Y522" s="62">
        <f t="shared" si="53"/>
        <v>-3617.23</v>
      </c>
      <c r="Z522" s="62">
        <v>0</v>
      </c>
      <c r="AA522" s="62">
        <f t="shared" si="54"/>
        <v>-3617.23</v>
      </c>
      <c r="AB522" s="62">
        <f t="shared" si="57"/>
        <v>-1695.46</v>
      </c>
      <c r="AC522" s="62"/>
      <c r="AD522" s="4"/>
      <c r="AF522" s="54"/>
    </row>
    <row r="523" spans="1:32" hidden="1" x14ac:dyDescent="0.3">
      <c r="A523" s="69">
        <v>9</v>
      </c>
      <c r="B523" s="3" t="s">
        <v>35</v>
      </c>
      <c r="C523" s="4" t="s">
        <v>36</v>
      </c>
      <c r="D523" s="4" t="s">
        <v>510</v>
      </c>
      <c r="E523" s="4" t="str">
        <f>VLOOKUP(C523,'[2]CTRL AUTOS'!$E$2:$L$58,8,FALSE)</f>
        <v>ASHC</v>
      </c>
      <c r="F523" s="61" t="str">
        <f>VLOOKUP(C523,'[2]CTRL AUTOS'!$E$2:$K$58,7,FALSE)</f>
        <v>ASHC</v>
      </c>
      <c r="G523" s="4" t="s">
        <v>234</v>
      </c>
      <c r="H523" s="62">
        <v>7391.8</v>
      </c>
      <c r="I523" s="62">
        <v>-4082.4699999999989</v>
      </c>
      <c r="J523" s="62">
        <v>-56</v>
      </c>
      <c r="K523" s="62">
        <v>9.7899999999999991</v>
      </c>
      <c r="L523" s="62">
        <v>0</v>
      </c>
      <c r="M523" s="62">
        <v>-70</v>
      </c>
      <c r="N523" s="62">
        <v>0</v>
      </c>
      <c r="O523" s="62">
        <f t="shared" si="55"/>
        <v>3193.1200000000013</v>
      </c>
      <c r="P523" s="62">
        <v>-2500</v>
      </c>
      <c r="Q523" s="62">
        <v>0</v>
      </c>
      <c r="R523" s="62">
        <v>0</v>
      </c>
      <c r="S523" s="62">
        <v>0</v>
      </c>
      <c r="T523" s="62">
        <v>0</v>
      </c>
      <c r="U523" s="62">
        <v>0</v>
      </c>
      <c r="V523" s="62">
        <v>0</v>
      </c>
      <c r="W523" s="62">
        <f t="shared" si="56"/>
        <v>693.12000000000126</v>
      </c>
      <c r="X523" s="62">
        <f t="shared" si="52"/>
        <v>693.12000000000126</v>
      </c>
      <c r="Y523" s="62">
        <f t="shared" si="53"/>
        <v>0</v>
      </c>
      <c r="Z523" s="62">
        <v>0</v>
      </c>
      <c r="AA523" s="62">
        <f t="shared" si="54"/>
        <v>0</v>
      </c>
      <c r="AB523" s="62">
        <f t="shared" si="57"/>
        <v>2500</v>
      </c>
      <c r="AC523" s="62"/>
      <c r="AD523" s="4" t="s">
        <v>995</v>
      </c>
      <c r="AF523" s="54"/>
    </row>
    <row r="524" spans="1:32" hidden="1" x14ac:dyDescent="0.3">
      <c r="A524" s="69">
        <v>9</v>
      </c>
      <c r="B524" s="3" t="s">
        <v>114</v>
      </c>
      <c r="C524" s="4" t="s">
        <v>46</v>
      </c>
      <c r="D524" s="4" t="s">
        <v>257</v>
      </c>
      <c r="E524" s="4" t="str">
        <f>VLOOKUP(C524,'[2]CTRL AUTOS'!$E$2:$L$58,8,FALSE)</f>
        <v>ASHC</v>
      </c>
      <c r="F524" s="61" t="str">
        <f>VLOOKUP(C524,'[2]CTRL AUTOS'!$E$2:$K$58,7,FALSE)</f>
        <v>ASHC</v>
      </c>
      <c r="G524" s="4" t="s">
        <v>234</v>
      </c>
      <c r="H524" s="62">
        <v>1772.4</v>
      </c>
      <c r="I524" s="62">
        <v>-1225.2</v>
      </c>
      <c r="J524" s="62">
        <v>0</v>
      </c>
      <c r="K524" s="62">
        <v>0</v>
      </c>
      <c r="L524" s="62">
        <v>0</v>
      </c>
      <c r="M524" s="62">
        <v>-40</v>
      </c>
      <c r="N524" s="62">
        <v>0</v>
      </c>
      <c r="O524" s="62">
        <f t="shared" si="55"/>
        <v>507.20000000000005</v>
      </c>
      <c r="P524" s="62">
        <v>-2500</v>
      </c>
      <c r="Q524" s="62">
        <f>-500*1.12</f>
        <v>-560</v>
      </c>
      <c r="R524" s="62">
        <v>-500</v>
      </c>
      <c r="S524" s="62">
        <v>0</v>
      </c>
      <c r="T524" s="62">
        <v>0</v>
      </c>
      <c r="U524" s="62">
        <v>0</v>
      </c>
      <c r="V524" s="62">
        <v>0</v>
      </c>
      <c r="W524" s="62">
        <f t="shared" si="56"/>
        <v>-3052.8</v>
      </c>
      <c r="X524" s="62">
        <f t="shared" ref="X524:X550" si="58">IF(W524&gt;=0,W524,0)</f>
        <v>0</v>
      </c>
      <c r="Y524" s="62">
        <f t="shared" ref="Y524:Y550" si="59">IF(W524&lt;=0,W524,0)</f>
        <v>-3052.8</v>
      </c>
      <c r="Z524" s="62">
        <v>3000</v>
      </c>
      <c r="AA524" s="62">
        <f t="shared" ref="AA524:AA550" si="60">+Y524+Z524</f>
        <v>-52.800000000000182</v>
      </c>
      <c r="AB524" s="62">
        <f t="shared" si="57"/>
        <v>3454.3999999999996</v>
      </c>
      <c r="AC524" s="62"/>
      <c r="AD524" s="4" t="s">
        <v>1020</v>
      </c>
      <c r="AF524" s="54"/>
    </row>
    <row r="525" spans="1:32" hidden="1" x14ac:dyDescent="0.3">
      <c r="A525" s="69">
        <v>9</v>
      </c>
      <c r="B525" s="3" t="s">
        <v>43</v>
      </c>
      <c r="C525" s="4" t="s">
        <v>145</v>
      </c>
      <c r="D525" s="4" t="s">
        <v>913</v>
      </c>
      <c r="E525" s="4" t="str">
        <f>VLOOKUP(C525,'[2]CTRL AUTOS'!$E$2:$L$58,8,FALSE)</f>
        <v>ASHC</v>
      </c>
      <c r="F525" s="61" t="str">
        <f>VLOOKUP(C525,'[2]CTRL AUTOS'!$E$2:$K$58,7,FALSE)</f>
        <v>ASHC</v>
      </c>
      <c r="G525" s="4" t="s">
        <v>234</v>
      </c>
      <c r="H525" s="62">
        <v>1720.73</v>
      </c>
      <c r="I525" s="62">
        <v>0</v>
      </c>
      <c r="J525" s="62">
        <v>-1.1299999999999999</v>
      </c>
      <c r="K525" s="62">
        <v>7.09</v>
      </c>
      <c r="L525" s="62">
        <v>0</v>
      </c>
      <c r="M525" s="62">
        <v>0</v>
      </c>
      <c r="N525" s="62">
        <v>0</v>
      </c>
      <c r="O525" s="62">
        <f t="shared" si="55"/>
        <v>1726.6899999999998</v>
      </c>
      <c r="P525" s="62">
        <v>-2700</v>
      </c>
      <c r="Q525" s="62">
        <v>0</v>
      </c>
      <c r="R525" s="62">
        <v>-500</v>
      </c>
      <c r="S525" s="62">
        <v>0</v>
      </c>
      <c r="T525" s="62">
        <v>0</v>
      </c>
      <c r="U525" s="62">
        <v>0</v>
      </c>
      <c r="V525" s="62">
        <v>0</v>
      </c>
      <c r="W525" s="62">
        <f t="shared" si="56"/>
        <v>-1473.3100000000002</v>
      </c>
      <c r="X525" s="62">
        <f t="shared" si="58"/>
        <v>0</v>
      </c>
      <c r="Y525" s="62">
        <f t="shared" si="59"/>
        <v>-1473.3100000000002</v>
      </c>
      <c r="Z525" s="62">
        <v>1100</v>
      </c>
      <c r="AA525" s="62">
        <f t="shared" si="60"/>
        <v>-373.31000000000017</v>
      </c>
      <c r="AB525" s="62">
        <f t="shared" si="57"/>
        <v>2453.3799999999992</v>
      </c>
      <c r="AC525" s="62"/>
      <c r="AD525" s="4" t="s">
        <v>1021</v>
      </c>
      <c r="AF525" s="54"/>
    </row>
    <row r="526" spans="1:32" hidden="1" x14ac:dyDescent="0.3">
      <c r="A526" s="69">
        <v>9</v>
      </c>
      <c r="B526" s="3" t="s">
        <v>84</v>
      </c>
      <c r="C526" s="4" t="s">
        <v>146</v>
      </c>
      <c r="D526" s="4" t="s">
        <v>915</v>
      </c>
      <c r="E526" s="4" t="str">
        <f>VLOOKUP(C526,'[2]CTRL AUTOS'!$E$2:$L$58,8,FALSE)</f>
        <v>ASHC</v>
      </c>
      <c r="F526" s="61" t="str">
        <f>VLOOKUP(C526,'[2]CTRL AUTOS'!$E$2:$K$58,7,FALSE)</f>
        <v>ASHC</v>
      </c>
      <c r="G526" s="4" t="s">
        <v>234</v>
      </c>
      <c r="H526" s="62">
        <v>8724.85</v>
      </c>
      <c r="I526" s="62">
        <v>-6115.0299999999979</v>
      </c>
      <c r="J526" s="62">
        <v>0</v>
      </c>
      <c r="K526" s="62">
        <v>0</v>
      </c>
      <c r="L526" s="62">
        <v>0</v>
      </c>
      <c r="M526" s="62">
        <v>-80</v>
      </c>
      <c r="N526" s="62">
        <v>0</v>
      </c>
      <c r="O526" s="62">
        <f t="shared" si="55"/>
        <v>2529.8200000000024</v>
      </c>
      <c r="P526" s="62">
        <f>(-2700/7)*6</f>
        <v>-2314.2857142857142</v>
      </c>
      <c r="Q526" s="62">
        <v>0</v>
      </c>
      <c r="R526" s="62">
        <v>-500</v>
      </c>
      <c r="S526" s="62">
        <v>0</v>
      </c>
      <c r="T526" s="62">
        <v>0</v>
      </c>
      <c r="U526" s="62">
        <v>0</v>
      </c>
      <c r="V526" s="62">
        <v>0</v>
      </c>
      <c r="W526" s="62">
        <f t="shared" si="56"/>
        <v>-284.46571428571178</v>
      </c>
      <c r="X526" s="62">
        <f t="shared" si="58"/>
        <v>0</v>
      </c>
      <c r="Y526" s="62">
        <f t="shared" si="59"/>
        <v>-284.46571428571178</v>
      </c>
      <c r="Z526" s="62">
        <v>0</v>
      </c>
      <c r="AA526" s="62">
        <f t="shared" si="60"/>
        <v>-284.46571428571178</v>
      </c>
      <c r="AB526" s="62">
        <f t="shared" si="57"/>
        <v>2245.3542857142907</v>
      </c>
      <c r="AC526" s="62"/>
      <c r="AD526" s="4" t="s">
        <v>1022</v>
      </c>
      <c r="AF526" s="54"/>
    </row>
    <row r="527" spans="1:32" hidden="1" x14ac:dyDescent="0.3">
      <c r="A527" s="69">
        <v>9</v>
      </c>
      <c r="B527" s="3" t="s">
        <v>89</v>
      </c>
      <c r="C527" s="4" t="s">
        <v>4</v>
      </c>
      <c r="D527" s="4" t="s">
        <v>652</v>
      </c>
      <c r="E527" s="4" t="str">
        <f>VLOOKUP(C527,'[2]CTRL AUTOS'!$E$2:$L$58,8,FALSE)</f>
        <v>ASHC</v>
      </c>
      <c r="F527" s="61" t="str">
        <f>VLOOKUP(C527,'[2]CTRL AUTOS'!$E$2:$K$58,7,FALSE)</f>
        <v>ASHC</v>
      </c>
      <c r="G527" s="4" t="s">
        <v>234</v>
      </c>
      <c r="H527" s="62">
        <v>5963.33</v>
      </c>
      <c r="I527" s="62">
        <v>-2257.7800000000007</v>
      </c>
      <c r="J527" s="62">
        <v>-100.80000000000001</v>
      </c>
      <c r="K527" s="62">
        <v>0</v>
      </c>
      <c r="L527" s="62">
        <v>0</v>
      </c>
      <c r="M527" s="62">
        <v>-55</v>
      </c>
      <c r="N527" s="62">
        <v>0</v>
      </c>
      <c r="O527" s="62">
        <f t="shared" si="55"/>
        <v>3549.7499999999991</v>
      </c>
      <c r="P527" s="62">
        <v>-2500</v>
      </c>
      <c r="Q527" s="62">
        <v>0</v>
      </c>
      <c r="R527" s="62">
        <v>-500</v>
      </c>
      <c r="S527" s="62">
        <v>0</v>
      </c>
      <c r="T527" s="62">
        <v>0</v>
      </c>
      <c r="U527" s="62">
        <v>0</v>
      </c>
      <c r="V527" s="62">
        <v>0</v>
      </c>
      <c r="W527" s="62">
        <f t="shared" si="56"/>
        <v>549.74999999999909</v>
      </c>
      <c r="X527" s="62">
        <f t="shared" si="58"/>
        <v>549.74999999999909</v>
      </c>
      <c r="Y527" s="62">
        <f t="shared" si="59"/>
        <v>0</v>
      </c>
      <c r="Z527" s="62">
        <v>0</v>
      </c>
      <c r="AA527" s="62">
        <f t="shared" si="60"/>
        <v>0</v>
      </c>
      <c r="AB527" s="62">
        <f t="shared" si="57"/>
        <v>3000</v>
      </c>
      <c r="AC527" s="62"/>
      <c r="AD527" s="4" t="s">
        <v>995</v>
      </c>
      <c r="AF527" s="54"/>
    </row>
    <row r="528" spans="1:32" hidden="1" x14ac:dyDescent="0.3">
      <c r="A528" s="69">
        <v>9</v>
      </c>
      <c r="B528" s="3" t="s">
        <v>123</v>
      </c>
      <c r="C528" s="4" t="s">
        <v>59</v>
      </c>
      <c r="D528" s="4" t="s">
        <v>502</v>
      </c>
      <c r="E528" s="4" t="str">
        <f>VLOOKUP(C528,'[2]CTRL AUTOS'!$E$2:$L$58,8,FALSE)</f>
        <v>ASHC</v>
      </c>
      <c r="F528" s="61" t="str">
        <f>VLOOKUP(C528,'[2]CTRL AUTOS'!$E$2:$K$58,7,FALSE)</f>
        <v>ASHC</v>
      </c>
      <c r="G528" s="4" t="s">
        <v>234</v>
      </c>
      <c r="H528" s="62">
        <v>3512.85</v>
      </c>
      <c r="I528" s="62">
        <v>-681.32</v>
      </c>
      <c r="J528" s="62">
        <v>0</v>
      </c>
      <c r="K528" s="62">
        <v>0</v>
      </c>
      <c r="L528" s="62">
        <v>0</v>
      </c>
      <c r="M528" s="62">
        <v>-35</v>
      </c>
      <c r="N528" s="62">
        <v>0</v>
      </c>
      <c r="O528" s="62">
        <f t="shared" si="55"/>
        <v>2796.5299999999997</v>
      </c>
      <c r="P528" s="62">
        <v>-2500</v>
      </c>
      <c r="Q528" s="62">
        <v>0</v>
      </c>
      <c r="R528" s="62">
        <v>-500</v>
      </c>
      <c r="S528" s="62">
        <v>0</v>
      </c>
      <c r="T528" s="62">
        <v>0</v>
      </c>
      <c r="U528" s="62">
        <v>0</v>
      </c>
      <c r="V528" s="62">
        <v>0</v>
      </c>
      <c r="W528" s="62">
        <f t="shared" si="56"/>
        <v>-203.47000000000025</v>
      </c>
      <c r="X528" s="62">
        <f t="shared" si="58"/>
        <v>0</v>
      </c>
      <c r="Y528" s="62">
        <f t="shared" si="59"/>
        <v>-203.47000000000025</v>
      </c>
      <c r="Z528" s="62">
        <v>203</v>
      </c>
      <c r="AA528" s="62">
        <f t="shared" si="60"/>
        <v>-0.47000000000025466</v>
      </c>
      <c r="AB528" s="62">
        <f t="shared" si="57"/>
        <v>2999.0599999999995</v>
      </c>
      <c r="AC528" s="62"/>
      <c r="AD528" s="4" t="s">
        <v>1023</v>
      </c>
      <c r="AF528" s="54"/>
    </row>
    <row r="529" spans="1:32" hidden="1" x14ac:dyDescent="0.3">
      <c r="A529" s="69">
        <v>9</v>
      </c>
      <c r="B529" s="3" t="s">
        <v>5</v>
      </c>
      <c r="C529" s="4" t="s">
        <v>6</v>
      </c>
      <c r="D529" s="4" t="s">
        <v>570</v>
      </c>
      <c r="E529" s="4" t="str">
        <f>VLOOKUP(C529,'[2]CTRL AUTOS'!$E$2:$L$58,8,FALSE)</f>
        <v>ASHC</v>
      </c>
      <c r="F529" s="61" t="str">
        <f>VLOOKUP(C529,'[2]CTRL AUTOS'!$E$2:$K$58,7,FALSE)</f>
        <v>ASHC</v>
      </c>
      <c r="G529" s="4" t="s">
        <v>425</v>
      </c>
      <c r="H529" s="62">
        <v>0</v>
      </c>
      <c r="I529" s="62">
        <v>0</v>
      </c>
      <c r="J529" s="62">
        <v>0</v>
      </c>
      <c r="K529" s="62">
        <v>0</v>
      </c>
      <c r="L529" s="62">
        <v>0</v>
      </c>
      <c r="M529" s="62">
        <v>0</v>
      </c>
      <c r="N529" s="62">
        <v>0</v>
      </c>
      <c r="O529" s="62">
        <f t="shared" si="55"/>
        <v>0</v>
      </c>
      <c r="P529" s="62">
        <f>(-2500/7)*6.5</f>
        <v>-2321.4285714285716</v>
      </c>
      <c r="Q529" s="62">
        <f>-3576*1.12</f>
        <v>-4005.1200000000003</v>
      </c>
      <c r="R529" s="62">
        <v>0</v>
      </c>
      <c r="S529" s="62">
        <v>0</v>
      </c>
      <c r="T529" s="62">
        <v>0</v>
      </c>
      <c r="U529" s="62">
        <v>0</v>
      </c>
      <c r="V529" s="62">
        <v>0</v>
      </c>
      <c r="W529" s="62">
        <f t="shared" si="56"/>
        <v>-6326.5485714285714</v>
      </c>
      <c r="X529" s="62">
        <f t="shared" si="58"/>
        <v>0</v>
      </c>
      <c r="Y529" s="62">
        <f t="shared" si="59"/>
        <v>-6326.5485714285714</v>
      </c>
      <c r="Z529" s="62">
        <f>100+3700</f>
        <v>3800</v>
      </c>
      <c r="AA529" s="62">
        <f t="shared" si="60"/>
        <v>-2526.5485714285714</v>
      </c>
      <c r="AB529" s="62">
        <f t="shared" si="57"/>
        <v>1273.4514285714286</v>
      </c>
      <c r="AC529" s="62"/>
      <c r="AD529" s="4" t="s">
        <v>1024</v>
      </c>
      <c r="AF529" s="54"/>
    </row>
    <row r="530" spans="1:32" hidden="1" x14ac:dyDescent="0.3">
      <c r="A530" s="69">
        <v>9</v>
      </c>
      <c r="B530" s="3" t="s">
        <v>5</v>
      </c>
      <c r="C530" s="4" t="s">
        <v>50</v>
      </c>
      <c r="D530" s="4" t="s">
        <v>570</v>
      </c>
      <c r="E530" s="4" t="str">
        <f>VLOOKUP(C530,'[2]CTRL AUTOS'!$E$2:$L$58,8,FALSE)</f>
        <v>ASHC</v>
      </c>
      <c r="F530" s="61" t="str">
        <f>VLOOKUP(C530,'[2]CTRL AUTOS'!$E$2:$K$58,7,FALSE)</f>
        <v>ASHC</v>
      </c>
      <c r="G530" s="4" t="s">
        <v>425</v>
      </c>
      <c r="H530" s="62">
        <v>0</v>
      </c>
      <c r="I530" s="62">
        <v>0</v>
      </c>
      <c r="J530" s="62">
        <v>0</v>
      </c>
      <c r="K530" s="62">
        <v>0</v>
      </c>
      <c r="L530" s="62">
        <v>0</v>
      </c>
      <c r="M530" s="62">
        <v>0</v>
      </c>
      <c r="N530" s="62">
        <v>0</v>
      </c>
      <c r="O530" s="62">
        <f t="shared" si="55"/>
        <v>0</v>
      </c>
      <c r="P530" s="62">
        <v>0</v>
      </c>
      <c r="Q530" s="62">
        <v>0</v>
      </c>
      <c r="R530" s="62">
        <v>0</v>
      </c>
      <c r="S530" s="62">
        <v>-700</v>
      </c>
      <c r="T530" s="62">
        <v>0</v>
      </c>
      <c r="U530" s="62">
        <v>0</v>
      </c>
      <c r="V530" s="62">
        <v>0</v>
      </c>
      <c r="W530" s="62">
        <f t="shared" si="56"/>
        <v>-700</v>
      </c>
      <c r="X530" s="62">
        <f t="shared" si="58"/>
        <v>0</v>
      </c>
      <c r="Y530" s="62">
        <f t="shared" si="59"/>
        <v>-700</v>
      </c>
      <c r="Z530" s="62">
        <v>700</v>
      </c>
      <c r="AA530" s="62">
        <f t="shared" si="60"/>
        <v>0</v>
      </c>
      <c r="AB530" s="62">
        <f t="shared" si="57"/>
        <v>700</v>
      </c>
      <c r="AC530" s="62"/>
      <c r="AD530" s="4" t="s">
        <v>1025</v>
      </c>
      <c r="AF530" s="54"/>
    </row>
    <row r="531" spans="1:32" hidden="1" x14ac:dyDescent="0.3">
      <c r="A531" s="69">
        <v>9</v>
      </c>
      <c r="B531" s="3" t="s">
        <v>47</v>
      </c>
      <c r="C531" s="4" t="s">
        <v>147</v>
      </c>
      <c r="D531" s="4" t="s">
        <v>921</v>
      </c>
      <c r="E531" s="4" t="str">
        <f>VLOOKUP(C531,'[2]CTRL AUTOS'!$E$2:$L$58,8,FALSE)</f>
        <v>ASHC</v>
      </c>
      <c r="F531" s="61" t="str">
        <f>VLOOKUP(C531,'[2]CTRL AUTOS'!$E$2:$K$58,7,FALSE)</f>
        <v>ASHC</v>
      </c>
      <c r="G531" s="4" t="s">
        <v>234</v>
      </c>
      <c r="H531" s="62">
        <v>3292.53</v>
      </c>
      <c r="I531" s="62">
        <v>-1161.0200000000002</v>
      </c>
      <c r="J531" s="62">
        <v>0</v>
      </c>
      <c r="K531" s="62">
        <v>0</v>
      </c>
      <c r="L531" s="62">
        <v>-39.580000000000005</v>
      </c>
      <c r="M531" s="62">
        <v>-40</v>
      </c>
      <c r="N531" s="62">
        <v>0</v>
      </c>
      <c r="O531" s="62">
        <f t="shared" si="55"/>
        <v>2051.9300000000003</v>
      </c>
      <c r="P531" s="62">
        <v>-2700</v>
      </c>
      <c r="Q531" s="62">
        <v>0</v>
      </c>
      <c r="R531" s="62">
        <v>0</v>
      </c>
      <c r="S531" s="62">
        <v>0</v>
      </c>
      <c r="T531" s="62">
        <v>0</v>
      </c>
      <c r="U531" s="62">
        <v>0</v>
      </c>
      <c r="V531" s="62">
        <v>0</v>
      </c>
      <c r="W531" s="62">
        <f t="shared" si="56"/>
        <v>-648.06999999999971</v>
      </c>
      <c r="X531" s="62">
        <f t="shared" si="58"/>
        <v>0</v>
      </c>
      <c r="Y531" s="62">
        <f t="shared" si="59"/>
        <v>-648.06999999999971</v>
      </c>
      <c r="Z531" s="62">
        <v>648</v>
      </c>
      <c r="AA531" s="62">
        <f t="shared" si="60"/>
        <v>-6.9999999999708962E-2</v>
      </c>
      <c r="AB531" s="62">
        <f t="shared" si="57"/>
        <v>2699.8600000000006</v>
      </c>
      <c r="AC531" s="62"/>
      <c r="AD531" s="4" t="s">
        <v>1026</v>
      </c>
      <c r="AF531" s="54"/>
    </row>
    <row r="532" spans="1:32" hidden="1" x14ac:dyDescent="0.3">
      <c r="A532" s="69">
        <v>9</v>
      </c>
      <c r="B532" s="3" t="s">
        <v>49</v>
      </c>
      <c r="C532" s="4" t="s">
        <v>96</v>
      </c>
      <c r="D532" s="4" t="s">
        <v>480</v>
      </c>
      <c r="E532" s="4" t="str">
        <f>VLOOKUP(C532,'[2]CTRL AUTOS'!$E$2:$L$58,8,FALSE)</f>
        <v>ASHC</v>
      </c>
      <c r="F532" s="61" t="str">
        <f>VLOOKUP(C532,'[2]CTRL AUTOS'!$E$2:$K$58,7,FALSE)</f>
        <v>ASHC</v>
      </c>
      <c r="G532" s="4" t="s">
        <v>234</v>
      </c>
      <c r="H532" s="62">
        <v>0</v>
      </c>
      <c r="I532" s="62">
        <v>0</v>
      </c>
      <c r="J532" s="62">
        <v>0</v>
      </c>
      <c r="K532" s="62">
        <v>0</v>
      </c>
      <c r="L532" s="62">
        <v>0</v>
      </c>
      <c r="M532" s="62">
        <v>0</v>
      </c>
      <c r="N532" s="62">
        <v>0</v>
      </c>
      <c r="O532" s="62">
        <f t="shared" si="55"/>
        <v>0</v>
      </c>
      <c r="P532" s="62">
        <f>(-2500/7)*1</f>
        <v>-357.14285714285717</v>
      </c>
      <c r="Q532" s="62">
        <v>0</v>
      </c>
      <c r="R532" s="62">
        <v>0</v>
      </c>
      <c r="S532" s="62">
        <v>0</v>
      </c>
      <c r="T532" s="62">
        <v>0</v>
      </c>
      <c r="U532" s="62">
        <v>0</v>
      </c>
      <c r="V532" s="62">
        <v>0</v>
      </c>
      <c r="W532" s="62">
        <f t="shared" si="56"/>
        <v>-357.14285714285717</v>
      </c>
      <c r="X532" s="62">
        <f t="shared" si="58"/>
        <v>0</v>
      </c>
      <c r="Y532" s="62">
        <f t="shared" si="59"/>
        <v>-357.14285714285717</v>
      </c>
      <c r="Z532" s="62">
        <v>357</v>
      </c>
      <c r="AA532" s="62">
        <f t="shared" si="60"/>
        <v>-0.14285714285716722</v>
      </c>
      <c r="AB532" s="62">
        <f t="shared" si="57"/>
        <v>356.85714285714283</v>
      </c>
      <c r="AC532" s="62"/>
      <c r="AD532" s="4" t="s">
        <v>1006</v>
      </c>
      <c r="AF532" s="54"/>
    </row>
    <row r="533" spans="1:32" hidden="1" x14ac:dyDescent="0.3">
      <c r="A533" s="69">
        <v>9</v>
      </c>
      <c r="B533" s="3" t="s">
        <v>49</v>
      </c>
      <c r="C533" s="4" t="s">
        <v>12</v>
      </c>
      <c r="D533" s="4" t="s">
        <v>509</v>
      </c>
      <c r="E533" s="4" t="str">
        <f>VLOOKUP(C533,'[2]CTRL AUTOS'!$E$2:$L$58,8,FALSE)</f>
        <v>ASHC</v>
      </c>
      <c r="F533" s="61" t="str">
        <f>VLOOKUP(C533,'[2]CTRL AUTOS'!$E$2:$K$58,7,FALSE)</f>
        <v>ASHC</v>
      </c>
      <c r="G533" s="4" t="s">
        <v>234</v>
      </c>
      <c r="H533" s="62">
        <v>7234.42</v>
      </c>
      <c r="I533" s="62">
        <v>-498.87</v>
      </c>
      <c r="J533" s="62">
        <v>-40.799999999999997</v>
      </c>
      <c r="K533" s="62">
        <v>19.579999999999998</v>
      </c>
      <c r="L533" s="62">
        <v>0</v>
      </c>
      <c r="M533" s="62">
        <v>-28.466800000000003</v>
      </c>
      <c r="N533" s="62">
        <v>-28.890000000000015</v>
      </c>
      <c r="O533" s="62">
        <f t="shared" si="55"/>
        <v>6656.9731999999995</v>
      </c>
      <c r="P533" s="62">
        <f>(-2700/7)*6</f>
        <v>-2314.2857142857142</v>
      </c>
      <c r="Q533" s="62"/>
      <c r="R533" s="62">
        <v>0</v>
      </c>
      <c r="S533" s="62">
        <v>0</v>
      </c>
      <c r="T533" s="62">
        <v>0</v>
      </c>
      <c r="U533" s="62">
        <v>0</v>
      </c>
      <c r="V533" s="62">
        <v>0</v>
      </c>
      <c r="W533" s="62">
        <f t="shared" si="56"/>
        <v>4342.6874857142848</v>
      </c>
      <c r="X533" s="62">
        <f t="shared" si="58"/>
        <v>4342.6874857142848</v>
      </c>
      <c r="Y533" s="62">
        <f t="shared" si="59"/>
        <v>0</v>
      </c>
      <c r="Z533" s="62">
        <v>0</v>
      </c>
      <c r="AA533" s="62">
        <f t="shared" si="60"/>
        <v>0</v>
      </c>
      <c r="AB533" s="62">
        <f t="shared" si="57"/>
        <v>2314.2857142857147</v>
      </c>
      <c r="AC533" s="62"/>
      <c r="AD533" s="4" t="s">
        <v>995</v>
      </c>
      <c r="AF533" s="54"/>
    </row>
    <row r="534" spans="1:32" hidden="1" x14ac:dyDescent="0.3">
      <c r="A534" s="69">
        <v>9</v>
      </c>
      <c r="B534" s="3" t="s">
        <v>49</v>
      </c>
      <c r="C534" s="4" t="s">
        <v>104</v>
      </c>
      <c r="D534" s="4" t="s">
        <v>283</v>
      </c>
      <c r="E534" s="4" t="s">
        <v>924</v>
      </c>
      <c r="F534" s="61" t="s">
        <v>232</v>
      </c>
      <c r="G534" s="4" t="s">
        <v>234</v>
      </c>
      <c r="H534" s="62">
        <v>0</v>
      </c>
      <c r="I534" s="62">
        <v>0</v>
      </c>
      <c r="J534" s="62">
        <v>0</v>
      </c>
      <c r="K534" s="62">
        <v>0</v>
      </c>
      <c r="L534" s="62">
        <v>0</v>
      </c>
      <c r="M534" s="62">
        <v>0</v>
      </c>
      <c r="N534" s="62">
        <v>0</v>
      </c>
      <c r="O534" s="62">
        <f t="shared" si="55"/>
        <v>0</v>
      </c>
      <c r="P534" s="62">
        <v>0</v>
      </c>
      <c r="Q534" s="62">
        <v>0</v>
      </c>
      <c r="R534" s="62">
        <v>0</v>
      </c>
      <c r="S534" s="62">
        <v>0</v>
      </c>
      <c r="T534" s="62">
        <v>-700</v>
      </c>
      <c r="U534" s="62">
        <v>0</v>
      </c>
      <c r="V534" s="62">
        <v>0</v>
      </c>
      <c r="W534" s="62">
        <f t="shared" si="56"/>
        <v>-700</v>
      </c>
      <c r="X534" s="62">
        <f t="shared" si="58"/>
        <v>0</v>
      </c>
      <c r="Y534" s="62">
        <f t="shared" si="59"/>
        <v>-700</v>
      </c>
      <c r="Z534" s="62">
        <v>700</v>
      </c>
      <c r="AA534" s="62">
        <f t="shared" si="60"/>
        <v>0</v>
      </c>
      <c r="AB534" s="62">
        <f t="shared" si="57"/>
        <v>700</v>
      </c>
      <c r="AC534" s="62"/>
      <c r="AD534" s="4" t="s">
        <v>1006</v>
      </c>
      <c r="AF534" s="54"/>
    </row>
    <row r="535" spans="1:32" hidden="1" x14ac:dyDescent="0.3">
      <c r="A535" s="69">
        <v>9</v>
      </c>
      <c r="B535" s="3" t="s">
        <v>152</v>
      </c>
      <c r="C535" s="4" t="s">
        <v>42</v>
      </c>
      <c r="D535" s="4" t="s">
        <v>755</v>
      </c>
      <c r="E535" s="4" t="str">
        <f>VLOOKUP(C535,'[2]CTRL AUTOS'!$E$2:$L$58,8,FALSE)</f>
        <v>ASHC</v>
      </c>
      <c r="F535" s="61" t="str">
        <f>VLOOKUP(C535,'[2]CTRL AUTOS'!$E$2:$K$58,7,FALSE)</f>
        <v>ASHC</v>
      </c>
      <c r="G535" s="4" t="s">
        <v>234</v>
      </c>
      <c r="H535" s="62">
        <v>5024.3900000000003</v>
      </c>
      <c r="I535" s="62">
        <v>-2530.2600000000002</v>
      </c>
      <c r="J535" s="62">
        <v>0</v>
      </c>
      <c r="K535" s="62">
        <v>0</v>
      </c>
      <c r="L535" s="62">
        <v>0</v>
      </c>
      <c r="M535" s="62">
        <v>-55</v>
      </c>
      <c r="N535" s="62">
        <v>0</v>
      </c>
      <c r="O535" s="62">
        <f t="shared" si="55"/>
        <v>2439.13</v>
      </c>
      <c r="P535" s="62">
        <v>-2500</v>
      </c>
      <c r="Q535" s="62">
        <v>0</v>
      </c>
      <c r="R535" s="62">
        <v>-500</v>
      </c>
      <c r="S535" s="62">
        <v>0</v>
      </c>
      <c r="T535" s="62">
        <v>0</v>
      </c>
      <c r="U535" s="62">
        <v>0</v>
      </c>
      <c r="V535" s="62">
        <v>0</v>
      </c>
      <c r="W535" s="62">
        <f t="shared" si="56"/>
        <v>-560.86999999999989</v>
      </c>
      <c r="X535" s="62">
        <f t="shared" si="58"/>
        <v>0</v>
      </c>
      <c r="Y535" s="62">
        <f t="shared" si="59"/>
        <v>-560.86999999999989</v>
      </c>
      <c r="Z535" s="62">
        <v>561</v>
      </c>
      <c r="AA535" s="62">
        <f t="shared" si="60"/>
        <v>0.13000000000010914</v>
      </c>
      <c r="AB535" s="62">
        <f t="shared" si="57"/>
        <v>3000.26</v>
      </c>
      <c r="AC535" s="62"/>
      <c r="AD535" s="4" t="s">
        <v>1027</v>
      </c>
      <c r="AF535" s="54"/>
    </row>
    <row r="536" spans="1:32" hidden="1" x14ac:dyDescent="0.3">
      <c r="A536" s="69">
        <v>9</v>
      </c>
      <c r="B536" s="3" t="s">
        <v>51</v>
      </c>
      <c r="C536" s="4" t="s">
        <v>52</v>
      </c>
      <c r="D536" s="4" t="s">
        <v>313</v>
      </c>
      <c r="E536" s="4" t="str">
        <f>VLOOKUP(C536,'[2]CTRL AUTOS'!$E$2:$L$58,8,FALSE)</f>
        <v>ASHC</v>
      </c>
      <c r="F536" s="61" t="str">
        <f>VLOOKUP(C536,'[2]CTRL AUTOS'!$E$2:$K$58,7,FALSE)</f>
        <v>ASHC</v>
      </c>
      <c r="G536" s="4" t="s">
        <v>234</v>
      </c>
      <c r="H536" s="62">
        <v>3585.41</v>
      </c>
      <c r="I536" s="62">
        <v>0</v>
      </c>
      <c r="J536" s="62">
        <v>-76.8</v>
      </c>
      <c r="K536" s="62">
        <v>0</v>
      </c>
      <c r="L536" s="62">
        <v>-28.5</v>
      </c>
      <c r="M536" s="62">
        <v>0</v>
      </c>
      <c r="N536" s="62">
        <v>0</v>
      </c>
      <c r="O536" s="62">
        <f t="shared" si="55"/>
        <v>3480.1099999999997</v>
      </c>
      <c r="P536" s="62">
        <v>-2500</v>
      </c>
      <c r="Q536" s="62">
        <v>0</v>
      </c>
      <c r="R536" s="62">
        <v>0</v>
      </c>
      <c r="S536" s="62">
        <v>0</v>
      </c>
      <c r="T536" s="62">
        <v>-700</v>
      </c>
      <c r="U536" s="62">
        <v>0</v>
      </c>
      <c r="V536" s="62">
        <v>0</v>
      </c>
      <c r="W536" s="62">
        <f t="shared" si="56"/>
        <v>280.10999999999967</v>
      </c>
      <c r="X536" s="62">
        <f t="shared" si="58"/>
        <v>280.10999999999967</v>
      </c>
      <c r="Y536" s="62">
        <f t="shared" si="59"/>
        <v>0</v>
      </c>
      <c r="Z536" s="62">
        <v>0</v>
      </c>
      <c r="AA536" s="62">
        <f t="shared" si="60"/>
        <v>0</v>
      </c>
      <c r="AB536" s="62">
        <f t="shared" si="57"/>
        <v>3200</v>
      </c>
      <c r="AC536" s="62"/>
      <c r="AD536" s="4" t="s">
        <v>995</v>
      </c>
      <c r="AF536" s="54"/>
    </row>
    <row r="537" spans="1:32" hidden="1" x14ac:dyDescent="0.3">
      <c r="A537" s="69">
        <v>9</v>
      </c>
      <c r="B537" s="3" t="s">
        <v>131</v>
      </c>
      <c r="C537" s="4" t="s">
        <v>116</v>
      </c>
      <c r="D537" s="4" t="s">
        <v>928</v>
      </c>
      <c r="E537" s="4" t="str">
        <f>VLOOKUP(C537,'[2]CTRL AUTOS'!$E$2:$L$58,8,FALSE)</f>
        <v>BYER</v>
      </c>
      <c r="F537" s="61" t="str">
        <f>VLOOKUP(C537,'[2]CTRL AUTOS'!$E$2:$K$58,7,FALSE)</f>
        <v>BYER</v>
      </c>
      <c r="G537" s="4" t="s">
        <v>234</v>
      </c>
      <c r="H537" s="62">
        <v>4536.34</v>
      </c>
      <c r="I537" s="62">
        <v>-1297.19</v>
      </c>
      <c r="J537" s="62">
        <v>-24.8</v>
      </c>
      <c r="K537" s="62">
        <v>0</v>
      </c>
      <c r="L537" s="62">
        <v>-43.6</v>
      </c>
      <c r="M537" s="62">
        <v>-50</v>
      </c>
      <c r="N537" s="62">
        <v>0</v>
      </c>
      <c r="O537" s="62">
        <f t="shared" si="55"/>
        <v>3120.75</v>
      </c>
      <c r="P537" s="62">
        <v>-2500</v>
      </c>
      <c r="Q537" s="62">
        <v>0</v>
      </c>
      <c r="R537" s="62">
        <v>-500</v>
      </c>
      <c r="S537" s="62">
        <v>0</v>
      </c>
      <c r="T537" s="62">
        <v>0</v>
      </c>
      <c r="U537" s="62">
        <v>0</v>
      </c>
      <c r="V537" s="62">
        <v>0</v>
      </c>
      <c r="W537" s="62">
        <f t="shared" si="56"/>
        <v>120.75</v>
      </c>
      <c r="X537" s="62">
        <f t="shared" si="58"/>
        <v>120.75</v>
      </c>
      <c r="Y537" s="62">
        <f t="shared" si="59"/>
        <v>0</v>
      </c>
      <c r="Z537" s="62">
        <v>0</v>
      </c>
      <c r="AA537" s="62">
        <f t="shared" si="60"/>
        <v>0</v>
      </c>
      <c r="AB537" s="62">
        <f t="shared" si="57"/>
        <v>3000</v>
      </c>
      <c r="AC537" s="62"/>
      <c r="AD537" s="4" t="s">
        <v>995</v>
      </c>
      <c r="AF537" s="54"/>
    </row>
    <row r="538" spans="1:32" hidden="1" x14ac:dyDescent="0.3">
      <c r="A538" s="69">
        <v>9</v>
      </c>
      <c r="B538" s="3" t="s">
        <v>78</v>
      </c>
      <c r="C538" s="4" t="s">
        <v>79</v>
      </c>
      <c r="D538" s="4" t="s">
        <v>475</v>
      </c>
      <c r="E538" s="4" t="str">
        <f>VLOOKUP(C538,'[2]CTRL AUTOS'!$E$2:$L$58,8,FALSE)</f>
        <v>BYER</v>
      </c>
      <c r="F538" s="61" t="str">
        <f>VLOOKUP(C538,'[2]CTRL AUTOS'!$E$2:$K$58,7,FALSE)</f>
        <v>BYER</v>
      </c>
      <c r="G538" s="4" t="s">
        <v>234</v>
      </c>
      <c r="H538" s="62">
        <v>443.53</v>
      </c>
      <c r="I538" s="62">
        <v>0</v>
      </c>
      <c r="J538" s="62">
        <v>0</v>
      </c>
      <c r="K538" s="62">
        <v>9.7899999999999991</v>
      </c>
      <c r="L538" s="62">
        <v>-4.1100000000000003</v>
      </c>
      <c r="M538" s="62">
        <v>0</v>
      </c>
      <c r="N538" s="62">
        <v>0</v>
      </c>
      <c r="O538" s="62">
        <f t="shared" ref="O538:O551" si="61">IF(H538+I538&lt;0,SUM(J538:N538),SUM(H538:N538))</f>
        <v>449.21</v>
      </c>
      <c r="P538" s="62">
        <f>(-2500/7)*2.5</f>
        <v>-892.85714285714289</v>
      </c>
      <c r="Q538" s="62">
        <f>-3633*1.12</f>
        <v>-4068.9600000000005</v>
      </c>
      <c r="R538" s="62">
        <v>5000</v>
      </c>
      <c r="S538" s="62">
        <v>0</v>
      </c>
      <c r="T538" s="62">
        <v>0</v>
      </c>
      <c r="U538" s="62">
        <v>0</v>
      </c>
      <c r="V538" s="62">
        <v>0</v>
      </c>
      <c r="W538" s="62">
        <f t="shared" si="56"/>
        <v>487.39285714285688</v>
      </c>
      <c r="X538" s="62">
        <f t="shared" si="58"/>
        <v>487.39285714285688</v>
      </c>
      <c r="Y538" s="62">
        <f t="shared" si="59"/>
        <v>0</v>
      </c>
      <c r="Z538" s="62">
        <v>0</v>
      </c>
      <c r="AA538" s="62">
        <f t="shared" si="60"/>
        <v>0</v>
      </c>
      <c r="AB538" s="62">
        <f t="shared" si="57"/>
        <v>-38.182857142856903</v>
      </c>
      <c r="AC538" s="62"/>
      <c r="AD538" s="4" t="s">
        <v>1028</v>
      </c>
      <c r="AF538" s="54"/>
    </row>
    <row r="539" spans="1:32" hidden="1" x14ac:dyDescent="0.3">
      <c r="A539" s="69">
        <v>9</v>
      </c>
      <c r="B539" s="3" t="s">
        <v>107</v>
      </c>
      <c r="C539" s="4" t="s">
        <v>148</v>
      </c>
      <c r="D539" s="4" t="s">
        <v>931</v>
      </c>
      <c r="E539" s="4" t="str">
        <f>VLOOKUP(C539,'[2]CTRL AUTOS'!$E$2:$L$58,8,FALSE)</f>
        <v>ASHC</v>
      </c>
      <c r="F539" s="61" t="str">
        <f>VLOOKUP(C539,'[2]CTRL AUTOS'!$E$2:$K$58,7,FALSE)</f>
        <v>ASHC</v>
      </c>
      <c r="G539" s="4" t="s">
        <v>234</v>
      </c>
      <c r="H539" s="62">
        <v>4716.16</v>
      </c>
      <c r="I539" s="62">
        <v>-1184.3599999999999</v>
      </c>
      <c r="J539" s="62">
        <v>0</v>
      </c>
      <c r="K539" s="62">
        <v>0</v>
      </c>
      <c r="L539" s="62">
        <v>0</v>
      </c>
      <c r="M539" s="62">
        <v>-40</v>
      </c>
      <c r="N539" s="62">
        <v>0</v>
      </c>
      <c r="O539" s="62">
        <f t="shared" si="61"/>
        <v>3491.8</v>
      </c>
      <c r="P539" s="62">
        <f>(-2700/7)*6.5</f>
        <v>-2507.1428571428573</v>
      </c>
      <c r="Q539" s="62">
        <v>0</v>
      </c>
      <c r="R539" s="62">
        <v>-357</v>
      </c>
      <c r="S539" s="62">
        <v>0</v>
      </c>
      <c r="T539" s="62">
        <v>0</v>
      </c>
      <c r="U539" s="62">
        <v>0</v>
      </c>
      <c r="V539" s="62">
        <v>0</v>
      </c>
      <c r="W539" s="62">
        <f t="shared" si="56"/>
        <v>627.65714285714284</v>
      </c>
      <c r="X539" s="62">
        <f t="shared" si="58"/>
        <v>627.65714285714284</v>
      </c>
      <c r="Y539" s="62">
        <f t="shared" si="59"/>
        <v>0</v>
      </c>
      <c r="Z539" s="62">
        <v>0</v>
      </c>
      <c r="AA539" s="62">
        <f t="shared" si="60"/>
        <v>0</v>
      </c>
      <c r="AB539" s="62">
        <f t="shared" si="57"/>
        <v>2864.1428571428573</v>
      </c>
      <c r="AC539" s="62"/>
      <c r="AD539" s="4" t="s">
        <v>1029</v>
      </c>
      <c r="AF539" s="54"/>
    </row>
    <row r="540" spans="1:32" hidden="1" x14ac:dyDescent="0.3">
      <c r="A540" s="69">
        <v>9</v>
      </c>
      <c r="B540" s="3" t="s">
        <v>87</v>
      </c>
      <c r="C540" s="4" t="s">
        <v>83</v>
      </c>
      <c r="D540" s="4" t="s">
        <v>592</v>
      </c>
      <c r="E540" s="4" t="str">
        <f>VLOOKUP(C540,'[2]CTRL AUTOS'!$E$2:$L$58,8,FALSE)</f>
        <v>ASHC</v>
      </c>
      <c r="F540" s="61" t="str">
        <f>VLOOKUP(C540,'[2]CTRL AUTOS'!$E$2:$K$58,7,FALSE)</f>
        <v>ASHC</v>
      </c>
      <c r="G540" s="4" t="s">
        <v>234</v>
      </c>
      <c r="H540" s="62">
        <v>5050.3500000000004</v>
      </c>
      <c r="I540" s="62">
        <v>-1937.3000000000004</v>
      </c>
      <c r="J540" s="62">
        <v>-105.6</v>
      </c>
      <c r="K540" s="62">
        <v>0</v>
      </c>
      <c r="L540" s="62">
        <v>0</v>
      </c>
      <c r="M540" s="62">
        <v>-50</v>
      </c>
      <c r="N540" s="62">
        <v>0</v>
      </c>
      <c r="O540" s="62">
        <f t="shared" si="61"/>
        <v>2957.4500000000003</v>
      </c>
      <c r="P540" s="62">
        <v>-2700</v>
      </c>
      <c r="Q540" s="62">
        <v>0</v>
      </c>
      <c r="R540" s="62">
        <v>0</v>
      </c>
      <c r="S540" s="62">
        <v>0</v>
      </c>
      <c r="T540" s="62">
        <v>-500</v>
      </c>
      <c r="U540" s="62">
        <v>0</v>
      </c>
      <c r="V540" s="62">
        <v>0</v>
      </c>
      <c r="W540" s="62">
        <f t="shared" si="56"/>
        <v>-242.54999999999973</v>
      </c>
      <c r="X540" s="62">
        <f t="shared" si="58"/>
        <v>0</v>
      </c>
      <c r="Y540" s="62">
        <f t="shared" si="59"/>
        <v>-242.54999999999973</v>
      </c>
      <c r="Z540" s="62">
        <v>243</v>
      </c>
      <c r="AA540" s="62">
        <f t="shared" si="60"/>
        <v>0.45000000000027285</v>
      </c>
      <c r="AB540" s="62">
        <f t="shared" si="57"/>
        <v>3200.9000000000005</v>
      </c>
      <c r="AC540" s="62"/>
      <c r="AD540" s="4" t="s">
        <v>1030</v>
      </c>
      <c r="AF540" s="54"/>
    </row>
    <row r="541" spans="1:32" hidden="1" x14ac:dyDescent="0.3">
      <c r="A541" s="69">
        <v>9</v>
      </c>
      <c r="B541" s="3" t="s">
        <v>117</v>
      </c>
      <c r="C541" s="4" t="s">
        <v>118</v>
      </c>
      <c r="D541" s="4" t="s">
        <v>934</v>
      </c>
      <c r="E541" s="4" t="str">
        <f>VLOOKUP(C541,'[2]CTRL AUTOS'!$E$2:$L$58,8,FALSE)</f>
        <v>ASHC</v>
      </c>
      <c r="F541" s="61" t="str">
        <f>VLOOKUP(C541,'[2]CTRL AUTOS'!$E$2:$K$58,7,FALSE)</f>
        <v>ASHC</v>
      </c>
      <c r="G541" s="4" t="s">
        <v>234</v>
      </c>
      <c r="H541" s="62">
        <v>5289.34</v>
      </c>
      <c r="I541" s="62">
        <v>-3733.6300000000006</v>
      </c>
      <c r="J541" s="62">
        <v>0</v>
      </c>
      <c r="K541" s="62">
        <v>0</v>
      </c>
      <c r="L541" s="62">
        <v>-60.280000000000015</v>
      </c>
      <c r="M541" s="62">
        <v>-65</v>
      </c>
      <c r="N541" s="62">
        <v>0</v>
      </c>
      <c r="O541" s="62">
        <f t="shared" si="61"/>
        <v>1430.4299999999996</v>
      </c>
      <c r="P541" s="62">
        <v>-2500</v>
      </c>
      <c r="Q541" s="62">
        <v>0</v>
      </c>
      <c r="R541" s="62">
        <v>-500</v>
      </c>
      <c r="S541" s="62">
        <v>0</v>
      </c>
      <c r="T541" s="62">
        <v>0</v>
      </c>
      <c r="U541" s="62">
        <v>0</v>
      </c>
      <c r="V541" s="62">
        <v>0</v>
      </c>
      <c r="W541" s="62">
        <f t="shared" si="56"/>
        <v>-1569.5700000000004</v>
      </c>
      <c r="X541" s="62">
        <f t="shared" si="58"/>
        <v>0</v>
      </c>
      <c r="Y541" s="62">
        <f t="shared" si="59"/>
        <v>-1569.5700000000004</v>
      </c>
      <c r="Z541" s="62">
        <v>1570</v>
      </c>
      <c r="AA541" s="62">
        <f t="shared" si="60"/>
        <v>0.42999999999960892</v>
      </c>
      <c r="AB541" s="62">
        <f t="shared" si="57"/>
        <v>3000.8599999999988</v>
      </c>
      <c r="AC541" s="62"/>
      <c r="AD541" s="4" t="s">
        <v>1031</v>
      </c>
      <c r="AF541" s="54"/>
    </row>
    <row r="542" spans="1:32" hidden="1" x14ac:dyDescent="0.3">
      <c r="A542" s="69">
        <v>9</v>
      </c>
      <c r="B542" s="3" t="s">
        <v>98</v>
      </c>
      <c r="C542" s="4" t="s">
        <v>112</v>
      </c>
      <c r="D542" s="4"/>
      <c r="E542" s="4" t="str">
        <f>VLOOKUP(C542,'[2]CTRL AUTOS'!$E$2:$L$58,8,FALSE)</f>
        <v>ASHC</v>
      </c>
      <c r="F542" s="61" t="str">
        <f>VLOOKUP(C542,'[2]CTRL AUTOS'!$E$2:$K$58,7,FALSE)</f>
        <v>ASHC</v>
      </c>
      <c r="G542" s="4" t="s">
        <v>234</v>
      </c>
      <c r="H542" s="62">
        <v>1724.87</v>
      </c>
      <c r="I542" s="62">
        <v>0</v>
      </c>
      <c r="J542" s="62">
        <v>0</v>
      </c>
      <c r="K542" s="62">
        <v>0</v>
      </c>
      <c r="L542" s="62">
        <v>0</v>
      </c>
      <c r="M542" s="62">
        <v>-27.36</v>
      </c>
      <c r="N542" s="62">
        <v>-228</v>
      </c>
      <c r="O542" s="62">
        <f t="shared" si="61"/>
        <v>1469.51</v>
      </c>
      <c r="P542" s="62">
        <v>-2500</v>
      </c>
      <c r="Q542" s="62">
        <v>0</v>
      </c>
      <c r="R542" s="62">
        <v>0</v>
      </c>
      <c r="S542" s="62">
        <v>0</v>
      </c>
      <c r="T542" s="62">
        <v>-2500</v>
      </c>
      <c r="U542" s="62">
        <v>601</v>
      </c>
      <c r="V542" s="62">
        <v>0</v>
      </c>
      <c r="W542" s="62">
        <f t="shared" si="56"/>
        <v>-2929.49</v>
      </c>
      <c r="X542" s="62">
        <f t="shared" si="58"/>
        <v>0</v>
      </c>
      <c r="Y542" s="62">
        <f t="shared" si="59"/>
        <v>-2929.49</v>
      </c>
      <c r="Z542" s="62">
        <v>2800</v>
      </c>
      <c r="AA542" s="62">
        <f t="shared" si="60"/>
        <v>-129.48999999999978</v>
      </c>
      <c r="AB542" s="62">
        <f t="shared" si="57"/>
        <v>4140.0200000000004</v>
      </c>
      <c r="AC542" s="62"/>
      <c r="AD542" s="4" t="s">
        <v>1032</v>
      </c>
      <c r="AF542" s="54"/>
    </row>
    <row r="543" spans="1:32" hidden="1" x14ac:dyDescent="0.3">
      <c r="A543" s="69">
        <v>9</v>
      </c>
      <c r="B543" s="3" t="s">
        <v>150</v>
      </c>
      <c r="C543" s="4" t="s">
        <v>104</v>
      </c>
      <c r="D543" s="4" t="s">
        <v>283</v>
      </c>
      <c r="E543" s="4" t="s">
        <v>364</v>
      </c>
      <c r="F543" s="61" t="s">
        <v>364</v>
      </c>
      <c r="G543" s="4" t="s">
        <v>425</v>
      </c>
      <c r="H543" s="62">
        <v>0</v>
      </c>
      <c r="I543" s="62">
        <v>0</v>
      </c>
      <c r="J543" s="62">
        <v>0</v>
      </c>
      <c r="K543" s="62">
        <v>0</v>
      </c>
      <c r="L543" s="62">
        <v>0</v>
      </c>
      <c r="M543" s="62">
        <v>0</v>
      </c>
      <c r="N543" s="62">
        <v>0</v>
      </c>
      <c r="O543" s="62">
        <f t="shared" si="61"/>
        <v>0</v>
      </c>
      <c r="P543" s="62">
        <v>-2500</v>
      </c>
      <c r="Q543" s="62">
        <v>0</v>
      </c>
      <c r="R543" s="62">
        <v>-500</v>
      </c>
      <c r="S543" s="62">
        <v>0</v>
      </c>
      <c r="T543" s="62">
        <v>0</v>
      </c>
      <c r="U543" s="62">
        <v>0</v>
      </c>
      <c r="V543" s="62">
        <v>0</v>
      </c>
      <c r="W543" s="62">
        <f t="shared" si="56"/>
        <v>-3000</v>
      </c>
      <c r="X543" s="62">
        <f t="shared" si="58"/>
        <v>0</v>
      </c>
      <c r="Y543" s="62">
        <f t="shared" si="59"/>
        <v>-3000</v>
      </c>
      <c r="Z543" s="62">
        <v>3000</v>
      </c>
      <c r="AA543" s="62">
        <f t="shared" si="60"/>
        <v>0</v>
      </c>
      <c r="AB543" s="62">
        <f t="shared" si="57"/>
        <v>3000</v>
      </c>
      <c r="AC543" s="62"/>
      <c r="AD543" s="4" t="s">
        <v>1033</v>
      </c>
      <c r="AF543" s="54"/>
    </row>
    <row r="544" spans="1:32" hidden="1" x14ac:dyDescent="0.3">
      <c r="A544" s="69">
        <v>9</v>
      </c>
      <c r="B544" s="3" t="s">
        <v>178</v>
      </c>
      <c r="C544" s="4"/>
      <c r="D544" s="4"/>
      <c r="E544" s="4" t="s">
        <v>232</v>
      </c>
      <c r="F544" s="61" t="s">
        <v>232</v>
      </c>
      <c r="G544" s="4" t="s">
        <v>234</v>
      </c>
      <c r="H544" s="62">
        <v>665.4</v>
      </c>
      <c r="I544" s="62">
        <v>-396.03</v>
      </c>
      <c r="J544" s="62">
        <v>-18.87</v>
      </c>
      <c r="K544" s="62">
        <v>117.97</v>
      </c>
      <c r="L544" s="62">
        <v>0</v>
      </c>
      <c r="M544" s="62">
        <v>-15</v>
      </c>
      <c r="N544" s="62">
        <v>0</v>
      </c>
      <c r="O544" s="62">
        <f t="shared" si="61"/>
        <v>353.47</v>
      </c>
      <c r="P544" s="62">
        <v>-353</v>
      </c>
      <c r="Q544" s="62">
        <v>0</v>
      </c>
      <c r="R544" s="62">
        <v>0</v>
      </c>
      <c r="S544" s="62">
        <v>0</v>
      </c>
      <c r="T544" s="62">
        <v>0</v>
      </c>
      <c r="U544" s="62">
        <v>0</v>
      </c>
      <c r="V544" s="62">
        <v>0</v>
      </c>
      <c r="W544" s="62">
        <f t="shared" si="56"/>
        <v>0.47000000000002728</v>
      </c>
      <c r="X544" s="62">
        <f t="shared" si="58"/>
        <v>0.47000000000002728</v>
      </c>
      <c r="Y544" s="62">
        <f t="shared" si="59"/>
        <v>0</v>
      </c>
      <c r="Z544" s="62">
        <v>0</v>
      </c>
      <c r="AA544" s="62">
        <f t="shared" si="60"/>
        <v>0</v>
      </c>
      <c r="AB544" s="62">
        <f t="shared" si="57"/>
        <v>353</v>
      </c>
      <c r="AC544" s="62"/>
      <c r="AD544" s="4"/>
      <c r="AF544" s="54"/>
    </row>
    <row r="545" spans="1:32" hidden="1" x14ac:dyDescent="0.3">
      <c r="A545" s="69">
        <v>9</v>
      </c>
      <c r="B545" s="3" t="s">
        <v>119</v>
      </c>
      <c r="C545" s="4" t="s">
        <v>97</v>
      </c>
      <c r="D545" s="4" t="s">
        <v>273</v>
      </c>
      <c r="E545" s="4" t="str">
        <f>VLOOKUP(C545,'[2]CTRL AUTOS'!$E$2:$L$58,8,FALSE)</f>
        <v>ASHC</v>
      </c>
      <c r="F545" s="61" t="str">
        <f>VLOOKUP(C545,'[2]CTRL AUTOS'!$E$2:$K$58,7,FALSE)</f>
        <v>ASHC</v>
      </c>
      <c r="G545" s="4" t="s">
        <v>234</v>
      </c>
      <c r="H545" s="62">
        <v>0</v>
      </c>
      <c r="I545" s="62">
        <v>0</v>
      </c>
      <c r="J545" s="62">
        <v>0</v>
      </c>
      <c r="K545" s="62">
        <v>0</v>
      </c>
      <c r="L545" s="62">
        <v>0</v>
      </c>
      <c r="M545" s="62">
        <v>0</v>
      </c>
      <c r="N545" s="62">
        <v>0</v>
      </c>
      <c r="O545" s="62">
        <f t="shared" si="61"/>
        <v>0</v>
      </c>
      <c r="P545" s="62">
        <v>0</v>
      </c>
      <c r="Q545" s="62">
        <v>0</v>
      </c>
      <c r="R545" s="62">
        <v>920</v>
      </c>
      <c r="S545" s="62">
        <v>0</v>
      </c>
      <c r="T545" s="62">
        <v>0</v>
      </c>
      <c r="U545" s="62">
        <v>0</v>
      </c>
      <c r="V545" s="62">
        <v>0</v>
      </c>
      <c r="W545" s="62">
        <f t="shared" si="56"/>
        <v>920</v>
      </c>
      <c r="X545" s="62">
        <f t="shared" si="58"/>
        <v>920</v>
      </c>
      <c r="Y545" s="62">
        <f t="shared" si="59"/>
        <v>0</v>
      </c>
      <c r="Z545" s="62">
        <v>0</v>
      </c>
      <c r="AA545" s="62">
        <f t="shared" si="60"/>
        <v>0</v>
      </c>
      <c r="AB545" s="62">
        <f t="shared" si="57"/>
        <v>-920</v>
      </c>
      <c r="AC545" s="4"/>
      <c r="AD545" s="4" t="s">
        <v>995</v>
      </c>
    </row>
    <row r="546" spans="1:32" hidden="1" x14ac:dyDescent="0.3">
      <c r="A546" s="69">
        <v>9</v>
      </c>
      <c r="B546" t="s">
        <v>138</v>
      </c>
      <c r="C546" s="4" t="s">
        <v>50</v>
      </c>
      <c r="D546" s="4" t="s">
        <v>480</v>
      </c>
      <c r="E546" s="4" t="s">
        <v>232</v>
      </c>
      <c r="F546" s="61" t="s">
        <v>232</v>
      </c>
      <c r="G546" s="4" t="s">
        <v>234</v>
      </c>
      <c r="H546" s="62">
        <v>0</v>
      </c>
      <c r="I546" s="62">
        <v>0</v>
      </c>
      <c r="J546" s="62">
        <v>0</v>
      </c>
      <c r="K546" s="62">
        <v>0</v>
      </c>
      <c r="L546" s="62">
        <v>0</v>
      </c>
      <c r="M546" s="62">
        <v>0</v>
      </c>
      <c r="N546" s="62">
        <v>0</v>
      </c>
      <c r="O546" s="62">
        <f t="shared" si="61"/>
        <v>0</v>
      </c>
      <c r="P546" s="62">
        <v>0</v>
      </c>
      <c r="Q546" s="62">
        <v>0</v>
      </c>
      <c r="R546" s="62">
        <v>393</v>
      </c>
      <c r="S546" s="62">
        <v>0</v>
      </c>
      <c r="T546" s="62">
        <v>0</v>
      </c>
      <c r="U546" s="62">
        <v>0</v>
      </c>
      <c r="V546" s="62">
        <v>0</v>
      </c>
      <c r="W546" s="62">
        <f t="shared" si="56"/>
        <v>393</v>
      </c>
      <c r="X546" s="62">
        <f t="shared" si="58"/>
        <v>393</v>
      </c>
      <c r="Y546" s="62">
        <f t="shared" si="59"/>
        <v>0</v>
      </c>
      <c r="Z546" s="62">
        <v>0</v>
      </c>
      <c r="AA546" s="62">
        <f t="shared" si="60"/>
        <v>0</v>
      </c>
      <c r="AB546" s="62">
        <f t="shared" si="57"/>
        <v>-393</v>
      </c>
      <c r="AC546" s="4"/>
      <c r="AD546" s="4" t="s">
        <v>995</v>
      </c>
    </row>
    <row r="547" spans="1:32" hidden="1" x14ac:dyDescent="0.3">
      <c r="A547" s="69">
        <v>9</v>
      </c>
      <c r="B547" s="4" t="s">
        <v>184</v>
      </c>
      <c r="C547" s="4" t="s">
        <v>50</v>
      </c>
      <c r="D547" s="4" t="s">
        <v>480</v>
      </c>
      <c r="E547" s="4" t="s">
        <v>232</v>
      </c>
      <c r="F547" s="61" t="s">
        <v>232</v>
      </c>
      <c r="G547" s="4" t="s">
        <v>234</v>
      </c>
      <c r="H547" s="62">
        <v>1610.75</v>
      </c>
      <c r="I547" s="62">
        <v>-914.82</v>
      </c>
      <c r="J547" s="62">
        <v>0</v>
      </c>
      <c r="K547" s="62">
        <v>0</v>
      </c>
      <c r="L547" s="62">
        <v>0</v>
      </c>
      <c r="M547" s="62">
        <v>-35</v>
      </c>
      <c r="N547" s="62">
        <v>0</v>
      </c>
      <c r="O547" s="62">
        <f t="shared" si="61"/>
        <v>660.93</v>
      </c>
      <c r="P547" s="62">
        <f>(-2500/7)*1.5</f>
        <v>-535.71428571428578</v>
      </c>
      <c r="Q547" s="62">
        <v>0</v>
      </c>
      <c r="R547" s="62">
        <v>-107.14285714285714</v>
      </c>
      <c r="S547" s="62">
        <v>0</v>
      </c>
      <c r="T547" s="62">
        <v>0</v>
      </c>
      <c r="U547" s="62">
        <v>0</v>
      </c>
      <c r="V547" s="62">
        <v>0</v>
      </c>
      <c r="W547" s="62">
        <f t="shared" si="56"/>
        <v>18.072857142857032</v>
      </c>
      <c r="X547" s="62">
        <f t="shared" si="58"/>
        <v>18.072857142857032</v>
      </c>
      <c r="Y547" s="62">
        <f t="shared" si="59"/>
        <v>0</v>
      </c>
      <c r="Z547" s="62">
        <v>0</v>
      </c>
      <c r="AA547" s="62">
        <f t="shared" si="60"/>
        <v>0</v>
      </c>
      <c r="AB547" s="62">
        <f t="shared" si="57"/>
        <v>642.85714285714289</v>
      </c>
      <c r="AC547" s="4"/>
      <c r="AD547" s="4" t="s">
        <v>1034</v>
      </c>
    </row>
    <row r="548" spans="1:32" hidden="1" x14ac:dyDescent="0.3">
      <c r="A548" s="2">
        <v>9</v>
      </c>
      <c r="B548" s="3" t="s">
        <v>134</v>
      </c>
      <c r="C548" s="4" t="s">
        <v>52</v>
      </c>
      <c r="D548" s="4" t="s">
        <v>313</v>
      </c>
      <c r="E548" s="4" t="str">
        <f>VLOOKUP(C548,'[2]CTRL AUTOS'!$E$2:$L$58,8,FALSE)</f>
        <v>ASHC</v>
      </c>
      <c r="F548" s="61" t="str">
        <f>VLOOKUP(C548,'[2]CTRL AUTOS'!$E$2:$K$58,7,FALSE)</f>
        <v>ASHC</v>
      </c>
      <c r="G548" s="4" t="s">
        <v>234</v>
      </c>
      <c r="H548" s="62">
        <v>0</v>
      </c>
      <c r="I548" s="62">
        <f>IFERROR(VLOOKUP(B548,[4]Hoja1!$J$25:$O$76,6,FALSE),0)</f>
        <v>0</v>
      </c>
      <c r="J548" s="62">
        <v>-4.1100000000000003</v>
      </c>
      <c r="K548" s="62">
        <v>25.66</v>
      </c>
      <c r="L548" s="62">
        <v>0</v>
      </c>
      <c r="M548" s="62">
        <v>0</v>
      </c>
      <c r="N548" s="62">
        <v>0</v>
      </c>
      <c r="O548" s="62">
        <f t="shared" si="61"/>
        <v>21.55</v>
      </c>
      <c r="P548" s="62">
        <v>0</v>
      </c>
      <c r="Q548" s="62">
        <v>0</v>
      </c>
      <c r="R548" s="62">
        <v>0</v>
      </c>
      <c r="S548" s="62">
        <v>0</v>
      </c>
      <c r="T548" s="62">
        <v>0</v>
      </c>
      <c r="U548" s="62">
        <v>0</v>
      </c>
      <c r="V548" s="62">
        <v>0</v>
      </c>
      <c r="W548" s="62">
        <f t="shared" si="56"/>
        <v>21.55</v>
      </c>
      <c r="X548" s="62">
        <f t="shared" si="58"/>
        <v>21.55</v>
      </c>
      <c r="Y548" s="62">
        <f t="shared" si="59"/>
        <v>0</v>
      </c>
      <c r="Z548" s="62">
        <v>0</v>
      </c>
      <c r="AA548" s="62">
        <f t="shared" si="60"/>
        <v>0</v>
      </c>
      <c r="AB548" s="62">
        <f t="shared" si="57"/>
        <v>0</v>
      </c>
      <c r="AC548" s="4"/>
      <c r="AD548" s="4" t="s">
        <v>995</v>
      </c>
    </row>
    <row r="549" spans="1:32" hidden="1" x14ac:dyDescent="0.3">
      <c r="A549" s="2">
        <v>9</v>
      </c>
      <c r="B549" t="s">
        <v>176</v>
      </c>
      <c r="C549" s="4" t="s">
        <v>158</v>
      </c>
      <c r="D549" s="4"/>
      <c r="E549" s="4" t="s">
        <v>232</v>
      </c>
      <c r="F549" s="61" t="s">
        <v>232</v>
      </c>
      <c r="G549" s="4" t="s">
        <v>234</v>
      </c>
      <c r="H549" s="62">
        <v>50.61</v>
      </c>
      <c r="I549" s="62">
        <f>IFERROR(VLOOKUP(B549,[4]Hoja1!$J$25:$O$76,6,FALSE),0)</f>
        <v>0</v>
      </c>
      <c r="J549" s="62">
        <v>0</v>
      </c>
      <c r="K549" s="62">
        <v>0</v>
      </c>
      <c r="L549" s="62">
        <v>0</v>
      </c>
      <c r="M549" s="62">
        <v>0</v>
      </c>
      <c r="N549" s="62">
        <v>0</v>
      </c>
      <c r="O549" s="62">
        <f t="shared" si="61"/>
        <v>50.61</v>
      </c>
      <c r="P549" s="62">
        <v>-51</v>
      </c>
      <c r="Q549" s="62">
        <v>0</v>
      </c>
      <c r="R549" s="62">
        <v>0</v>
      </c>
      <c r="S549" s="62">
        <v>0</v>
      </c>
      <c r="T549" s="62">
        <v>0</v>
      </c>
      <c r="U549" s="62">
        <v>0</v>
      </c>
      <c r="V549" s="62">
        <v>0</v>
      </c>
      <c r="W549" s="62">
        <f t="shared" si="56"/>
        <v>-0.39000000000000057</v>
      </c>
      <c r="X549" s="62">
        <f t="shared" si="58"/>
        <v>0</v>
      </c>
      <c r="Y549" s="62">
        <f t="shared" si="59"/>
        <v>-0.39000000000000057</v>
      </c>
      <c r="Z549" s="62">
        <v>0</v>
      </c>
      <c r="AA549" s="62">
        <f t="shared" si="60"/>
        <v>-0.39000000000000057</v>
      </c>
      <c r="AB549" s="62">
        <f t="shared" si="57"/>
        <v>50.22</v>
      </c>
      <c r="AC549" s="4"/>
      <c r="AD549" s="4"/>
    </row>
    <row r="550" spans="1:32" hidden="1" x14ac:dyDescent="0.3">
      <c r="A550" s="69">
        <v>9</v>
      </c>
      <c r="B550" s="4" t="s">
        <v>191</v>
      </c>
      <c r="C550" s="4"/>
      <c r="D550" s="4"/>
      <c r="E550" s="4" t="s">
        <v>232</v>
      </c>
      <c r="F550" s="61" t="s">
        <v>232</v>
      </c>
      <c r="G550" s="4" t="s">
        <v>234</v>
      </c>
      <c r="H550" s="62">
        <v>0</v>
      </c>
      <c r="I550" s="62">
        <f>IFERROR(VLOOKUP(B550,[4]Hoja1!$J$25:$O$76,6,FALSE),0)</f>
        <v>0</v>
      </c>
      <c r="J550" s="62">
        <v>-10.69</v>
      </c>
      <c r="K550" s="62">
        <v>66.8</v>
      </c>
      <c r="L550" s="62">
        <v>0</v>
      </c>
      <c r="M550" s="62">
        <v>0</v>
      </c>
      <c r="N550" s="62">
        <v>0</v>
      </c>
      <c r="O550" s="62">
        <f t="shared" si="61"/>
        <v>56.11</v>
      </c>
      <c r="P550" s="62">
        <v>-56</v>
      </c>
      <c r="Q550" s="62">
        <v>0</v>
      </c>
      <c r="R550" s="62">
        <v>0</v>
      </c>
      <c r="S550" s="62">
        <v>0</v>
      </c>
      <c r="T550" s="62">
        <v>0</v>
      </c>
      <c r="U550" s="62">
        <v>0</v>
      </c>
      <c r="V550" s="62">
        <v>0</v>
      </c>
      <c r="W550" s="62">
        <f t="shared" si="56"/>
        <v>0.10999999999999943</v>
      </c>
      <c r="X550" s="62">
        <f t="shared" si="58"/>
        <v>0.10999999999999943</v>
      </c>
      <c r="Y550" s="62">
        <f t="shared" si="59"/>
        <v>0</v>
      </c>
      <c r="Z550" s="62">
        <v>0</v>
      </c>
      <c r="AA550" s="62">
        <f t="shared" si="60"/>
        <v>0</v>
      </c>
      <c r="AB550" s="62">
        <f t="shared" si="57"/>
        <v>56</v>
      </c>
      <c r="AC550" s="4"/>
      <c r="AD550" s="4"/>
    </row>
    <row r="551" spans="1:32" hidden="1" x14ac:dyDescent="0.3">
      <c r="A551" s="69">
        <v>10</v>
      </c>
      <c r="B551" s="4" t="s">
        <v>197</v>
      </c>
      <c r="C551" s="4" t="s">
        <v>79</v>
      </c>
      <c r="D551" s="4" t="s">
        <v>521</v>
      </c>
      <c r="E551" s="4" t="str">
        <f>VLOOKUP(C551,'[2]CTRL AUTOS'!$E$2:$L$58,8,FALSE)</f>
        <v>BYER</v>
      </c>
      <c r="F551" s="61" t="str">
        <f>VLOOKUP(C551,'[2]CTRL AUTOS'!$E$2:$K$58,7,FALSE)</f>
        <v>BYER</v>
      </c>
      <c r="G551" s="4" t="s">
        <v>234</v>
      </c>
      <c r="H551" s="62">
        <v>704.36</v>
      </c>
      <c r="I551" s="62">
        <v>0</v>
      </c>
      <c r="J551" s="62">
        <v>0</v>
      </c>
      <c r="K551" s="62">
        <v>0</v>
      </c>
      <c r="L551" s="62">
        <v>0</v>
      </c>
      <c r="M551" s="62">
        <v>-15</v>
      </c>
      <c r="N551" s="62">
        <v>0</v>
      </c>
      <c r="O551" s="62">
        <f t="shared" si="61"/>
        <v>689.36</v>
      </c>
      <c r="P551" s="62">
        <f>(-2500/7)*2</f>
        <v>-714.28571428571433</v>
      </c>
      <c r="Q551" s="62">
        <v>0</v>
      </c>
      <c r="R551" s="62">
        <v>-142.85714285714286</v>
      </c>
      <c r="S551" s="62">
        <v>0</v>
      </c>
      <c r="T551" s="62">
        <v>0</v>
      </c>
      <c r="U551" s="62">
        <v>0</v>
      </c>
      <c r="V551" s="62">
        <v>0</v>
      </c>
      <c r="W551" s="62">
        <f t="shared" si="56"/>
        <v>-167.78285714285718</v>
      </c>
      <c r="X551" s="62">
        <f>IF(W551&gt;=0,W551,0)</f>
        <v>0</v>
      </c>
      <c r="Y551" s="62">
        <f>IF(W551&lt;=0,W551,0)</f>
        <v>-167.78285714285718</v>
      </c>
      <c r="Z551" s="62">
        <v>0</v>
      </c>
      <c r="AA551" s="62">
        <f>+Y551+Z551</f>
        <v>-167.78285714285718</v>
      </c>
      <c r="AB551" s="62">
        <f t="shared" si="57"/>
        <v>521.5771428571428</v>
      </c>
      <c r="AC551" s="4"/>
      <c r="AD551" s="4"/>
      <c r="AF551" s="50" t="s">
        <v>410</v>
      </c>
    </row>
    <row r="552" spans="1:32" hidden="1" x14ac:dyDescent="0.3">
      <c r="A552" s="69">
        <v>10</v>
      </c>
      <c r="B552" s="3" t="s">
        <v>150</v>
      </c>
      <c r="C552" s="4" t="s">
        <v>96</v>
      </c>
      <c r="D552" s="4" t="s">
        <v>1035</v>
      </c>
      <c r="E552" s="4" t="s">
        <v>232</v>
      </c>
      <c r="F552" s="61" t="s">
        <v>232</v>
      </c>
      <c r="G552" s="4" t="s">
        <v>425</v>
      </c>
      <c r="H552" s="62">
        <v>0</v>
      </c>
      <c r="I552" s="62">
        <v>0</v>
      </c>
      <c r="J552" s="62">
        <v>0</v>
      </c>
      <c r="K552" s="62">
        <v>0</v>
      </c>
      <c r="L552" s="62">
        <v>0</v>
      </c>
      <c r="M552" s="62">
        <v>0</v>
      </c>
      <c r="N552" s="62">
        <v>0</v>
      </c>
      <c r="O552" s="62">
        <f>IF(H552+I552&lt;0,SUM(J552:N552),SUM(H552:N552))</f>
        <v>0</v>
      </c>
      <c r="P552" s="62">
        <f>(-2500/7)*4.5</f>
        <v>-1607.1428571428573</v>
      </c>
      <c r="Q552" s="62">
        <v>0</v>
      </c>
      <c r="R552" s="62">
        <v>-321.42857142857144</v>
      </c>
      <c r="S552" s="62">
        <v>0</v>
      </c>
      <c r="T552" s="62">
        <v>0</v>
      </c>
      <c r="U552" s="62">
        <v>0</v>
      </c>
      <c r="V552" s="62">
        <v>0</v>
      </c>
      <c r="W552" s="62">
        <f t="shared" si="56"/>
        <v>-1928.5714285714289</v>
      </c>
      <c r="X552" s="62">
        <f>IF(W552&gt;=0,W552,0)</f>
        <v>0</v>
      </c>
      <c r="Y552" s="62">
        <f>IF(W552&lt;=0,W552,0)</f>
        <v>-1928.5714285714289</v>
      </c>
      <c r="Z552" s="62">
        <v>1929</v>
      </c>
      <c r="AA552" s="62">
        <f>+Y552+Z552</f>
        <v>0.42857142857110375</v>
      </c>
      <c r="AB552" s="62">
        <f t="shared" si="57"/>
        <v>1929.4285714285711</v>
      </c>
      <c r="AC552" s="4"/>
      <c r="AD552" s="4" t="s">
        <v>1036</v>
      </c>
    </row>
    <row r="553" spans="1:32" hidden="1" x14ac:dyDescent="0.3">
      <c r="A553" s="69">
        <v>10</v>
      </c>
      <c r="B553" s="3" t="s">
        <v>192</v>
      </c>
      <c r="C553" s="4" t="s">
        <v>79</v>
      </c>
      <c r="D553" s="4" t="s">
        <v>475</v>
      </c>
      <c r="E553" s="4" t="s">
        <v>291</v>
      </c>
      <c r="F553" s="61" t="s">
        <v>291</v>
      </c>
      <c r="G553" s="4" t="s">
        <v>234</v>
      </c>
      <c r="H553" s="62">
        <v>1304.47</v>
      </c>
      <c r="I553" s="62">
        <v>0</v>
      </c>
      <c r="J553" s="62">
        <v>0</v>
      </c>
      <c r="K553" s="62">
        <v>0</v>
      </c>
      <c r="L553" s="62">
        <v>0</v>
      </c>
      <c r="M553" s="62">
        <v>-24</v>
      </c>
      <c r="N553" s="62">
        <v>0</v>
      </c>
      <c r="O553" s="62">
        <f>IF(H553+I553&lt;0,SUM(J553:N553),SUM(H553:N553))</f>
        <v>1280.47</v>
      </c>
      <c r="P553" s="62">
        <v>-1250</v>
      </c>
      <c r="Q553" s="62">
        <v>0</v>
      </c>
      <c r="R553" s="62">
        <v>-250</v>
      </c>
      <c r="S553" s="62">
        <v>0</v>
      </c>
      <c r="T553" s="62">
        <v>0</v>
      </c>
      <c r="U553" s="62">
        <v>0</v>
      </c>
      <c r="V553" s="62">
        <v>0</v>
      </c>
      <c r="W553" s="62">
        <f t="shared" si="56"/>
        <v>-219.52999999999997</v>
      </c>
      <c r="X553" s="62">
        <f t="shared" ref="X553:X616" si="62">IF(W553&gt;=0,W553,0)</f>
        <v>0</v>
      </c>
      <c r="Y553" s="62">
        <f t="shared" ref="Y553:Y616" si="63">IF(W553&lt;=0,W553,0)</f>
        <v>-219.52999999999997</v>
      </c>
      <c r="Z553" s="62">
        <v>220</v>
      </c>
      <c r="AA553" s="62">
        <f t="shared" ref="AA553:AA616" si="64">+Y553+Z553</f>
        <v>0.47000000000002728</v>
      </c>
      <c r="AB553" s="62">
        <f t="shared" si="57"/>
        <v>1500.94</v>
      </c>
      <c r="AC553" s="4">
        <v>1800</v>
      </c>
      <c r="AD553" s="4" t="s">
        <v>1037</v>
      </c>
    </row>
    <row r="554" spans="1:32" hidden="1" x14ac:dyDescent="0.3">
      <c r="A554" s="69">
        <v>10</v>
      </c>
      <c r="B554" s="4" t="s">
        <v>186</v>
      </c>
      <c r="C554" s="4" t="s">
        <v>54</v>
      </c>
      <c r="D554" s="4" t="s">
        <v>318</v>
      </c>
      <c r="E554" s="4" t="s">
        <v>232</v>
      </c>
      <c r="F554" s="4" t="s">
        <v>232</v>
      </c>
      <c r="G554" s="4" t="s">
        <v>234</v>
      </c>
      <c r="H554" s="62">
        <v>3570.3</v>
      </c>
      <c r="I554" s="62">
        <v>-2969.1299999999992</v>
      </c>
      <c r="J554" s="62">
        <v>0</v>
      </c>
      <c r="K554" s="62">
        <v>0</v>
      </c>
      <c r="L554" s="62">
        <v>0</v>
      </c>
      <c r="M554" s="62">
        <v>-55</v>
      </c>
      <c r="N554" s="62">
        <v>0</v>
      </c>
      <c r="O554" s="62">
        <f>IF(H554+I554&lt;0,SUM(J554:N554),SUM(H554:N554))</f>
        <v>546.17000000000098</v>
      </c>
      <c r="P554" s="62">
        <v>-2500</v>
      </c>
      <c r="Q554" s="62">
        <v>0</v>
      </c>
      <c r="R554" s="62">
        <v>-500</v>
      </c>
      <c r="S554" s="62">
        <v>0</v>
      </c>
      <c r="T554" s="62">
        <v>0</v>
      </c>
      <c r="U554" s="62">
        <v>0</v>
      </c>
      <c r="V554" s="62">
        <v>0</v>
      </c>
      <c r="W554" s="62">
        <f t="shared" si="56"/>
        <v>-2453.829999999999</v>
      </c>
      <c r="X554" s="62">
        <f t="shared" si="62"/>
        <v>0</v>
      </c>
      <c r="Y554" s="62">
        <f t="shared" si="63"/>
        <v>-2453.829999999999</v>
      </c>
      <c r="Z554" s="62">
        <v>2500</v>
      </c>
      <c r="AA554" s="62">
        <f t="shared" si="64"/>
        <v>46.170000000000982</v>
      </c>
      <c r="AB554" s="62">
        <f t="shared" si="57"/>
        <v>3092.340000000002</v>
      </c>
      <c r="AC554" s="4"/>
      <c r="AD554" s="4" t="s">
        <v>1038</v>
      </c>
    </row>
    <row r="555" spans="1:32" hidden="1" x14ac:dyDescent="0.3">
      <c r="A555" s="69">
        <v>10</v>
      </c>
      <c r="B555" s="4" t="s">
        <v>183</v>
      </c>
      <c r="C555" s="4" t="s">
        <v>40</v>
      </c>
      <c r="D555" s="4" t="s">
        <v>315</v>
      </c>
      <c r="E555" s="4" t="s">
        <v>232</v>
      </c>
      <c r="F555" s="4" t="s">
        <v>232</v>
      </c>
      <c r="G555" s="4" t="s">
        <v>234</v>
      </c>
      <c r="H555" s="62">
        <v>2774.08</v>
      </c>
      <c r="I555" s="62">
        <v>-1269.8499999999999</v>
      </c>
      <c r="J555" s="62">
        <v>0</v>
      </c>
      <c r="K555" s="62">
        <v>0</v>
      </c>
      <c r="L555" s="62">
        <v>0</v>
      </c>
      <c r="M555" s="62">
        <v>-35</v>
      </c>
      <c r="N555" s="62">
        <v>0</v>
      </c>
      <c r="O555" s="62">
        <f t="shared" ref="O555:O618" si="65">IF(H555+I555&lt;0,SUM(J555:N555),SUM(H555:N555))</f>
        <v>1469.23</v>
      </c>
      <c r="P555" s="62">
        <v>-2500</v>
      </c>
      <c r="Q555" s="62">
        <f>-299*1.12</f>
        <v>-334.88000000000005</v>
      </c>
      <c r="R555" s="62">
        <v>-500</v>
      </c>
      <c r="S555" s="62">
        <v>0</v>
      </c>
      <c r="T555" s="62">
        <v>0</v>
      </c>
      <c r="U555" s="62">
        <v>0</v>
      </c>
      <c r="V555" s="62">
        <v>0</v>
      </c>
      <c r="W555" s="62">
        <f t="shared" si="56"/>
        <v>-1865.65</v>
      </c>
      <c r="X555" s="62">
        <f t="shared" si="62"/>
        <v>0</v>
      </c>
      <c r="Y555" s="62">
        <f t="shared" si="63"/>
        <v>-1865.65</v>
      </c>
      <c r="Z555" s="62">
        <f>400+400+300+500</f>
        <v>1600</v>
      </c>
      <c r="AA555" s="62">
        <f t="shared" si="64"/>
        <v>-265.65000000000009</v>
      </c>
      <c r="AB555" s="62">
        <f t="shared" si="57"/>
        <v>2803.58</v>
      </c>
      <c r="AC555" s="4"/>
      <c r="AD555" s="4" t="s">
        <v>1039</v>
      </c>
      <c r="AE555" s="54"/>
      <c r="AF555" s="54"/>
    </row>
    <row r="556" spans="1:32" hidden="1" x14ac:dyDescent="0.3">
      <c r="A556" s="69">
        <v>10</v>
      </c>
      <c r="B556" s="4" t="s">
        <v>187</v>
      </c>
      <c r="C556" s="4" t="s">
        <v>75</v>
      </c>
      <c r="D556" s="4" t="s">
        <v>333</v>
      </c>
      <c r="E556" s="4" t="s">
        <v>241</v>
      </c>
      <c r="F556" s="4" t="s">
        <v>291</v>
      </c>
      <c r="G556" s="4" t="s">
        <v>234</v>
      </c>
      <c r="H556" s="62">
        <v>5654.52</v>
      </c>
      <c r="I556" s="62">
        <v>-2216.1800000000007</v>
      </c>
      <c r="J556" s="62">
        <v>0</v>
      </c>
      <c r="K556" s="62">
        <v>0</v>
      </c>
      <c r="L556" s="62">
        <v>0</v>
      </c>
      <c r="M556" s="62">
        <v>-45</v>
      </c>
      <c r="N556" s="62">
        <v>0</v>
      </c>
      <c r="O556" s="62">
        <f t="shared" si="65"/>
        <v>3393.3399999999997</v>
      </c>
      <c r="P556" s="62">
        <v>-2500</v>
      </c>
      <c r="Q556" s="62">
        <v>0</v>
      </c>
      <c r="R556" s="62">
        <v>-500</v>
      </c>
      <c r="S556" s="62">
        <v>0</v>
      </c>
      <c r="T556" s="62">
        <v>0</v>
      </c>
      <c r="U556" s="62">
        <v>0</v>
      </c>
      <c r="V556" s="62">
        <v>0</v>
      </c>
      <c r="W556" s="62">
        <f t="shared" si="56"/>
        <v>393.33999999999969</v>
      </c>
      <c r="X556" s="62">
        <f t="shared" si="62"/>
        <v>393.33999999999969</v>
      </c>
      <c r="Y556" s="62">
        <f t="shared" si="63"/>
        <v>0</v>
      </c>
      <c r="Z556" s="62">
        <v>0</v>
      </c>
      <c r="AA556" s="62">
        <f t="shared" si="64"/>
        <v>0</v>
      </c>
      <c r="AB556" s="62">
        <f t="shared" si="57"/>
        <v>3000</v>
      </c>
      <c r="AC556" s="4"/>
      <c r="AD556" s="4" t="s">
        <v>1040</v>
      </c>
      <c r="AE556" s="54"/>
    </row>
    <row r="557" spans="1:32" hidden="1" x14ac:dyDescent="0.3">
      <c r="A557" s="69">
        <v>10</v>
      </c>
      <c r="B557" s="4" t="s">
        <v>190</v>
      </c>
      <c r="C557" s="4" t="s">
        <v>142</v>
      </c>
      <c r="D557" s="4" t="s">
        <v>1079</v>
      </c>
      <c r="E557" s="4" t="s">
        <v>232</v>
      </c>
      <c r="F557" s="4" t="s">
        <v>232</v>
      </c>
      <c r="G557" s="4" t="s">
        <v>234</v>
      </c>
      <c r="H557" s="62">
        <v>6103.72</v>
      </c>
      <c r="I557" s="62">
        <v>0</v>
      </c>
      <c r="J557" s="62">
        <v>0</v>
      </c>
      <c r="K557" s="62">
        <v>0</v>
      </c>
      <c r="L557" s="62">
        <v>0</v>
      </c>
      <c r="M557" s="62">
        <v>0</v>
      </c>
      <c r="N557" s="62">
        <v>0</v>
      </c>
      <c r="O557" s="62">
        <f t="shared" si="65"/>
        <v>6103.72</v>
      </c>
      <c r="P557" s="62">
        <v>-2700</v>
      </c>
      <c r="Q557" s="62">
        <v>0</v>
      </c>
      <c r="R557" s="62">
        <v>-500</v>
      </c>
      <c r="S557" s="62">
        <v>0</v>
      </c>
      <c r="T557" s="62">
        <v>0</v>
      </c>
      <c r="U557" s="62">
        <v>0</v>
      </c>
      <c r="V557" s="62">
        <v>0</v>
      </c>
      <c r="W557" s="62">
        <f t="shared" si="56"/>
        <v>2903.7200000000003</v>
      </c>
      <c r="X557" s="62">
        <f t="shared" si="62"/>
        <v>2903.7200000000003</v>
      </c>
      <c r="Y557" s="62">
        <f t="shared" si="63"/>
        <v>0</v>
      </c>
      <c r="Z557" s="62">
        <v>0</v>
      </c>
      <c r="AA557" s="62">
        <f t="shared" si="64"/>
        <v>0</v>
      </c>
      <c r="AB557" s="62">
        <f t="shared" si="57"/>
        <v>3200</v>
      </c>
      <c r="AC557" s="4"/>
      <c r="AD557" s="4"/>
      <c r="AE557" s="54"/>
    </row>
    <row r="558" spans="1:32" hidden="1" x14ac:dyDescent="0.3">
      <c r="A558" s="69">
        <v>10</v>
      </c>
      <c r="B558" s="4" t="s">
        <v>185</v>
      </c>
      <c r="C558" s="4" t="s">
        <v>34</v>
      </c>
      <c r="D558" s="4" t="s">
        <v>285</v>
      </c>
      <c r="E558" s="4" t="s">
        <v>232</v>
      </c>
      <c r="F558" s="4" t="s">
        <v>232</v>
      </c>
      <c r="G558" s="4" t="s">
        <v>234</v>
      </c>
      <c r="H558" s="62">
        <v>6574.22</v>
      </c>
      <c r="I558" s="62">
        <v>-4400.8499999999995</v>
      </c>
      <c r="J558" s="62">
        <v>0</v>
      </c>
      <c r="K558" s="62">
        <v>0</v>
      </c>
      <c r="L558" s="62">
        <v>0</v>
      </c>
      <c r="M558" s="62">
        <f>-8.4-65</f>
        <v>-73.400000000000006</v>
      </c>
      <c r="N558" s="62">
        <v>-70</v>
      </c>
      <c r="O558" s="62">
        <f t="shared" si="65"/>
        <v>2029.9700000000007</v>
      </c>
      <c r="P558" s="62">
        <v>-2500</v>
      </c>
      <c r="Q558" s="62">
        <v>0</v>
      </c>
      <c r="R558" s="62">
        <v>-500</v>
      </c>
      <c r="S558" s="62">
        <v>0</v>
      </c>
      <c r="T558" s="62">
        <v>0</v>
      </c>
      <c r="U558" s="62">
        <v>0</v>
      </c>
      <c r="V558" s="62">
        <v>0</v>
      </c>
      <c r="W558" s="62">
        <f t="shared" si="56"/>
        <v>-970.02999999999929</v>
      </c>
      <c r="X558" s="62">
        <f t="shared" si="62"/>
        <v>0</v>
      </c>
      <c r="Y558" s="62">
        <f t="shared" si="63"/>
        <v>-970.02999999999929</v>
      </c>
      <c r="Z558" s="62">
        <v>970</v>
      </c>
      <c r="AA558" s="62">
        <f t="shared" si="64"/>
        <v>-2.9999999999290594E-2</v>
      </c>
      <c r="AB558" s="62">
        <f t="shared" si="57"/>
        <v>2999.9400000000014</v>
      </c>
      <c r="AC558" s="4"/>
      <c r="AD558" s="4" t="s">
        <v>1041</v>
      </c>
      <c r="AE558" s="54"/>
    </row>
    <row r="559" spans="1:32" hidden="1" x14ac:dyDescent="0.3">
      <c r="A559" s="69">
        <v>10</v>
      </c>
      <c r="B559" s="4" t="s">
        <v>189</v>
      </c>
      <c r="C559" s="4" t="s">
        <v>24</v>
      </c>
      <c r="D559" s="4" t="s">
        <v>515</v>
      </c>
      <c r="E559" s="4" t="s">
        <v>232</v>
      </c>
      <c r="F559" s="4" t="s">
        <v>232</v>
      </c>
      <c r="G559" s="4" t="s">
        <v>234</v>
      </c>
      <c r="H559" s="62">
        <v>3052.81</v>
      </c>
      <c r="I559" s="62">
        <v>0</v>
      </c>
      <c r="J559" s="62">
        <v>0</v>
      </c>
      <c r="K559" s="62">
        <v>0</v>
      </c>
      <c r="L559" s="62">
        <v>0</v>
      </c>
      <c r="M559" s="62">
        <v>-13.92</v>
      </c>
      <c r="N559" s="62">
        <v>-116</v>
      </c>
      <c r="O559" s="62">
        <f t="shared" si="65"/>
        <v>2922.89</v>
      </c>
      <c r="P559" s="62">
        <v>-2700</v>
      </c>
      <c r="Q559" s="62">
        <v>0</v>
      </c>
      <c r="R559" s="62">
        <v>-500</v>
      </c>
      <c r="S559" s="62">
        <v>0</v>
      </c>
      <c r="T559" s="62">
        <v>0</v>
      </c>
      <c r="U559" s="62">
        <v>0</v>
      </c>
      <c r="V559" s="62">
        <v>0</v>
      </c>
      <c r="W559" s="62">
        <f t="shared" si="56"/>
        <v>-277.11000000000013</v>
      </c>
      <c r="X559" s="62">
        <f t="shared" si="62"/>
        <v>0</v>
      </c>
      <c r="Y559" s="62">
        <f t="shared" si="63"/>
        <v>-277.11000000000013</v>
      </c>
      <c r="Z559" s="62">
        <v>0</v>
      </c>
      <c r="AA559" s="62">
        <f t="shared" si="64"/>
        <v>-277.11000000000013</v>
      </c>
      <c r="AB559" s="62">
        <f t="shared" si="57"/>
        <v>2645.7799999999997</v>
      </c>
      <c r="AC559" s="4"/>
      <c r="AD559" s="4"/>
      <c r="AE559" s="54"/>
    </row>
    <row r="560" spans="1:32" hidden="1" x14ac:dyDescent="0.3">
      <c r="A560" s="69">
        <v>10</v>
      </c>
      <c r="B560" s="4" t="s">
        <v>173</v>
      </c>
      <c r="C560" s="4" t="s">
        <v>52</v>
      </c>
      <c r="D560" s="4" t="s">
        <v>934</v>
      </c>
      <c r="E560" s="4" t="s">
        <v>232</v>
      </c>
      <c r="F560" s="4" t="s">
        <v>232</v>
      </c>
      <c r="G560" s="4" t="s">
        <v>234</v>
      </c>
      <c r="H560" s="62">
        <v>753.64</v>
      </c>
      <c r="I560" s="62">
        <v>-219.93</v>
      </c>
      <c r="J560" s="62">
        <v>0</v>
      </c>
      <c r="K560" s="62">
        <v>0</v>
      </c>
      <c r="L560" s="62">
        <v>0</v>
      </c>
      <c r="M560" s="62">
        <f>-8.88-8</f>
        <v>-16.880000000000003</v>
      </c>
      <c r="N560" s="62">
        <v>-74</v>
      </c>
      <c r="O560" s="62">
        <f t="shared" si="65"/>
        <v>442.83000000000004</v>
      </c>
      <c r="P560" s="62">
        <v>-2500</v>
      </c>
      <c r="Q560" s="62">
        <v>0</v>
      </c>
      <c r="R560" s="62">
        <v>-500</v>
      </c>
      <c r="S560" s="62">
        <v>0</v>
      </c>
      <c r="T560" s="62">
        <v>0</v>
      </c>
      <c r="U560" s="62">
        <v>0</v>
      </c>
      <c r="V560" s="62">
        <v>0</v>
      </c>
      <c r="W560" s="62">
        <f t="shared" si="56"/>
        <v>-2557.17</v>
      </c>
      <c r="X560" s="62">
        <f t="shared" si="62"/>
        <v>0</v>
      </c>
      <c r="Y560" s="62">
        <f t="shared" si="63"/>
        <v>-2557.17</v>
      </c>
      <c r="Z560" s="62">
        <v>2557</v>
      </c>
      <c r="AA560" s="62">
        <f t="shared" si="64"/>
        <v>-0.17000000000007276</v>
      </c>
      <c r="AB560" s="62">
        <f t="shared" si="57"/>
        <v>2999.66</v>
      </c>
      <c r="AC560" s="4"/>
      <c r="AD560" s="4" t="s">
        <v>1042</v>
      </c>
      <c r="AE560" s="54"/>
    </row>
    <row r="561" spans="1:33" hidden="1" x14ac:dyDescent="0.3">
      <c r="A561" s="69">
        <v>10</v>
      </c>
      <c r="B561" s="4" t="s">
        <v>174</v>
      </c>
      <c r="C561" s="4" t="s">
        <v>77</v>
      </c>
      <c r="D561" s="4" t="s">
        <v>474</v>
      </c>
      <c r="E561" s="4" t="s">
        <v>232</v>
      </c>
      <c r="F561" s="4" t="s">
        <v>232</v>
      </c>
      <c r="G561" s="4" t="s">
        <v>234</v>
      </c>
      <c r="H561" s="62">
        <v>3929.19</v>
      </c>
      <c r="I561" s="62">
        <v>0</v>
      </c>
      <c r="J561" s="62">
        <v>-38.4</v>
      </c>
      <c r="K561" s="62">
        <v>0</v>
      </c>
      <c r="L561" s="62">
        <v>0</v>
      </c>
      <c r="M561" s="62">
        <v>0</v>
      </c>
      <c r="N561" s="62">
        <v>0</v>
      </c>
      <c r="O561" s="62">
        <f t="shared" si="65"/>
        <v>3890.79</v>
      </c>
      <c r="P561" s="62">
        <v>-2500</v>
      </c>
      <c r="Q561" s="62">
        <v>0</v>
      </c>
      <c r="R561" s="62">
        <v>-500</v>
      </c>
      <c r="S561" s="62">
        <v>0</v>
      </c>
      <c r="T561" s="62">
        <v>0</v>
      </c>
      <c r="U561" s="62">
        <v>0</v>
      </c>
      <c r="V561" s="62">
        <v>0</v>
      </c>
      <c r="W561" s="62">
        <f t="shared" si="56"/>
        <v>890.79</v>
      </c>
      <c r="X561" s="62">
        <f t="shared" si="62"/>
        <v>890.79</v>
      </c>
      <c r="Y561" s="62">
        <f t="shared" si="63"/>
        <v>0</v>
      </c>
      <c r="Z561" s="62">
        <v>0</v>
      </c>
      <c r="AA561" s="62">
        <f t="shared" si="64"/>
        <v>0</v>
      </c>
      <c r="AB561" s="62">
        <f t="shared" si="57"/>
        <v>3000</v>
      </c>
      <c r="AC561" s="4"/>
      <c r="AD561" s="4"/>
      <c r="AE561" s="54"/>
    </row>
    <row r="562" spans="1:33" hidden="1" x14ac:dyDescent="0.3">
      <c r="A562" s="69">
        <v>10</v>
      </c>
      <c r="B562" s="4" t="s">
        <v>175</v>
      </c>
      <c r="C562" s="4" t="s">
        <v>69</v>
      </c>
      <c r="D562" s="4" t="str">
        <f>VLOOKUP(C562,'[2]CTRL AUTOS'!$E$2:$M$58,9,FALSE)</f>
        <v xml:space="preserve">OHLM032762106
</v>
      </c>
      <c r="E562" s="4" t="s">
        <v>232</v>
      </c>
      <c r="F562" s="4" t="s">
        <v>232</v>
      </c>
      <c r="G562" s="4" t="s">
        <v>425</v>
      </c>
      <c r="H562" s="62">
        <v>4514.83</v>
      </c>
      <c r="I562" s="62">
        <v>-2823.73</v>
      </c>
      <c r="J562" s="62">
        <v>-285.19673</v>
      </c>
      <c r="K562" s="62">
        <v>0</v>
      </c>
      <c r="L562" s="62">
        <v>0</v>
      </c>
      <c r="M562" s="62">
        <v>-55</v>
      </c>
      <c r="N562" s="62">
        <v>0</v>
      </c>
      <c r="O562" s="62">
        <f t="shared" si="65"/>
        <v>1350.9032699999998</v>
      </c>
      <c r="P562" s="62">
        <v>-2500</v>
      </c>
      <c r="Q562" s="62">
        <f>(-2279.96737*1.12)</f>
        <v>-2553.5634544</v>
      </c>
      <c r="R562" s="62">
        <v>-500</v>
      </c>
      <c r="S562" s="62">
        <v>0</v>
      </c>
      <c r="T562" s="62">
        <v>0</v>
      </c>
      <c r="U562" s="62">
        <v>0</v>
      </c>
      <c r="V562" s="62">
        <v>0</v>
      </c>
      <c r="W562" s="62">
        <f t="shared" si="56"/>
        <v>-4202.6601843999997</v>
      </c>
      <c r="X562" s="62">
        <v>0</v>
      </c>
      <c r="Y562" s="62">
        <f t="shared" si="63"/>
        <v>-4202.6601843999997</v>
      </c>
      <c r="Z562" s="62">
        <v>2000</v>
      </c>
      <c r="AA562" s="62">
        <f t="shared" si="64"/>
        <v>-2202.6601843999997</v>
      </c>
      <c r="AB562" s="62">
        <f t="shared" si="57"/>
        <v>1148.2430856000001</v>
      </c>
      <c r="AC562" s="4"/>
      <c r="AD562" s="4" t="s">
        <v>1043</v>
      </c>
      <c r="AE562" s="54"/>
    </row>
    <row r="563" spans="1:33" hidden="1" x14ac:dyDescent="0.3">
      <c r="A563" s="69">
        <v>10</v>
      </c>
      <c r="B563" s="3" t="s">
        <v>76</v>
      </c>
      <c r="C563" s="4" t="s">
        <v>40</v>
      </c>
      <c r="D563" s="4" t="s">
        <v>315</v>
      </c>
      <c r="E563" s="4" t="str">
        <f>VLOOKUP(C563,'[2]CTRL AUTOS'!$E$2:$L$58,8,FALSE)</f>
        <v>ASHC</v>
      </c>
      <c r="F563" s="61" t="str">
        <f>VLOOKUP(C563,'[2]CTRL AUTOS'!$E$2:$K$58,7,FALSE)</f>
        <v>ASHC</v>
      </c>
      <c r="G563" s="4" t="s">
        <v>234</v>
      </c>
      <c r="H563" s="62">
        <v>2097.39</v>
      </c>
      <c r="I563" s="62">
        <v>-200</v>
      </c>
      <c r="J563" s="62">
        <v>0</v>
      </c>
      <c r="K563" s="62">
        <v>-11.79</v>
      </c>
      <c r="L563" s="62">
        <v>-22.84</v>
      </c>
      <c r="M563" s="62">
        <f>-62.448-8</f>
        <v>-70.448000000000008</v>
      </c>
      <c r="N563" s="62">
        <v>-520.4</v>
      </c>
      <c r="O563" s="62">
        <f t="shared" si="65"/>
        <v>1271.9119999999998</v>
      </c>
      <c r="P563" s="62">
        <v>-2500</v>
      </c>
      <c r="Q563" s="62">
        <v>0</v>
      </c>
      <c r="R563" s="62">
        <v>0</v>
      </c>
      <c r="S563" s="62">
        <v>0</v>
      </c>
      <c r="T563" s="62">
        <v>0</v>
      </c>
      <c r="U563" s="62">
        <v>0</v>
      </c>
      <c r="V563" s="62">
        <v>-569</v>
      </c>
      <c r="W563" s="62">
        <f t="shared" si="56"/>
        <v>-1797.0880000000002</v>
      </c>
      <c r="X563" s="62">
        <f t="shared" si="62"/>
        <v>0</v>
      </c>
      <c r="Y563" s="62">
        <f t="shared" si="63"/>
        <v>-1797.0880000000002</v>
      </c>
      <c r="Z563" s="62">
        <f>1567+230</f>
        <v>1797</v>
      </c>
      <c r="AA563" s="62">
        <f t="shared" si="64"/>
        <v>-8.8000000000192813E-2</v>
      </c>
      <c r="AB563" s="62">
        <f>+O563-X563+Z563+AA563</f>
        <v>3068.8239999999996</v>
      </c>
      <c r="AC563" s="62"/>
      <c r="AD563" s="4" t="s">
        <v>1044</v>
      </c>
      <c r="AE563" s="54"/>
    </row>
    <row r="564" spans="1:33" hidden="1" x14ac:dyDescent="0.3">
      <c r="A564" s="69">
        <v>10</v>
      </c>
      <c r="B564" s="3" t="s">
        <v>15</v>
      </c>
      <c r="C564" s="4" t="s">
        <v>137</v>
      </c>
      <c r="D564" s="4" t="s">
        <v>877</v>
      </c>
      <c r="E564" s="4" t="str">
        <f>VLOOKUP(C564,'[2]CTRL AUTOS'!$E$2:$L$58,8,FALSE)</f>
        <v>ASHC</v>
      </c>
      <c r="F564" s="61" t="str">
        <f>VLOOKUP(C564,'[2]CTRL AUTOS'!$E$2:$K$58,7,FALSE)</f>
        <v>ASHC</v>
      </c>
      <c r="G564" s="4" t="s">
        <v>234</v>
      </c>
      <c r="H564" s="62">
        <v>2602.44</v>
      </c>
      <c r="I564" s="62">
        <v>-1138.7999999999997</v>
      </c>
      <c r="J564" s="62">
        <v>0</v>
      </c>
      <c r="K564" s="62">
        <v>0</v>
      </c>
      <c r="L564" s="62">
        <v>0</v>
      </c>
      <c r="M564" s="62">
        <f>-4.0032-35</f>
        <v>-39.0032</v>
      </c>
      <c r="N564" s="62">
        <v>-33.360000000000014</v>
      </c>
      <c r="O564" s="62">
        <f t="shared" si="65"/>
        <v>1391.2768000000001</v>
      </c>
      <c r="P564" s="62">
        <v>-2700</v>
      </c>
      <c r="Q564" s="62">
        <f>-1930*1.12</f>
        <v>-2161.6000000000004</v>
      </c>
      <c r="R564" s="62">
        <v>-500</v>
      </c>
      <c r="S564" s="62">
        <v>0</v>
      </c>
      <c r="T564" s="62">
        <v>0</v>
      </c>
      <c r="U564" s="62">
        <v>0</v>
      </c>
      <c r="V564" s="62">
        <v>0</v>
      </c>
      <c r="W564" s="62">
        <f t="shared" si="56"/>
        <v>-3970.3232000000003</v>
      </c>
      <c r="X564" s="62">
        <f t="shared" si="62"/>
        <v>0</v>
      </c>
      <c r="Y564" s="62">
        <f t="shared" si="63"/>
        <v>-3970.3232000000003</v>
      </c>
      <c r="Z564" s="62">
        <v>1000</v>
      </c>
      <c r="AA564" s="62">
        <f t="shared" si="64"/>
        <v>-2970.3232000000003</v>
      </c>
      <c r="AB564" s="62">
        <f t="shared" si="57"/>
        <v>-579.04640000000018</v>
      </c>
      <c r="AC564" s="62"/>
      <c r="AD564" s="4" t="s">
        <v>1045</v>
      </c>
      <c r="AE564" s="54"/>
      <c r="AG564" s="50" t="s">
        <v>410</v>
      </c>
    </row>
    <row r="565" spans="1:33" hidden="1" x14ac:dyDescent="0.3">
      <c r="A565" s="69">
        <v>10</v>
      </c>
      <c r="B565" s="3" t="s">
        <v>139</v>
      </c>
      <c r="C565" s="4" t="s">
        <v>10</v>
      </c>
      <c r="D565" s="4" t="s">
        <v>343</v>
      </c>
      <c r="E565" s="4" t="str">
        <f>VLOOKUP(C565,'[2]CTRL AUTOS'!$E$2:$L$58,8,FALSE)</f>
        <v>ASHC</v>
      </c>
      <c r="F565" s="61" t="str">
        <f>VLOOKUP(C565,'[2]CTRL AUTOS'!$E$2:$K$58,7,FALSE)</f>
        <v>ASHC</v>
      </c>
      <c r="G565" s="4" t="s">
        <v>234</v>
      </c>
      <c r="H565" s="62">
        <v>4709.54</v>
      </c>
      <c r="I565" s="62">
        <v>-3407.3700000000003</v>
      </c>
      <c r="J565" s="62">
        <v>0</v>
      </c>
      <c r="K565" s="62">
        <v>0</v>
      </c>
      <c r="L565" s="62">
        <v>0</v>
      </c>
      <c r="M565" s="62">
        <v>-65</v>
      </c>
      <c r="N565" s="62">
        <v>0</v>
      </c>
      <c r="O565" s="62">
        <f t="shared" si="65"/>
        <v>1237.1699999999996</v>
      </c>
      <c r="P565" s="62">
        <f>(-2500/7)*7</f>
        <v>-2500</v>
      </c>
      <c r="Q565" s="62">
        <v>0</v>
      </c>
      <c r="R565" s="62">
        <v>-500</v>
      </c>
      <c r="S565" s="62">
        <v>0</v>
      </c>
      <c r="T565" s="62">
        <v>0</v>
      </c>
      <c r="U565" s="62">
        <v>0</v>
      </c>
      <c r="V565" s="62">
        <v>0</v>
      </c>
      <c r="W565" s="62">
        <f t="shared" si="56"/>
        <v>-1762.8300000000004</v>
      </c>
      <c r="X565" s="62">
        <f t="shared" si="62"/>
        <v>0</v>
      </c>
      <c r="Y565" s="62">
        <f t="shared" si="63"/>
        <v>-1762.8300000000004</v>
      </c>
      <c r="Z565" s="62">
        <f>1063+700</f>
        <v>1763</v>
      </c>
      <c r="AA565" s="62">
        <f t="shared" si="64"/>
        <v>0.16999999999961801</v>
      </c>
      <c r="AB565" s="62">
        <f t="shared" si="57"/>
        <v>3000.3399999999992</v>
      </c>
      <c r="AC565" s="62"/>
      <c r="AD565" s="4" t="s">
        <v>1046</v>
      </c>
      <c r="AE565" s="54"/>
    </row>
    <row r="566" spans="1:33" hidden="1" x14ac:dyDescent="0.3">
      <c r="A566" s="69">
        <v>10</v>
      </c>
      <c r="B566" s="3" t="s">
        <v>80</v>
      </c>
      <c r="C566" s="4" t="s">
        <v>81</v>
      </c>
      <c r="D566" s="4" t="s">
        <v>317</v>
      </c>
      <c r="E566" s="4" t="str">
        <f>VLOOKUP(C566,'[2]CTRL AUTOS'!$E$2:$L$58,8,FALSE)</f>
        <v>ASHC</v>
      </c>
      <c r="F566" s="61" t="str">
        <f>VLOOKUP(C566,'[2]CTRL AUTOS'!$E$2:$K$58,7,FALSE)</f>
        <v>ASHC</v>
      </c>
      <c r="G566" s="4" t="s">
        <v>234</v>
      </c>
      <c r="H566" s="62">
        <v>0</v>
      </c>
      <c r="I566" s="62">
        <v>0</v>
      </c>
      <c r="J566" s="62">
        <v>0</v>
      </c>
      <c r="K566" s="62">
        <v>0</v>
      </c>
      <c r="L566" s="62">
        <v>0</v>
      </c>
      <c r="M566" s="62">
        <v>0</v>
      </c>
      <c r="N566" s="62">
        <v>0</v>
      </c>
      <c r="O566" s="62">
        <f t="shared" si="65"/>
        <v>0</v>
      </c>
      <c r="P566" s="62">
        <v>-2500</v>
      </c>
      <c r="Q566" s="62">
        <v>0</v>
      </c>
      <c r="R566" s="62">
        <v>0</v>
      </c>
      <c r="S566" s="62">
        <v>0</v>
      </c>
      <c r="T566" s="62">
        <v>0</v>
      </c>
      <c r="U566" s="62">
        <v>0</v>
      </c>
      <c r="V566" s="62">
        <v>0</v>
      </c>
      <c r="W566" s="62">
        <f t="shared" si="56"/>
        <v>-2500</v>
      </c>
      <c r="X566" s="62">
        <f t="shared" si="62"/>
        <v>0</v>
      </c>
      <c r="Y566" s="62">
        <f t="shared" si="63"/>
        <v>-2500</v>
      </c>
      <c r="Z566" s="62">
        <v>2500</v>
      </c>
      <c r="AA566" s="62">
        <f t="shared" si="64"/>
        <v>0</v>
      </c>
      <c r="AB566" s="62">
        <f t="shared" si="57"/>
        <v>2500</v>
      </c>
      <c r="AC566" s="62"/>
      <c r="AD566" s="4" t="s">
        <v>1047</v>
      </c>
      <c r="AE566" s="54"/>
    </row>
    <row r="567" spans="1:33" hidden="1" x14ac:dyDescent="0.3">
      <c r="A567" s="69">
        <v>10</v>
      </c>
      <c r="B567" s="3" t="s">
        <v>13</v>
      </c>
      <c r="C567" s="4" t="s">
        <v>14</v>
      </c>
      <c r="D567" s="4" t="s">
        <v>505</v>
      </c>
      <c r="E567" s="4" t="str">
        <f>VLOOKUP(C567,'[2]CTRL AUTOS'!$E$2:$L$58,8,FALSE)</f>
        <v>ASHC</v>
      </c>
      <c r="F567" s="61" t="str">
        <f>VLOOKUP(C567,'[2]CTRL AUTOS'!$E$2:$K$58,7,FALSE)</f>
        <v>ASHC</v>
      </c>
      <c r="G567" s="4" t="s">
        <v>234</v>
      </c>
      <c r="H567" s="62">
        <v>11087.22</v>
      </c>
      <c r="I567" s="62">
        <v>0</v>
      </c>
      <c r="J567" s="62">
        <v>-344.8</v>
      </c>
      <c r="K567" s="62">
        <v>34.26</v>
      </c>
      <c r="L567" s="62">
        <v>0</v>
      </c>
      <c r="M567" s="62">
        <v>-1.3319999999999992</v>
      </c>
      <c r="N567" s="62">
        <v>-11.099999999999994</v>
      </c>
      <c r="O567" s="62">
        <f t="shared" si="65"/>
        <v>10764.248</v>
      </c>
      <c r="P567" s="62">
        <v>-2700</v>
      </c>
      <c r="Q567" s="62">
        <v>0</v>
      </c>
      <c r="R567" s="62">
        <v>0</v>
      </c>
      <c r="S567" s="62">
        <v>0</v>
      </c>
      <c r="T567" s="62">
        <v>0</v>
      </c>
      <c r="U567" s="62">
        <v>0</v>
      </c>
      <c r="V567" s="62">
        <v>0</v>
      </c>
      <c r="W567" s="62">
        <f t="shared" si="56"/>
        <v>8064.2479999999996</v>
      </c>
      <c r="X567" s="62">
        <f t="shared" si="62"/>
        <v>8064.2479999999996</v>
      </c>
      <c r="Y567" s="62">
        <f t="shared" si="63"/>
        <v>0</v>
      </c>
      <c r="Z567" s="62">
        <v>0</v>
      </c>
      <c r="AA567" s="62">
        <f t="shared" si="64"/>
        <v>0</v>
      </c>
      <c r="AB567" s="62">
        <f t="shared" si="57"/>
        <v>2700</v>
      </c>
      <c r="AC567" s="62"/>
      <c r="AD567" s="4"/>
      <c r="AE567" s="54"/>
    </row>
    <row r="568" spans="1:33" hidden="1" x14ac:dyDescent="0.3">
      <c r="A568" s="69">
        <v>10</v>
      </c>
      <c r="B568" s="3" t="s">
        <v>120</v>
      </c>
      <c r="C568" s="4" t="s">
        <v>38</v>
      </c>
      <c r="D568" s="4" t="s">
        <v>579</v>
      </c>
      <c r="E568" s="4" t="str">
        <f>VLOOKUP(C568,'[2]CTRL AUTOS'!$E$2:$L$58,8,FALSE)</f>
        <v>ASHC</v>
      </c>
      <c r="F568" s="61" t="str">
        <f>VLOOKUP(C568,'[2]CTRL AUTOS'!$E$2:$K$58,7,FALSE)</f>
        <v>ASHC</v>
      </c>
      <c r="G568" s="4" t="s">
        <v>234</v>
      </c>
      <c r="H568" s="62">
        <v>3081.63</v>
      </c>
      <c r="I568" s="62">
        <v>-337.03</v>
      </c>
      <c r="J568" s="62">
        <v>0</v>
      </c>
      <c r="K568" s="62">
        <v>0</v>
      </c>
      <c r="L568" s="62">
        <v>0</v>
      </c>
      <c r="M568" s="62">
        <v>-10</v>
      </c>
      <c r="N568" s="62">
        <v>0</v>
      </c>
      <c r="O568" s="62">
        <f t="shared" si="65"/>
        <v>2734.6000000000004</v>
      </c>
      <c r="P568" s="62">
        <v>-2500</v>
      </c>
      <c r="Q568" s="62">
        <v>0</v>
      </c>
      <c r="R568" s="62">
        <v>-286</v>
      </c>
      <c r="S568" s="62">
        <v>0</v>
      </c>
      <c r="T568" s="62">
        <v>0</v>
      </c>
      <c r="U568" s="62">
        <v>0</v>
      </c>
      <c r="V568" s="62">
        <v>0</v>
      </c>
      <c r="W568" s="62">
        <f t="shared" si="56"/>
        <v>-51.399999999999636</v>
      </c>
      <c r="X568" s="62">
        <f t="shared" si="62"/>
        <v>0</v>
      </c>
      <c r="Y568" s="62">
        <f t="shared" si="63"/>
        <v>-51.399999999999636</v>
      </c>
      <c r="Z568" s="62">
        <v>51</v>
      </c>
      <c r="AA568" s="62">
        <f t="shared" si="64"/>
        <v>-0.3999999999996362</v>
      </c>
      <c r="AB568" s="62">
        <f t="shared" si="57"/>
        <v>2785.2000000000007</v>
      </c>
      <c r="AC568" s="62"/>
      <c r="AD568" s="4" t="s">
        <v>1048</v>
      </c>
      <c r="AE568" s="54"/>
    </row>
    <row r="569" spans="1:33" hidden="1" x14ac:dyDescent="0.3">
      <c r="A569" s="69">
        <v>10</v>
      </c>
      <c r="B569" s="3" t="s">
        <v>111</v>
      </c>
      <c r="C569" s="4" t="s">
        <v>63</v>
      </c>
      <c r="D569" s="4" t="s">
        <v>374</v>
      </c>
      <c r="E569" s="4" t="str">
        <f>VLOOKUP(C569,'[2]CTRL AUTOS'!$E$2:$L$58,8,FALSE)</f>
        <v>BYER</v>
      </c>
      <c r="F569" s="61" t="str">
        <f>VLOOKUP(C569,'[2]CTRL AUTOS'!$E$2:$K$58,7,FALSE)</f>
        <v>BYER</v>
      </c>
      <c r="G569" s="4" t="s">
        <v>234</v>
      </c>
      <c r="H569" s="62">
        <v>6860.75</v>
      </c>
      <c r="I569" s="62">
        <v>-1762.59</v>
      </c>
      <c r="J569" s="62">
        <v>0</v>
      </c>
      <c r="K569" s="62">
        <v>0</v>
      </c>
      <c r="L569" s="62">
        <v>0</v>
      </c>
      <c r="M569" s="62">
        <v>-19</v>
      </c>
      <c r="N569" s="62">
        <v>0</v>
      </c>
      <c r="O569" s="62">
        <f t="shared" si="65"/>
        <v>5079.16</v>
      </c>
      <c r="P569" s="62">
        <v>-2500</v>
      </c>
      <c r="Q569" s="62">
        <v>0</v>
      </c>
      <c r="R569" s="62">
        <v>0</v>
      </c>
      <c r="S569" s="62">
        <v>0</v>
      </c>
      <c r="T569" s="62">
        <v>0</v>
      </c>
      <c r="U569" s="62">
        <v>0</v>
      </c>
      <c r="V569" s="62">
        <v>0</v>
      </c>
      <c r="W569" s="62">
        <f t="shared" si="56"/>
        <v>2579.16</v>
      </c>
      <c r="X569" s="62">
        <f t="shared" si="62"/>
        <v>2579.16</v>
      </c>
      <c r="Y569" s="62">
        <f t="shared" si="63"/>
        <v>0</v>
      </c>
      <c r="Z569" s="62">
        <v>0</v>
      </c>
      <c r="AA569" s="62">
        <f t="shared" si="64"/>
        <v>0</v>
      </c>
      <c r="AB569" s="62">
        <f t="shared" si="57"/>
        <v>2500</v>
      </c>
      <c r="AC569" s="62"/>
      <c r="AD569" s="4"/>
    </row>
    <row r="570" spans="1:33" hidden="1" x14ac:dyDescent="0.3">
      <c r="A570" s="69">
        <v>10</v>
      </c>
      <c r="B570" s="3" t="s">
        <v>121</v>
      </c>
      <c r="C570" s="4" t="s">
        <v>156</v>
      </c>
      <c r="D570" s="4" t="s">
        <v>1072</v>
      </c>
      <c r="E570" s="4" t="str">
        <f>VLOOKUP(C570,'[2]CTRL AUTOS'!$E$2:$L$58,8,FALSE)</f>
        <v>ASHC</v>
      </c>
      <c r="F570" s="61" t="str">
        <f>VLOOKUP(C570,'[2]CTRL AUTOS'!$E$2:$K$58,7,FALSE)</f>
        <v>ASHC</v>
      </c>
      <c r="G570" s="4" t="s">
        <v>234</v>
      </c>
      <c r="H570" s="62">
        <v>6937.67</v>
      </c>
      <c r="I570" s="62">
        <v>-2362.4899999999998</v>
      </c>
      <c r="J570" s="62">
        <v>-51.2</v>
      </c>
      <c r="K570" s="62">
        <v>0</v>
      </c>
      <c r="L570" s="62">
        <v>0</v>
      </c>
      <c r="M570" s="62">
        <v>-45</v>
      </c>
      <c r="N570" s="62">
        <v>0</v>
      </c>
      <c r="O570" s="62">
        <f t="shared" si="65"/>
        <v>4478.9800000000005</v>
      </c>
      <c r="P570" s="62">
        <v>-2700</v>
      </c>
      <c r="Q570" s="62">
        <v>0</v>
      </c>
      <c r="R570" s="62">
        <v>-179</v>
      </c>
      <c r="S570" s="62">
        <v>0</v>
      </c>
      <c r="T570" s="62">
        <v>0</v>
      </c>
      <c r="U570" s="62">
        <v>0</v>
      </c>
      <c r="V570" s="62">
        <v>0</v>
      </c>
      <c r="W570" s="62">
        <f t="shared" si="56"/>
        <v>1599.9800000000005</v>
      </c>
      <c r="X570" s="62">
        <f t="shared" si="62"/>
        <v>1599.9800000000005</v>
      </c>
      <c r="Y570" s="62">
        <f t="shared" si="63"/>
        <v>0</v>
      </c>
      <c r="Z570" s="62">
        <v>0</v>
      </c>
      <c r="AA570" s="62">
        <f t="shared" si="64"/>
        <v>0</v>
      </c>
      <c r="AB570" s="62">
        <f t="shared" si="57"/>
        <v>2879</v>
      </c>
      <c r="AC570" s="62"/>
      <c r="AD570" s="4"/>
      <c r="AE570" s="54"/>
    </row>
    <row r="571" spans="1:33" hidden="1" x14ac:dyDescent="0.3">
      <c r="A571" s="69">
        <v>10</v>
      </c>
      <c r="B571" s="3" t="s">
        <v>17</v>
      </c>
      <c r="C571" s="4" t="s">
        <v>18</v>
      </c>
      <c r="D571" s="4" t="s">
        <v>572</v>
      </c>
      <c r="E571" s="4" t="str">
        <f>VLOOKUP(C571,'[2]CTRL AUTOS'!$E$2:$L$58,8,FALSE)</f>
        <v>ASHC</v>
      </c>
      <c r="F571" s="61" t="str">
        <f>VLOOKUP(C571,'[2]CTRL AUTOS'!$E$2:$K$58,7,FALSE)</f>
        <v>ASHC</v>
      </c>
      <c r="G571" s="4" t="s">
        <v>234</v>
      </c>
      <c r="H571" s="62">
        <v>5072.38</v>
      </c>
      <c r="I571" s="62">
        <v>-1465.45</v>
      </c>
      <c r="J571" s="62">
        <v>0</v>
      </c>
      <c r="K571" s="62">
        <v>0</v>
      </c>
      <c r="L571" s="62">
        <v>0</v>
      </c>
      <c r="M571" s="62">
        <v>-40</v>
      </c>
      <c r="N571" s="62">
        <v>0</v>
      </c>
      <c r="O571" s="62">
        <f t="shared" si="65"/>
        <v>3566.9300000000003</v>
      </c>
      <c r="P571" s="62">
        <v>-2700</v>
      </c>
      <c r="Q571" s="62">
        <v>-1225</v>
      </c>
      <c r="R571" s="62">
        <v>0</v>
      </c>
      <c r="S571" s="62">
        <v>0</v>
      </c>
      <c r="T571" s="62">
        <v>0</v>
      </c>
      <c r="U571" s="62">
        <v>0</v>
      </c>
      <c r="V571" s="62">
        <v>0</v>
      </c>
      <c r="W571" s="62">
        <f t="shared" si="56"/>
        <v>-358.06999999999971</v>
      </c>
      <c r="X571" s="62">
        <f t="shared" si="62"/>
        <v>0</v>
      </c>
      <c r="Y571" s="62">
        <f t="shared" si="63"/>
        <v>-358.06999999999971</v>
      </c>
      <c r="Z571" s="62">
        <v>358</v>
      </c>
      <c r="AA571" s="62">
        <f t="shared" si="64"/>
        <v>-6.9999999999708962E-2</v>
      </c>
      <c r="AB571" s="62">
        <f t="shared" si="57"/>
        <v>3924.8600000000006</v>
      </c>
      <c r="AC571" s="62"/>
      <c r="AD571" s="4" t="s">
        <v>1049</v>
      </c>
      <c r="AE571" s="54"/>
    </row>
    <row r="572" spans="1:33" hidden="1" x14ac:dyDescent="0.3">
      <c r="A572" s="69">
        <v>10</v>
      </c>
      <c r="B572" s="3" t="s">
        <v>19</v>
      </c>
      <c r="C572" s="4" t="s">
        <v>20</v>
      </c>
      <c r="D572" s="4" t="s">
        <v>239</v>
      </c>
      <c r="E572" s="4" t="str">
        <f>VLOOKUP(C572,'[2]CTRL AUTOS'!$E$2:$L$58,8,FALSE)</f>
        <v>ASHC</v>
      </c>
      <c r="F572" s="61" t="str">
        <f>VLOOKUP(C572,'[2]CTRL AUTOS'!$E$2:$K$58,7,FALSE)</f>
        <v>ASHC</v>
      </c>
      <c r="G572" s="4" t="s">
        <v>234</v>
      </c>
      <c r="H572" s="62">
        <v>6203.31</v>
      </c>
      <c r="I572" s="62">
        <v>-359.3</v>
      </c>
      <c r="J572" s="62">
        <v>0</v>
      </c>
      <c r="K572" s="62">
        <v>0</v>
      </c>
      <c r="L572" s="62">
        <v>-52.23</v>
      </c>
      <c r="M572" s="62">
        <v>-10</v>
      </c>
      <c r="N572" s="62">
        <v>0</v>
      </c>
      <c r="O572" s="62">
        <f t="shared" si="65"/>
        <v>5781.7800000000007</v>
      </c>
      <c r="P572" s="62">
        <v>-2500</v>
      </c>
      <c r="Q572" s="62">
        <v>0</v>
      </c>
      <c r="R572" s="62">
        <v>0</v>
      </c>
      <c r="S572" s="62">
        <v>0</v>
      </c>
      <c r="T572" s="62">
        <v>0</v>
      </c>
      <c r="U572" s="62">
        <v>0</v>
      </c>
      <c r="V572" s="62">
        <v>0</v>
      </c>
      <c r="W572" s="62">
        <f t="shared" si="56"/>
        <v>3281.7800000000007</v>
      </c>
      <c r="X572" s="62">
        <f t="shared" si="62"/>
        <v>3281.7800000000007</v>
      </c>
      <c r="Y572" s="62">
        <f t="shared" si="63"/>
        <v>0</v>
      </c>
      <c r="Z572" s="62">
        <v>0</v>
      </c>
      <c r="AA572" s="62">
        <f t="shared" si="64"/>
        <v>0</v>
      </c>
      <c r="AB572" s="62">
        <f t="shared" si="57"/>
        <v>2500</v>
      </c>
      <c r="AC572" s="62"/>
      <c r="AD572" s="4"/>
      <c r="AE572" s="54"/>
    </row>
    <row r="573" spans="1:33" hidden="1" x14ac:dyDescent="0.3">
      <c r="A573" s="69">
        <v>10</v>
      </c>
      <c r="B573" s="3" t="s">
        <v>128</v>
      </c>
      <c r="C573" s="4" t="s">
        <v>155</v>
      </c>
      <c r="D573" s="4"/>
      <c r="E573" s="4" t="str">
        <f>VLOOKUP(C573,'[2]CTRL AUTOS'!$E$2:$L$58,8,FALSE)</f>
        <v>ASHC</v>
      </c>
      <c r="F573" s="61" t="str">
        <f>VLOOKUP(C573,'[2]CTRL AUTOS'!$E$2:$K$58,7,FALSE)</f>
        <v>ASHC</v>
      </c>
      <c r="G573" s="4" t="s">
        <v>234</v>
      </c>
      <c r="H573" s="62">
        <v>10311.77</v>
      </c>
      <c r="I573" s="62">
        <v>-4863.8199999999988</v>
      </c>
      <c r="J573" s="62">
        <v>-144.07999999999998</v>
      </c>
      <c r="K573" s="62">
        <v>391.7</v>
      </c>
      <c r="L573" s="62">
        <v>0</v>
      </c>
      <c r="M573" s="62">
        <v>-75</v>
      </c>
      <c r="N573" s="62">
        <v>0</v>
      </c>
      <c r="O573" s="62">
        <f t="shared" si="65"/>
        <v>5620.5700000000015</v>
      </c>
      <c r="P573" s="62">
        <v>-2500</v>
      </c>
      <c r="Q573" s="62">
        <v>0</v>
      </c>
      <c r="R573" s="62">
        <v>-393</v>
      </c>
      <c r="S573" s="62">
        <v>0</v>
      </c>
      <c r="T573" s="62">
        <v>0</v>
      </c>
      <c r="U573" s="62">
        <v>0</v>
      </c>
      <c r="V573" s="62">
        <v>0</v>
      </c>
      <c r="W573" s="62">
        <f t="shared" si="56"/>
        <v>2727.5700000000015</v>
      </c>
      <c r="X573" s="62">
        <f t="shared" si="62"/>
        <v>2727.5700000000015</v>
      </c>
      <c r="Y573" s="62">
        <f t="shared" si="63"/>
        <v>0</v>
      </c>
      <c r="Z573" s="62">
        <v>0</v>
      </c>
      <c r="AA573" s="62">
        <f t="shared" si="64"/>
        <v>0</v>
      </c>
      <c r="AB573" s="62">
        <f t="shared" si="57"/>
        <v>2893</v>
      </c>
      <c r="AC573" s="62"/>
      <c r="AD573" s="4"/>
      <c r="AE573" s="54"/>
    </row>
    <row r="574" spans="1:33" hidden="1" x14ac:dyDescent="0.3">
      <c r="A574" s="69">
        <v>10</v>
      </c>
      <c r="B574" s="3" t="s">
        <v>21</v>
      </c>
      <c r="C574" s="4" t="s">
        <v>22</v>
      </c>
      <c r="D574" s="4" t="s">
        <v>319</v>
      </c>
      <c r="E574" s="4" t="str">
        <f>VLOOKUP(C574,'[2]CTRL AUTOS'!$E$2:$L$58,8,FALSE)</f>
        <v>ASHC</v>
      </c>
      <c r="F574" s="61" t="str">
        <f>VLOOKUP(C574,'[2]CTRL AUTOS'!$E$2:$K$58,7,FALSE)</f>
        <v>ASHC</v>
      </c>
      <c r="G574" s="4" t="s">
        <v>234</v>
      </c>
      <c r="H574" s="62">
        <v>0</v>
      </c>
      <c r="I574" s="62">
        <v>0</v>
      </c>
      <c r="J574" s="62">
        <v>0</v>
      </c>
      <c r="K574" s="62">
        <v>0</v>
      </c>
      <c r="L574" s="62">
        <v>0</v>
      </c>
      <c r="M574" s="62">
        <v>0</v>
      </c>
      <c r="N574" s="62">
        <v>0</v>
      </c>
      <c r="O574" s="62">
        <f t="shared" si="65"/>
        <v>0</v>
      </c>
      <c r="P574" s="62">
        <v>-2500</v>
      </c>
      <c r="Q574" s="62">
        <v>-848</v>
      </c>
      <c r="R574" s="62">
        <v>0</v>
      </c>
      <c r="S574" s="62">
        <v>0</v>
      </c>
      <c r="T574" s="62">
        <v>-700</v>
      </c>
      <c r="U574" s="62">
        <v>0</v>
      </c>
      <c r="V574" s="62">
        <v>0</v>
      </c>
      <c r="W574" s="62">
        <f t="shared" si="56"/>
        <v>-4048</v>
      </c>
      <c r="X574" s="62">
        <f t="shared" si="62"/>
        <v>0</v>
      </c>
      <c r="Y574" s="62">
        <f t="shared" si="63"/>
        <v>-4048</v>
      </c>
      <c r="Z574" s="62">
        <v>0</v>
      </c>
      <c r="AA574" s="62">
        <f t="shared" si="64"/>
        <v>-4048</v>
      </c>
      <c r="AB574" s="62">
        <f t="shared" si="57"/>
        <v>-4048</v>
      </c>
      <c r="AC574" s="62"/>
      <c r="AD574" s="4" t="s">
        <v>1050</v>
      </c>
      <c r="AE574" s="54"/>
    </row>
    <row r="575" spans="1:33" hidden="1" x14ac:dyDescent="0.3">
      <c r="A575" s="69">
        <v>10</v>
      </c>
      <c r="B575" s="3" t="s">
        <v>64</v>
      </c>
      <c r="C575" s="4" t="s">
        <v>140</v>
      </c>
      <c r="D575" s="4" t="s">
        <v>680</v>
      </c>
      <c r="E575" s="4" t="str">
        <f>VLOOKUP(C575,'[2]CTRL AUTOS'!$E$2:$L$58,8,FALSE)</f>
        <v>ASHC</v>
      </c>
      <c r="F575" s="61" t="str">
        <f>VLOOKUP(C575,'[2]CTRL AUTOS'!$E$2:$K$58,7,FALSE)</f>
        <v>ASHC</v>
      </c>
      <c r="G575" s="4" t="s">
        <v>234</v>
      </c>
      <c r="H575" s="62">
        <v>5593.44</v>
      </c>
      <c r="I575" s="62">
        <v>0</v>
      </c>
      <c r="J575" s="62">
        <v>-62.4</v>
      </c>
      <c r="K575" s="62">
        <v>81.3</v>
      </c>
      <c r="L575" s="62">
        <v>0</v>
      </c>
      <c r="M575" s="62">
        <v>0</v>
      </c>
      <c r="N575" s="62">
        <v>0</v>
      </c>
      <c r="O575" s="62">
        <f t="shared" si="65"/>
        <v>5612.34</v>
      </c>
      <c r="P575" s="62">
        <v>-2700</v>
      </c>
      <c r="Q575" s="62">
        <v>0</v>
      </c>
      <c r="R575" s="62">
        <v>0</v>
      </c>
      <c r="S575" s="62">
        <v>0</v>
      </c>
      <c r="T575" s="62">
        <v>0</v>
      </c>
      <c r="U575" s="62">
        <v>0</v>
      </c>
      <c r="V575" s="62">
        <v>0</v>
      </c>
      <c r="W575" s="62">
        <f t="shared" si="56"/>
        <v>2912.34</v>
      </c>
      <c r="X575" s="62">
        <f t="shared" si="62"/>
        <v>2912.34</v>
      </c>
      <c r="Y575" s="62">
        <f t="shared" si="63"/>
        <v>0</v>
      </c>
      <c r="Z575" s="62">
        <v>0</v>
      </c>
      <c r="AA575" s="62">
        <f t="shared" si="64"/>
        <v>0</v>
      </c>
      <c r="AB575" s="62">
        <f t="shared" si="57"/>
        <v>2700</v>
      </c>
      <c r="AC575" s="62"/>
      <c r="AD575" s="4"/>
      <c r="AE575" s="54"/>
    </row>
    <row r="576" spans="1:33" hidden="1" x14ac:dyDescent="0.3">
      <c r="A576" s="69">
        <v>10</v>
      </c>
      <c r="B576" s="3" t="s">
        <v>90</v>
      </c>
      <c r="C576" s="4" t="s">
        <v>16</v>
      </c>
      <c r="D576" s="4" t="s">
        <v>314</v>
      </c>
      <c r="E576" s="4" t="str">
        <f>VLOOKUP(C576,'[2]CTRL AUTOS'!$E$2:$L$58,8,FALSE)</f>
        <v>ASHC</v>
      </c>
      <c r="F576" s="61" t="str">
        <f>VLOOKUP(C576,'[2]CTRL AUTOS'!$E$2:$K$58,7,FALSE)</f>
        <v>ASHC</v>
      </c>
      <c r="G576" s="4" t="s">
        <v>234</v>
      </c>
      <c r="H576" s="62">
        <v>8264.65</v>
      </c>
      <c r="I576" s="62">
        <v>-2920.4600000000005</v>
      </c>
      <c r="J576" s="62">
        <v>-125.6</v>
      </c>
      <c r="K576" s="62">
        <v>0</v>
      </c>
      <c r="L576" s="62">
        <v>0</v>
      </c>
      <c r="M576" s="62">
        <v>-55</v>
      </c>
      <c r="N576" s="62">
        <v>0</v>
      </c>
      <c r="O576" s="62">
        <f t="shared" si="65"/>
        <v>5163.5899999999983</v>
      </c>
      <c r="P576" s="62">
        <v>-2500</v>
      </c>
      <c r="Q576" s="62">
        <v>0</v>
      </c>
      <c r="R576" s="62">
        <v>-500</v>
      </c>
      <c r="S576" s="62">
        <v>0</v>
      </c>
      <c r="T576" s="62">
        <v>0</v>
      </c>
      <c r="U576" s="62">
        <v>0</v>
      </c>
      <c r="V576" s="62">
        <v>0</v>
      </c>
      <c r="W576" s="62">
        <f t="shared" si="56"/>
        <v>2163.5899999999983</v>
      </c>
      <c r="X576" s="62">
        <f t="shared" si="62"/>
        <v>2163.5899999999983</v>
      </c>
      <c r="Y576" s="62">
        <f t="shared" si="63"/>
        <v>0</v>
      </c>
      <c r="Z576" s="62">
        <v>0</v>
      </c>
      <c r="AA576" s="62">
        <f t="shared" si="64"/>
        <v>0</v>
      </c>
      <c r="AB576" s="62">
        <f t="shared" si="57"/>
        <v>3000</v>
      </c>
      <c r="AC576" s="62"/>
      <c r="AD576" s="4"/>
      <c r="AE576" s="54"/>
    </row>
    <row r="577" spans="1:32" hidden="1" x14ac:dyDescent="0.3">
      <c r="A577" s="69">
        <v>10</v>
      </c>
      <c r="B577" s="3" t="s">
        <v>23</v>
      </c>
      <c r="C577" s="4" t="s">
        <v>24</v>
      </c>
      <c r="D577" s="4" t="s">
        <v>515</v>
      </c>
      <c r="E577" s="4" t="str">
        <f>VLOOKUP(C577,'[2]CTRL AUTOS'!$E$2:$L$58,8,FALSE)</f>
        <v>ASHC</v>
      </c>
      <c r="F577" s="61" t="str">
        <f>VLOOKUP(C577,'[2]CTRL AUTOS'!$E$2:$K$58,7,FALSE)</f>
        <v>ASHC</v>
      </c>
      <c r="G577" s="4" t="s">
        <v>234</v>
      </c>
      <c r="H577" s="62">
        <v>2513.8000000000002</v>
      </c>
      <c r="I577" s="62">
        <v>-2149.3100000000004</v>
      </c>
      <c r="J577" s="62">
        <v>0</v>
      </c>
      <c r="K577" s="62">
        <v>0</v>
      </c>
      <c r="L577" s="62">
        <v>0</v>
      </c>
      <c r="M577" s="62">
        <f>-21.7284-55</f>
        <v>-76.728399999999993</v>
      </c>
      <c r="N577" s="62">
        <v>-181.07</v>
      </c>
      <c r="O577" s="62">
        <f t="shared" si="65"/>
        <v>106.69159999999982</v>
      </c>
      <c r="P577" s="62">
        <v>-2700</v>
      </c>
      <c r="Q577" s="62">
        <v>-936</v>
      </c>
      <c r="R577" s="62">
        <v>0</v>
      </c>
      <c r="S577" s="62">
        <v>0</v>
      </c>
      <c r="T577" s="62">
        <v>0</v>
      </c>
      <c r="U577" s="62">
        <v>0</v>
      </c>
      <c r="V577" s="62">
        <v>0</v>
      </c>
      <c r="W577" s="62">
        <f t="shared" si="56"/>
        <v>-3529.3084000000003</v>
      </c>
      <c r="X577" s="62">
        <f t="shared" si="62"/>
        <v>0</v>
      </c>
      <c r="Y577" s="62">
        <f t="shared" si="63"/>
        <v>-3529.3084000000003</v>
      </c>
      <c r="Z577" s="62">
        <f>1500+700</f>
        <v>2200</v>
      </c>
      <c r="AA577" s="62">
        <f t="shared" si="64"/>
        <v>-1329.3084000000003</v>
      </c>
      <c r="AB577" s="62">
        <f t="shared" si="57"/>
        <v>977.38319999999931</v>
      </c>
      <c r="AC577" s="62"/>
      <c r="AD577" s="4" t="s">
        <v>1051</v>
      </c>
      <c r="AE577" s="54"/>
    </row>
    <row r="578" spans="1:32" ht="13.5" hidden="1" customHeight="1" x14ac:dyDescent="0.3">
      <c r="A578" s="69">
        <v>10</v>
      </c>
      <c r="B578" s="3" t="s">
        <v>23</v>
      </c>
      <c r="C578" s="4" t="s">
        <v>22</v>
      </c>
      <c r="D578" s="4" t="s">
        <v>319</v>
      </c>
      <c r="E578" s="4" t="str">
        <f>VLOOKUP(C578,'[2]CTRL AUTOS'!$E$2:$L$58,8,FALSE)</f>
        <v>ASHC</v>
      </c>
      <c r="F578" s="61" t="str">
        <f>VLOOKUP(C578,'[2]CTRL AUTOS'!$E$2:$K$58,7,FALSE)</f>
        <v>ASHC</v>
      </c>
      <c r="G578" s="4" t="s">
        <v>234</v>
      </c>
      <c r="H578" s="62">
        <v>0</v>
      </c>
      <c r="I578" s="62">
        <v>0</v>
      </c>
      <c r="J578" s="62">
        <v>0</v>
      </c>
      <c r="K578" s="62">
        <v>0</v>
      </c>
      <c r="L578" s="62">
        <v>0</v>
      </c>
      <c r="M578" s="62">
        <v>0</v>
      </c>
      <c r="N578" s="62">
        <v>0</v>
      </c>
      <c r="O578" s="62">
        <f t="shared" si="65"/>
        <v>0</v>
      </c>
      <c r="P578" s="62">
        <v>0</v>
      </c>
      <c r="Q578" s="62">
        <v>0</v>
      </c>
      <c r="R578" s="62">
        <v>0</v>
      </c>
      <c r="S578" s="62">
        <v>0</v>
      </c>
      <c r="T578" s="62">
        <v>-500</v>
      </c>
      <c r="U578" s="62">
        <v>0</v>
      </c>
      <c r="V578" s="62">
        <v>0</v>
      </c>
      <c r="W578" s="62">
        <f t="shared" ref="W578:W641" si="66">SUM(O578:V578)</f>
        <v>-500</v>
      </c>
      <c r="X578" s="62">
        <f t="shared" si="62"/>
        <v>0</v>
      </c>
      <c r="Y578" s="62">
        <f t="shared" si="63"/>
        <v>-500</v>
      </c>
      <c r="Z578" s="62">
        <v>500</v>
      </c>
      <c r="AA578" s="62">
        <f t="shared" si="64"/>
        <v>0</v>
      </c>
      <c r="AB578" s="62">
        <f t="shared" ref="AB578:AB641" si="67">+O578-X578+Z578+AA578</f>
        <v>500</v>
      </c>
      <c r="AC578" s="62"/>
      <c r="AD578" s="4" t="s">
        <v>1052</v>
      </c>
      <c r="AE578" s="54"/>
    </row>
    <row r="579" spans="1:32" hidden="1" x14ac:dyDescent="0.3">
      <c r="A579" s="69">
        <v>10</v>
      </c>
      <c r="B579" s="3" t="s">
        <v>108</v>
      </c>
      <c r="C579" s="4" t="s">
        <v>75</v>
      </c>
      <c r="D579" s="4" t="s">
        <v>744</v>
      </c>
      <c r="E579" s="4" t="str">
        <f>VLOOKUP(C579,'[2]CTRL AUTOS'!$E$2:$L$58,8,FALSE)</f>
        <v>U64</v>
      </c>
      <c r="F579" s="61" t="str">
        <f>VLOOKUP(C579,'[2]CTRL AUTOS'!$E$2:$K$58,7,FALSE)</f>
        <v>BYER</v>
      </c>
      <c r="G579" s="4" t="s">
        <v>234</v>
      </c>
      <c r="H579" s="62">
        <v>6875.6</v>
      </c>
      <c r="I579" s="62">
        <v>-2221.21</v>
      </c>
      <c r="J579" s="62">
        <v>-64</v>
      </c>
      <c r="K579" s="62">
        <v>0</v>
      </c>
      <c r="L579" s="62">
        <v>0</v>
      </c>
      <c r="M579" s="62">
        <v>-72</v>
      </c>
      <c r="N579" s="62">
        <v>0</v>
      </c>
      <c r="O579" s="62">
        <f t="shared" si="65"/>
        <v>4518.3900000000003</v>
      </c>
      <c r="P579" s="62">
        <v>-2500</v>
      </c>
      <c r="Q579" s="62">
        <v>0</v>
      </c>
      <c r="R579" s="62">
        <v>0</v>
      </c>
      <c r="S579" s="62">
        <v>0</v>
      </c>
      <c r="T579" s="62">
        <v>-700</v>
      </c>
      <c r="U579" s="62">
        <v>0</v>
      </c>
      <c r="V579" s="62">
        <v>0</v>
      </c>
      <c r="W579" s="62">
        <f t="shared" si="66"/>
        <v>1318.3900000000003</v>
      </c>
      <c r="X579" s="62">
        <f t="shared" si="62"/>
        <v>1318.3900000000003</v>
      </c>
      <c r="Y579" s="62">
        <f t="shared" si="63"/>
        <v>0</v>
      </c>
      <c r="Z579" s="62">
        <v>0</v>
      </c>
      <c r="AA579" s="62">
        <f t="shared" si="64"/>
        <v>0</v>
      </c>
      <c r="AB579" s="62">
        <f t="shared" si="67"/>
        <v>3200</v>
      </c>
      <c r="AC579" s="62"/>
      <c r="AD579" s="4"/>
    </row>
    <row r="580" spans="1:32" hidden="1" x14ac:dyDescent="0.3">
      <c r="A580" s="69">
        <v>10</v>
      </c>
      <c r="B580" s="3" t="s">
        <v>85</v>
      </c>
      <c r="C580" s="4" t="s">
        <v>86</v>
      </c>
      <c r="D580" s="4" t="s">
        <v>519</v>
      </c>
      <c r="E580" s="4" t="str">
        <f>VLOOKUP(C580,'[2]CTRL AUTOS'!$E$2:$L$58,8,FALSE)</f>
        <v>ASHC</v>
      </c>
      <c r="F580" s="61" t="str">
        <f>VLOOKUP(C580,'[2]CTRL AUTOS'!$E$2:$K$58,7,FALSE)</f>
        <v>ASHC</v>
      </c>
      <c r="G580" s="4" t="s">
        <v>234</v>
      </c>
      <c r="H580" s="62">
        <v>3035.21</v>
      </c>
      <c r="I580" s="62">
        <v>-544.81000000000006</v>
      </c>
      <c r="J580" s="62">
        <v>0</v>
      </c>
      <c r="K580" s="62">
        <v>0</v>
      </c>
      <c r="L580" s="62">
        <v>0</v>
      </c>
      <c r="M580" s="62">
        <v>-20</v>
      </c>
      <c r="N580" s="62">
        <v>0</v>
      </c>
      <c r="O580" s="62">
        <f t="shared" si="65"/>
        <v>2470.4</v>
      </c>
      <c r="P580" s="62">
        <f>(-2500/7)*3.5</f>
        <v>-1250</v>
      </c>
      <c r="Q580" s="62">
        <v>-1714</v>
      </c>
      <c r="R580" s="62">
        <v>-500</v>
      </c>
      <c r="S580" s="62">
        <v>0</v>
      </c>
      <c r="T580" s="62">
        <v>0</v>
      </c>
      <c r="U580" s="62">
        <v>0</v>
      </c>
      <c r="V580" s="62">
        <v>0</v>
      </c>
      <c r="W580" s="62">
        <f t="shared" si="66"/>
        <v>-993.59999999999991</v>
      </c>
      <c r="X580" s="62">
        <f t="shared" si="62"/>
        <v>0</v>
      </c>
      <c r="Y580" s="62">
        <f t="shared" si="63"/>
        <v>-993.59999999999991</v>
      </c>
      <c r="Z580" s="62">
        <v>993</v>
      </c>
      <c r="AA580" s="62">
        <f t="shared" si="64"/>
        <v>-0.59999999999990905</v>
      </c>
      <c r="AB580" s="62">
        <f t="shared" si="67"/>
        <v>3462.8</v>
      </c>
      <c r="AC580" s="62"/>
      <c r="AD580" s="4" t="s">
        <v>1053</v>
      </c>
      <c r="AE580" s="54"/>
    </row>
    <row r="581" spans="1:32" hidden="1" x14ac:dyDescent="0.3">
      <c r="A581" s="69">
        <v>10</v>
      </c>
      <c r="B581" s="3" t="s">
        <v>136</v>
      </c>
      <c r="C581" s="4" t="s">
        <v>56</v>
      </c>
      <c r="D581" s="4" t="s">
        <v>336</v>
      </c>
      <c r="E581" s="4" t="str">
        <f>VLOOKUP(C581,'[2]CTRL AUTOS'!$E$2:$L$58,8,FALSE)</f>
        <v>U64</v>
      </c>
      <c r="F581" s="61" t="str">
        <f>VLOOKUP(C581,'[2]CTRL AUTOS'!$E$2:$K$58,7,FALSE)</f>
        <v>BYER</v>
      </c>
      <c r="G581" s="4" t="s">
        <v>234</v>
      </c>
      <c r="H581" s="62">
        <v>2525.62</v>
      </c>
      <c r="I581" s="62">
        <v>-252.43</v>
      </c>
      <c r="J581" s="62">
        <v>-114</v>
      </c>
      <c r="K581" s="62">
        <v>709.39</v>
      </c>
      <c r="L581" s="62">
        <v>0</v>
      </c>
      <c r="M581" s="62">
        <v>-38</v>
      </c>
      <c r="N581" s="62">
        <v>0</v>
      </c>
      <c r="O581" s="62">
        <f t="shared" si="65"/>
        <v>2830.58</v>
      </c>
      <c r="P581" s="62">
        <v>-2500</v>
      </c>
      <c r="Q581" s="62">
        <v>0</v>
      </c>
      <c r="R581" s="62">
        <v>-500</v>
      </c>
      <c r="S581" s="62">
        <v>0</v>
      </c>
      <c r="T581" s="62">
        <v>0</v>
      </c>
      <c r="U581" s="62">
        <v>0</v>
      </c>
      <c r="V581" s="62">
        <v>0</v>
      </c>
      <c r="W581" s="62">
        <f t="shared" si="66"/>
        <v>-169.42000000000007</v>
      </c>
      <c r="X581" s="62">
        <f t="shared" si="62"/>
        <v>0</v>
      </c>
      <c r="Y581" s="62">
        <f t="shared" si="63"/>
        <v>-169.42000000000007</v>
      </c>
      <c r="Z581" s="62">
        <v>0</v>
      </c>
      <c r="AA581" s="62">
        <f t="shared" si="64"/>
        <v>-169.42000000000007</v>
      </c>
      <c r="AB581" s="62">
        <f t="shared" si="67"/>
        <v>2661.16</v>
      </c>
      <c r="AC581" s="62"/>
      <c r="AD581" s="4"/>
    </row>
    <row r="582" spans="1:32" hidden="1" x14ac:dyDescent="0.3">
      <c r="A582" s="69">
        <v>10</v>
      </c>
      <c r="B582" s="3" t="s">
        <v>25</v>
      </c>
      <c r="C582" s="4" t="s">
        <v>26</v>
      </c>
      <c r="D582" s="4" t="s">
        <v>575</v>
      </c>
      <c r="E582" s="4" t="str">
        <f>VLOOKUP(C582,'[2]CTRL AUTOS'!$E$2:$L$58,8,FALSE)</f>
        <v>ASHC</v>
      </c>
      <c r="F582" s="61" t="str">
        <f>VLOOKUP(C582,'[2]CTRL AUTOS'!$E$2:$K$58,7,FALSE)</f>
        <v>ASHC</v>
      </c>
      <c r="G582" s="4" t="s">
        <v>234</v>
      </c>
      <c r="H582" s="62">
        <v>1372.88</v>
      </c>
      <c r="I582" s="62">
        <v>-323.89999999999992</v>
      </c>
      <c r="J582" s="62">
        <v>0</v>
      </c>
      <c r="K582" s="62">
        <v>0</v>
      </c>
      <c r="L582" s="62">
        <v>0</v>
      </c>
      <c r="M582" s="62">
        <v>-10</v>
      </c>
      <c r="N582" s="62">
        <v>0</v>
      </c>
      <c r="O582" s="62">
        <f t="shared" si="65"/>
        <v>1038.9800000000002</v>
      </c>
      <c r="P582" s="62">
        <v>-2500</v>
      </c>
      <c r="Q582" s="62">
        <f>-3375*1.12</f>
        <v>-3780.0000000000005</v>
      </c>
      <c r="R582" s="62">
        <v>0</v>
      </c>
      <c r="S582" s="62">
        <v>0</v>
      </c>
      <c r="T582" s="62">
        <v>-333</v>
      </c>
      <c r="U582" s="62">
        <v>0</v>
      </c>
      <c r="V582" s="62">
        <v>0</v>
      </c>
      <c r="W582" s="62">
        <f t="shared" si="66"/>
        <v>-5574.02</v>
      </c>
      <c r="X582" s="62">
        <f t="shared" si="62"/>
        <v>0</v>
      </c>
      <c r="Y582" s="62">
        <f t="shared" si="63"/>
        <v>-5574.02</v>
      </c>
      <c r="Z582" s="62">
        <v>400</v>
      </c>
      <c r="AA582" s="62">
        <f t="shared" si="64"/>
        <v>-5174.0200000000004</v>
      </c>
      <c r="AB582" s="62">
        <f t="shared" si="67"/>
        <v>-3735.04</v>
      </c>
      <c r="AC582" s="62"/>
      <c r="AD582" s="4" t="s">
        <v>1054</v>
      </c>
      <c r="AE582" s="54"/>
      <c r="AF582" s="50" t="s">
        <v>410</v>
      </c>
    </row>
    <row r="583" spans="1:32" hidden="1" x14ac:dyDescent="0.3">
      <c r="A583" s="69">
        <v>10</v>
      </c>
      <c r="B583" s="3" t="s">
        <v>9</v>
      </c>
      <c r="C583" s="4" t="s">
        <v>10</v>
      </c>
      <c r="D583" s="4" t="s">
        <v>343</v>
      </c>
      <c r="E583" s="4" t="str">
        <f>VLOOKUP(C583,'[2]CTRL AUTOS'!$E$2:$L$58,8,FALSE)</f>
        <v>ASHC</v>
      </c>
      <c r="F583" s="61" t="str">
        <f>VLOOKUP(C583,'[2]CTRL AUTOS'!$E$2:$K$58,7,FALSE)</f>
        <v>ASHC</v>
      </c>
      <c r="G583" s="4" t="s">
        <v>425</v>
      </c>
      <c r="H583" s="62">
        <v>0</v>
      </c>
      <c r="I583" s="62">
        <v>0</v>
      </c>
      <c r="J583" s="62">
        <v>0</v>
      </c>
      <c r="K583" s="62">
        <v>0</v>
      </c>
      <c r="L583" s="62">
        <v>0</v>
      </c>
      <c r="M583" s="62">
        <v>0</v>
      </c>
      <c r="N583" s="62">
        <v>0</v>
      </c>
      <c r="O583" s="62">
        <f t="shared" si="65"/>
        <v>0</v>
      </c>
      <c r="P583" s="62">
        <v>0</v>
      </c>
      <c r="Q583" s="62">
        <v>-700</v>
      </c>
      <c r="R583" s="62">
        <v>0</v>
      </c>
      <c r="S583" s="62">
        <v>0</v>
      </c>
      <c r="T583" s="62">
        <v>0</v>
      </c>
      <c r="U583" s="62">
        <v>0</v>
      </c>
      <c r="V583" s="62">
        <v>0</v>
      </c>
      <c r="W583" s="62">
        <f t="shared" si="66"/>
        <v>-700</v>
      </c>
      <c r="X583" s="62">
        <f t="shared" si="62"/>
        <v>0</v>
      </c>
      <c r="Y583" s="62">
        <f t="shared" si="63"/>
        <v>-700</v>
      </c>
      <c r="Z583" s="62">
        <v>0</v>
      </c>
      <c r="AA583" s="62">
        <f t="shared" si="64"/>
        <v>-700</v>
      </c>
      <c r="AB583" s="62">
        <f t="shared" si="67"/>
        <v>-700</v>
      </c>
      <c r="AC583" s="62"/>
      <c r="AD583" s="4" t="s">
        <v>1055</v>
      </c>
      <c r="AE583" s="54"/>
    </row>
    <row r="584" spans="1:32" hidden="1" x14ac:dyDescent="0.3">
      <c r="A584" s="69">
        <v>10</v>
      </c>
      <c r="B584" s="3" t="s">
        <v>70</v>
      </c>
      <c r="C584" s="4" t="s">
        <v>71</v>
      </c>
      <c r="D584" s="4" t="s">
        <v>588</v>
      </c>
      <c r="E584" s="4" t="str">
        <f>VLOOKUP(C584,'[2]CTRL AUTOS'!$E$2:$L$58,8,FALSE)</f>
        <v>ASHC</v>
      </c>
      <c r="F584" s="61" t="str">
        <f>VLOOKUP(C584,'[2]CTRL AUTOS'!$E$2:$K$58,7,FALSE)</f>
        <v>ASHC</v>
      </c>
      <c r="G584" s="4" t="s">
        <v>234</v>
      </c>
      <c r="H584" s="62">
        <v>2438.6999999999998</v>
      </c>
      <c r="I584" s="62">
        <v>0</v>
      </c>
      <c r="J584" s="62">
        <v>0</v>
      </c>
      <c r="K584" s="62">
        <v>0</v>
      </c>
      <c r="L584" s="62">
        <v>0</v>
      </c>
      <c r="M584" s="62">
        <v>0</v>
      </c>
      <c r="N584" s="62">
        <v>0</v>
      </c>
      <c r="O584" s="62">
        <f t="shared" si="65"/>
        <v>2438.6999999999998</v>
      </c>
      <c r="P584" s="62">
        <v>-2439</v>
      </c>
      <c r="Q584" s="62">
        <v>0</v>
      </c>
      <c r="R584" s="62">
        <v>0</v>
      </c>
      <c r="S584" s="62">
        <v>0</v>
      </c>
      <c r="T584" s="62">
        <v>0</v>
      </c>
      <c r="U584" s="62">
        <v>0</v>
      </c>
      <c r="V584" s="62">
        <v>0</v>
      </c>
      <c r="W584" s="62">
        <f t="shared" si="66"/>
        <v>-0.3000000000001819</v>
      </c>
      <c r="X584" s="62">
        <f t="shared" si="62"/>
        <v>0</v>
      </c>
      <c r="Y584" s="62">
        <f t="shared" si="63"/>
        <v>-0.3000000000001819</v>
      </c>
      <c r="Z584" s="62">
        <v>0</v>
      </c>
      <c r="AA584" s="62">
        <f t="shared" si="64"/>
        <v>-0.3000000000001819</v>
      </c>
      <c r="AB584" s="62">
        <f t="shared" si="67"/>
        <v>2438.3999999999996</v>
      </c>
      <c r="AC584" s="62"/>
      <c r="AD584" s="4"/>
      <c r="AE584" s="54"/>
    </row>
    <row r="585" spans="1:32" hidden="1" x14ac:dyDescent="0.3">
      <c r="A585" s="69">
        <v>10</v>
      </c>
      <c r="B585" s="3" t="s">
        <v>29</v>
      </c>
      <c r="C585" s="4" t="s">
        <v>141</v>
      </c>
      <c r="D585" s="4" t="s">
        <v>901</v>
      </c>
      <c r="E585" s="4" t="str">
        <f>VLOOKUP(C585,'[2]CTRL AUTOS'!$E$2:$L$58,8,FALSE)</f>
        <v>ASHC</v>
      </c>
      <c r="F585" s="61" t="str">
        <f>VLOOKUP(C585,'[2]CTRL AUTOS'!$E$2:$K$58,7,FALSE)</f>
        <v>ASHC</v>
      </c>
      <c r="G585" s="4" t="s">
        <v>234</v>
      </c>
      <c r="H585" s="62">
        <v>4251.6899999999996</v>
      </c>
      <c r="I585" s="62">
        <v>-1433.4</v>
      </c>
      <c r="J585" s="62">
        <v>0</v>
      </c>
      <c r="K585" s="62">
        <v>0</v>
      </c>
      <c r="L585" s="62">
        <v>0</v>
      </c>
      <c r="M585" s="62">
        <f>-3.2196-40</f>
        <v>-43.2196</v>
      </c>
      <c r="N585" s="62">
        <v>-26.829999999999984</v>
      </c>
      <c r="O585" s="62">
        <f t="shared" si="65"/>
        <v>2748.2403999999997</v>
      </c>
      <c r="P585" s="62">
        <v>-2700</v>
      </c>
      <c r="Q585" s="62">
        <f>-1120*1.12</f>
        <v>-1254.4000000000001</v>
      </c>
      <c r="R585" s="62">
        <v>0</v>
      </c>
      <c r="S585" s="62">
        <v>0</v>
      </c>
      <c r="T585" s="62">
        <v>0</v>
      </c>
      <c r="U585" s="62">
        <v>0</v>
      </c>
      <c r="V585" s="62">
        <v>0</v>
      </c>
      <c r="W585" s="62">
        <f t="shared" si="66"/>
        <v>-1206.1596000000004</v>
      </c>
      <c r="X585" s="62">
        <f t="shared" si="62"/>
        <v>0</v>
      </c>
      <c r="Y585" s="62">
        <f t="shared" si="63"/>
        <v>-1206.1596000000004</v>
      </c>
      <c r="Z585" s="62">
        <v>1206</v>
      </c>
      <c r="AA585" s="62">
        <f t="shared" si="64"/>
        <v>-0.15960000000040964</v>
      </c>
      <c r="AB585" s="62">
        <f t="shared" si="67"/>
        <v>3954.0807999999993</v>
      </c>
      <c r="AC585" s="62"/>
      <c r="AD585" s="4" t="s">
        <v>1056</v>
      </c>
      <c r="AE585" s="54"/>
    </row>
    <row r="586" spans="1:32" hidden="1" x14ac:dyDescent="0.3">
      <c r="A586" s="69">
        <v>10</v>
      </c>
      <c r="B586" s="3" t="s">
        <v>72</v>
      </c>
      <c r="C586" s="4" t="s">
        <v>73</v>
      </c>
      <c r="D586" s="4" t="s">
        <v>368</v>
      </c>
      <c r="E586" s="4" t="str">
        <f>VLOOKUP(C586,'[2]CTRL AUTOS'!$E$2:$L$58,8,FALSE)</f>
        <v>U64</v>
      </c>
      <c r="F586" s="61" t="str">
        <f>VLOOKUP(C586,'[2]CTRL AUTOS'!$E$2:$K$58,7,FALSE)</f>
        <v>BYER</v>
      </c>
      <c r="G586" s="4" t="s">
        <v>234</v>
      </c>
      <c r="H586" s="62">
        <v>12952.02</v>
      </c>
      <c r="I586" s="62">
        <v>-4837.6499999999996</v>
      </c>
      <c r="J586" s="62">
        <v>-178.4</v>
      </c>
      <c r="K586" s="62">
        <v>0</v>
      </c>
      <c r="L586" s="62">
        <v>-105.36</v>
      </c>
      <c r="M586" s="62">
        <v>-78</v>
      </c>
      <c r="N586" s="62">
        <v>-25</v>
      </c>
      <c r="O586" s="62">
        <f t="shared" si="65"/>
        <v>7727.6100000000015</v>
      </c>
      <c r="P586" s="62">
        <v>-2500</v>
      </c>
      <c r="Q586" s="62">
        <v>0</v>
      </c>
      <c r="R586" s="62">
        <v>0</v>
      </c>
      <c r="S586" s="62">
        <v>-700</v>
      </c>
      <c r="T586" s="62">
        <v>0</v>
      </c>
      <c r="U586" s="62">
        <v>0</v>
      </c>
      <c r="V586" s="62">
        <v>0</v>
      </c>
      <c r="W586" s="62">
        <f t="shared" si="66"/>
        <v>4527.6100000000015</v>
      </c>
      <c r="X586" s="62">
        <f t="shared" si="62"/>
        <v>4527.6100000000015</v>
      </c>
      <c r="Y586" s="62">
        <f t="shared" si="63"/>
        <v>0</v>
      </c>
      <c r="Z586" s="62">
        <v>0</v>
      </c>
      <c r="AA586" s="62">
        <f t="shared" si="64"/>
        <v>0</v>
      </c>
      <c r="AB586" s="62">
        <f t="shared" si="67"/>
        <v>3200</v>
      </c>
      <c r="AC586" s="62"/>
      <c r="AD586" s="4"/>
    </row>
    <row r="587" spans="1:32" hidden="1" x14ac:dyDescent="0.3">
      <c r="A587" s="69">
        <v>10</v>
      </c>
      <c r="B587" s="3" t="s">
        <v>92</v>
      </c>
      <c r="C587" s="4" t="s">
        <v>30</v>
      </c>
      <c r="D587" s="4" t="s">
        <v>521</v>
      </c>
      <c r="E587" s="4" t="str">
        <f>VLOOKUP(C587,'[2]CTRL AUTOS'!$E$2:$L$58,8,FALSE)</f>
        <v>ASHC</v>
      </c>
      <c r="F587" s="61" t="str">
        <f>VLOOKUP(C587,'[2]CTRL AUTOS'!$E$2:$K$58,7,FALSE)</f>
        <v>ASHC</v>
      </c>
      <c r="G587" s="4" t="s">
        <v>234</v>
      </c>
      <c r="H587" s="62">
        <v>7777.39</v>
      </c>
      <c r="I587" s="62">
        <v>-4364.5299999999988</v>
      </c>
      <c r="J587" s="62">
        <v>-65.52</v>
      </c>
      <c r="K587" s="62">
        <v>-41.47</v>
      </c>
      <c r="L587" s="62">
        <v>0</v>
      </c>
      <c r="M587" s="62">
        <v>-65</v>
      </c>
      <c r="N587" s="62">
        <v>0</v>
      </c>
      <c r="O587" s="62">
        <f t="shared" si="65"/>
        <v>3240.8700000000017</v>
      </c>
      <c r="P587" s="62">
        <v>-2500</v>
      </c>
      <c r="Q587" s="62">
        <v>0</v>
      </c>
      <c r="R587" s="62">
        <v>-500</v>
      </c>
      <c r="S587" s="62">
        <v>0</v>
      </c>
      <c r="T587" s="62">
        <v>0</v>
      </c>
      <c r="U587" s="62">
        <v>0</v>
      </c>
      <c r="V587" s="62">
        <v>0</v>
      </c>
      <c r="W587" s="62">
        <f t="shared" si="66"/>
        <v>240.87000000000171</v>
      </c>
      <c r="X587" s="62">
        <f t="shared" si="62"/>
        <v>240.87000000000171</v>
      </c>
      <c r="Y587" s="62">
        <f t="shared" si="63"/>
        <v>0</v>
      </c>
      <c r="Z587" s="62">
        <v>0</v>
      </c>
      <c r="AA587" s="62">
        <f t="shared" si="64"/>
        <v>0</v>
      </c>
      <c r="AB587" s="62">
        <f t="shared" si="67"/>
        <v>3000</v>
      </c>
      <c r="AC587" s="62"/>
      <c r="AD587" s="4" t="s">
        <v>1040</v>
      </c>
      <c r="AE587" s="54"/>
    </row>
    <row r="588" spans="1:32" hidden="1" x14ac:dyDescent="0.3">
      <c r="A588" s="69">
        <v>10</v>
      </c>
      <c r="B588" s="3" t="s">
        <v>105</v>
      </c>
      <c r="C588" s="4" t="s">
        <v>106</v>
      </c>
      <c r="D588" s="4" t="s">
        <v>646</v>
      </c>
      <c r="E588" s="4" t="str">
        <f>VLOOKUP(C588,'[2]CTRL AUTOS'!$E$2:$L$58,8,FALSE)</f>
        <v>ASHC</v>
      </c>
      <c r="F588" s="61" t="str">
        <f>VLOOKUP(C588,'[2]CTRL AUTOS'!$E$2:$K$58,7,FALSE)</f>
        <v>ASHC</v>
      </c>
      <c r="G588" s="4" t="s">
        <v>425</v>
      </c>
      <c r="H588" s="62">
        <v>0</v>
      </c>
      <c r="I588" s="62">
        <v>0</v>
      </c>
      <c r="J588" s="62">
        <v>0</v>
      </c>
      <c r="K588" s="62">
        <v>0</v>
      </c>
      <c r="L588" s="62">
        <v>0</v>
      </c>
      <c r="M588" s="62">
        <v>0</v>
      </c>
      <c r="N588" s="62">
        <v>0</v>
      </c>
      <c r="O588" s="62">
        <f t="shared" si="65"/>
        <v>0</v>
      </c>
      <c r="P588" s="62">
        <v>-2500</v>
      </c>
      <c r="Q588" s="62">
        <v>0</v>
      </c>
      <c r="R588" s="62">
        <v>0</v>
      </c>
      <c r="S588" s="62">
        <v>0</v>
      </c>
      <c r="T588" s="62">
        <v>0</v>
      </c>
      <c r="U588" s="62">
        <v>-200</v>
      </c>
      <c r="V588" s="62">
        <v>0</v>
      </c>
      <c r="W588" s="62">
        <f t="shared" si="66"/>
        <v>-2700</v>
      </c>
      <c r="X588" s="62">
        <f t="shared" si="62"/>
        <v>0</v>
      </c>
      <c r="Y588" s="62">
        <f t="shared" si="63"/>
        <v>-2700</v>
      </c>
      <c r="Z588" s="62">
        <v>2500</v>
      </c>
      <c r="AA588" s="62">
        <f t="shared" si="64"/>
        <v>-200</v>
      </c>
      <c r="AB588" s="62">
        <f t="shared" si="67"/>
        <v>2300</v>
      </c>
      <c r="AC588" s="62"/>
      <c r="AD588" s="71" t="s">
        <v>1047</v>
      </c>
      <c r="AE588" s="54"/>
    </row>
    <row r="589" spans="1:32" hidden="1" x14ac:dyDescent="0.3">
      <c r="A589" s="69">
        <v>10</v>
      </c>
      <c r="B589" s="3" t="s">
        <v>31</v>
      </c>
      <c r="C589" s="4" t="s">
        <v>143</v>
      </c>
      <c r="D589" s="4" t="s">
        <v>907</v>
      </c>
      <c r="E589" s="4" t="str">
        <f>VLOOKUP(C589,'[2]CTRL AUTOS'!$E$2:$L$58,8,FALSE)</f>
        <v>ASHC</v>
      </c>
      <c r="F589" s="61" t="str">
        <f>VLOOKUP(C589,'[2]CTRL AUTOS'!$E$2:$K$58,7,FALSE)</f>
        <v>ASHC</v>
      </c>
      <c r="G589" s="4" t="s">
        <v>234</v>
      </c>
      <c r="H589" s="62">
        <v>12031.26</v>
      </c>
      <c r="I589" s="62">
        <v>-5956.3399999999956</v>
      </c>
      <c r="J589" s="62">
        <v>-229.6</v>
      </c>
      <c r="K589" s="62">
        <v>0</v>
      </c>
      <c r="L589" s="62">
        <v>0</v>
      </c>
      <c r="M589" s="62">
        <f>-9.7848-75</f>
        <v>-84.784800000000004</v>
      </c>
      <c r="N589" s="62">
        <v>-81.539999999999992</v>
      </c>
      <c r="O589" s="62">
        <f t="shared" si="65"/>
        <v>5678.9952000000039</v>
      </c>
      <c r="P589" s="62">
        <v>-2700</v>
      </c>
      <c r="Q589" s="62">
        <v>0</v>
      </c>
      <c r="R589" s="62">
        <v>0</v>
      </c>
      <c r="S589" s="62">
        <v>0</v>
      </c>
      <c r="T589" s="62">
        <v>0</v>
      </c>
      <c r="U589" s="62">
        <v>0</v>
      </c>
      <c r="V589" s="62">
        <v>0</v>
      </c>
      <c r="W589" s="62">
        <f t="shared" si="66"/>
        <v>2978.9952000000039</v>
      </c>
      <c r="X589" s="62">
        <f t="shared" si="62"/>
        <v>2978.9952000000039</v>
      </c>
      <c r="Y589" s="62">
        <f t="shared" si="63"/>
        <v>0</v>
      </c>
      <c r="Z589" s="62">
        <v>0</v>
      </c>
      <c r="AA589" s="62">
        <f t="shared" si="64"/>
        <v>0</v>
      </c>
      <c r="AB589" s="62">
        <f t="shared" si="67"/>
        <v>2700</v>
      </c>
      <c r="AC589" s="62"/>
      <c r="AD589" s="4"/>
      <c r="AE589" s="54"/>
    </row>
    <row r="590" spans="1:32" hidden="1" x14ac:dyDescent="0.3">
      <c r="A590" s="69">
        <v>10</v>
      </c>
      <c r="B590" s="3" t="s">
        <v>91</v>
      </c>
      <c r="C590" s="4" t="s">
        <v>144</v>
      </c>
      <c r="D590" s="4" t="s">
        <v>909</v>
      </c>
      <c r="E590" s="4" t="str">
        <f>VLOOKUP(C590,'[2]CTRL AUTOS'!$E$2:$L$58,8,FALSE)</f>
        <v>ASHC</v>
      </c>
      <c r="F590" s="61" t="str">
        <f>VLOOKUP(C590,'[2]CTRL AUTOS'!$E$2:$K$58,7,FALSE)</f>
        <v>ASHC</v>
      </c>
      <c r="G590" s="4" t="s">
        <v>234</v>
      </c>
      <c r="H590" s="62">
        <v>3427.26</v>
      </c>
      <c r="I590" s="62">
        <v>-317.49</v>
      </c>
      <c r="J590" s="62">
        <v>0</v>
      </c>
      <c r="K590" s="62">
        <v>0</v>
      </c>
      <c r="L590" s="62">
        <v>0</v>
      </c>
      <c r="M590" s="62">
        <v>-10</v>
      </c>
      <c r="N590" s="62">
        <v>0</v>
      </c>
      <c r="O590" s="62">
        <f t="shared" si="65"/>
        <v>3099.7700000000004</v>
      </c>
      <c r="P590" s="62">
        <v>-2700</v>
      </c>
      <c r="Q590" s="62">
        <f>-2497*1.06</f>
        <v>-2646.82</v>
      </c>
      <c r="R590" s="62">
        <v>-250</v>
      </c>
      <c r="S590" s="62">
        <v>0</v>
      </c>
      <c r="T590" s="62">
        <v>0</v>
      </c>
      <c r="U590" s="62">
        <v>0</v>
      </c>
      <c r="V590" s="62">
        <v>0</v>
      </c>
      <c r="W590" s="62">
        <f t="shared" si="66"/>
        <v>-2497.0499999999997</v>
      </c>
      <c r="X590" s="62">
        <f t="shared" si="62"/>
        <v>0</v>
      </c>
      <c r="Y590" s="62">
        <f t="shared" si="63"/>
        <v>-2497.0499999999997</v>
      </c>
      <c r="Z590" s="62">
        <v>750</v>
      </c>
      <c r="AA590" s="62">
        <f t="shared" si="64"/>
        <v>-1747.0499999999997</v>
      </c>
      <c r="AB590" s="62">
        <f t="shared" si="67"/>
        <v>2102.7200000000007</v>
      </c>
      <c r="AC590" s="62"/>
      <c r="AD590" s="4" t="s">
        <v>1057</v>
      </c>
      <c r="AE590" s="54"/>
      <c r="AF590" s="50" t="s">
        <v>410</v>
      </c>
    </row>
    <row r="591" spans="1:32" hidden="1" x14ac:dyDescent="0.3">
      <c r="A591" s="69">
        <v>10</v>
      </c>
      <c r="B591" s="3" t="s">
        <v>33</v>
      </c>
      <c r="C591" s="4" t="s">
        <v>67</v>
      </c>
      <c r="D591" s="4" t="s">
        <v>504</v>
      </c>
      <c r="E591" s="4" t="str">
        <f>VLOOKUP(C591,'[2]CTRL AUTOS'!$E$2:$L$58,8,FALSE)</f>
        <v>ASHC</v>
      </c>
      <c r="F591" s="61" t="str">
        <f>VLOOKUP(C591,'[2]CTRL AUTOS'!$E$2:$K$58,7,FALSE)</f>
        <v>ASHC</v>
      </c>
      <c r="G591" s="4" t="s">
        <v>234</v>
      </c>
      <c r="H591" s="62">
        <v>2038.78</v>
      </c>
      <c r="I591" s="62">
        <v>-434.21</v>
      </c>
      <c r="J591" s="62">
        <v>0</v>
      </c>
      <c r="K591" s="62">
        <v>9.7899999999999991</v>
      </c>
      <c r="L591" s="62">
        <v>0</v>
      </c>
      <c r="M591" s="62">
        <v>-20</v>
      </c>
      <c r="N591" s="62">
        <v>0</v>
      </c>
      <c r="O591" s="62">
        <f t="shared" si="65"/>
        <v>1594.36</v>
      </c>
      <c r="P591" s="62">
        <v>-2500</v>
      </c>
      <c r="Q591" s="62">
        <f>-3617*1.12</f>
        <v>-4051.0400000000004</v>
      </c>
      <c r="R591" s="62">
        <v>0</v>
      </c>
      <c r="S591" s="62">
        <v>0</v>
      </c>
      <c r="T591" s="62">
        <v>0</v>
      </c>
      <c r="U591" s="62">
        <v>0</v>
      </c>
      <c r="V591" s="62">
        <v>0</v>
      </c>
      <c r="W591" s="62">
        <f t="shared" si="66"/>
        <v>-4956.68</v>
      </c>
      <c r="X591" s="62">
        <f t="shared" si="62"/>
        <v>0</v>
      </c>
      <c r="Y591" s="62">
        <f t="shared" si="63"/>
        <v>-4956.68</v>
      </c>
      <c r="Z591" s="62">
        <v>0</v>
      </c>
      <c r="AA591" s="62">
        <f t="shared" si="64"/>
        <v>-4956.68</v>
      </c>
      <c r="AB591" s="62">
        <f t="shared" si="67"/>
        <v>-3362.3200000000006</v>
      </c>
      <c r="AC591" s="62"/>
      <c r="AD591" s="4"/>
      <c r="AE591" s="54"/>
    </row>
    <row r="592" spans="1:32" hidden="1" x14ac:dyDescent="0.3">
      <c r="A592" s="69">
        <v>10</v>
      </c>
      <c r="B592" s="3" t="s">
        <v>35</v>
      </c>
      <c r="C592" s="4" t="s">
        <v>36</v>
      </c>
      <c r="D592" s="4" t="s">
        <v>510</v>
      </c>
      <c r="E592" s="4" t="str">
        <f>VLOOKUP(C592,'[2]CTRL AUTOS'!$E$2:$L$58,8,FALSE)</f>
        <v>ASHC</v>
      </c>
      <c r="F592" s="61" t="str">
        <f>VLOOKUP(C592,'[2]CTRL AUTOS'!$E$2:$K$58,7,FALSE)</f>
        <v>ASHC</v>
      </c>
      <c r="G592" s="4" t="s">
        <v>234</v>
      </c>
      <c r="H592" s="62">
        <v>7341.93</v>
      </c>
      <c r="I592" s="62">
        <v>-3610.28</v>
      </c>
      <c r="J592" s="62">
        <v>-61.6</v>
      </c>
      <c r="K592" s="62">
        <v>0</v>
      </c>
      <c r="L592" s="62">
        <v>0</v>
      </c>
      <c r="M592" s="62">
        <v>-65</v>
      </c>
      <c r="N592" s="62">
        <v>0</v>
      </c>
      <c r="O592" s="62">
        <f t="shared" si="65"/>
        <v>3605.05</v>
      </c>
      <c r="P592" s="62">
        <v>-2500</v>
      </c>
      <c r="Q592" s="62">
        <v>0</v>
      </c>
      <c r="R592" s="62">
        <v>0</v>
      </c>
      <c r="S592" s="62">
        <v>0</v>
      </c>
      <c r="T592" s="62">
        <v>0</v>
      </c>
      <c r="U592" s="62">
        <v>0</v>
      </c>
      <c r="V592" s="62">
        <v>0</v>
      </c>
      <c r="W592" s="62">
        <f t="shared" si="66"/>
        <v>1105.0500000000002</v>
      </c>
      <c r="X592" s="62">
        <f t="shared" si="62"/>
        <v>1105.0500000000002</v>
      </c>
      <c r="Y592" s="62">
        <f t="shared" si="63"/>
        <v>0</v>
      </c>
      <c r="Z592" s="62">
        <v>0</v>
      </c>
      <c r="AA592" s="62">
        <f t="shared" si="64"/>
        <v>0</v>
      </c>
      <c r="AB592" s="62">
        <f t="shared" si="67"/>
        <v>2500</v>
      </c>
      <c r="AC592" s="62"/>
      <c r="AD592" s="4"/>
      <c r="AE592" s="54"/>
    </row>
    <row r="593" spans="1:31" hidden="1" x14ac:dyDescent="0.3">
      <c r="A593" s="69">
        <v>10</v>
      </c>
      <c r="B593" s="3" t="s">
        <v>114</v>
      </c>
      <c r="C593" s="4" t="s">
        <v>46</v>
      </c>
      <c r="D593" s="4" t="s">
        <v>257</v>
      </c>
      <c r="E593" s="4" t="str">
        <f>VLOOKUP(C593,'[2]CTRL AUTOS'!$E$2:$L$58,8,FALSE)</f>
        <v>ASHC</v>
      </c>
      <c r="F593" s="61" t="str">
        <f>VLOOKUP(C593,'[2]CTRL AUTOS'!$E$2:$K$58,7,FALSE)</f>
        <v>ASHC</v>
      </c>
      <c r="G593" s="4" t="s">
        <v>234</v>
      </c>
      <c r="H593" s="62">
        <v>1319.66</v>
      </c>
      <c r="I593" s="62">
        <v>-279.88</v>
      </c>
      <c r="J593" s="62">
        <v>0</v>
      </c>
      <c r="K593" s="62">
        <v>0</v>
      </c>
      <c r="L593" s="62">
        <v>0</v>
      </c>
      <c r="M593" s="62">
        <v>-8</v>
      </c>
      <c r="N593" s="62">
        <v>0</v>
      </c>
      <c r="O593" s="62">
        <f t="shared" si="65"/>
        <v>1031.7800000000002</v>
      </c>
      <c r="P593" s="62">
        <v>-2500</v>
      </c>
      <c r="Q593" s="62">
        <f>-53*1.12</f>
        <v>-59.360000000000007</v>
      </c>
      <c r="R593" s="62">
        <v>-500</v>
      </c>
      <c r="S593" s="62">
        <v>0</v>
      </c>
      <c r="T593" s="62">
        <v>0</v>
      </c>
      <c r="U593" s="62">
        <v>0</v>
      </c>
      <c r="V593" s="62">
        <v>0</v>
      </c>
      <c r="W593" s="62">
        <f t="shared" si="66"/>
        <v>-2027.5799999999997</v>
      </c>
      <c r="X593" s="62">
        <f t="shared" si="62"/>
        <v>0</v>
      </c>
      <c r="Y593" s="62">
        <f t="shared" si="63"/>
        <v>-2027.5799999999997</v>
      </c>
      <c r="Z593" s="62">
        <v>1800</v>
      </c>
      <c r="AA593" s="62">
        <f t="shared" si="64"/>
        <v>-227.5799999999997</v>
      </c>
      <c r="AB593" s="62">
        <f t="shared" si="67"/>
        <v>2604.2000000000007</v>
      </c>
      <c r="AC593" s="62"/>
      <c r="AD593" s="4" t="s">
        <v>1058</v>
      </c>
      <c r="AE593" s="54"/>
    </row>
    <row r="594" spans="1:31" hidden="1" x14ac:dyDescent="0.3">
      <c r="A594" s="69">
        <v>10</v>
      </c>
      <c r="B594" s="3" t="s">
        <v>43</v>
      </c>
      <c r="C594" s="4" t="s">
        <v>145</v>
      </c>
      <c r="D594" s="4" t="s">
        <v>913</v>
      </c>
      <c r="E594" s="4" t="str">
        <f>VLOOKUP(C594,'[2]CTRL AUTOS'!$E$2:$L$58,8,FALSE)</f>
        <v>ASHC</v>
      </c>
      <c r="F594" s="61" t="str">
        <f>VLOOKUP(C594,'[2]CTRL AUTOS'!$E$2:$K$58,7,FALSE)</f>
        <v>ASHC</v>
      </c>
      <c r="G594" s="4" t="s">
        <v>234</v>
      </c>
      <c r="H594" s="62">
        <v>201.73</v>
      </c>
      <c r="I594" s="62">
        <v>0</v>
      </c>
      <c r="J594" s="62">
        <v>0</v>
      </c>
      <c r="K594" s="62">
        <v>0</v>
      </c>
      <c r="L594" s="62">
        <v>0</v>
      </c>
      <c r="M594" s="62">
        <v>-1.3199999999999998</v>
      </c>
      <c r="N594" s="62">
        <v>-11</v>
      </c>
      <c r="O594" s="62">
        <f t="shared" si="65"/>
        <v>189.41</v>
      </c>
      <c r="P594" s="62">
        <f>(-2700/7)*6</f>
        <v>-2314.2857142857142</v>
      </c>
      <c r="Q594" s="62">
        <v>-373</v>
      </c>
      <c r="R594" s="62">
        <v>0</v>
      </c>
      <c r="S594" s="62">
        <v>0</v>
      </c>
      <c r="T594" s="62">
        <v>0</v>
      </c>
      <c r="U594" s="62">
        <v>0</v>
      </c>
      <c r="V594" s="62">
        <v>0</v>
      </c>
      <c r="W594" s="62">
        <f t="shared" si="66"/>
        <v>-2497.8757142857144</v>
      </c>
      <c r="X594" s="62">
        <f t="shared" si="62"/>
        <v>0</v>
      </c>
      <c r="Y594" s="62">
        <f t="shared" si="63"/>
        <v>-2497.8757142857144</v>
      </c>
      <c r="Z594" s="62">
        <v>1500</v>
      </c>
      <c r="AA594" s="62">
        <f t="shared" si="64"/>
        <v>-997.87571428571437</v>
      </c>
      <c r="AB594" s="62">
        <f t="shared" si="67"/>
        <v>691.53428571428572</v>
      </c>
      <c r="AC594" s="62"/>
      <c r="AD594" s="4" t="s">
        <v>1059</v>
      </c>
      <c r="AE594" s="54"/>
    </row>
    <row r="595" spans="1:31" hidden="1" x14ac:dyDescent="0.3">
      <c r="A595" s="69">
        <v>10</v>
      </c>
      <c r="B595" s="3" t="s">
        <v>84</v>
      </c>
      <c r="C595" s="4" t="s">
        <v>146</v>
      </c>
      <c r="D595" s="4" t="s">
        <v>915</v>
      </c>
      <c r="E595" s="4" t="str">
        <f>VLOOKUP(C595,'[2]CTRL AUTOS'!$E$2:$L$58,8,FALSE)</f>
        <v>ASHC</v>
      </c>
      <c r="F595" s="61" t="str">
        <f>VLOOKUP(C595,'[2]CTRL AUTOS'!$E$2:$K$58,7,FALSE)</f>
        <v>ASHC</v>
      </c>
      <c r="G595" s="4" t="s">
        <v>234</v>
      </c>
      <c r="H595" s="62">
        <v>4982.1499999999996</v>
      </c>
      <c r="I595" s="62">
        <v>-2379.3199999999997</v>
      </c>
      <c r="J595" s="62">
        <v>0</v>
      </c>
      <c r="K595" s="62">
        <v>0</v>
      </c>
      <c r="L595" s="62">
        <v>0</v>
      </c>
      <c r="M595" s="62">
        <f>-6.48-45</f>
        <v>-51.480000000000004</v>
      </c>
      <c r="N595" s="62">
        <v>-54</v>
      </c>
      <c r="O595" s="62">
        <f t="shared" si="65"/>
        <v>2497.35</v>
      </c>
      <c r="P595" s="62">
        <v>-2700</v>
      </c>
      <c r="Q595" s="62">
        <v>0</v>
      </c>
      <c r="R595" s="62">
        <v>0</v>
      </c>
      <c r="S595" s="62">
        <v>0</v>
      </c>
      <c r="T595" s="62">
        <v>0</v>
      </c>
      <c r="U595" s="62">
        <v>145</v>
      </c>
      <c r="V595" s="62">
        <v>0</v>
      </c>
      <c r="W595" s="62">
        <f t="shared" si="66"/>
        <v>-57.650000000000091</v>
      </c>
      <c r="X595" s="62">
        <f t="shared" si="62"/>
        <v>0</v>
      </c>
      <c r="Y595" s="62">
        <f t="shared" si="63"/>
        <v>-57.650000000000091</v>
      </c>
      <c r="Z595" s="62">
        <v>0</v>
      </c>
      <c r="AA595" s="62">
        <f t="shared" si="64"/>
        <v>-57.650000000000091</v>
      </c>
      <c r="AB595" s="62">
        <f t="shared" si="67"/>
        <v>2439.6999999999998</v>
      </c>
      <c r="AC595" s="62"/>
      <c r="AD595" s="4" t="s">
        <v>1060</v>
      </c>
      <c r="AE595" s="54"/>
    </row>
    <row r="596" spans="1:31" hidden="1" x14ac:dyDescent="0.3">
      <c r="A596" s="69">
        <v>10</v>
      </c>
      <c r="B596" s="3" t="s">
        <v>89</v>
      </c>
      <c r="C596" s="4" t="s">
        <v>4</v>
      </c>
      <c r="D596" s="4" t="s">
        <v>652</v>
      </c>
      <c r="E596" s="4" t="str">
        <f>VLOOKUP(C596,'[2]CTRL AUTOS'!$E$2:$L$58,8,FALSE)</f>
        <v>ASHC</v>
      </c>
      <c r="F596" s="61" t="str">
        <f>VLOOKUP(C596,'[2]CTRL AUTOS'!$E$2:$K$58,7,FALSE)</f>
        <v>ASHC</v>
      </c>
      <c r="G596" s="4" t="s">
        <v>234</v>
      </c>
      <c r="H596" s="62">
        <v>3058.19</v>
      </c>
      <c r="I596" s="62">
        <v>-1211.7200000000005</v>
      </c>
      <c r="J596" s="62">
        <v>0</v>
      </c>
      <c r="K596" s="62">
        <v>0</v>
      </c>
      <c r="L596" s="62">
        <v>0</v>
      </c>
      <c r="M596" s="62">
        <v>-35</v>
      </c>
      <c r="N596" s="62">
        <v>0</v>
      </c>
      <c r="O596" s="62">
        <f t="shared" si="65"/>
        <v>1811.4699999999996</v>
      </c>
      <c r="P596" s="62">
        <v>-2500</v>
      </c>
      <c r="Q596" s="62">
        <v>0</v>
      </c>
      <c r="R596" s="62">
        <v>-500</v>
      </c>
      <c r="S596" s="62">
        <v>0</v>
      </c>
      <c r="T596" s="62">
        <v>0</v>
      </c>
      <c r="U596" s="62">
        <v>0</v>
      </c>
      <c r="V596" s="62">
        <v>0</v>
      </c>
      <c r="W596" s="62">
        <f t="shared" si="66"/>
        <v>-1188.5300000000004</v>
      </c>
      <c r="X596" s="62">
        <f t="shared" si="62"/>
        <v>0</v>
      </c>
      <c r="Y596" s="62">
        <f t="shared" si="63"/>
        <v>-1188.5300000000004</v>
      </c>
      <c r="Z596" s="62">
        <f>650+539</f>
        <v>1189</v>
      </c>
      <c r="AA596" s="62">
        <f t="shared" si="64"/>
        <v>0.46999999999957254</v>
      </c>
      <c r="AB596" s="62">
        <f t="shared" si="67"/>
        <v>3000.9399999999987</v>
      </c>
      <c r="AC596" s="62"/>
      <c r="AD596" s="4" t="s">
        <v>1061</v>
      </c>
      <c r="AE596" s="54"/>
    </row>
    <row r="597" spans="1:31" hidden="1" x14ac:dyDescent="0.3">
      <c r="A597" s="69">
        <v>10</v>
      </c>
      <c r="B597" s="3" t="s">
        <v>123</v>
      </c>
      <c r="C597" s="4" t="s">
        <v>59</v>
      </c>
      <c r="D597" s="4" t="s">
        <v>502</v>
      </c>
      <c r="E597" s="4" t="str">
        <f>VLOOKUP(C597,'[2]CTRL AUTOS'!$E$2:$L$58,8,FALSE)</f>
        <v>ASHC</v>
      </c>
      <c r="F597" s="61" t="str">
        <f>VLOOKUP(C597,'[2]CTRL AUTOS'!$E$2:$K$58,7,FALSE)</f>
        <v>ASHC</v>
      </c>
      <c r="G597" s="4" t="s">
        <v>234</v>
      </c>
      <c r="H597" s="62">
        <v>4902.3100000000004</v>
      </c>
      <c r="I597" s="62">
        <v>-2847.6099999999997</v>
      </c>
      <c r="J597" s="62">
        <v>0</v>
      </c>
      <c r="K597" s="62">
        <v>0</v>
      </c>
      <c r="L597" s="62">
        <v>0</v>
      </c>
      <c r="M597" s="62">
        <v>-55</v>
      </c>
      <c r="N597" s="62">
        <v>0</v>
      </c>
      <c r="O597" s="62">
        <f t="shared" si="65"/>
        <v>1999.7000000000007</v>
      </c>
      <c r="P597" s="62">
        <f>(-2500/7)*3.5</f>
        <v>-1250</v>
      </c>
      <c r="Q597" s="62">
        <v>0</v>
      </c>
      <c r="R597" s="62">
        <v>-357</v>
      </c>
      <c r="S597" s="62">
        <v>0</v>
      </c>
      <c r="T597" s="62">
        <v>0</v>
      </c>
      <c r="U597" s="62">
        <v>0</v>
      </c>
      <c r="V597" s="62">
        <v>0</v>
      </c>
      <c r="W597" s="62">
        <f t="shared" si="66"/>
        <v>392.70000000000073</v>
      </c>
      <c r="X597" s="62">
        <f t="shared" si="62"/>
        <v>392.70000000000073</v>
      </c>
      <c r="Y597" s="62">
        <f t="shared" si="63"/>
        <v>0</v>
      </c>
      <c r="Z597" s="62">
        <v>0</v>
      </c>
      <c r="AA597" s="62">
        <f t="shared" si="64"/>
        <v>0</v>
      </c>
      <c r="AB597" s="62">
        <f t="shared" si="67"/>
        <v>1607</v>
      </c>
      <c r="AC597" s="62"/>
      <c r="AD597" s="4"/>
      <c r="AE597" s="54"/>
    </row>
    <row r="598" spans="1:31" hidden="1" x14ac:dyDescent="0.3">
      <c r="A598" s="69">
        <v>10</v>
      </c>
      <c r="B598" s="3" t="s">
        <v>123</v>
      </c>
      <c r="C598" s="4" t="s">
        <v>71</v>
      </c>
      <c r="D598" s="4" t="s">
        <v>588</v>
      </c>
      <c r="E598" s="4" t="str">
        <f>VLOOKUP(C598,'[2]CTRL AUTOS'!$E$2:$L$58,8,FALSE)</f>
        <v>ASHC</v>
      </c>
      <c r="F598" s="61" t="str">
        <f>VLOOKUP(C598,'[2]CTRL AUTOS'!$E$2:$K$58,7,FALSE)</f>
        <v>ASHC</v>
      </c>
      <c r="G598" s="4" t="s">
        <v>234</v>
      </c>
      <c r="H598" s="62">
        <v>0</v>
      </c>
      <c r="I598" s="62">
        <v>0</v>
      </c>
      <c r="J598" s="62">
        <v>0</v>
      </c>
      <c r="K598" s="62">
        <v>0</v>
      </c>
      <c r="L598" s="62">
        <v>0</v>
      </c>
      <c r="M598" s="62">
        <v>0</v>
      </c>
      <c r="N598" s="62">
        <v>0</v>
      </c>
      <c r="O598" s="62">
        <f t="shared" si="65"/>
        <v>0</v>
      </c>
      <c r="P598" s="62">
        <f>(-2700/7)*3.5</f>
        <v>-1350</v>
      </c>
      <c r="Q598" s="62">
        <v>0</v>
      </c>
      <c r="R598" s="62">
        <v>0</v>
      </c>
      <c r="S598" s="62">
        <v>0</v>
      </c>
      <c r="T598" s="62">
        <v>0</v>
      </c>
      <c r="U598" s="62">
        <v>0</v>
      </c>
      <c r="V598" s="62">
        <v>0</v>
      </c>
      <c r="W598" s="62">
        <f t="shared" si="66"/>
        <v>-1350</v>
      </c>
      <c r="X598" s="62">
        <f t="shared" si="62"/>
        <v>0</v>
      </c>
      <c r="Y598" s="62">
        <f t="shared" si="63"/>
        <v>-1350</v>
      </c>
      <c r="Z598" s="62">
        <f>957+393</f>
        <v>1350</v>
      </c>
      <c r="AA598" s="62">
        <f>+Y598+Z598</f>
        <v>0</v>
      </c>
      <c r="AB598" s="62">
        <f t="shared" si="67"/>
        <v>1350</v>
      </c>
      <c r="AC598" s="62"/>
      <c r="AD598" s="4" t="s">
        <v>1062</v>
      </c>
      <c r="AE598" s="54"/>
    </row>
    <row r="599" spans="1:31" hidden="1" x14ac:dyDescent="0.3">
      <c r="A599" s="69">
        <v>10</v>
      </c>
      <c r="B599" s="3" t="s">
        <v>5</v>
      </c>
      <c r="C599" s="4" t="s">
        <v>6</v>
      </c>
      <c r="D599" s="4" t="s">
        <v>570</v>
      </c>
      <c r="E599" s="4" t="str">
        <f>VLOOKUP(C599,'[2]CTRL AUTOS'!$E$2:$L$58,8,FALSE)</f>
        <v>ASHC</v>
      </c>
      <c r="F599" s="61" t="str">
        <f>VLOOKUP(C599,'[2]CTRL AUTOS'!$E$2:$K$58,7,FALSE)</f>
        <v>ASHC</v>
      </c>
      <c r="G599" s="4" t="s">
        <v>425</v>
      </c>
      <c r="H599" s="62">
        <v>0</v>
      </c>
      <c r="I599" s="62">
        <v>0</v>
      </c>
      <c r="J599" s="62">
        <v>0</v>
      </c>
      <c r="K599" s="62">
        <v>0</v>
      </c>
      <c r="L599" s="62">
        <v>0</v>
      </c>
      <c r="M599" s="62">
        <v>0</v>
      </c>
      <c r="N599" s="62">
        <v>0</v>
      </c>
      <c r="O599" s="62">
        <f t="shared" si="65"/>
        <v>0</v>
      </c>
      <c r="P599" s="62">
        <v>-2500</v>
      </c>
      <c r="Q599" s="62">
        <f>-2527*1.12</f>
        <v>-2830.2400000000002</v>
      </c>
      <c r="R599" s="62">
        <v>0</v>
      </c>
      <c r="S599" s="62">
        <v>0</v>
      </c>
      <c r="T599" s="62">
        <v>0</v>
      </c>
      <c r="U599" s="62">
        <v>0</v>
      </c>
      <c r="V599" s="62">
        <v>0</v>
      </c>
      <c r="W599" s="62">
        <f t="shared" si="66"/>
        <v>-5330.24</v>
      </c>
      <c r="X599" s="62">
        <f t="shared" si="62"/>
        <v>0</v>
      </c>
      <c r="Y599" s="62">
        <f t="shared" si="63"/>
        <v>-5330.24</v>
      </c>
      <c r="Z599" s="62">
        <f>3000+600+670</f>
        <v>4270</v>
      </c>
      <c r="AA599" s="62">
        <f t="shared" si="64"/>
        <v>-1060.2399999999998</v>
      </c>
      <c r="AB599" s="62">
        <f t="shared" si="67"/>
        <v>3209.76</v>
      </c>
      <c r="AC599" s="62"/>
      <c r="AD599" s="4" t="s">
        <v>1063</v>
      </c>
      <c r="AE599" s="54"/>
    </row>
    <row r="600" spans="1:31" hidden="1" x14ac:dyDescent="0.3">
      <c r="A600" s="69">
        <v>10</v>
      </c>
      <c r="B600" s="3" t="s">
        <v>5</v>
      </c>
      <c r="C600" s="4" t="s">
        <v>50</v>
      </c>
      <c r="D600" s="4" t="s">
        <v>570</v>
      </c>
      <c r="E600" s="4" t="str">
        <f>VLOOKUP(C600,'[2]CTRL AUTOS'!$E$2:$L$58,8,FALSE)</f>
        <v>ASHC</v>
      </c>
      <c r="F600" s="61" t="str">
        <f>VLOOKUP(C600,'[2]CTRL AUTOS'!$E$2:$K$58,7,FALSE)</f>
        <v>ASHC</v>
      </c>
      <c r="G600" s="4" t="s">
        <v>425</v>
      </c>
      <c r="H600" s="62">
        <v>0</v>
      </c>
      <c r="I600" s="62">
        <v>0</v>
      </c>
      <c r="J600" s="62">
        <v>0</v>
      </c>
      <c r="K600" s="62">
        <v>0</v>
      </c>
      <c r="L600" s="62">
        <v>0</v>
      </c>
      <c r="M600" s="62">
        <v>0</v>
      </c>
      <c r="N600" s="62">
        <v>0</v>
      </c>
      <c r="O600" s="62">
        <f t="shared" si="65"/>
        <v>0</v>
      </c>
      <c r="P600" s="62">
        <v>0</v>
      </c>
      <c r="Q600" s="62">
        <v>0</v>
      </c>
      <c r="R600" s="62">
        <v>0</v>
      </c>
      <c r="S600" s="62">
        <v>-700</v>
      </c>
      <c r="T600" s="62">
        <v>0</v>
      </c>
      <c r="U600" s="62">
        <v>0</v>
      </c>
      <c r="V600" s="62">
        <v>0</v>
      </c>
      <c r="W600" s="62">
        <f t="shared" si="66"/>
        <v>-700</v>
      </c>
      <c r="X600" s="62">
        <f t="shared" si="62"/>
        <v>0</v>
      </c>
      <c r="Y600" s="62">
        <f t="shared" si="63"/>
        <v>-700</v>
      </c>
      <c r="Z600" s="62">
        <v>700</v>
      </c>
      <c r="AA600" s="62">
        <f t="shared" si="64"/>
        <v>0</v>
      </c>
      <c r="AB600" s="62">
        <f t="shared" si="67"/>
        <v>700</v>
      </c>
      <c r="AC600" s="62"/>
      <c r="AD600" s="4" t="s">
        <v>1064</v>
      </c>
      <c r="AE600" s="54"/>
    </row>
    <row r="601" spans="1:31" hidden="1" x14ac:dyDescent="0.3">
      <c r="A601" s="69">
        <v>10</v>
      </c>
      <c r="B601" s="3" t="s">
        <v>47</v>
      </c>
      <c r="C601" s="4" t="s">
        <v>147</v>
      </c>
      <c r="D601" s="4" t="s">
        <v>921</v>
      </c>
      <c r="E601" s="4" t="str">
        <f>VLOOKUP(C601,'[2]CTRL AUTOS'!$E$2:$L$58,8,FALSE)</f>
        <v>ASHC</v>
      </c>
      <c r="F601" s="61" t="str">
        <f>VLOOKUP(C601,'[2]CTRL AUTOS'!$E$2:$K$58,7,FALSE)</f>
        <v>ASHC</v>
      </c>
      <c r="G601" s="4" t="s">
        <v>234</v>
      </c>
      <c r="H601" s="62">
        <v>5439.95</v>
      </c>
      <c r="I601" s="62">
        <v>-2160.4800000000005</v>
      </c>
      <c r="J601" s="62">
        <v>0</v>
      </c>
      <c r="K601" s="62">
        <v>225.14</v>
      </c>
      <c r="L601" s="62">
        <v>-64.599999999999966</v>
      </c>
      <c r="M601" s="62">
        <v>-45</v>
      </c>
      <c r="N601" s="62">
        <v>0</v>
      </c>
      <c r="O601" s="62">
        <f t="shared" si="65"/>
        <v>3395.0099999999993</v>
      </c>
      <c r="P601" s="62">
        <v>-2700</v>
      </c>
      <c r="Q601" s="62">
        <v>0</v>
      </c>
      <c r="R601" s="62">
        <v>0</v>
      </c>
      <c r="S601" s="62">
        <v>0</v>
      </c>
      <c r="T601" s="62">
        <v>0</v>
      </c>
      <c r="U601" s="62">
        <v>0</v>
      </c>
      <c r="V601" s="62">
        <v>0</v>
      </c>
      <c r="W601" s="62">
        <f t="shared" si="66"/>
        <v>695.00999999999931</v>
      </c>
      <c r="X601" s="62">
        <f t="shared" si="62"/>
        <v>695.00999999999931</v>
      </c>
      <c r="Y601" s="62">
        <f t="shared" si="63"/>
        <v>0</v>
      </c>
      <c r="Z601" s="62">
        <v>0</v>
      </c>
      <c r="AA601" s="62">
        <f t="shared" si="64"/>
        <v>0</v>
      </c>
      <c r="AB601" s="62">
        <f t="shared" si="67"/>
        <v>2700</v>
      </c>
      <c r="AC601" s="62"/>
      <c r="AD601" s="4" t="s">
        <v>1040</v>
      </c>
      <c r="AE601" s="54"/>
    </row>
    <row r="602" spans="1:31" hidden="1" x14ac:dyDescent="0.3">
      <c r="A602" s="69">
        <v>10</v>
      </c>
      <c r="B602" s="3" t="s">
        <v>49</v>
      </c>
      <c r="C602" s="4" t="s">
        <v>12</v>
      </c>
      <c r="D602" s="4" t="s">
        <v>509</v>
      </c>
      <c r="E602" s="4" t="str">
        <f>VLOOKUP(C602,'[2]CTRL AUTOS'!$E$2:$L$58,8,FALSE)</f>
        <v>ASHC</v>
      </c>
      <c r="F602" s="61" t="str">
        <f>VLOOKUP(C602,'[2]CTRL AUTOS'!$E$2:$K$58,7,FALSE)</f>
        <v>ASHC</v>
      </c>
      <c r="G602" s="4" t="s">
        <v>234</v>
      </c>
      <c r="H602" s="62">
        <v>7158.74</v>
      </c>
      <c r="I602" s="62">
        <v>-50</v>
      </c>
      <c r="J602" s="62">
        <v>-62.4</v>
      </c>
      <c r="K602" s="62">
        <v>118.14</v>
      </c>
      <c r="L602" s="62">
        <v>0</v>
      </c>
      <c r="M602" s="62">
        <v>-1</v>
      </c>
      <c r="N602" s="62">
        <v>0</v>
      </c>
      <c r="O602" s="62">
        <f t="shared" si="65"/>
        <v>7163.4800000000005</v>
      </c>
      <c r="P602" s="62">
        <v>-2700</v>
      </c>
      <c r="Q602" s="62">
        <v>0</v>
      </c>
      <c r="R602" s="62">
        <v>0</v>
      </c>
      <c r="S602" s="62">
        <v>0</v>
      </c>
      <c r="T602" s="62">
        <v>0</v>
      </c>
      <c r="U602" s="62">
        <v>0</v>
      </c>
      <c r="V602" s="62">
        <v>0</v>
      </c>
      <c r="W602" s="62">
        <f t="shared" si="66"/>
        <v>4463.4800000000005</v>
      </c>
      <c r="X602" s="62">
        <f t="shared" si="62"/>
        <v>4463.4800000000005</v>
      </c>
      <c r="Y602" s="62">
        <f t="shared" si="63"/>
        <v>0</v>
      </c>
      <c r="Z602" s="62">
        <v>0</v>
      </c>
      <c r="AA602" s="62">
        <f t="shared" si="64"/>
        <v>0</v>
      </c>
      <c r="AB602" s="62">
        <f t="shared" si="67"/>
        <v>2700</v>
      </c>
      <c r="AC602" s="62"/>
      <c r="AD602" s="4" t="s">
        <v>1040</v>
      </c>
      <c r="AE602" s="54"/>
    </row>
    <row r="603" spans="1:31" hidden="1" x14ac:dyDescent="0.3">
      <c r="A603" s="69">
        <v>10</v>
      </c>
      <c r="B603" s="3" t="s">
        <v>49</v>
      </c>
      <c r="C603" s="4" t="s">
        <v>104</v>
      </c>
      <c r="D603" s="4" t="s">
        <v>283</v>
      </c>
      <c r="E603" s="4" t="s">
        <v>924</v>
      </c>
      <c r="F603" s="61" t="s">
        <v>232</v>
      </c>
      <c r="G603" s="4" t="s">
        <v>234</v>
      </c>
      <c r="H603" s="62">
        <v>0</v>
      </c>
      <c r="I603" s="62">
        <v>0</v>
      </c>
      <c r="J603" s="62">
        <v>0</v>
      </c>
      <c r="K603" s="62">
        <v>0</v>
      </c>
      <c r="L603" s="62">
        <v>0</v>
      </c>
      <c r="M603" s="62">
        <v>0</v>
      </c>
      <c r="N603" s="62">
        <v>0</v>
      </c>
      <c r="O603" s="62">
        <f t="shared" si="65"/>
        <v>0</v>
      </c>
      <c r="P603" s="62">
        <v>0</v>
      </c>
      <c r="Q603" s="62">
        <v>0</v>
      </c>
      <c r="R603" s="62">
        <v>0</v>
      </c>
      <c r="S603" s="62">
        <v>0</v>
      </c>
      <c r="T603" s="62">
        <v>-700</v>
      </c>
      <c r="U603" s="62">
        <v>0</v>
      </c>
      <c r="V603" s="62">
        <v>0</v>
      </c>
      <c r="W603" s="62">
        <f t="shared" si="66"/>
        <v>-700</v>
      </c>
      <c r="X603" s="62">
        <f t="shared" si="62"/>
        <v>0</v>
      </c>
      <c r="Y603" s="62">
        <f t="shared" si="63"/>
        <v>-700</v>
      </c>
      <c r="Z603" s="62">
        <v>700</v>
      </c>
      <c r="AA603" s="62">
        <f t="shared" si="64"/>
        <v>0</v>
      </c>
      <c r="AB603" s="62">
        <f t="shared" si="67"/>
        <v>700</v>
      </c>
      <c r="AC603" s="62"/>
      <c r="AD603" s="4" t="s">
        <v>1065</v>
      </c>
      <c r="AE603" s="54"/>
    </row>
    <row r="604" spans="1:31" hidden="1" x14ac:dyDescent="0.3">
      <c r="A604" s="69">
        <v>10</v>
      </c>
      <c r="B604" s="3" t="s">
        <v>152</v>
      </c>
      <c r="C604" s="4" t="s">
        <v>42</v>
      </c>
      <c r="D604" s="4" t="s">
        <v>755</v>
      </c>
      <c r="E604" s="4" t="str">
        <f>VLOOKUP(C604,'[2]CTRL AUTOS'!$E$2:$L$58,8,FALSE)</f>
        <v>ASHC</v>
      </c>
      <c r="F604" s="61" t="str">
        <f>VLOOKUP(C604,'[2]CTRL AUTOS'!$E$2:$K$58,7,FALSE)</f>
        <v>ASHC</v>
      </c>
      <c r="G604" s="4" t="s">
        <v>234</v>
      </c>
      <c r="H604" s="62">
        <v>3531.89</v>
      </c>
      <c r="I604" s="62">
        <v>-1395.6200000000001</v>
      </c>
      <c r="J604" s="62">
        <v>0</v>
      </c>
      <c r="K604" s="62">
        <v>0.01</v>
      </c>
      <c r="L604" s="62">
        <v>0</v>
      </c>
      <c r="M604" s="62">
        <v>-35</v>
      </c>
      <c r="N604" s="62">
        <v>0</v>
      </c>
      <c r="O604" s="62">
        <f t="shared" si="65"/>
        <v>2101.2799999999997</v>
      </c>
      <c r="P604" s="62">
        <v>-2500</v>
      </c>
      <c r="Q604" s="62">
        <v>0</v>
      </c>
      <c r="R604" s="62">
        <v>-500</v>
      </c>
      <c r="S604" s="62">
        <v>0</v>
      </c>
      <c r="T604" s="62">
        <v>0</v>
      </c>
      <c r="U604" s="62">
        <v>0</v>
      </c>
      <c r="V604" s="62">
        <v>0</v>
      </c>
      <c r="W604" s="62">
        <f t="shared" si="66"/>
        <v>-898.72000000000025</v>
      </c>
      <c r="X604" s="62">
        <f t="shared" si="62"/>
        <v>0</v>
      </c>
      <c r="Y604" s="62">
        <f t="shared" si="63"/>
        <v>-898.72000000000025</v>
      </c>
      <c r="Z604" s="62">
        <v>899</v>
      </c>
      <c r="AA604" s="62">
        <f t="shared" si="64"/>
        <v>0.27999999999974534</v>
      </c>
      <c r="AB604" s="62">
        <f t="shared" si="67"/>
        <v>3000.5599999999995</v>
      </c>
      <c r="AC604" s="62"/>
      <c r="AD604" s="4" t="s">
        <v>1066</v>
      </c>
      <c r="AE604" s="54"/>
    </row>
    <row r="605" spans="1:31" hidden="1" x14ac:dyDescent="0.3">
      <c r="A605" s="69">
        <v>10</v>
      </c>
      <c r="B605" s="3" t="s">
        <v>51</v>
      </c>
      <c r="C605" s="4" t="s">
        <v>52</v>
      </c>
      <c r="D605" s="4" t="s">
        <v>313</v>
      </c>
      <c r="E605" s="4" t="str">
        <f>VLOOKUP(C605,'[2]CTRL AUTOS'!$E$2:$L$58,8,FALSE)</f>
        <v>ASHC</v>
      </c>
      <c r="F605" s="61" t="str">
        <f>VLOOKUP(C605,'[2]CTRL AUTOS'!$E$2:$K$58,7,FALSE)</f>
        <v>ASHC</v>
      </c>
      <c r="G605" s="4" t="s">
        <v>234</v>
      </c>
      <c r="H605" s="62">
        <v>2267.4299999999998</v>
      </c>
      <c r="I605" s="62">
        <v>0</v>
      </c>
      <c r="J605" s="62">
        <v>0</v>
      </c>
      <c r="K605" s="62">
        <v>0</v>
      </c>
      <c r="L605" s="62">
        <v>-19.240000000000002</v>
      </c>
      <c r="M605" s="62">
        <v>0</v>
      </c>
      <c r="N605" s="62">
        <v>0</v>
      </c>
      <c r="O605" s="62">
        <f t="shared" si="65"/>
        <v>2248.19</v>
      </c>
      <c r="P605" s="62">
        <v>-2500</v>
      </c>
      <c r="Q605" s="62">
        <v>0</v>
      </c>
      <c r="R605" s="62">
        <v>0</v>
      </c>
      <c r="S605" s="62">
        <v>0</v>
      </c>
      <c r="T605" s="62">
        <v>-700</v>
      </c>
      <c r="U605" s="62">
        <v>0</v>
      </c>
      <c r="V605" s="62">
        <v>0</v>
      </c>
      <c r="W605" s="62">
        <f t="shared" si="66"/>
        <v>-951.81</v>
      </c>
      <c r="X605" s="62">
        <f t="shared" si="62"/>
        <v>0</v>
      </c>
      <c r="Y605" s="62">
        <f t="shared" si="63"/>
        <v>-951.81</v>
      </c>
      <c r="Z605" s="62">
        <v>952</v>
      </c>
      <c r="AA605" s="62">
        <f t="shared" si="64"/>
        <v>0.19000000000005457</v>
      </c>
      <c r="AB605" s="62">
        <f t="shared" si="67"/>
        <v>3200.38</v>
      </c>
      <c r="AC605" s="62"/>
      <c r="AD605" s="4" t="s">
        <v>1067</v>
      </c>
      <c r="AE605" s="54"/>
    </row>
    <row r="606" spans="1:31" hidden="1" x14ac:dyDescent="0.3">
      <c r="A606" s="69">
        <v>10</v>
      </c>
      <c r="B606" s="3" t="s">
        <v>131</v>
      </c>
      <c r="C606" s="4" t="s">
        <v>116</v>
      </c>
      <c r="D606" s="4" t="s">
        <v>928</v>
      </c>
      <c r="E606" s="4" t="str">
        <f>VLOOKUP(C606,'[2]CTRL AUTOS'!$E$2:$L$58,8,FALSE)</f>
        <v>BYER</v>
      </c>
      <c r="F606" s="61" t="str">
        <f>VLOOKUP(C606,'[2]CTRL AUTOS'!$E$2:$K$58,7,FALSE)</f>
        <v>BYER</v>
      </c>
      <c r="G606" s="4" t="s">
        <v>234</v>
      </c>
      <c r="H606" s="62">
        <v>5098.75</v>
      </c>
      <c r="I606" s="62">
        <v>-1424.91</v>
      </c>
      <c r="J606" s="62">
        <v>0.33</v>
      </c>
      <c r="K606" s="62">
        <v>2.06</v>
      </c>
      <c r="L606" s="62">
        <v>-55.93</v>
      </c>
      <c r="M606" s="62">
        <v>-51</v>
      </c>
      <c r="N606" s="62">
        <v>0</v>
      </c>
      <c r="O606" s="62">
        <f t="shared" si="65"/>
        <v>3569.3</v>
      </c>
      <c r="P606" s="62">
        <v>-2500</v>
      </c>
      <c r="Q606" s="62">
        <v>0</v>
      </c>
      <c r="R606" s="62">
        <v>-500</v>
      </c>
      <c r="S606" s="62">
        <v>0</v>
      </c>
      <c r="T606" s="62">
        <v>0</v>
      </c>
      <c r="U606" s="62">
        <v>0</v>
      </c>
      <c r="V606" s="62">
        <v>0</v>
      </c>
      <c r="W606" s="62">
        <f t="shared" si="66"/>
        <v>569.30000000000018</v>
      </c>
      <c r="X606" s="62">
        <f t="shared" si="62"/>
        <v>569.30000000000018</v>
      </c>
      <c r="Y606" s="62">
        <f t="shared" si="63"/>
        <v>0</v>
      </c>
      <c r="Z606" s="62">
        <v>0</v>
      </c>
      <c r="AA606" s="62">
        <f t="shared" si="64"/>
        <v>0</v>
      </c>
      <c r="AB606" s="62">
        <f t="shared" si="67"/>
        <v>3000</v>
      </c>
      <c r="AC606" s="62"/>
      <c r="AD606" s="4" t="s">
        <v>1040</v>
      </c>
    </row>
    <row r="607" spans="1:31" hidden="1" x14ac:dyDescent="0.3">
      <c r="A607" s="69">
        <v>10</v>
      </c>
      <c r="B607" s="3" t="s">
        <v>107</v>
      </c>
      <c r="C607" s="4" t="s">
        <v>148</v>
      </c>
      <c r="D607" s="4" t="s">
        <v>931</v>
      </c>
      <c r="E607" s="4" t="str">
        <f>VLOOKUP(C607,'[2]CTRL AUTOS'!$E$2:$L$58,8,FALSE)</f>
        <v>ASHC</v>
      </c>
      <c r="F607" s="61" t="str">
        <f>VLOOKUP(C607,'[2]CTRL AUTOS'!$E$2:$K$58,7,FALSE)</f>
        <v>ASHC</v>
      </c>
      <c r="G607" s="4" t="s">
        <v>234</v>
      </c>
      <c r="H607" s="62">
        <v>4139.3100000000004</v>
      </c>
      <c r="I607" s="62">
        <v>-1363.95</v>
      </c>
      <c r="J607" s="62">
        <v>0</v>
      </c>
      <c r="K607" s="62">
        <v>0</v>
      </c>
      <c r="L607" s="62">
        <v>0</v>
      </c>
      <c r="M607" s="62">
        <f>-35.16-35</f>
        <v>-70.16</v>
      </c>
      <c r="N607" s="62">
        <v>-293</v>
      </c>
      <c r="O607" s="62">
        <f t="shared" si="65"/>
        <v>2412.2000000000007</v>
      </c>
      <c r="P607" s="62">
        <v>-2700</v>
      </c>
      <c r="Q607" s="62">
        <v>0</v>
      </c>
      <c r="R607" s="62">
        <v>0</v>
      </c>
      <c r="S607" s="62">
        <v>-700</v>
      </c>
      <c r="T607" s="62">
        <v>0</v>
      </c>
      <c r="U607" s="62">
        <v>0</v>
      </c>
      <c r="V607" s="62">
        <v>0</v>
      </c>
      <c r="W607" s="62">
        <f t="shared" si="66"/>
        <v>-987.79999999999927</v>
      </c>
      <c r="X607" s="62">
        <f t="shared" si="62"/>
        <v>0</v>
      </c>
      <c r="Y607" s="62">
        <f t="shared" si="63"/>
        <v>-987.79999999999927</v>
      </c>
      <c r="Z607" s="62">
        <v>1000</v>
      </c>
      <c r="AA607" s="62">
        <f t="shared" si="64"/>
        <v>12.200000000000728</v>
      </c>
      <c r="AB607" s="62">
        <f t="shared" si="67"/>
        <v>3424.4000000000015</v>
      </c>
      <c r="AC607" s="62"/>
      <c r="AD607" s="4" t="s">
        <v>1068</v>
      </c>
      <c r="AE607" s="54"/>
    </row>
    <row r="608" spans="1:31" hidden="1" x14ac:dyDescent="0.3">
      <c r="A608" s="69">
        <v>10</v>
      </c>
      <c r="B608" s="3" t="s">
        <v>87</v>
      </c>
      <c r="C608" s="4" t="s">
        <v>83</v>
      </c>
      <c r="D608" s="4" t="s">
        <v>592</v>
      </c>
      <c r="E608" s="4" t="str">
        <f>VLOOKUP(C608,'[2]CTRL AUTOS'!$E$2:$L$58,8,FALSE)</f>
        <v>ASHC</v>
      </c>
      <c r="F608" s="61" t="str">
        <f>VLOOKUP(C608,'[2]CTRL AUTOS'!$E$2:$K$58,7,FALSE)</f>
        <v>ASHC</v>
      </c>
      <c r="G608" s="4" t="s">
        <v>234</v>
      </c>
      <c r="H608" s="62">
        <v>945.08</v>
      </c>
      <c r="I608" s="62">
        <v>-363.18</v>
      </c>
      <c r="J608" s="62">
        <v>0</v>
      </c>
      <c r="K608" s="62">
        <v>-59.93</v>
      </c>
      <c r="L608" s="62">
        <v>0</v>
      </c>
      <c r="M608" s="62">
        <v>-10</v>
      </c>
      <c r="N608" s="62">
        <v>0</v>
      </c>
      <c r="O608" s="62">
        <f t="shared" si="65"/>
        <v>511.97000000000014</v>
      </c>
      <c r="P608" s="62">
        <v>-2700</v>
      </c>
      <c r="Q608" s="62">
        <v>0</v>
      </c>
      <c r="R608" s="62">
        <v>0</v>
      </c>
      <c r="S608" s="62">
        <v>0</v>
      </c>
      <c r="T608" s="62">
        <v>-500</v>
      </c>
      <c r="U608" s="62">
        <v>0</v>
      </c>
      <c r="V608" s="62">
        <v>0</v>
      </c>
      <c r="W608" s="62">
        <f t="shared" si="66"/>
        <v>-2688.0299999999997</v>
      </c>
      <c r="X608" s="62">
        <f t="shared" si="62"/>
        <v>0</v>
      </c>
      <c r="Y608" s="62">
        <f t="shared" si="63"/>
        <v>-2688.0299999999997</v>
      </c>
      <c r="Z608" s="62">
        <v>1000</v>
      </c>
      <c r="AA608" s="62">
        <f t="shared" si="64"/>
        <v>-1688.0299999999997</v>
      </c>
      <c r="AB608" s="62">
        <f t="shared" si="67"/>
        <v>-176.05999999999949</v>
      </c>
      <c r="AC608" s="62"/>
      <c r="AD608" s="4" t="s">
        <v>1069</v>
      </c>
      <c r="AE608" s="54"/>
    </row>
    <row r="609" spans="1:31" hidden="1" x14ac:dyDescent="0.3">
      <c r="A609" s="69">
        <v>10</v>
      </c>
      <c r="B609" s="3" t="s">
        <v>117</v>
      </c>
      <c r="C609" s="4" t="s">
        <v>118</v>
      </c>
      <c r="D609" s="4" t="s">
        <v>934</v>
      </c>
      <c r="E609" s="4" t="str">
        <f>VLOOKUP(C609,'[2]CTRL AUTOS'!$E$2:$L$58,8,FALSE)</f>
        <v>ASHC</v>
      </c>
      <c r="F609" s="61" t="str">
        <f>VLOOKUP(C609,'[2]CTRL AUTOS'!$E$2:$K$58,7,FALSE)</f>
        <v>ASHC</v>
      </c>
      <c r="G609" s="4" t="s">
        <v>234</v>
      </c>
      <c r="H609" s="62">
        <v>7616.57</v>
      </c>
      <c r="I609" s="62">
        <v>-5254.2999999999984</v>
      </c>
      <c r="J609" s="62">
        <v>-64</v>
      </c>
      <c r="K609" s="62">
        <v>-13.13</v>
      </c>
      <c r="L609" s="62">
        <v>-71.47</v>
      </c>
      <c r="M609" s="62">
        <f>-28.2-75</f>
        <v>-103.2</v>
      </c>
      <c r="N609" s="62">
        <v>-235</v>
      </c>
      <c r="O609" s="62">
        <f t="shared" si="65"/>
        <v>1875.4700000000016</v>
      </c>
      <c r="P609" s="62">
        <v>-2500</v>
      </c>
      <c r="Q609" s="62">
        <v>0</v>
      </c>
      <c r="R609" s="62">
        <v>-321</v>
      </c>
      <c r="S609" s="62">
        <v>0</v>
      </c>
      <c r="T609" s="62">
        <v>0</v>
      </c>
      <c r="U609" s="62">
        <v>0</v>
      </c>
      <c r="V609" s="62">
        <v>0</v>
      </c>
      <c r="W609" s="62">
        <f t="shared" si="66"/>
        <v>-945.52999999999838</v>
      </c>
      <c r="X609" s="62">
        <f t="shared" si="62"/>
        <v>0</v>
      </c>
      <c r="Y609" s="62">
        <f t="shared" si="63"/>
        <v>-945.52999999999838</v>
      </c>
      <c r="Z609" s="62">
        <v>942</v>
      </c>
      <c r="AA609" s="62">
        <f t="shared" si="64"/>
        <v>-3.5299999999983811</v>
      </c>
      <c r="AB609" s="62">
        <f t="shared" si="67"/>
        <v>2813.9400000000032</v>
      </c>
      <c r="AC609" s="62"/>
      <c r="AD609" s="4" t="s">
        <v>1070</v>
      </c>
      <c r="AE609" s="54"/>
    </row>
    <row r="610" spans="1:31" hidden="1" x14ac:dyDescent="0.3">
      <c r="A610" s="69">
        <v>10</v>
      </c>
      <c r="B610" s="3" t="s">
        <v>98</v>
      </c>
      <c r="C610" s="4" t="s">
        <v>112</v>
      </c>
      <c r="D610" s="4"/>
      <c r="E610" s="4" t="str">
        <f>VLOOKUP(C610,'[2]CTRL AUTOS'!$E$2:$L$58,8,FALSE)</f>
        <v>ASHC</v>
      </c>
      <c r="F610" s="61" t="str">
        <f>VLOOKUP(C610,'[2]CTRL AUTOS'!$E$2:$K$58,7,FALSE)</f>
        <v>ASHC</v>
      </c>
      <c r="G610" s="4" t="s">
        <v>234</v>
      </c>
      <c r="H610" s="62">
        <v>1813.17</v>
      </c>
      <c r="I610" s="62">
        <v>0</v>
      </c>
      <c r="J610" s="62">
        <v>0</v>
      </c>
      <c r="K610" s="62">
        <v>0</v>
      </c>
      <c r="L610" s="62">
        <v>0</v>
      </c>
      <c r="M610" s="62">
        <v>-35.879999999999995</v>
      </c>
      <c r="N610" s="62">
        <v>-299</v>
      </c>
      <c r="O610" s="62">
        <f t="shared" si="65"/>
        <v>1478.29</v>
      </c>
      <c r="P610" s="62">
        <v>-2500</v>
      </c>
      <c r="Q610" s="62">
        <f>-129*1.12</f>
        <v>-144.48000000000002</v>
      </c>
      <c r="R610" s="62">
        <v>0</v>
      </c>
      <c r="S610" s="62">
        <v>0</v>
      </c>
      <c r="T610" s="62">
        <v>-2500</v>
      </c>
      <c r="U610" s="62">
        <v>0</v>
      </c>
      <c r="V610" s="62">
        <v>0</v>
      </c>
      <c r="W610" s="62">
        <f t="shared" si="66"/>
        <v>-3666.19</v>
      </c>
      <c r="X610" s="62">
        <f t="shared" si="62"/>
        <v>0</v>
      </c>
      <c r="Y610" s="62">
        <f t="shared" si="63"/>
        <v>-3666.19</v>
      </c>
      <c r="Z610" s="62">
        <v>2500</v>
      </c>
      <c r="AA610" s="62">
        <f t="shared" si="64"/>
        <v>-1166.19</v>
      </c>
      <c r="AB610" s="62">
        <f t="shared" si="67"/>
        <v>2812.1</v>
      </c>
      <c r="AC610" s="62"/>
      <c r="AD610" s="4"/>
      <c r="AE610" s="54"/>
    </row>
    <row r="611" spans="1:31" hidden="1" x14ac:dyDescent="0.3">
      <c r="A611" s="69">
        <v>10</v>
      </c>
      <c r="B611" s="3" t="s">
        <v>119</v>
      </c>
      <c r="C611" s="4" t="s">
        <v>97</v>
      </c>
      <c r="D611" s="4" t="s">
        <v>273</v>
      </c>
      <c r="E611" s="4" t="str">
        <f>VLOOKUP(C611,'[2]CTRL AUTOS'!$E$2:$L$58,8,FALSE)</f>
        <v>ASHC</v>
      </c>
      <c r="F611" s="61" t="str">
        <f>VLOOKUP(C611,'[2]CTRL AUTOS'!$E$2:$K$58,7,FALSE)</f>
        <v>ASHC</v>
      </c>
      <c r="G611" s="4" t="s">
        <v>234</v>
      </c>
      <c r="H611" s="62">
        <v>0</v>
      </c>
      <c r="I611" s="62">
        <v>0</v>
      </c>
      <c r="J611" s="62">
        <v>0</v>
      </c>
      <c r="K611" s="62">
        <v>0</v>
      </c>
      <c r="L611" s="62">
        <v>0</v>
      </c>
      <c r="M611" s="62">
        <v>0</v>
      </c>
      <c r="N611" s="62">
        <v>0</v>
      </c>
      <c r="O611" s="62">
        <f t="shared" si="65"/>
        <v>0</v>
      </c>
      <c r="P611" s="62">
        <v>0</v>
      </c>
      <c r="Q611" s="62">
        <v>0</v>
      </c>
      <c r="R611" s="62">
        <v>500</v>
      </c>
      <c r="S611" s="62">
        <v>0</v>
      </c>
      <c r="T611" s="62">
        <v>0</v>
      </c>
      <c r="U611" s="62">
        <v>0</v>
      </c>
      <c r="V611" s="62">
        <v>0</v>
      </c>
      <c r="W611" s="62">
        <f t="shared" si="66"/>
        <v>500</v>
      </c>
      <c r="X611" s="62">
        <f t="shared" si="62"/>
        <v>500</v>
      </c>
      <c r="Y611" s="62">
        <f t="shared" si="63"/>
        <v>0</v>
      </c>
      <c r="Z611" s="62">
        <v>0</v>
      </c>
      <c r="AA611" s="62">
        <f t="shared" si="64"/>
        <v>0</v>
      </c>
      <c r="AB611" s="62">
        <f t="shared" si="67"/>
        <v>-500</v>
      </c>
      <c r="AC611" s="4"/>
      <c r="AD611" s="4" t="s">
        <v>1040</v>
      </c>
      <c r="AE611" s="54"/>
    </row>
    <row r="612" spans="1:31" hidden="1" x14ac:dyDescent="0.3">
      <c r="A612" s="69">
        <v>10</v>
      </c>
      <c r="B612" s="4" t="s">
        <v>184</v>
      </c>
      <c r="C612" s="4" t="s">
        <v>50</v>
      </c>
      <c r="D612" s="4" t="s">
        <v>480</v>
      </c>
      <c r="E612" s="4" t="s">
        <v>232</v>
      </c>
      <c r="F612" s="61" t="s">
        <v>232</v>
      </c>
      <c r="G612" s="4" t="s">
        <v>234</v>
      </c>
      <c r="H612" s="62">
        <v>6530.44</v>
      </c>
      <c r="I612" s="62">
        <v>-1646.6700000000003</v>
      </c>
      <c r="J612" s="62">
        <v>0</v>
      </c>
      <c r="K612" s="62">
        <v>0</v>
      </c>
      <c r="L612" s="62">
        <v>0</v>
      </c>
      <c r="M612" s="62">
        <v>-40</v>
      </c>
      <c r="N612" s="62">
        <v>0</v>
      </c>
      <c r="O612" s="62">
        <f t="shared" si="65"/>
        <v>4843.7699999999995</v>
      </c>
      <c r="P612" s="62">
        <v>-2500</v>
      </c>
      <c r="Q612" s="62">
        <v>0</v>
      </c>
      <c r="R612" s="62">
        <v>-500</v>
      </c>
      <c r="S612" s="62">
        <v>0</v>
      </c>
      <c r="T612" s="62">
        <v>0</v>
      </c>
      <c r="U612" s="62">
        <v>18</v>
      </c>
      <c r="V612" s="62">
        <v>0</v>
      </c>
      <c r="W612" s="62">
        <f t="shared" si="66"/>
        <v>1861.7699999999995</v>
      </c>
      <c r="X612" s="62">
        <f t="shared" si="62"/>
        <v>1861.7699999999995</v>
      </c>
      <c r="Y612" s="62">
        <f t="shared" si="63"/>
        <v>0</v>
      </c>
      <c r="Z612" s="62">
        <v>0</v>
      </c>
      <c r="AA612" s="62">
        <f t="shared" si="64"/>
        <v>0</v>
      </c>
      <c r="AB612" s="62">
        <f t="shared" si="67"/>
        <v>2982</v>
      </c>
      <c r="AC612" s="4"/>
      <c r="AD612" s="4" t="s">
        <v>1071</v>
      </c>
      <c r="AE612" s="54"/>
    </row>
    <row r="613" spans="1:31" hidden="1" x14ac:dyDescent="0.3">
      <c r="A613" s="69">
        <v>10</v>
      </c>
      <c r="B613" t="s">
        <v>176</v>
      </c>
      <c r="C613" s="4" t="s">
        <v>158</v>
      </c>
      <c r="D613" s="4"/>
      <c r="E613" s="4" t="s">
        <v>232</v>
      </c>
      <c r="F613" s="61" t="s">
        <v>232</v>
      </c>
      <c r="G613" s="4" t="s">
        <v>234</v>
      </c>
      <c r="H613" s="62">
        <v>712.7</v>
      </c>
      <c r="I613" s="62">
        <v>0</v>
      </c>
      <c r="J613" s="62">
        <v>0</v>
      </c>
      <c r="K613" s="62">
        <v>0</v>
      </c>
      <c r="L613" s="62">
        <v>0</v>
      </c>
      <c r="M613" s="62">
        <v>0</v>
      </c>
      <c r="N613" s="62">
        <v>0</v>
      </c>
      <c r="O613" s="62">
        <f t="shared" si="65"/>
        <v>712.7</v>
      </c>
      <c r="P613" s="62">
        <v>-713</v>
      </c>
      <c r="Q613" s="62">
        <v>0</v>
      </c>
      <c r="R613" s="62">
        <v>0</v>
      </c>
      <c r="S613" s="62">
        <v>0</v>
      </c>
      <c r="T613" s="62">
        <v>0</v>
      </c>
      <c r="U613" s="62">
        <v>0</v>
      </c>
      <c r="V613" s="62">
        <v>0</v>
      </c>
      <c r="W613" s="62">
        <f t="shared" si="66"/>
        <v>-0.29999999999995453</v>
      </c>
      <c r="X613" s="62">
        <f t="shared" si="62"/>
        <v>0</v>
      </c>
      <c r="Y613" s="62">
        <f t="shared" si="63"/>
        <v>-0.29999999999995453</v>
      </c>
      <c r="Z613" s="62">
        <v>0</v>
      </c>
      <c r="AA613" s="62">
        <f t="shared" si="64"/>
        <v>-0.29999999999995453</v>
      </c>
      <c r="AB613" s="62">
        <f t="shared" si="67"/>
        <v>712.40000000000009</v>
      </c>
      <c r="AC613" s="4"/>
      <c r="AD613" s="4"/>
      <c r="AE613" s="54"/>
    </row>
    <row r="614" spans="1:31" hidden="1" x14ac:dyDescent="0.3">
      <c r="A614" s="69">
        <v>10</v>
      </c>
      <c r="B614" s="4" t="s">
        <v>191</v>
      </c>
      <c r="C614" s="4" t="s">
        <v>79</v>
      </c>
      <c r="D614" s="4" t="s">
        <v>475</v>
      </c>
      <c r="E614" s="4" t="str">
        <f>VLOOKUP(C614,'[2]CTRL AUTOS'!$E$2:$L$58,8,FALSE)</f>
        <v>BYER</v>
      </c>
      <c r="F614" s="61" t="str">
        <f>VLOOKUP(C614,'[2]CTRL AUTOS'!$E$2:$K$58,7,FALSE)</f>
        <v>BYER</v>
      </c>
      <c r="G614" s="4" t="s">
        <v>234</v>
      </c>
      <c r="H614" s="62">
        <v>183.59</v>
      </c>
      <c r="I614" s="62">
        <v>0</v>
      </c>
      <c r="J614" s="62">
        <v>0</v>
      </c>
      <c r="K614" s="62">
        <v>0</v>
      </c>
      <c r="L614" s="62">
        <v>0</v>
      </c>
      <c r="M614" s="62">
        <v>0</v>
      </c>
      <c r="N614" s="62">
        <v>0</v>
      </c>
      <c r="O614" s="62">
        <f t="shared" si="65"/>
        <v>183.59</v>
      </c>
      <c r="P614" s="62">
        <v>-184</v>
      </c>
      <c r="Q614" s="62">
        <v>0</v>
      </c>
      <c r="R614" s="62">
        <v>0</v>
      </c>
      <c r="S614" s="62">
        <v>0</v>
      </c>
      <c r="T614" s="62">
        <v>0</v>
      </c>
      <c r="U614" s="62">
        <v>0</v>
      </c>
      <c r="V614" s="62">
        <v>0</v>
      </c>
      <c r="W614" s="62">
        <f t="shared" si="66"/>
        <v>-0.40999999999999659</v>
      </c>
      <c r="X614" s="62">
        <f t="shared" si="62"/>
        <v>0</v>
      </c>
      <c r="Y614" s="62">
        <f t="shared" si="63"/>
        <v>-0.40999999999999659</v>
      </c>
      <c r="Z614" s="62">
        <v>0</v>
      </c>
      <c r="AA614" s="62">
        <f t="shared" si="64"/>
        <v>-0.40999999999999659</v>
      </c>
      <c r="AB614" s="62">
        <f t="shared" si="67"/>
        <v>183.18</v>
      </c>
      <c r="AC614" s="4"/>
      <c r="AD614" s="4"/>
    </row>
    <row r="615" spans="1:31" hidden="1" x14ac:dyDescent="0.3">
      <c r="A615" s="69">
        <v>10</v>
      </c>
      <c r="B615" t="s">
        <v>177</v>
      </c>
      <c r="C615" s="4" t="s">
        <v>157</v>
      </c>
      <c r="D615" s="4"/>
      <c r="E615" s="4" t="s">
        <v>232</v>
      </c>
      <c r="F615" s="61" t="s">
        <v>232</v>
      </c>
      <c r="G615" s="4" t="s">
        <v>234</v>
      </c>
      <c r="H615" s="62">
        <v>2969.94</v>
      </c>
      <c r="I615" s="62">
        <v>0</v>
      </c>
      <c r="J615" s="62">
        <v>0</v>
      </c>
      <c r="K615" s="62">
        <v>0</v>
      </c>
      <c r="L615" s="62">
        <v>0</v>
      </c>
      <c r="M615" s="62">
        <v>0</v>
      </c>
      <c r="N615" s="62">
        <v>0</v>
      </c>
      <c r="O615" s="62">
        <f t="shared" si="65"/>
        <v>2969.94</v>
      </c>
      <c r="P615" s="62">
        <v>-2970</v>
      </c>
      <c r="Q615" s="62">
        <v>0</v>
      </c>
      <c r="R615" s="62">
        <v>0</v>
      </c>
      <c r="S615" s="62">
        <v>0</v>
      </c>
      <c r="T615" s="62">
        <v>0</v>
      </c>
      <c r="U615" s="62">
        <v>0</v>
      </c>
      <c r="V615" s="62">
        <v>0</v>
      </c>
      <c r="W615" s="62">
        <f t="shared" si="66"/>
        <v>-5.999999999994543E-2</v>
      </c>
      <c r="X615" s="62">
        <f t="shared" si="62"/>
        <v>0</v>
      </c>
      <c r="Y615" s="62">
        <f t="shared" si="63"/>
        <v>-5.999999999994543E-2</v>
      </c>
      <c r="Z615" s="62">
        <v>0</v>
      </c>
      <c r="AA615" s="62">
        <f t="shared" si="64"/>
        <v>-5.999999999994543E-2</v>
      </c>
      <c r="AB615" s="62">
        <f t="shared" si="67"/>
        <v>2969.88</v>
      </c>
      <c r="AC615" s="4"/>
      <c r="AD615" s="4"/>
    </row>
    <row r="616" spans="1:31" hidden="1" x14ac:dyDescent="0.3">
      <c r="A616" s="69">
        <v>10</v>
      </c>
      <c r="B616" s="3" t="s">
        <v>27</v>
      </c>
      <c r="C616" s="4" t="s">
        <v>137</v>
      </c>
      <c r="D616" s="4" t="s">
        <v>877</v>
      </c>
      <c r="E616" s="4" t="str">
        <f>VLOOKUP(C616,'[2]CTRL AUTOS'!$E$2:$L$58,8,FALSE)</f>
        <v>ASHC</v>
      </c>
      <c r="F616" s="61" t="str">
        <f>VLOOKUP(C616,'[2]CTRL AUTOS'!$E$2:$K$58,7,FALSE)</f>
        <v>ASHC</v>
      </c>
      <c r="G616" s="4" t="s">
        <v>234</v>
      </c>
      <c r="H616" s="62">
        <v>0</v>
      </c>
      <c r="I616" s="62">
        <v>0</v>
      </c>
      <c r="J616" s="62">
        <v>0</v>
      </c>
      <c r="K616" s="62">
        <v>0</v>
      </c>
      <c r="L616" s="62">
        <v>0</v>
      </c>
      <c r="M616" s="62">
        <v>0</v>
      </c>
      <c r="N616" s="62">
        <v>0</v>
      </c>
      <c r="O616" s="62">
        <f t="shared" si="65"/>
        <v>0</v>
      </c>
      <c r="P616" s="62">
        <v>0</v>
      </c>
      <c r="Q616" s="62">
        <v>0</v>
      </c>
      <c r="R616" s="62">
        <v>500</v>
      </c>
      <c r="S616" s="62">
        <v>0</v>
      </c>
      <c r="T616" s="62">
        <v>0</v>
      </c>
      <c r="U616" s="62">
        <v>0</v>
      </c>
      <c r="V616" s="62">
        <v>0</v>
      </c>
      <c r="W616" s="62">
        <f t="shared" si="66"/>
        <v>500</v>
      </c>
      <c r="X616" s="62">
        <f t="shared" si="62"/>
        <v>500</v>
      </c>
      <c r="Y616" s="62">
        <f t="shared" si="63"/>
        <v>0</v>
      </c>
      <c r="Z616" s="62">
        <v>0</v>
      </c>
      <c r="AA616" s="62">
        <f t="shared" si="64"/>
        <v>0</v>
      </c>
      <c r="AB616" s="62">
        <f t="shared" si="67"/>
        <v>-500</v>
      </c>
      <c r="AC616" s="4"/>
      <c r="AD616" s="4" t="s">
        <v>1040</v>
      </c>
    </row>
    <row r="617" spans="1:31" hidden="1" x14ac:dyDescent="0.3">
      <c r="A617" s="69">
        <v>11</v>
      </c>
      <c r="B617" s="3" t="s">
        <v>138</v>
      </c>
      <c r="C617" s="4" t="s">
        <v>50</v>
      </c>
      <c r="D617" s="4" t="s">
        <v>480</v>
      </c>
      <c r="E617" s="4" t="str">
        <f>VLOOKUP(C617,'[2]CTRL AUTOS'!$E$2:$L$58,8,FALSE)</f>
        <v>ASHC</v>
      </c>
      <c r="F617" s="61" t="str">
        <f>VLOOKUP(C617,'[2]CTRL AUTOS'!$E$2:$K$58,7,FALSE)</f>
        <v>ASHC</v>
      </c>
      <c r="G617" s="4" t="s">
        <v>234</v>
      </c>
      <c r="H617" s="62"/>
      <c r="I617" s="70">
        <v>0</v>
      </c>
      <c r="J617" s="70">
        <v>0</v>
      </c>
      <c r="K617" s="70">
        <v>0</v>
      </c>
      <c r="L617" s="70">
        <v>0</v>
      </c>
      <c r="M617" s="70">
        <v>0</v>
      </c>
      <c r="N617" s="70">
        <v>0</v>
      </c>
      <c r="O617" s="62">
        <f t="shared" si="65"/>
        <v>0</v>
      </c>
      <c r="P617" s="62">
        <v>0</v>
      </c>
      <c r="Q617" s="62">
        <v>0</v>
      </c>
      <c r="R617" s="62">
        <v>500</v>
      </c>
      <c r="S617" s="62">
        <v>0</v>
      </c>
      <c r="T617" s="62">
        <v>0</v>
      </c>
      <c r="U617" s="62">
        <v>0</v>
      </c>
      <c r="V617" s="62">
        <v>0</v>
      </c>
      <c r="W617" s="62">
        <f t="shared" si="66"/>
        <v>500</v>
      </c>
      <c r="X617" s="62">
        <f t="shared" ref="X617" si="68">IF(W617&gt;=0,W617,0)</f>
        <v>500</v>
      </c>
      <c r="Y617" s="62">
        <f t="shared" ref="Y617" si="69">IF(W617&lt;=0,W617,0)</f>
        <v>0</v>
      </c>
      <c r="Z617" s="62">
        <v>0</v>
      </c>
      <c r="AA617" s="62">
        <f t="shared" ref="AA617" si="70">+Y617+Z617</f>
        <v>0</v>
      </c>
      <c r="AB617" s="62">
        <f t="shared" si="67"/>
        <v>-500</v>
      </c>
      <c r="AC617" s="4"/>
      <c r="AD617" s="4"/>
    </row>
    <row r="618" spans="1:31" hidden="1" x14ac:dyDescent="0.3">
      <c r="A618" s="69">
        <v>11</v>
      </c>
      <c r="B618" s="4" t="s">
        <v>198</v>
      </c>
      <c r="C618" s="4" t="s">
        <v>28</v>
      </c>
      <c r="D618" s="4" t="s">
        <v>274</v>
      </c>
      <c r="E618" s="4" t="str">
        <f>VLOOKUP(C618,'[2]CTRL AUTOS'!$E$2:$L$58,8,FALSE)</f>
        <v>ASHC</v>
      </c>
      <c r="F618" s="61" t="str">
        <f>VLOOKUP(C618,'[2]CTRL AUTOS'!$E$2:$K$58,7,FALSE)</f>
        <v>ASHC</v>
      </c>
      <c r="G618" s="4" t="s">
        <v>234</v>
      </c>
      <c r="H618" s="62">
        <v>5109.3599999999997</v>
      </c>
      <c r="I618" s="62">
        <v>-2294.62</v>
      </c>
      <c r="J618" s="62">
        <v>0</v>
      </c>
      <c r="K618" s="62">
        <v>0</v>
      </c>
      <c r="L618" s="62">
        <v>0</v>
      </c>
      <c r="M618" s="62">
        <v>-45</v>
      </c>
      <c r="N618" s="62">
        <v>0</v>
      </c>
      <c r="O618" s="62">
        <f t="shared" si="65"/>
        <v>2769.74</v>
      </c>
      <c r="P618" s="62">
        <f>(-2500/7)*4.5</f>
        <v>-1607.1428571428573</v>
      </c>
      <c r="Q618" s="62">
        <v>0</v>
      </c>
      <c r="R618" s="62">
        <v>-357.14285714285717</v>
      </c>
      <c r="S618" s="62">
        <v>0</v>
      </c>
      <c r="T618" s="62">
        <v>0</v>
      </c>
      <c r="U618" s="62">
        <v>160</v>
      </c>
      <c r="V618" s="62">
        <v>0</v>
      </c>
      <c r="W618" s="62">
        <f t="shared" si="66"/>
        <v>965.45428571428533</v>
      </c>
      <c r="X618" s="62">
        <f>IF(W618&gt;=0,W618,0)</f>
        <v>965.45428571428533</v>
      </c>
      <c r="Y618" s="62">
        <f>IF(W618&lt;=0,W618,0)</f>
        <v>0</v>
      </c>
      <c r="Z618" s="62">
        <v>0</v>
      </c>
      <c r="AA618" s="62">
        <f>+Y618+Z618</f>
        <v>0</v>
      </c>
      <c r="AB618" s="62">
        <f t="shared" si="67"/>
        <v>1804.2857142857144</v>
      </c>
      <c r="AC618" s="4"/>
      <c r="AD618" s="4" t="s">
        <v>1080</v>
      </c>
    </row>
    <row r="619" spans="1:31" hidden="1" x14ac:dyDescent="0.3">
      <c r="A619" s="69">
        <v>11</v>
      </c>
      <c r="B619" s="4" t="s">
        <v>70</v>
      </c>
      <c r="C619" s="4" t="s">
        <v>26</v>
      </c>
      <c r="D619" s="4" t="s">
        <v>575</v>
      </c>
      <c r="E619" s="4" t="s">
        <v>232</v>
      </c>
      <c r="F619" s="61" t="s">
        <v>232</v>
      </c>
      <c r="G619" s="4" t="s">
        <v>234</v>
      </c>
      <c r="H619" s="62">
        <v>1135.44</v>
      </c>
      <c r="I619" s="62">
        <v>-29.95</v>
      </c>
      <c r="J619" s="62">
        <v>0</v>
      </c>
      <c r="K619" s="62">
        <v>0</v>
      </c>
      <c r="L619" s="62">
        <v>0</v>
      </c>
      <c r="M619" s="62">
        <v>-5</v>
      </c>
      <c r="N619" s="62">
        <v>0</v>
      </c>
      <c r="O619" s="62">
        <f>IF(H619+I619&lt;0,SUM(J619:N619),SUM(H619:N619))</f>
        <v>1100.49</v>
      </c>
      <c r="P619" s="62">
        <f>(-2500/7)*2</f>
        <v>-714.28571428571433</v>
      </c>
      <c r="Q619" s="62">
        <v>0</v>
      </c>
      <c r="R619" s="62">
        <v>-142.85714285714286</v>
      </c>
      <c r="S619" s="62">
        <v>0</v>
      </c>
      <c r="T619" s="62">
        <v>0</v>
      </c>
      <c r="U619" s="62">
        <v>0</v>
      </c>
      <c r="V619" s="62">
        <v>0</v>
      </c>
      <c r="W619" s="62">
        <f t="shared" si="66"/>
        <v>243.34714285714281</v>
      </c>
      <c r="X619" s="62">
        <f>IF(W619&gt;=0,W619,0)</f>
        <v>243.34714285714281</v>
      </c>
      <c r="Y619" s="62">
        <f>IF(W619&lt;=0,W619,0)</f>
        <v>0</v>
      </c>
      <c r="Z619" s="62">
        <v>0</v>
      </c>
      <c r="AA619" s="62">
        <f>+Y619+Z619</f>
        <v>0</v>
      </c>
      <c r="AB619" s="62">
        <f t="shared" si="67"/>
        <v>857.14285714285722</v>
      </c>
      <c r="AC619" s="4"/>
      <c r="AD619" s="4"/>
    </row>
    <row r="620" spans="1:31" hidden="1" x14ac:dyDescent="0.3">
      <c r="A620" s="69">
        <v>11</v>
      </c>
      <c r="B620" s="3" t="s">
        <v>150</v>
      </c>
      <c r="C620" s="4" t="s">
        <v>96</v>
      </c>
      <c r="D620" s="4" t="s">
        <v>1035</v>
      </c>
      <c r="E620" s="4" t="s">
        <v>232</v>
      </c>
      <c r="F620" s="61" t="s">
        <v>232</v>
      </c>
      <c r="G620" s="4" t="s">
        <v>425</v>
      </c>
      <c r="H620" s="62">
        <v>0</v>
      </c>
      <c r="I620" s="62">
        <v>0</v>
      </c>
      <c r="J620" s="62">
        <v>0</v>
      </c>
      <c r="K620" s="62">
        <v>0</v>
      </c>
      <c r="L620" s="62">
        <v>0</v>
      </c>
      <c r="M620" s="62">
        <v>0</v>
      </c>
      <c r="N620" s="62">
        <v>0</v>
      </c>
      <c r="O620" s="62">
        <f>IF(H620+I620&lt;0,SUM(J620:N620),SUM(H620:N620))</f>
        <v>0</v>
      </c>
      <c r="P620" s="62">
        <v>-2500</v>
      </c>
      <c r="Q620" s="62">
        <v>0</v>
      </c>
      <c r="R620" s="62">
        <v>-500</v>
      </c>
      <c r="S620" s="62">
        <v>0</v>
      </c>
      <c r="T620" s="62">
        <v>0</v>
      </c>
      <c r="U620" s="62">
        <v>0</v>
      </c>
      <c r="V620" s="62">
        <v>0</v>
      </c>
      <c r="W620" s="62">
        <f t="shared" si="66"/>
        <v>-3000</v>
      </c>
      <c r="X620" s="62">
        <f t="shared" ref="X620:X683" si="71">IF(W620&gt;=0,W620,0)</f>
        <v>0</v>
      </c>
      <c r="Y620" s="62">
        <f t="shared" ref="Y620:Y683" si="72">IF(W620&lt;=0,W620,0)</f>
        <v>-3000</v>
      </c>
      <c r="Z620" s="62">
        <v>3000</v>
      </c>
      <c r="AA620" s="62">
        <f t="shared" ref="AA620:AA683" si="73">+Y620+Z620</f>
        <v>0</v>
      </c>
      <c r="AB620" s="62">
        <f t="shared" si="67"/>
        <v>3000</v>
      </c>
      <c r="AC620" s="4"/>
      <c r="AD620" s="4" t="s">
        <v>1081</v>
      </c>
    </row>
    <row r="621" spans="1:31" hidden="1" x14ac:dyDescent="0.3">
      <c r="A621" s="69">
        <v>11</v>
      </c>
      <c r="B621" s="3" t="s">
        <v>192</v>
      </c>
      <c r="C621" s="4" t="s">
        <v>79</v>
      </c>
      <c r="D621" s="4" t="s">
        <v>475</v>
      </c>
      <c r="E621" s="4" t="s">
        <v>291</v>
      </c>
      <c r="F621" s="61" t="s">
        <v>291</v>
      </c>
      <c r="G621" s="4" t="s">
        <v>234</v>
      </c>
      <c r="H621" s="62">
        <v>1501.55</v>
      </c>
      <c r="I621" s="62">
        <v>-910.19</v>
      </c>
      <c r="J621" s="62">
        <v>0</v>
      </c>
      <c r="K621" s="62">
        <v>0</v>
      </c>
      <c r="L621" s="62">
        <v>0</v>
      </c>
      <c r="M621" s="62">
        <v>-35</v>
      </c>
      <c r="N621" s="62">
        <v>0</v>
      </c>
      <c r="O621" s="62">
        <f>IF(H621+I621&lt;0,SUM(J621:N621),SUM(H621:N621))</f>
        <v>556.3599999999999</v>
      </c>
      <c r="P621" s="62">
        <v>-2500</v>
      </c>
      <c r="Q621" s="62">
        <v>0</v>
      </c>
      <c r="R621" s="62">
        <v>-500</v>
      </c>
      <c r="S621" s="62">
        <v>0</v>
      </c>
      <c r="T621" s="62">
        <v>0</v>
      </c>
      <c r="U621" s="62">
        <v>0</v>
      </c>
      <c r="V621" s="62">
        <v>0</v>
      </c>
      <c r="W621" s="62">
        <f t="shared" si="66"/>
        <v>-2443.6400000000003</v>
      </c>
      <c r="X621" s="62">
        <f t="shared" si="71"/>
        <v>0</v>
      </c>
      <c r="Y621" s="62">
        <f t="shared" si="72"/>
        <v>-2443.6400000000003</v>
      </c>
      <c r="Z621" s="62">
        <v>0</v>
      </c>
      <c r="AA621" s="62">
        <f t="shared" si="73"/>
        <v>-2443.6400000000003</v>
      </c>
      <c r="AB621" s="62">
        <f t="shared" si="67"/>
        <v>-1887.2800000000004</v>
      </c>
      <c r="AC621" s="4"/>
      <c r="AD621" s="4"/>
    </row>
    <row r="622" spans="1:31" hidden="1" x14ac:dyDescent="0.3">
      <c r="A622" s="69">
        <v>11</v>
      </c>
      <c r="B622" s="4" t="s">
        <v>186</v>
      </c>
      <c r="C622" s="4" t="s">
        <v>54</v>
      </c>
      <c r="D622" s="4" t="s">
        <v>318</v>
      </c>
      <c r="E622" s="4" t="s">
        <v>232</v>
      </c>
      <c r="F622" s="4" t="s">
        <v>232</v>
      </c>
      <c r="G622" s="4" t="s">
        <v>234</v>
      </c>
      <c r="H622" s="62">
        <v>2000.54</v>
      </c>
      <c r="I622" s="62">
        <v>-1530.7700000000004</v>
      </c>
      <c r="J622" s="62">
        <v>0</v>
      </c>
      <c r="K622" s="62">
        <v>0</v>
      </c>
      <c r="L622" s="62">
        <v>0</v>
      </c>
      <c r="M622" s="62">
        <v>-45</v>
      </c>
      <c r="N622" s="62">
        <v>0</v>
      </c>
      <c r="O622" s="62">
        <f>IF(H622+I622&lt;0,SUM(J622:N622),SUM(H622:N622))</f>
        <v>424.76999999999953</v>
      </c>
      <c r="P622" s="62">
        <v>-2500</v>
      </c>
      <c r="Q622" s="62">
        <v>0</v>
      </c>
      <c r="R622" s="62">
        <v>-500</v>
      </c>
      <c r="S622" s="62">
        <v>0</v>
      </c>
      <c r="T622" s="62">
        <v>0</v>
      </c>
      <c r="U622" s="62">
        <v>0</v>
      </c>
      <c r="V622" s="62">
        <v>0</v>
      </c>
      <c r="W622" s="62">
        <f t="shared" si="66"/>
        <v>-2575.2300000000005</v>
      </c>
      <c r="X622" s="62">
        <f t="shared" si="71"/>
        <v>0</v>
      </c>
      <c r="Y622" s="62">
        <f t="shared" si="72"/>
        <v>-2575.2300000000005</v>
      </c>
      <c r="Z622" s="62">
        <v>1500</v>
      </c>
      <c r="AA622" s="62">
        <f t="shared" si="73"/>
        <v>-1075.2300000000005</v>
      </c>
      <c r="AB622" s="62">
        <f t="shared" si="67"/>
        <v>849.53999999999905</v>
      </c>
      <c r="AC622" s="4"/>
      <c r="AD622" s="4" t="s">
        <v>1082</v>
      </c>
    </row>
    <row r="623" spans="1:31" hidden="1" x14ac:dyDescent="0.3">
      <c r="A623" s="69">
        <v>11</v>
      </c>
      <c r="B623" s="4" t="s">
        <v>183</v>
      </c>
      <c r="C623" s="4" t="s">
        <v>40</v>
      </c>
      <c r="D623" s="4" t="s">
        <v>315</v>
      </c>
      <c r="E623" s="4" t="s">
        <v>232</v>
      </c>
      <c r="F623" s="4" t="s">
        <v>232</v>
      </c>
      <c r="G623" s="4" t="s">
        <v>234</v>
      </c>
      <c r="H623" s="62">
        <v>2273.7399999999998</v>
      </c>
      <c r="I623" s="62">
        <v>-1397.6400000000003</v>
      </c>
      <c r="J623" s="62">
        <v>-22.880000000000003</v>
      </c>
      <c r="K623" s="62">
        <v>0</v>
      </c>
      <c r="L623" s="62">
        <v>0</v>
      </c>
      <c r="M623" s="62">
        <v>-45</v>
      </c>
      <c r="N623" s="62">
        <v>0</v>
      </c>
      <c r="O623" s="62">
        <f t="shared" ref="O623:O686" si="74">IF(H623+I623&lt;0,SUM(J623:N623),SUM(H623:N623))</f>
        <v>808.21999999999946</v>
      </c>
      <c r="P623" s="62">
        <v>-2500</v>
      </c>
      <c r="Q623" s="62">
        <f>-266*1.12</f>
        <v>-297.92</v>
      </c>
      <c r="R623" s="62">
        <v>-500</v>
      </c>
      <c r="S623" s="62">
        <v>0</v>
      </c>
      <c r="T623" s="62">
        <v>0</v>
      </c>
      <c r="U623" s="62">
        <v>0</v>
      </c>
      <c r="V623" s="62">
        <v>0</v>
      </c>
      <c r="W623" s="62">
        <f t="shared" si="66"/>
        <v>-2489.7000000000007</v>
      </c>
      <c r="X623" s="62">
        <f t="shared" si="71"/>
        <v>0</v>
      </c>
      <c r="Y623" s="62">
        <f t="shared" si="72"/>
        <v>-2489.7000000000007</v>
      </c>
      <c r="Z623" s="62">
        <f>500+400+300+350</f>
        <v>1550</v>
      </c>
      <c r="AA623" s="62">
        <f t="shared" si="73"/>
        <v>-939.70000000000073</v>
      </c>
      <c r="AB623" s="62">
        <f t="shared" si="67"/>
        <v>1418.5199999999986</v>
      </c>
      <c r="AC623" s="4"/>
      <c r="AD623" s="4" t="s">
        <v>1083</v>
      </c>
    </row>
    <row r="624" spans="1:31" hidden="1" x14ac:dyDescent="0.3">
      <c r="A624" s="69">
        <v>11</v>
      </c>
      <c r="B624" s="4" t="s">
        <v>187</v>
      </c>
      <c r="C624" s="4" t="s">
        <v>75</v>
      </c>
      <c r="D624" s="4" t="s">
        <v>333</v>
      </c>
      <c r="E624" s="4" t="s">
        <v>241</v>
      </c>
      <c r="F624" s="4" t="s">
        <v>291</v>
      </c>
      <c r="G624" s="4" t="s">
        <v>234</v>
      </c>
      <c r="H624" s="62">
        <v>1322.85</v>
      </c>
      <c r="I624" s="62">
        <v>-1371.1500000000003</v>
      </c>
      <c r="J624" s="62">
        <v>0</v>
      </c>
      <c r="K624" s="62">
        <v>0</v>
      </c>
      <c r="L624" s="62">
        <v>0</v>
      </c>
      <c r="M624" s="62">
        <v>-45</v>
      </c>
      <c r="N624" s="62">
        <v>0</v>
      </c>
      <c r="O624" s="62">
        <f t="shared" si="74"/>
        <v>-45</v>
      </c>
      <c r="P624" s="62">
        <f>(-2500/7)*4</f>
        <v>-1428.5714285714287</v>
      </c>
      <c r="Q624" s="62">
        <v>0</v>
      </c>
      <c r="R624" s="62">
        <v>-500</v>
      </c>
      <c r="S624" s="62">
        <v>0</v>
      </c>
      <c r="T624" s="62">
        <v>0</v>
      </c>
      <c r="U624" s="62">
        <v>0</v>
      </c>
      <c r="V624" s="62">
        <v>0</v>
      </c>
      <c r="W624" s="62">
        <f t="shared" si="66"/>
        <v>-1973.5714285714287</v>
      </c>
      <c r="X624" s="62">
        <f t="shared" si="71"/>
        <v>0</v>
      </c>
      <c r="Y624" s="62">
        <f t="shared" si="72"/>
        <v>-1973.5714285714287</v>
      </c>
      <c r="Z624" s="62">
        <v>1974</v>
      </c>
      <c r="AA624" s="62">
        <f t="shared" si="73"/>
        <v>0.42857142857133113</v>
      </c>
      <c r="AB624" s="62">
        <f t="shared" si="67"/>
        <v>1929.4285714285713</v>
      </c>
      <c r="AC624" s="4"/>
      <c r="AD624" s="4" t="s">
        <v>1084</v>
      </c>
    </row>
    <row r="625" spans="1:30" hidden="1" x14ac:dyDescent="0.3">
      <c r="A625" s="69">
        <v>11</v>
      </c>
      <c r="B625" s="4" t="s">
        <v>190</v>
      </c>
      <c r="C625" s="4" t="s">
        <v>142</v>
      </c>
      <c r="D625" s="4" t="s">
        <v>1079</v>
      </c>
      <c r="E625" s="4" t="s">
        <v>232</v>
      </c>
      <c r="F625" s="4" t="s">
        <v>232</v>
      </c>
      <c r="G625" s="4" t="s">
        <v>234</v>
      </c>
      <c r="H625" s="62">
        <v>8665.24</v>
      </c>
      <c r="I625" s="62">
        <v>0</v>
      </c>
      <c r="J625" s="62">
        <v>0</v>
      </c>
      <c r="K625" s="62">
        <v>0</v>
      </c>
      <c r="L625" s="62">
        <v>0</v>
      </c>
      <c r="M625" s="62">
        <v>0</v>
      </c>
      <c r="N625" s="62">
        <v>0</v>
      </c>
      <c r="O625" s="62">
        <f t="shared" si="74"/>
        <v>8665.24</v>
      </c>
      <c r="P625" s="62">
        <v>-2700</v>
      </c>
      <c r="Q625" s="62">
        <v>0</v>
      </c>
      <c r="R625" s="62">
        <v>-500</v>
      </c>
      <c r="S625" s="62">
        <v>0</v>
      </c>
      <c r="T625" s="62">
        <v>0</v>
      </c>
      <c r="U625" s="62">
        <v>0</v>
      </c>
      <c r="V625" s="62">
        <v>0</v>
      </c>
      <c r="W625" s="62">
        <f t="shared" si="66"/>
        <v>5465.24</v>
      </c>
      <c r="X625" s="62">
        <f t="shared" si="71"/>
        <v>5465.24</v>
      </c>
      <c r="Y625" s="62">
        <f t="shared" si="72"/>
        <v>0</v>
      </c>
      <c r="Z625" s="62">
        <v>0</v>
      </c>
      <c r="AA625" s="62">
        <f t="shared" si="73"/>
        <v>0</v>
      </c>
      <c r="AB625" s="62">
        <f t="shared" si="67"/>
        <v>3200</v>
      </c>
      <c r="AC625" s="4"/>
      <c r="AD625" s="4"/>
    </row>
    <row r="626" spans="1:30" hidden="1" x14ac:dyDescent="0.3">
      <c r="A626" s="69">
        <v>11</v>
      </c>
      <c r="B626" s="4" t="s">
        <v>185</v>
      </c>
      <c r="C626" s="4" t="s">
        <v>34</v>
      </c>
      <c r="D626" s="4" t="s">
        <v>285</v>
      </c>
      <c r="E626" s="4" t="s">
        <v>232</v>
      </c>
      <c r="F626" s="4" t="s">
        <v>232</v>
      </c>
      <c r="G626" s="4" t="s">
        <v>234</v>
      </c>
      <c r="H626" s="62">
        <v>3388.99</v>
      </c>
      <c r="I626" s="62">
        <v>-1210.8900000000001</v>
      </c>
      <c r="J626" s="62">
        <v>0</v>
      </c>
      <c r="K626" s="62">
        <v>0</v>
      </c>
      <c r="L626" s="62">
        <v>0</v>
      </c>
      <c r="M626" s="62">
        <f>-1.32-45</f>
        <v>-46.32</v>
      </c>
      <c r="N626" s="62">
        <v>-11</v>
      </c>
      <c r="O626" s="62">
        <f t="shared" si="74"/>
        <v>2120.7799999999993</v>
      </c>
      <c r="P626" s="62">
        <v>-2500</v>
      </c>
      <c r="Q626" s="62">
        <v>0</v>
      </c>
      <c r="R626" s="62">
        <v>-500</v>
      </c>
      <c r="S626" s="62">
        <v>0</v>
      </c>
      <c r="T626" s="62">
        <v>0</v>
      </c>
      <c r="U626" s="62">
        <v>0</v>
      </c>
      <c r="V626" s="62">
        <v>0</v>
      </c>
      <c r="W626" s="62">
        <f t="shared" si="66"/>
        <v>-879.22000000000071</v>
      </c>
      <c r="X626" s="62">
        <f t="shared" si="71"/>
        <v>0</v>
      </c>
      <c r="Y626" s="62">
        <f t="shared" si="72"/>
        <v>-879.22000000000071</v>
      </c>
      <c r="Z626" s="62">
        <v>879</v>
      </c>
      <c r="AA626" s="62">
        <f t="shared" si="73"/>
        <v>-0.22000000000070941</v>
      </c>
      <c r="AB626" s="62">
        <f t="shared" si="67"/>
        <v>2999.5599999999986</v>
      </c>
      <c r="AC626" s="4"/>
      <c r="AD626" s="4" t="s">
        <v>1085</v>
      </c>
    </row>
    <row r="627" spans="1:30" hidden="1" x14ac:dyDescent="0.3">
      <c r="A627" s="69">
        <v>11</v>
      </c>
      <c r="B627" s="4" t="s">
        <v>189</v>
      </c>
      <c r="C627" s="4" t="s">
        <v>24</v>
      </c>
      <c r="D627" s="4" t="s">
        <v>515</v>
      </c>
      <c r="E627" s="4" t="s">
        <v>232</v>
      </c>
      <c r="F627" s="4" t="s">
        <v>232</v>
      </c>
      <c r="G627" s="4" t="s">
        <v>234</v>
      </c>
      <c r="H627" s="62">
        <v>2244.13</v>
      </c>
      <c r="I627" s="62">
        <v>0</v>
      </c>
      <c r="J627" s="62">
        <v>0</v>
      </c>
      <c r="K627" s="62">
        <v>66.81</v>
      </c>
      <c r="L627" s="62">
        <v>0</v>
      </c>
      <c r="M627" s="62">
        <v>-33.479999999999997</v>
      </c>
      <c r="N627" s="62">
        <v>-279</v>
      </c>
      <c r="O627" s="62">
        <f t="shared" si="74"/>
        <v>1998.46</v>
      </c>
      <c r="P627" s="62">
        <v>-2700</v>
      </c>
      <c r="Q627" s="62">
        <f>-277*1.12</f>
        <v>-310.24</v>
      </c>
      <c r="R627" s="62">
        <v>-500</v>
      </c>
      <c r="S627" s="62">
        <v>0</v>
      </c>
      <c r="T627" s="62">
        <v>0</v>
      </c>
      <c r="U627" s="62">
        <v>0</v>
      </c>
      <c r="V627" s="62">
        <v>0</v>
      </c>
      <c r="W627" s="62">
        <f t="shared" si="66"/>
        <v>-1511.78</v>
      </c>
      <c r="X627" s="62">
        <f t="shared" si="71"/>
        <v>0</v>
      </c>
      <c r="Y627" s="62">
        <f t="shared" si="72"/>
        <v>-1511.78</v>
      </c>
      <c r="Z627" s="62">
        <f>500+600+300+112</f>
        <v>1512</v>
      </c>
      <c r="AA627" s="62">
        <f t="shared" si="73"/>
        <v>0.22000000000002728</v>
      </c>
      <c r="AB627" s="62">
        <f t="shared" si="67"/>
        <v>3510.6800000000003</v>
      </c>
      <c r="AC627" s="4"/>
      <c r="AD627" s="4" t="s">
        <v>1086</v>
      </c>
    </row>
    <row r="628" spans="1:30" hidden="1" x14ac:dyDescent="0.3">
      <c r="A628" s="69">
        <v>11</v>
      </c>
      <c r="B628" s="4" t="s">
        <v>173</v>
      </c>
      <c r="C628" s="4" t="s">
        <v>52</v>
      </c>
      <c r="D628" s="4" t="s">
        <v>934</v>
      </c>
      <c r="E628" s="4" t="s">
        <v>232</v>
      </c>
      <c r="F628" s="4" t="s">
        <v>232</v>
      </c>
      <c r="G628" s="4" t="s">
        <v>234</v>
      </c>
      <c r="H628" s="62">
        <v>1924.78</v>
      </c>
      <c r="I628" s="62">
        <v>-249.85000000000002</v>
      </c>
      <c r="J628" s="62">
        <v>-33.090000000000003</v>
      </c>
      <c r="K628" s="62">
        <v>216.58</v>
      </c>
      <c r="L628" s="62">
        <v>0</v>
      </c>
      <c r="M628" s="62">
        <f>-8.88-20</f>
        <v>-28.880000000000003</v>
      </c>
      <c r="N628" s="62">
        <v>-74</v>
      </c>
      <c r="O628" s="62">
        <f t="shared" si="74"/>
        <v>1755.5399999999997</v>
      </c>
      <c r="P628" s="62">
        <v>-2500</v>
      </c>
      <c r="Q628" s="62">
        <v>0</v>
      </c>
      <c r="R628" s="62">
        <v>-500</v>
      </c>
      <c r="S628" s="62">
        <v>0</v>
      </c>
      <c r="T628" s="62">
        <v>0</v>
      </c>
      <c r="U628" s="62">
        <v>0</v>
      </c>
      <c r="V628" s="62">
        <v>0</v>
      </c>
      <c r="W628" s="62">
        <f t="shared" si="66"/>
        <v>-1244.4600000000003</v>
      </c>
      <c r="X628" s="62">
        <f t="shared" si="71"/>
        <v>0</v>
      </c>
      <c r="Y628" s="62">
        <f t="shared" si="72"/>
        <v>-1244.4600000000003</v>
      </c>
      <c r="Z628" s="62">
        <f>800+444</f>
        <v>1244</v>
      </c>
      <c r="AA628" s="62">
        <f t="shared" si="73"/>
        <v>-0.46000000000026375</v>
      </c>
      <c r="AB628" s="62">
        <f t="shared" si="67"/>
        <v>2999.08</v>
      </c>
      <c r="AC628" s="4"/>
      <c r="AD628" s="4" t="s">
        <v>1087</v>
      </c>
    </row>
    <row r="629" spans="1:30" hidden="1" x14ac:dyDescent="0.3">
      <c r="A629" s="69">
        <v>11</v>
      </c>
      <c r="B629" s="4" t="s">
        <v>174</v>
      </c>
      <c r="C629" s="4" t="s">
        <v>77</v>
      </c>
      <c r="D629" s="4" t="s">
        <v>474</v>
      </c>
      <c r="E629" s="4" t="s">
        <v>232</v>
      </c>
      <c r="F629" s="4" t="s">
        <v>232</v>
      </c>
      <c r="G629" s="4" t="s">
        <v>234</v>
      </c>
      <c r="H629" s="62">
        <v>3958.2</v>
      </c>
      <c r="I629" s="62">
        <v>-339.03</v>
      </c>
      <c r="J629" s="62">
        <v>-24</v>
      </c>
      <c r="K629" s="62">
        <v>124.64</v>
      </c>
      <c r="L629" s="62">
        <v>0</v>
      </c>
      <c r="M629" s="62">
        <v>-20</v>
      </c>
      <c r="N629" s="62">
        <v>0</v>
      </c>
      <c r="O629" s="62">
        <f t="shared" si="74"/>
        <v>3699.81</v>
      </c>
      <c r="P629" s="62">
        <v>-2500</v>
      </c>
      <c r="Q629" s="62">
        <v>0</v>
      </c>
      <c r="R629" s="62">
        <v>-500</v>
      </c>
      <c r="S629" s="62">
        <v>0</v>
      </c>
      <c r="T629" s="62">
        <v>0</v>
      </c>
      <c r="U629" s="62">
        <v>0</v>
      </c>
      <c r="V629" s="62">
        <v>0</v>
      </c>
      <c r="W629" s="62">
        <f t="shared" si="66"/>
        <v>699.81</v>
      </c>
      <c r="X629" s="62">
        <f t="shared" si="71"/>
        <v>699.81</v>
      </c>
      <c r="Y629" s="62">
        <f t="shared" si="72"/>
        <v>0</v>
      </c>
      <c r="Z629" s="62">
        <v>0</v>
      </c>
      <c r="AA629" s="62">
        <f t="shared" si="73"/>
        <v>0</v>
      </c>
      <c r="AB629" s="62">
        <f t="shared" si="67"/>
        <v>3000</v>
      </c>
      <c r="AC629" s="4"/>
      <c r="AD629" s="4"/>
    </row>
    <row r="630" spans="1:30" hidden="1" x14ac:dyDescent="0.3">
      <c r="A630" s="69">
        <v>11</v>
      </c>
      <c r="B630" s="4" t="s">
        <v>175</v>
      </c>
      <c r="C630" s="4" t="s">
        <v>69</v>
      </c>
      <c r="D630" s="4" t="s">
        <v>937</v>
      </c>
      <c r="E630" s="4" t="s">
        <v>232</v>
      </c>
      <c r="F630" s="4" t="s">
        <v>232</v>
      </c>
      <c r="G630" s="4" t="s">
        <v>425</v>
      </c>
      <c r="H630" s="62">
        <v>3275.17</v>
      </c>
      <c r="I630" s="62">
        <v>-1618.31</v>
      </c>
      <c r="J630" s="62">
        <f>+I630*0.101</f>
        <v>-163.44931</v>
      </c>
      <c r="K630" s="62">
        <v>0</v>
      </c>
      <c r="L630" s="62">
        <v>0</v>
      </c>
      <c r="M630" s="62">
        <v>0</v>
      </c>
      <c r="N630" s="62">
        <v>0</v>
      </c>
      <c r="O630" s="62">
        <f t="shared" si="74"/>
        <v>1493.4106900000002</v>
      </c>
      <c r="P630" s="62">
        <f>(-2500/7)*6</f>
        <v>-2142.8571428571431</v>
      </c>
      <c r="Q630" s="62">
        <f>-2203*1.12</f>
        <v>-2467.36</v>
      </c>
      <c r="R630" s="62">
        <v>-500</v>
      </c>
      <c r="S630" s="62">
        <v>0</v>
      </c>
      <c r="T630" s="62">
        <v>0</v>
      </c>
      <c r="U630" s="62">
        <v>0</v>
      </c>
      <c r="V630" s="62">
        <v>0</v>
      </c>
      <c r="W630" s="62">
        <f t="shared" si="66"/>
        <v>-3616.8064528571431</v>
      </c>
      <c r="X630" s="62">
        <f t="shared" si="71"/>
        <v>0</v>
      </c>
      <c r="Y630" s="62">
        <f t="shared" si="72"/>
        <v>-3616.8064528571431</v>
      </c>
      <c r="Z630" s="62">
        <v>3617</v>
      </c>
      <c r="AA630" s="62">
        <f t="shared" si="73"/>
        <v>0.19354714285691443</v>
      </c>
      <c r="AB630" s="62">
        <f t="shared" si="67"/>
        <v>5110.6042371428575</v>
      </c>
      <c r="AC630" s="4"/>
      <c r="AD630" s="4" t="s">
        <v>1088</v>
      </c>
    </row>
    <row r="631" spans="1:30" hidden="1" x14ac:dyDescent="0.3">
      <c r="A631" s="69">
        <v>11</v>
      </c>
      <c r="B631" s="3" t="s">
        <v>76</v>
      </c>
      <c r="C631" s="4" t="s">
        <v>40</v>
      </c>
      <c r="D631" s="4" t="s">
        <v>315</v>
      </c>
      <c r="E631" s="4" t="s">
        <v>232</v>
      </c>
      <c r="F631" s="61" t="s">
        <v>232</v>
      </c>
      <c r="G631" s="4" t="s">
        <v>234</v>
      </c>
      <c r="H631" s="62">
        <v>3813.39</v>
      </c>
      <c r="I631" s="62">
        <v>-1304.8599999999999</v>
      </c>
      <c r="J631" s="62">
        <v>0</v>
      </c>
      <c r="K631" s="62">
        <v>0</v>
      </c>
      <c r="L631" s="62">
        <v>-49.490000000000009</v>
      </c>
      <c r="M631" s="62">
        <f>-8.88-45</f>
        <v>-53.88</v>
      </c>
      <c r="N631" s="62">
        <v>-74</v>
      </c>
      <c r="O631" s="62">
        <f t="shared" si="74"/>
        <v>2331.16</v>
      </c>
      <c r="P631" s="62">
        <v>-2500</v>
      </c>
      <c r="Q631" s="62">
        <f>-520*1.12</f>
        <v>-582.40000000000009</v>
      </c>
      <c r="R631" s="62">
        <v>0</v>
      </c>
      <c r="S631" s="62">
        <v>0</v>
      </c>
      <c r="T631" s="62">
        <v>0</v>
      </c>
      <c r="U631" s="62">
        <v>0</v>
      </c>
      <c r="V631" s="62">
        <v>-914</v>
      </c>
      <c r="W631" s="62">
        <f t="shared" si="66"/>
        <v>-1665.2400000000002</v>
      </c>
      <c r="X631" s="62">
        <f t="shared" si="71"/>
        <v>0</v>
      </c>
      <c r="Y631" s="62">
        <f t="shared" si="72"/>
        <v>-1665.2400000000002</v>
      </c>
      <c r="Z631" s="62">
        <f>1000+665</f>
        <v>1665</v>
      </c>
      <c r="AA631" s="62">
        <f t="shared" si="73"/>
        <v>-0.24000000000023647</v>
      </c>
      <c r="AB631" s="62">
        <f t="shared" si="67"/>
        <v>3995.9199999999996</v>
      </c>
      <c r="AC631" s="4"/>
      <c r="AD631" s="4" t="s">
        <v>1089</v>
      </c>
    </row>
    <row r="632" spans="1:30" hidden="1" x14ac:dyDescent="0.3">
      <c r="A632" s="69">
        <v>11</v>
      </c>
      <c r="B632" s="3" t="s">
        <v>15</v>
      </c>
      <c r="C632" s="4" t="s">
        <v>137</v>
      </c>
      <c r="D632" s="4" t="s">
        <v>877</v>
      </c>
      <c r="E632" s="4" t="s">
        <v>232</v>
      </c>
      <c r="F632" s="61" t="s">
        <v>232</v>
      </c>
      <c r="G632" s="4" t="s">
        <v>234</v>
      </c>
      <c r="H632" s="62">
        <v>2553.0500000000002</v>
      </c>
      <c r="I632" s="62">
        <v>-244.84</v>
      </c>
      <c r="J632" s="62">
        <v>-2.14</v>
      </c>
      <c r="K632" s="62">
        <v>13.36</v>
      </c>
      <c r="L632" s="62">
        <v>0</v>
      </c>
      <c r="M632" s="62">
        <f>-8.88-20</f>
        <v>-28.880000000000003</v>
      </c>
      <c r="N632" s="62">
        <v>-74</v>
      </c>
      <c r="O632" s="62">
        <f t="shared" si="74"/>
        <v>2216.5500000000002</v>
      </c>
      <c r="P632" s="62">
        <v>-2700</v>
      </c>
      <c r="Q632" s="62">
        <f>-2970*1.12</f>
        <v>-3326.4</v>
      </c>
      <c r="R632" s="62">
        <v>-250</v>
      </c>
      <c r="S632" s="62">
        <v>0</v>
      </c>
      <c r="T632" s="62">
        <v>0</v>
      </c>
      <c r="U632" s="62">
        <v>0</v>
      </c>
      <c r="V632" s="62">
        <v>0</v>
      </c>
      <c r="W632" s="62">
        <f t="shared" si="66"/>
        <v>-4059.85</v>
      </c>
      <c r="X632" s="62">
        <f t="shared" si="71"/>
        <v>0</v>
      </c>
      <c r="Y632" s="62">
        <f t="shared" si="72"/>
        <v>-4059.85</v>
      </c>
      <c r="Z632" s="62">
        <f>1450+900</f>
        <v>2350</v>
      </c>
      <c r="AA632" s="62">
        <f t="shared" si="73"/>
        <v>-1709.85</v>
      </c>
      <c r="AB632" s="62">
        <f t="shared" si="67"/>
        <v>2856.7000000000003</v>
      </c>
      <c r="AC632" s="4"/>
      <c r="AD632" s="4" t="s">
        <v>1090</v>
      </c>
    </row>
    <row r="633" spans="1:30" hidden="1" x14ac:dyDescent="0.3">
      <c r="A633" s="69">
        <v>11</v>
      </c>
      <c r="B633" s="3" t="s">
        <v>139</v>
      </c>
      <c r="C633" s="4" t="s">
        <v>10</v>
      </c>
      <c r="D633" s="4" t="s">
        <v>343</v>
      </c>
      <c r="E633" s="4" t="s">
        <v>232</v>
      </c>
      <c r="F633" s="61" t="s">
        <v>232</v>
      </c>
      <c r="G633" s="4" t="s">
        <v>234</v>
      </c>
      <c r="H633" s="62">
        <v>6436.07</v>
      </c>
      <c r="I633" s="62">
        <v>-4257.2599999999993</v>
      </c>
      <c r="J633" s="62">
        <v>0</v>
      </c>
      <c r="K633" s="62">
        <v>0</v>
      </c>
      <c r="L633" s="62">
        <v>0</v>
      </c>
      <c r="M633" s="62">
        <v>-60</v>
      </c>
      <c r="N633" s="62">
        <v>0</v>
      </c>
      <c r="O633" s="62">
        <f t="shared" si="74"/>
        <v>2118.8100000000004</v>
      </c>
      <c r="P633" s="62">
        <v>-2500</v>
      </c>
      <c r="Q633" s="62">
        <v>0</v>
      </c>
      <c r="R633" s="62">
        <v>-500</v>
      </c>
      <c r="S633" s="62">
        <v>0</v>
      </c>
      <c r="T633" s="62">
        <v>0</v>
      </c>
      <c r="U633" s="62">
        <v>0</v>
      </c>
      <c r="V633" s="62">
        <v>0</v>
      </c>
      <c r="W633" s="62">
        <f t="shared" si="66"/>
        <v>-881.1899999999996</v>
      </c>
      <c r="X633" s="62">
        <f t="shared" si="71"/>
        <v>0</v>
      </c>
      <c r="Y633" s="62">
        <f t="shared" si="72"/>
        <v>-881.1899999999996</v>
      </c>
      <c r="Z633" s="62">
        <v>881</v>
      </c>
      <c r="AA633" s="62">
        <f t="shared" si="73"/>
        <v>-0.18999999999959982</v>
      </c>
      <c r="AB633" s="62">
        <f t="shared" si="67"/>
        <v>2999.6200000000008</v>
      </c>
      <c r="AC633" s="4"/>
      <c r="AD633" s="4" t="s">
        <v>1091</v>
      </c>
    </row>
    <row r="634" spans="1:30" hidden="1" x14ac:dyDescent="0.3">
      <c r="A634" s="69">
        <v>11</v>
      </c>
      <c r="B634" s="3" t="s">
        <v>80</v>
      </c>
      <c r="C634" s="4" t="s">
        <v>81</v>
      </c>
      <c r="D634" s="4" t="s">
        <v>317</v>
      </c>
      <c r="E634" s="4" t="str">
        <f>VLOOKUP(C634,'[2]CTRL AUTOS'!$E$2:$L$58,8,FALSE)</f>
        <v>ASHC</v>
      </c>
      <c r="F634" s="61" t="str">
        <f>VLOOKUP(C634,'[2]CTRL AUTOS'!$E$2:$K$58,7,FALSE)</f>
        <v>ASHC</v>
      </c>
      <c r="G634" s="4" t="s">
        <v>234</v>
      </c>
      <c r="H634" s="62">
        <v>0</v>
      </c>
      <c r="I634" s="62">
        <v>0</v>
      </c>
      <c r="J634" s="62">
        <v>0</v>
      </c>
      <c r="K634" s="62">
        <v>0</v>
      </c>
      <c r="L634" s="62">
        <v>0</v>
      </c>
      <c r="M634" s="62">
        <v>0</v>
      </c>
      <c r="N634" s="62">
        <v>0</v>
      </c>
      <c r="O634" s="62">
        <f t="shared" si="74"/>
        <v>0</v>
      </c>
      <c r="P634" s="62">
        <v>-2500</v>
      </c>
      <c r="Q634" s="62">
        <v>0</v>
      </c>
      <c r="R634" s="62">
        <v>0</v>
      </c>
      <c r="S634" s="62">
        <v>0</v>
      </c>
      <c r="T634" s="62">
        <v>0</v>
      </c>
      <c r="U634" s="62">
        <v>0</v>
      </c>
      <c r="V634" s="62">
        <v>0</v>
      </c>
      <c r="W634" s="62">
        <f t="shared" si="66"/>
        <v>-2500</v>
      </c>
      <c r="X634" s="62">
        <f t="shared" si="71"/>
        <v>0</v>
      </c>
      <c r="Y634" s="62">
        <f t="shared" si="72"/>
        <v>-2500</v>
      </c>
      <c r="Z634" s="62">
        <v>2500</v>
      </c>
      <c r="AA634" s="62">
        <f t="shared" si="73"/>
        <v>0</v>
      </c>
      <c r="AB634" s="62">
        <f t="shared" si="67"/>
        <v>2500</v>
      </c>
      <c r="AC634" s="4"/>
      <c r="AD634" s="4" t="s">
        <v>1092</v>
      </c>
    </row>
    <row r="635" spans="1:30" hidden="1" x14ac:dyDescent="0.3">
      <c r="A635" s="69">
        <v>11</v>
      </c>
      <c r="B635" s="3" t="s">
        <v>13</v>
      </c>
      <c r="C635" s="4" t="s">
        <v>14</v>
      </c>
      <c r="D635" s="4" t="s">
        <v>505</v>
      </c>
      <c r="E635" s="4" t="str">
        <f>VLOOKUP(C635,'[2]CTRL AUTOS'!$E$2:$L$58,8,FALSE)</f>
        <v>ASHC</v>
      </c>
      <c r="F635" s="61" t="str">
        <f>VLOOKUP(C635,'[2]CTRL AUTOS'!$E$2:$K$58,7,FALSE)</f>
        <v>ASHC</v>
      </c>
      <c r="G635" s="4" t="s">
        <v>234</v>
      </c>
      <c r="H635" s="62">
        <v>8520.52</v>
      </c>
      <c r="I635" s="62">
        <v>0</v>
      </c>
      <c r="J635" s="62">
        <v>-166.4</v>
      </c>
      <c r="K635" s="62">
        <v>429.57</v>
      </c>
      <c r="L635" s="62">
        <v>0</v>
      </c>
      <c r="M635" s="62">
        <v>0</v>
      </c>
      <c r="N635" s="62">
        <v>0</v>
      </c>
      <c r="O635" s="62">
        <f t="shared" si="74"/>
        <v>8783.69</v>
      </c>
      <c r="P635" s="62">
        <f>(-2700/7)*6.5</f>
        <v>-2507.1428571428573</v>
      </c>
      <c r="Q635" s="62">
        <v>0</v>
      </c>
      <c r="R635" s="62">
        <v>0</v>
      </c>
      <c r="S635" s="62">
        <v>0</v>
      </c>
      <c r="T635" s="62">
        <v>0</v>
      </c>
      <c r="U635" s="62">
        <v>0</v>
      </c>
      <c r="V635" s="62">
        <v>0</v>
      </c>
      <c r="W635" s="62">
        <f t="shared" si="66"/>
        <v>6276.5471428571436</v>
      </c>
      <c r="X635" s="62">
        <f t="shared" si="71"/>
        <v>6276.5471428571436</v>
      </c>
      <c r="Y635" s="62">
        <f t="shared" si="72"/>
        <v>0</v>
      </c>
      <c r="Z635" s="62">
        <v>0</v>
      </c>
      <c r="AA635" s="62">
        <f t="shared" si="73"/>
        <v>0</v>
      </c>
      <c r="AB635" s="62">
        <f t="shared" si="67"/>
        <v>2507.1428571428569</v>
      </c>
      <c r="AC635" s="4"/>
      <c r="AD635" s="4" t="s">
        <v>1093</v>
      </c>
    </row>
    <row r="636" spans="1:30" hidden="1" x14ac:dyDescent="0.3">
      <c r="A636" s="69">
        <v>11</v>
      </c>
      <c r="B636" s="3" t="s">
        <v>120</v>
      </c>
      <c r="C636" s="4" t="s">
        <v>38</v>
      </c>
      <c r="D636" s="4" t="s">
        <v>579</v>
      </c>
      <c r="E636" s="4" t="str">
        <f>VLOOKUP(C636,'[2]CTRL AUTOS'!$E$2:$L$58,8,FALSE)</f>
        <v>ASHC</v>
      </c>
      <c r="F636" s="61" t="str">
        <f>VLOOKUP(C636,'[2]CTRL AUTOS'!$E$2:$K$58,7,FALSE)</f>
        <v>ASHC</v>
      </c>
      <c r="G636" s="4" t="s">
        <v>234</v>
      </c>
      <c r="H636" s="62">
        <v>3221.15</v>
      </c>
      <c r="I636" s="62">
        <v>-1072.2400000000002</v>
      </c>
      <c r="J636" s="62">
        <v>-22.880000000000003</v>
      </c>
      <c r="K636" s="62">
        <v>0</v>
      </c>
      <c r="L636" s="62">
        <v>0</v>
      </c>
      <c r="M636" s="62">
        <v>-45</v>
      </c>
      <c r="N636" s="62">
        <v>0</v>
      </c>
      <c r="O636" s="62">
        <f t="shared" si="74"/>
        <v>2081.0299999999997</v>
      </c>
      <c r="P636" s="62">
        <v>-2500</v>
      </c>
      <c r="Q636" s="62">
        <v>0</v>
      </c>
      <c r="R636" s="62">
        <v>0</v>
      </c>
      <c r="S636" s="62">
        <v>0</v>
      </c>
      <c r="T636" s="62">
        <v>0</v>
      </c>
      <c r="U636" s="62">
        <v>0</v>
      </c>
      <c r="V636" s="62">
        <v>0</v>
      </c>
      <c r="W636" s="62">
        <f t="shared" si="66"/>
        <v>-418.97000000000025</v>
      </c>
      <c r="X636" s="62">
        <f t="shared" si="71"/>
        <v>0</v>
      </c>
      <c r="Y636" s="62">
        <f t="shared" si="72"/>
        <v>-418.97000000000025</v>
      </c>
      <c r="Z636" s="62">
        <v>420</v>
      </c>
      <c r="AA636" s="62">
        <f t="shared" si="73"/>
        <v>1.0299999999997453</v>
      </c>
      <c r="AB636" s="62">
        <f t="shared" si="67"/>
        <v>2502.0599999999995</v>
      </c>
      <c r="AC636" s="4"/>
      <c r="AD636" s="4" t="s">
        <v>1094</v>
      </c>
    </row>
    <row r="637" spans="1:30" hidden="1" x14ac:dyDescent="0.3">
      <c r="A637" s="69">
        <v>11</v>
      </c>
      <c r="B637" s="3" t="s">
        <v>111</v>
      </c>
      <c r="C637" s="4" t="s">
        <v>63</v>
      </c>
      <c r="D637" s="4" t="s">
        <v>374</v>
      </c>
      <c r="E637" s="4" t="str">
        <f>VLOOKUP(C637,'[2]CTRL AUTOS'!$E$2:$L$58,8,FALSE)</f>
        <v>BYER</v>
      </c>
      <c r="F637" s="61" t="str">
        <f>VLOOKUP(C637,'[2]CTRL AUTOS'!$E$2:$K$58,7,FALSE)</f>
        <v>BYER</v>
      </c>
      <c r="G637" s="4" t="s">
        <v>234</v>
      </c>
      <c r="H637" s="62">
        <v>6607.03</v>
      </c>
      <c r="I637" s="62">
        <v>-2083.0500000000002</v>
      </c>
      <c r="J637" s="62">
        <v>0</v>
      </c>
      <c r="K637" s="62">
        <v>0</v>
      </c>
      <c r="L637" s="62">
        <v>0</v>
      </c>
      <c r="M637" s="62">
        <f>-36-45</f>
        <v>-81</v>
      </c>
      <c r="N637" s="62">
        <v>0</v>
      </c>
      <c r="O637" s="62">
        <f t="shared" si="74"/>
        <v>4442.9799999999996</v>
      </c>
      <c r="P637" s="62">
        <v>-2500</v>
      </c>
      <c r="Q637" s="62">
        <v>0</v>
      </c>
      <c r="R637" s="62">
        <v>0</v>
      </c>
      <c r="S637" s="62">
        <v>0</v>
      </c>
      <c r="T637" s="62">
        <v>0</v>
      </c>
      <c r="U637" s="62">
        <v>0</v>
      </c>
      <c r="V637" s="62">
        <v>0</v>
      </c>
      <c r="W637" s="62">
        <f t="shared" si="66"/>
        <v>1942.9799999999996</v>
      </c>
      <c r="X637" s="62">
        <f t="shared" si="71"/>
        <v>1942.9799999999996</v>
      </c>
      <c r="Y637" s="62">
        <f t="shared" si="72"/>
        <v>0</v>
      </c>
      <c r="Z637" s="62">
        <v>0</v>
      </c>
      <c r="AA637" s="62">
        <f t="shared" si="73"/>
        <v>0</v>
      </c>
      <c r="AB637" s="62">
        <f t="shared" si="67"/>
        <v>2500</v>
      </c>
      <c r="AC637" s="4"/>
      <c r="AD637" s="4" t="s">
        <v>410</v>
      </c>
    </row>
    <row r="638" spans="1:30" hidden="1" x14ac:dyDescent="0.3">
      <c r="A638" s="69">
        <v>11</v>
      </c>
      <c r="B638" s="3" t="s">
        <v>121</v>
      </c>
      <c r="C638" s="4" t="s">
        <v>156</v>
      </c>
      <c r="D638" s="4" t="s">
        <v>1072</v>
      </c>
      <c r="E638" s="4" t="str">
        <f>VLOOKUP(C638,'[2]CTRL AUTOS'!$E$2:$L$58,8,FALSE)</f>
        <v>ASHC</v>
      </c>
      <c r="F638" s="61" t="str">
        <f>VLOOKUP(C638,'[2]CTRL AUTOS'!$E$2:$K$58,7,FALSE)</f>
        <v>ASHC</v>
      </c>
      <c r="G638" s="4" t="s">
        <v>234</v>
      </c>
      <c r="H638" s="62">
        <v>6918.61</v>
      </c>
      <c r="I638" s="62">
        <v>-1480.98</v>
      </c>
      <c r="J638" s="62">
        <v>-53.41</v>
      </c>
      <c r="K638" s="62">
        <v>0</v>
      </c>
      <c r="L638" s="62">
        <v>0</v>
      </c>
      <c r="M638" s="62">
        <v>-45</v>
      </c>
      <c r="N638" s="62">
        <v>0</v>
      </c>
      <c r="O638" s="62">
        <f t="shared" si="74"/>
        <v>5339.2199999999993</v>
      </c>
      <c r="P638" s="62">
        <f>(-2700/7)*6.5</f>
        <v>-2507.1428571428573</v>
      </c>
      <c r="Q638" s="62">
        <v>0</v>
      </c>
      <c r="R638" s="62">
        <v>0</v>
      </c>
      <c r="S638" s="62">
        <v>0</v>
      </c>
      <c r="T638" s="62">
        <v>0</v>
      </c>
      <c r="U638" s="62">
        <v>0</v>
      </c>
      <c r="V638" s="62">
        <v>0</v>
      </c>
      <c r="W638" s="62">
        <f t="shared" si="66"/>
        <v>2832.077142857142</v>
      </c>
      <c r="X638" s="62">
        <f t="shared" si="71"/>
        <v>2832.077142857142</v>
      </c>
      <c r="Y638" s="62">
        <f t="shared" si="72"/>
        <v>0</v>
      </c>
      <c r="Z638" s="62">
        <v>0</v>
      </c>
      <c r="AA638" s="62">
        <f t="shared" si="73"/>
        <v>0</v>
      </c>
      <c r="AB638" s="62">
        <f t="shared" si="67"/>
        <v>2507.1428571428573</v>
      </c>
      <c r="AC638" s="4"/>
      <c r="AD638" s="4" t="s">
        <v>1093</v>
      </c>
    </row>
    <row r="639" spans="1:30" hidden="1" x14ac:dyDescent="0.3">
      <c r="A639" s="69">
        <v>11</v>
      </c>
      <c r="B639" s="3" t="s">
        <v>17</v>
      </c>
      <c r="C639" s="4" t="s">
        <v>18</v>
      </c>
      <c r="D639" s="4" t="s">
        <v>572</v>
      </c>
      <c r="E639" s="4" t="str">
        <f>VLOOKUP(C639,'[2]CTRL AUTOS'!$E$2:$L$58,8,FALSE)</f>
        <v>ASHC</v>
      </c>
      <c r="F639" s="61" t="str">
        <f>VLOOKUP(C639,'[2]CTRL AUTOS'!$E$2:$K$58,7,FALSE)</f>
        <v>ASHC</v>
      </c>
      <c r="G639" s="4" t="s">
        <v>234</v>
      </c>
      <c r="H639" s="62">
        <v>5206.3100000000004</v>
      </c>
      <c r="I639" s="62">
        <v>-2502.92</v>
      </c>
      <c r="J639" s="62">
        <v>-40</v>
      </c>
      <c r="K639" s="62">
        <v>0</v>
      </c>
      <c r="L639" s="62">
        <v>0</v>
      </c>
      <c r="M639" s="62">
        <v>-45</v>
      </c>
      <c r="N639" s="62">
        <v>0</v>
      </c>
      <c r="O639" s="62">
        <f t="shared" si="74"/>
        <v>2618.3900000000003</v>
      </c>
      <c r="P639" s="62">
        <v>-2700</v>
      </c>
      <c r="Q639" s="62">
        <v>0</v>
      </c>
      <c r="R639" s="62">
        <v>0</v>
      </c>
      <c r="S639" s="62">
        <v>0</v>
      </c>
      <c r="T639" s="62">
        <v>0</v>
      </c>
      <c r="U639" s="62">
        <v>0</v>
      </c>
      <c r="V639" s="62">
        <v>0</v>
      </c>
      <c r="W639" s="62">
        <f t="shared" si="66"/>
        <v>-81.609999999999673</v>
      </c>
      <c r="X639" s="62">
        <f t="shared" si="71"/>
        <v>0</v>
      </c>
      <c r="Y639" s="62">
        <f t="shared" si="72"/>
        <v>-81.609999999999673</v>
      </c>
      <c r="Z639" s="62">
        <v>82</v>
      </c>
      <c r="AA639" s="62">
        <f t="shared" si="73"/>
        <v>0.39000000000032742</v>
      </c>
      <c r="AB639" s="62">
        <f t="shared" si="67"/>
        <v>2700.7800000000007</v>
      </c>
      <c r="AC639" s="4"/>
      <c r="AD639" s="74">
        <v>46095</v>
      </c>
    </row>
    <row r="640" spans="1:30" hidden="1" x14ac:dyDescent="0.3">
      <c r="A640" s="69">
        <v>11</v>
      </c>
      <c r="B640" s="3" t="s">
        <v>19</v>
      </c>
      <c r="C640" s="4" t="s">
        <v>20</v>
      </c>
      <c r="D640" s="4" t="s">
        <v>239</v>
      </c>
      <c r="E640" s="4" t="str">
        <f>VLOOKUP(C640,'[2]CTRL AUTOS'!$E$2:$L$58,8,FALSE)</f>
        <v>ASHC</v>
      </c>
      <c r="F640" s="61" t="str">
        <f>VLOOKUP(C640,'[2]CTRL AUTOS'!$E$2:$K$58,7,FALSE)</f>
        <v>ASHC</v>
      </c>
      <c r="G640" s="4" t="s">
        <v>234</v>
      </c>
      <c r="H640" s="62">
        <v>5324.82</v>
      </c>
      <c r="I640" s="62">
        <v>-427.45000000000005</v>
      </c>
      <c r="J640" s="62">
        <v>-19.72</v>
      </c>
      <c r="K640" s="62">
        <v>142.81</v>
      </c>
      <c r="L640" s="62">
        <v>-54.470000000000013</v>
      </c>
      <c r="M640" s="62">
        <v>-20</v>
      </c>
      <c r="N640" s="62">
        <v>0</v>
      </c>
      <c r="O640" s="62">
        <f t="shared" si="74"/>
        <v>4945.99</v>
      </c>
      <c r="P640" s="62">
        <f>(-2500/7)*6.5</f>
        <v>-2321.4285714285716</v>
      </c>
      <c r="Q640" s="62">
        <v>0</v>
      </c>
      <c r="R640" s="62">
        <v>0</v>
      </c>
      <c r="S640" s="62">
        <v>0</v>
      </c>
      <c r="T640" s="62">
        <v>0</v>
      </c>
      <c r="U640" s="62">
        <v>0</v>
      </c>
      <c r="V640" s="62">
        <v>0</v>
      </c>
      <c r="W640" s="62">
        <f t="shared" si="66"/>
        <v>2624.5614285714282</v>
      </c>
      <c r="X640" s="62">
        <f t="shared" si="71"/>
        <v>2624.5614285714282</v>
      </c>
      <c r="Y640" s="62">
        <f t="shared" si="72"/>
        <v>0</v>
      </c>
      <c r="Z640" s="62">
        <v>0</v>
      </c>
      <c r="AA640" s="62">
        <f t="shared" si="73"/>
        <v>0</v>
      </c>
      <c r="AB640" s="62">
        <f t="shared" si="67"/>
        <v>2321.4285714285716</v>
      </c>
      <c r="AC640" s="4"/>
      <c r="AD640" s="4"/>
    </row>
    <row r="641" spans="1:30" hidden="1" x14ac:dyDescent="0.3">
      <c r="A641" s="69">
        <v>11</v>
      </c>
      <c r="B641" s="3" t="s">
        <v>128</v>
      </c>
      <c r="C641" s="4" t="s">
        <v>155</v>
      </c>
      <c r="D641" s="4"/>
      <c r="E641" s="4" t="str">
        <f>VLOOKUP(C641,'[2]CTRL AUTOS'!$E$2:$L$58,8,FALSE)</f>
        <v>ASHC</v>
      </c>
      <c r="F641" s="61" t="str">
        <f>VLOOKUP(C641,'[2]CTRL AUTOS'!$E$2:$K$58,7,FALSE)</f>
        <v>ASHC</v>
      </c>
      <c r="G641" s="4" t="s">
        <v>234</v>
      </c>
      <c r="H641" s="62">
        <v>8996.16</v>
      </c>
      <c r="I641" s="62">
        <v>-3345.7999999999993</v>
      </c>
      <c r="J641" s="62">
        <v>-106.64000000000001</v>
      </c>
      <c r="K641" s="62">
        <v>147.91999999999999</v>
      </c>
      <c r="L641" s="62">
        <v>0</v>
      </c>
      <c r="M641" s="62">
        <v>-50</v>
      </c>
      <c r="N641" s="62">
        <v>0</v>
      </c>
      <c r="O641" s="62">
        <f t="shared" si="74"/>
        <v>5641.64</v>
      </c>
      <c r="P641" s="62">
        <v>-2500</v>
      </c>
      <c r="Q641" s="62">
        <v>0</v>
      </c>
      <c r="R641" s="62">
        <v>0</v>
      </c>
      <c r="S641" s="62">
        <v>0</v>
      </c>
      <c r="T641" s="62">
        <v>0</v>
      </c>
      <c r="U641" s="62">
        <v>0</v>
      </c>
      <c r="V641" s="62">
        <v>0</v>
      </c>
      <c r="W641" s="62">
        <f t="shared" si="66"/>
        <v>3141.6400000000003</v>
      </c>
      <c r="X641" s="62">
        <f t="shared" si="71"/>
        <v>3141.6400000000003</v>
      </c>
      <c r="Y641" s="62">
        <f t="shared" si="72"/>
        <v>0</v>
      </c>
      <c r="Z641" s="62">
        <v>0</v>
      </c>
      <c r="AA641" s="62">
        <f t="shared" si="73"/>
        <v>0</v>
      </c>
      <c r="AB641" s="62">
        <f t="shared" si="67"/>
        <v>2500</v>
      </c>
      <c r="AC641" s="4"/>
      <c r="AD641" s="4"/>
    </row>
    <row r="642" spans="1:30" hidden="1" x14ac:dyDescent="0.3">
      <c r="A642" s="69">
        <v>11</v>
      </c>
      <c r="B642" s="3" t="s">
        <v>21</v>
      </c>
      <c r="C642" s="4" t="s">
        <v>22</v>
      </c>
      <c r="D642" s="4" t="s">
        <v>319</v>
      </c>
      <c r="E642" s="4" t="str">
        <f>VLOOKUP(C642,'[2]CTRL AUTOS'!$E$2:$L$58,8,FALSE)</f>
        <v>ASHC</v>
      </c>
      <c r="F642" s="61" t="str">
        <f>VLOOKUP(C642,'[2]CTRL AUTOS'!$E$2:$K$58,7,FALSE)</f>
        <v>ASHC</v>
      </c>
      <c r="G642" s="4" t="s">
        <v>234</v>
      </c>
      <c r="H642" s="62">
        <v>2975.99</v>
      </c>
      <c r="I642" s="62">
        <v>-1182.9000000000001</v>
      </c>
      <c r="J642" s="62">
        <v>0</v>
      </c>
      <c r="K642" s="62">
        <v>0</v>
      </c>
      <c r="L642" s="62">
        <v>0</v>
      </c>
      <c r="M642" s="62">
        <v>-45</v>
      </c>
      <c r="N642" s="62">
        <v>0</v>
      </c>
      <c r="O642" s="62">
        <f t="shared" si="74"/>
        <v>1748.0899999999997</v>
      </c>
      <c r="P642" s="62">
        <v>-2500</v>
      </c>
      <c r="Q642" s="62">
        <f>-4048*1.12</f>
        <v>-4533.76</v>
      </c>
      <c r="R642" s="62">
        <v>0</v>
      </c>
      <c r="S642" s="62">
        <v>0</v>
      </c>
      <c r="T642" s="62">
        <v>-700</v>
      </c>
      <c r="U642" s="62">
        <v>0</v>
      </c>
      <c r="V642" s="62">
        <v>0</v>
      </c>
      <c r="W642" s="62">
        <f t="shared" ref="W642:W705" si="75">SUM(O642:V642)</f>
        <v>-5985.67</v>
      </c>
      <c r="X642" s="62">
        <f t="shared" si="71"/>
        <v>0</v>
      </c>
      <c r="Y642" s="62">
        <f t="shared" si="72"/>
        <v>-5985.67</v>
      </c>
      <c r="Z642" s="62">
        <v>0</v>
      </c>
      <c r="AA642" s="62">
        <f t="shared" si="73"/>
        <v>-5985.67</v>
      </c>
      <c r="AB642" s="62">
        <f t="shared" ref="AB642:AB705" si="76">+O642-X642+Z642+AA642</f>
        <v>-4237.58</v>
      </c>
      <c r="AC642" s="4"/>
      <c r="AD642" s="4"/>
    </row>
    <row r="643" spans="1:30" hidden="1" x14ac:dyDescent="0.3">
      <c r="A643" s="69">
        <v>11</v>
      </c>
      <c r="B643" s="3" t="s">
        <v>64</v>
      </c>
      <c r="C643" s="4" t="s">
        <v>140</v>
      </c>
      <c r="D643" s="4" t="s">
        <v>680</v>
      </c>
      <c r="E643" s="4" t="str">
        <f>VLOOKUP(C643,'[2]CTRL AUTOS'!$E$2:$L$58,8,FALSE)</f>
        <v>ASHC</v>
      </c>
      <c r="F643" s="61" t="str">
        <f>VLOOKUP(C643,'[2]CTRL AUTOS'!$E$2:$K$58,7,FALSE)</f>
        <v>ASHC</v>
      </c>
      <c r="G643" s="4" t="s">
        <v>234</v>
      </c>
      <c r="H643" s="62">
        <v>5403.49</v>
      </c>
      <c r="I643" s="62">
        <v>0</v>
      </c>
      <c r="J643" s="62">
        <v>-54.4</v>
      </c>
      <c r="K643" s="62">
        <v>14.68</v>
      </c>
      <c r="L643" s="62">
        <v>0</v>
      </c>
      <c r="M643" s="62">
        <v>0</v>
      </c>
      <c r="N643" s="62">
        <v>0</v>
      </c>
      <c r="O643" s="62">
        <f t="shared" si="74"/>
        <v>5363.77</v>
      </c>
      <c r="P643" s="62">
        <v>-2700</v>
      </c>
      <c r="Q643" s="62">
        <v>0</v>
      </c>
      <c r="R643" s="62">
        <v>0</v>
      </c>
      <c r="S643" s="62">
        <v>0</v>
      </c>
      <c r="T643" s="62">
        <v>0</v>
      </c>
      <c r="U643" s="62">
        <v>0</v>
      </c>
      <c r="V643" s="62">
        <v>0</v>
      </c>
      <c r="W643" s="62">
        <f t="shared" si="75"/>
        <v>2663.7700000000004</v>
      </c>
      <c r="X643" s="62">
        <f t="shared" si="71"/>
        <v>2663.7700000000004</v>
      </c>
      <c r="Y643" s="62">
        <f t="shared" si="72"/>
        <v>0</v>
      </c>
      <c r="Z643" s="62">
        <v>0</v>
      </c>
      <c r="AA643" s="62">
        <f t="shared" si="73"/>
        <v>0</v>
      </c>
      <c r="AB643" s="62">
        <f t="shared" si="76"/>
        <v>2700</v>
      </c>
      <c r="AC643" s="4"/>
      <c r="AD643" s="4"/>
    </row>
    <row r="644" spans="1:30" hidden="1" x14ac:dyDescent="0.3">
      <c r="A644" s="69">
        <v>11</v>
      </c>
      <c r="B644" s="3" t="s">
        <v>90</v>
      </c>
      <c r="C644" s="4" t="s">
        <v>16</v>
      </c>
      <c r="D644" s="4" t="s">
        <v>314</v>
      </c>
      <c r="E644" s="4" t="str">
        <f>VLOOKUP(C644,'[2]CTRL AUTOS'!$E$2:$L$58,8,FALSE)</f>
        <v>ASHC</v>
      </c>
      <c r="F644" s="61" t="str">
        <f>VLOOKUP(C644,'[2]CTRL AUTOS'!$E$2:$K$58,7,FALSE)</f>
        <v>ASHC</v>
      </c>
      <c r="G644" s="4" t="s">
        <v>234</v>
      </c>
      <c r="H644" s="62">
        <v>10684.62</v>
      </c>
      <c r="I644" s="62">
        <v>-2702.1099999999997</v>
      </c>
      <c r="J644" s="62">
        <v>-152.80000000000001</v>
      </c>
      <c r="K644" s="62">
        <v>0</v>
      </c>
      <c r="L644" s="62">
        <v>0</v>
      </c>
      <c r="M644" s="62">
        <v>-45</v>
      </c>
      <c r="N644" s="62">
        <v>0</v>
      </c>
      <c r="O644" s="62">
        <f t="shared" si="74"/>
        <v>7784.7100000000009</v>
      </c>
      <c r="P644" s="62">
        <v>-2500</v>
      </c>
      <c r="Q644" s="62">
        <v>0</v>
      </c>
      <c r="R644" s="62">
        <v>-500</v>
      </c>
      <c r="S644" s="62">
        <v>0</v>
      </c>
      <c r="T644" s="62">
        <v>0</v>
      </c>
      <c r="U644" s="62">
        <v>0</v>
      </c>
      <c r="V644" s="62">
        <v>0</v>
      </c>
      <c r="W644" s="62">
        <f t="shared" si="75"/>
        <v>4784.7100000000009</v>
      </c>
      <c r="X644" s="62">
        <f t="shared" si="71"/>
        <v>4784.7100000000009</v>
      </c>
      <c r="Y644" s="62">
        <f t="shared" si="72"/>
        <v>0</v>
      </c>
      <c r="Z644" s="62">
        <v>0</v>
      </c>
      <c r="AA644" s="62">
        <f t="shared" si="73"/>
        <v>0</v>
      </c>
      <c r="AB644" s="62">
        <f t="shared" si="76"/>
        <v>3000</v>
      </c>
      <c r="AC644" s="4"/>
      <c r="AD644" s="4"/>
    </row>
    <row r="645" spans="1:30" hidden="1" x14ac:dyDescent="0.3">
      <c r="A645" s="69">
        <v>11</v>
      </c>
      <c r="B645" s="3" t="s">
        <v>23</v>
      </c>
      <c r="C645" s="4" t="s">
        <v>24</v>
      </c>
      <c r="D645" s="4" t="s">
        <v>515</v>
      </c>
      <c r="E645" s="4" t="str">
        <f>VLOOKUP(C645,'[2]CTRL AUTOS'!$E$2:$L$58,8,FALSE)</f>
        <v>ASHC</v>
      </c>
      <c r="F645" s="61" t="str">
        <f>VLOOKUP(C645,'[2]CTRL AUTOS'!$E$2:$K$58,7,FALSE)</f>
        <v>ASHC</v>
      </c>
      <c r="G645" s="4" t="s">
        <v>234</v>
      </c>
      <c r="H645" s="62">
        <v>4226.93</v>
      </c>
      <c r="I645" s="62">
        <v>-3010.95</v>
      </c>
      <c r="J645" s="62">
        <v>-10.56</v>
      </c>
      <c r="K645" s="62">
        <v>0</v>
      </c>
      <c r="L645" s="62">
        <v>0</v>
      </c>
      <c r="M645" s="62">
        <f>-63.6312-50</f>
        <v>-113.63120000000001</v>
      </c>
      <c r="N645" s="62">
        <v>-530.26</v>
      </c>
      <c r="O645" s="62">
        <f t="shared" si="74"/>
        <v>561.5288000000005</v>
      </c>
      <c r="P645" s="62">
        <v>-2700</v>
      </c>
      <c r="Q645" s="62">
        <f>-1329*1.12</f>
        <v>-1488.4800000000002</v>
      </c>
      <c r="R645" s="62">
        <v>0</v>
      </c>
      <c r="S645" s="62">
        <v>0</v>
      </c>
      <c r="T645" s="62">
        <v>0</v>
      </c>
      <c r="U645" s="62">
        <v>0</v>
      </c>
      <c r="V645" s="62">
        <v>0</v>
      </c>
      <c r="W645" s="62">
        <f t="shared" si="75"/>
        <v>-3626.9511999999995</v>
      </c>
      <c r="X645" s="62">
        <f t="shared" si="71"/>
        <v>0</v>
      </c>
      <c r="Y645" s="62">
        <f t="shared" si="72"/>
        <v>-3626.9511999999995</v>
      </c>
      <c r="Z645" s="62">
        <f>600+1000+1120+900</f>
        <v>3620</v>
      </c>
      <c r="AA645" s="62">
        <f t="shared" si="73"/>
        <v>-6.9511999999995169</v>
      </c>
      <c r="AB645" s="62">
        <f t="shared" si="76"/>
        <v>4174.5776000000005</v>
      </c>
      <c r="AC645" s="4"/>
      <c r="AD645" s="4" t="s">
        <v>1095</v>
      </c>
    </row>
    <row r="646" spans="1:30" hidden="1" x14ac:dyDescent="0.3">
      <c r="A646" s="69">
        <v>11</v>
      </c>
      <c r="B646" s="3" t="s">
        <v>23</v>
      </c>
      <c r="C646" s="4" t="s">
        <v>22</v>
      </c>
      <c r="D646" s="4" t="s">
        <v>319</v>
      </c>
      <c r="E646" s="4" t="str">
        <f>VLOOKUP(C646,'[2]CTRL AUTOS'!$E$2:$L$58,8,FALSE)</f>
        <v>ASHC</v>
      </c>
      <c r="F646" s="61" t="str">
        <f>VLOOKUP(C646,'[2]CTRL AUTOS'!$E$2:$K$58,7,FALSE)</f>
        <v>ASHC</v>
      </c>
      <c r="G646" s="4" t="s">
        <v>234</v>
      </c>
      <c r="H646" s="62">
        <v>0</v>
      </c>
      <c r="I646" s="62">
        <v>0</v>
      </c>
      <c r="J646" s="62">
        <v>0</v>
      </c>
      <c r="K646" s="62">
        <v>0</v>
      </c>
      <c r="L646" s="62">
        <v>0</v>
      </c>
      <c r="M646" s="62">
        <v>0</v>
      </c>
      <c r="N646" s="62">
        <v>0</v>
      </c>
      <c r="O646" s="62">
        <f t="shared" si="74"/>
        <v>0</v>
      </c>
      <c r="P646" s="62">
        <v>0</v>
      </c>
      <c r="Q646" s="62">
        <v>0</v>
      </c>
      <c r="R646" s="62">
        <v>0</v>
      </c>
      <c r="S646" s="62">
        <v>0</v>
      </c>
      <c r="T646" s="62">
        <v>-700</v>
      </c>
      <c r="U646" s="62">
        <v>0</v>
      </c>
      <c r="V646" s="62">
        <v>0</v>
      </c>
      <c r="W646" s="62">
        <f t="shared" si="75"/>
        <v>-700</v>
      </c>
      <c r="X646" s="62">
        <f t="shared" si="71"/>
        <v>0</v>
      </c>
      <c r="Y646" s="62">
        <f t="shared" si="72"/>
        <v>-700</v>
      </c>
      <c r="Z646" s="62">
        <v>700</v>
      </c>
      <c r="AA646" s="62">
        <f t="shared" si="73"/>
        <v>0</v>
      </c>
      <c r="AB646" s="62">
        <f t="shared" si="76"/>
        <v>700</v>
      </c>
      <c r="AC646" s="4"/>
      <c r="AD646" s="4" t="s">
        <v>1096</v>
      </c>
    </row>
    <row r="647" spans="1:30" hidden="1" x14ac:dyDescent="0.3">
      <c r="A647" s="69">
        <v>11</v>
      </c>
      <c r="B647" s="3" t="s">
        <v>108</v>
      </c>
      <c r="C647" s="4" t="s">
        <v>75</v>
      </c>
      <c r="D647" s="4" t="s">
        <v>744</v>
      </c>
      <c r="E647" s="4" t="str">
        <f>VLOOKUP(C647,'[2]CTRL AUTOS'!$E$2:$L$58,8,FALSE)</f>
        <v>U64</v>
      </c>
      <c r="F647" s="61" t="str">
        <f>VLOOKUP(C647,'[2]CTRL AUTOS'!$E$2:$K$58,7,FALSE)</f>
        <v>BYER</v>
      </c>
      <c r="G647" s="4" t="s">
        <v>234</v>
      </c>
      <c r="H647" s="62">
        <v>5706.14</v>
      </c>
      <c r="I647" s="62">
        <v>-1712.92</v>
      </c>
      <c r="J647" s="62">
        <v>-5.76</v>
      </c>
      <c r="K647" s="62">
        <v>0</v>
      </c>
      <c r="L647" s="62">
        <v>0</v>
      </c>
      <c r="M647" s="62">
        <f>-34-45</f>
        <v>-79</v>
      </c>
      <c r="N647" s="62">
        <v>0</v>
      </c>
      <c r="O647" s="62">
        <f t="shared" si="74"/>
        <v>3908.46</v>
      </c>
      <c r="P647" s="62">
        <f>(-2500/7)*6.5</f>
        <v>-2321.4285714285716</v>
      </c>
      <c r="Q647" s="62">
        <v>0</v>
      </c>
      <c r="R647" s="62">
        <v>0</v>
      </c>
      <c r="S647" s="62">
        <v>0</v>
      </c>
      <c r="T647" s="62">
        <v>-700</v>
      </c>
      <c r="U647" s="62">
        <v>0</v>
      </c>
      <c r="V647" s="62">
        <v>0</v>
      </c>
      <c r="W647" s="62">
        <f t="shared" si="75"/>
        <v>887.03142857142848</v>
      </c>
      <c r="X647" s="62">
        <f t="shared" si="71"/>
        <v>887.03142857142848</v>
      </c>
      <c r="Y647" s="62">
        <f t="shared" si="72"/>
        <v>0</v>
      </c>
      <c r="Z647" s="62">
        <v>0</v>
      </c>
      <c r="AA647" s="62">
        <f t="shared" si="73"/>
        <v>0</v>
      </c>
      <c r="AB647" s="62">
        <f t="shared" si="76"/>
        <v>3021.4285714285716</v>
      </c>
      <c r="AC647" s="4"/>
      <c r="AD647" s="4" t="s">
        <v>1093</v>
      </c>
    </row>
    <row r="648" spans="1:30" hidden="1" x14ac:dyDescent="0.3">
      <c r="A648" s="69">
        <v>11</v>
      </c>
      <c r="B648" s="3" t="s">
        <v>85</v>
      </c>
      <c r="C648" s="4" t="s">
        <v>86</v>
      </c>
      <c r="D648" s="4" t="s">
        <v>519</v>
      </c>
      <c r="E648" s="4" t="str">
        <f>VLOOKUP(C648,'[2]CTRL AUTOS'!$E$2:$L$58,8,FALSE)</f>
        <v>ASHC</v>
      </c>
      <c r="F648" s="61" t="str">
        <f>VLOOKUP(C648,'[2]CTRL AUTOS'!$E$2:$K$58,7,FALSE)</f>
        <v>ASHC</v>
      </c>
      <c r="G648" s="4" t="s">
        <v>234</v>
      </c>
      <c r="H648" s="62">
        <v>0</v>
      </c>
      <c r="I648" s="62">
        <v>0</v>
      </c>
      <c r="J648" s="62">
        <v>0</v>
      </c>
      <c r="K648" s="62">
        <v>0</v>
      </c>
      <c r="L648" s="62">
        <v>0</v>
      </c>
      <c r="M648" s="62">
        <v>0</v>
      </c>
      <c r="N648" s="62">
        <v>0</v>
      </c>
      <c r="O648" s="62">
        <f t="shared" si="74"/>
        <v>0</v>
      </c>
      <c r="P648" s="62">
        <f>(-2500/7)*5.5</f>
        <v>-1964.2857142857144</v>
      </c>
      <c r="Q648" s="62">
        <f>-1*1.12</f>
        <v>-1.1200000000000001</v>
      </c>
      <c r="R648" s="62">
        <v>-107</v>
      </c>
      <c r="S648" s="62">
        <v>0</v>
      </c>
      <c r="T648" s="62">
        <v>0</v>
      </c>
      <c r="U648" s="62">
        <v>0</v>
      </c>
      <c r="V648" s="62">
        <v>0</v>
      </c>
      <c r="W648" s="62">
        <f t="shared" si="75"/>
        <v>-2072.4057142857146</v>
      </c>
      <c r="X648" s="62">
        <f t="shared" si="71"/>
        <v>0</v>
      </c>
      <c r="Y648" s="62">
        <f t="shared" si="72"/>
        <v>-2072.4057142857146</v>
      </c>
      <c r="Z648" s="62">
        <v>0</v>
      </c>
      <c r="AA648" s="62">
        <f t="shared" si="73"/>
        <v>-2072.4057142857146</v>
      </c>
      <c r="AB648" s="62">
        <f t="shared" si="76"/>
        <v>-2072.4057142857146</v>
      </c>
      <c r="AC648" s="4"/>
      <c r="AD648" s="4"/>
    </row>
    <row r="649" spans="1:30" hidden="1" x14ac:dyDescent="0.3">
      <c r="A649" s="69">
        <v>11</v>
      </c>
      <c r="B649" s="3" t="s">
        <v>136</v>
      </c>
      <c r="C649" s="4" t="s">
        <v>56</v>
      </c>
      <c r="D649" s="4" t="s">
        <v>336</v>
      </c>
      <c r="E649" s="4" t="str">
        <f>VLOOKUP(C649,'[2]CTRL AUTOS'!$E$2:$L$58,8,FALSE)</f>
        <v>U64</v>
      </c>
      <c r="F649" s="61" t="str">
        <f>VLOOKUP(C649,'[2]CTRL AUTOS'!$E$2:$K$58,7,FALSE)</f>
        <v>BYER</v>
      </c>
      <c r="G649" s="4" t="s">
        <v>234</v>
      </c>
      <c r="H649" s="62">
        <v>2200.4699999999998</v>
      </c>
      <c r="I649" s="62">
        <v>0</v>
      </c>
      <c r="J649" s="62">
        <v>-31.53</v>
      </c>
      <c r="K649" s="62">
        <v>234.1</v>
      </c>
      <c r="L649" s="62">
        <v>0</v>
      </c>
      <c r="M649" s="62">
        <v>-21</v>
      </c>
      <c r="N649" s="62">
        <v>0</v>
      </c>
      <c r="O649" s="62">
        <f t="shared" si="74"/>
        <v>2382.0399999999995</v>
      </c>
      <c r="P649" s="62">
        <v>-2500</v>
      </c>
      <c r="Q649" s="62">
        <f>-169*1.12</f>
        <v>-189.28000000000003</v>
      </c>
      <c r="R649" s="62">
        <v>-500</v>
      </c>
      <c r="S649" s="62">
        <v>0</v>
      </c>
      <c r="T649" s="62">
        <v>0</v>
      </c>
      <c r="U649" s="62">
        <v>0</v>
      </c>
      <c r="V649" s="62">
        <v>0</v>
      </c>
      <c r="W649" s="62">
        <f t="shared" si="75"/>
        <v>-807.24000000000046</v>
      </c>
      <c r="X649" s="62">
        <f t="shared" si="71"/>
        <v>0</v>
      </c>
      <c r="Y649" s="62">
        <f t="shared" si="72"/>
        <v>-807.24000000000046</v>
      </c>
      <c r="Z649" s="62">
        <f>507+280+20</f>
        <v>807</v>
      </c>
      <c r="AA649" s="62">
        <f t="shared" si="73"/>
        <v>-0.24000000000046384</v>
      </c>
      <c r="AB649" s="62">
        <f t="shared" si="76"/>
        <v>3188.7999999999993</v>
      </c>
      <c r="AC649" s="4"/>
      <c r="AD649" s="74" t="s">
        <v>1097</v>
      </c>
    </row>
    <row r="650" spans="1:30" hidden="1" x14ac:dyDescent="0.3">
      <c r="A650" s="69">
        <v>11</v>
      </c>
      <c r="B650" s="3" t="s">
        <v>25</v>
      </c>
      <c r="C650" s="4" t="s">
        <v>26</v>
      </c>
      <c r="D650" s="4" t="s">
        <v>575</v>
      </c>
      <c r="E650" s="4" t="str">
        <f>VLOOKUP(C650,'[2]CTRL AUTOS'!$E$2:$L$58,8,FALSE)</f>
        <v>ASHC</v>
      </c>
      <c r="F650" s="61" t="str">
        <f>VLOOKUP(C650,'[2]CTRL AUTOS'!$E$2:$K$58,7,FALSE)</f>
        <v>ASHC</v>
      </c>
      <c r="G650" s="4" t="s">
        <v>234</v>
      </c>
      <c r="H650" s="62">
        <v>0</v>
      </c>
      <c r="I650" s="62">
        <v>0</v>
      </c>
      <c r="J650" s="62">
        <v>-21.37</v>
      </c>
      <c r="K650" s="62">
        <v>0</v>
      </c>
      <c r="L650" s="62">
        <v>0</v>
      </c>
      <c r="M650" s="62">
        <v>0</v>
      </c>
      <c r="N650" s="62">
        <v>0</v>
      </c>
      <c r="O650" s="62">
        <f t="shared" si="74"/>
        <v>-21.37</v>
      </c>
      <c r="P650" s="62">
        <f>(-2500/7)*3.5</f>
        <v>-1250</v>
      </c>
      <c r="Q650" s="62">
        <v>-5174</v>
      </c>
      <c r="R650" s="62">
        <v>5000</v>
      </c>
      <c r="S650" s="62">
        <v>0</v>
      </c>
      <c r="T650" s="62">
        <v>-334</v>
      </c>
      <c r="U650" s="62">
        <v>0</v>
      </c>
      <c r="V650" s="62">
        <v>0</v>
      </c>
      <c r="W650" s="62">
        <f t="shared" si="75"/>
        <v>-1779.37</v>
      </c>
      <c r="X650" s="62">
        <f t="shared" si="71"/>
        <v>0</v>
      </c>
      <c r="Y650" s="62">
        <f t="shared" si="72"/>
        <v>-1779.37</v>
      </c>
      <c r="Z650" s="62">
        <v>0</v>
      </c>
      <c r="AA650" s="62">
        <f t="shared" si="73"/>
        <v>-1779.37</v>
      </c>
      <c r="AB650" s="62">
        <f t="shared" si="76"/>
        <v>-1800.7399999999998</v>
      </c>
      <c r="AC650" s="4"/>
      <c r="AD650" s="4" t="s">
        <v>1098</v>
      </c>
    </row>
    <row r="651" spans="1:30" hidden="1" x14ac:dyDescent="0.3">
      <c r="A651" s="69">
        <v>11</v>
      </c>
      <c r="B651" s="3" t="s">
        <v>9</v>
      </c>
      <c r="C651" s="4" t="s">
        <v>10</v>
      </c>
      <c r="D651" s="4" t="s">
        <v>343</v>
      </c>
      <c r="E651" s="4" t="str">
        <f>VLOOKUP(C651,'[2]CTRL AUTOS'!$E$2:$L$58,8,FALSE)</f>
        <v>ASHC</v>
      </c>
      <c r="F651" s="61" t="str">
        <f>VLOOKUP(C651,'[2]CTRL AUTOS'!$E$2:$K$58,7,FALSE)</f>
        <v>ASHC</v>
      </c>
      <c r="G651" s="4" t="s">
        <v>425</v>
      </c>
      <c r="H651" s="62">
        <v>0</v>
      </c>
      <c r="I651" s="62">
        <v>0</v>
      </c>
      <c r="J651" s="62">
        <v>0</v>
      </c>
      <c r="K651" s="62">
        <v>0</v>
      </c>
      <c r="L651" s="62">
        <v>0</v>
      </c>
      <c r="M651" s="62">
        <v>0</v>
      </c>
      <c r="N651" s="62">
        <v>0</v>
      </c>
      <c r="O651" s="62">
        <f t="shared" si="74"/>
        <v>0</v>
      </c>
      <c r="P651" s="62">
        <v>0</v>
      </c>
      <c r="Q651" s="62">
        <v>-700</v>
      </c>
      <c r="R651" s="62">
        <v>5000</v>
      </c>
      <c r="S651" s="62">
        <v>-4525</v>
      </c>
      <c r="T651" s="62">
        <v>-7000</v>
      </c>
      <c r="U651" s="62">
        <v>0</v>
      </c>
      <c r="V651" s="62">
        <v>0</v>
      </c>
      <c r="W651" s="62">
        <f t="shared" si="75"/>
        <v>-7225</v>
      </c>
      <c r="X651" s="62">
        <f t="shared" si="71"/>
        <v>0</v>
      </c>
      <c r="Y651" s="62">
        <f t="shared" si="72"/>
        <v>-7225</v>
      </c>
      <c r="Z651" s="62">
        <v>0</v>
      </c>
      <c r="AA651" s="62">
        <f t="shared" si="73"/>
        <v>-7225</v>
      </c>
      <c r="AB651" s="62">
        <f t="shared" si="76"/>
        <v>-7225</v>
      </c>
      <c r="AC651" s="4"/>
      <c r="AD651" s="4" t="s">
        <v>841</v>
      </c>
    </row>
    <row r="652" spans="1:30" hidden="1" x14ac:dyDescent="0.3">
      <c r="A652" s="69">
        <v>11</v>
      </c>
      <c r="B652" s="3" t="s">
        <v>29</v>
      </c>
      <c r="C652" s="4" t="s">
        <v>141</v>
      </c>
      <c r="D652" s="4" t="s">
        <v>901</v>
      </c>
      <c r="E652" s="4" t="str">
        <f>VLOOKUP(C652,'[2]CTRL AUTOS'!$E$2:$L$58,8,FALSE)</f>
        <v>ASHC</v>
      </c>
      <c r="F652" s="61" t="str">
        <f>VLOOKUP(C652,'[2]CTRL AUTOS'!$E$2:$K$58,7,FALSE)</f>
        <v>ASHC</v>
      </c>
      <c r="G652" s="4" t="s">
        <v>234</v>
      </c>
      <c r="H652" s="62">
        <v>2477.37</v>
      </c>
      <c r="I652" s="62">
        <v>-115.35</v>
      </c>
      <c r="J652" s="62">
        <v>0</v>
      </c>
      <c r="K652" s="62">
        <v>0</v>
      </c>
      <c r="L652" s="62">
        <v>0</v>
      </c>
      <c r="M652" s="62">
        <f>-51.3756-20</f>
        <v>-71.375599999999991</v>
      </c>
      <c r="N652" s="62">
        <v>-428.13</v>
      </c>
      <c r="O652" s="62">
        <f t="shared" si="74"/>
        <v>1862.5144</v>
      </c>
      <c r="P652" s="62">
        <v>-2700</v>
      </c>
      <c r="Q652" s="62">
        <v>0</v>
      </c>
      <c r="R652" s="62">
        <v>0</v>
      </c>
      <c r="S652" s="62">
        <v>0</v>
      </c>
      <c r="T652" s="62">
        <v>0</v>
      </c>
      <c r="U652" s="62">
        <v>0</v>
      </c>
      <c r="V652" s="62">
        <v>0</v>
      </c>
      <c r="W652" s="62">
        <f t="shared" si="75"/>
        <v>-837.48559999999998</v>
      </c>
      <c r="X652" s="62">
        <f t="shared" si="71"/>
        <v>0</v>
      </c>
      <c r="Y652" s="62">
        <f t="shared" si="72"/>
        <v>-837.48559999999998</v>
      </c>
      <c r="Z652" s="62">
        <v>600</v>
      </c>
      <c r="AA652" s="62">
        <f t="shared" si="73"/>
        <v>-237.48559999999998</v>
      </c>
      <c r="AB652" s="62">
        <f t="shared" si="76"/>
        <v>2225.0288</v>
      </c>
      <c r="AC652" s="4"/>
      <c r="AD652" s="4" t="s">
        <v>1099</v>
      </c>
    </row>
    <row r="653" spans="1:30" hidden="1" x14ac:dyDescent="0.3">
      <c r="A653" s="69">
        <v>11</v>
      </c>
      <c r="B653" s="3" t="s">
        <v>72</v>
      </c>
      <c r="C653" s="4" t="s">
        <v>73</v>
      </c>
      <c r="D653" s="4" t="s">
        <v>368</v>
      </c>
      <c r="E653" s="4" t="str">
        <f>VLOOKUP(C653,'[2]CTRL AUTOS'!$E$2:$L$58,8,FALSE)</f>
        <v>U64</v>
      </c>
      <c r="F653" s="61" t="str">
        <f>VLOOKUP(C653,'[2]CTRL AUTOS'!$E$2:$K$58,7,FALSE)</f>
        <v>BYER</v>
      </c>
      <c r="G653" s="4" t="s">
        <v>234</v>
      </c>
      <c r="H653" s="62">
        <v>11924.5</v>
      </c>
      <c r="I653" s="62">
        <v>-3758</v>
      </c>
      <c r="J653" s="62">
        <v>-172.8</v>
      </c>
      <c r="K653" s="62">
        <v>0</v>
      </c>
      <c r="L653" s="62">
        <v>-101.99</v>
      </c>
      <c r="M653" s="62">
        <f>-97-50</f>
        <v>-147</v>
      </c>
      <c r="N653" s="62">
        <v>-86.93</v>
      </c>
      <c r="O653" s="62">
        <f t="shared" si="74"/>
        <v>7657.78</v>
      </c>
      <c r="P653" s="62">
        <v>-2500</v>
      </c>
      <c r="Q653" s="62">
        <v>0</v>
      </c>
      <c r="R653" s="62">
        <v>0</v>
      </c>
      <c r="S653" s="62">
        <v>340</v>
      </c>
      <c r="T653" s="62">
        <v>0</v>
      </c>
      <c r="U653" s="62">
        <v>0</v>
      </c>
      <c r="V653" s="62">
        <v>0</v>
      </c>
      <c r="W653" s="62">
        <f t="shared" si="75"/>
        <v>5497.78</v>
      </c>
      <c r="X653" s="62">
        <f t="shared" si="71"/>
        <v>5497.78</v>
      </c>
      <c r="Y653" s="62">
        <f t="shared" si="72"/>
        <v>0</v>
      </c>
      <c r="Z653" s="62">
        <v>0</v>
      </c>
      <c r="AA653" s="62">
        <f t="shared" si="73"/>
        <v>0</v>
      </c>
      <c r="AB653" s="62">
        <f t="shared" si="76"/>
        <v>2160</v>
      </c>
      <c r="AC653" s="4"/>
      <c r="AD653" s="4" t="s">
        <v>1100</v>
      </c>
    </row>
    <row r="654" spans="1:30" hidden="1" x14ac:dyDescent="0.3">
      <c r="A654" s="69">
        <v>11</v>
      </c>
      <c r="B654" s="3" t="s">
        <v>92</v>
      </c>
      <c r="C654" s="4" t="s">
        <v>30</v>
      </c>
      <c r="D654" s="4" t="s">
        <v>521</v>
      </c>
      <c r="E654" s="4" t="str">
        <f>VLOOKUP(C654,'[2]CTRL AUTOS'!$E$2:$L$58,8,FALSE)</f>
        <v>ASHC</v>
      </c>
      <c r="F654" s="61" t="str">
        <f>VLOOKUP(C654,'[2]CTRL AUTOS'!$E$2:$K$58,7,FALSE)</f>
        <v>ASHC</v>
      </c>
      <c r="G654" s="4" t="s">
        <v>234</v>
      </c>
      <c r="H654" s="62">
        <v>7142.65</v>
      </c>
      <c r="I654" s="62">
        <v>-2975.2099999999996</v>
      </c>
      <c r="J654" s="62">
        <v>-15.12</v>
      </c>
      <c r="K654" s="62">
        <v>-94.77</v>
      </c>
      <c r="L654" s="62">
        <v>0</v>
      </c>
      <c r="M654" s="62">
        <v>-45</v>
      </c>
      <c r="N654" s="62">
        <v>0</v>
      </c>
      <c r="O654" s="62">
        <f t="shared" si="74"/>
        <v>4012.5500000000006</v>
      </c>
      <c r="P654" s="62">
        <v>-2500</v>
      </c>
      <c r="Q654" s="62">
        <v>0</v>
      </c>
      <c r="R654" s="62">
        <v>-500</v>
      </c>
      <c r="S654" s="62">
        <v>0</v>
      </c>
      <c r="T654" s="62">
        <v>0</v>
      </c>
      <c r="U654" s="62">
        <v>0</v>
      </c>
      <c r="V654" s="62">
        <v>0</v>
      </c>
      <c r="W654" s="62">
        <f t="shared" si="75"/>
        <v>1012.5500000000006</v>
      </c>
      <c r="X654" s="62">
        <f t="shared" si="71"/>
        <v>1012.5500000000006</v>
      </c>
      <c r="Y654" s="62">
        <f t="shared" si="72"/>
        <v>0</v>
      </c>
      <c r="Z654" s="62">
        <v>0</v>
      </c>
      <c r="AA654" s="62">
        <f t="shared" si="73"/>
        <v>0</v>
      </c>
      <c r="AB654" s="62">
        <f t="shared" si="76"/>
        <v>3000</v>
      </c>
      <c r="AC654" s="4"/>
      <c r="AD654" s="4"/>
    </row>
    <row r="655" spans="1:30" hidden="1" x14ac:dyDescent="0.3">
      <c r="A655" s="69">
        <v>11</v>
      </c>
      <c r="B655" s="3" t="s">
        <v>105</v>
      </c>
      <c r="C655" s="4" t="s">
        <v>106</v>
      </c>
      <c r="D655" s="4" t="s">
        <v>646</v>
      </c>
      <c r="E655" s="4" t="str">
        <f>VLOOKUP(C655,'[2]CTRL AUTOS'!$E$2:$L$58,8,FALSE)</f>
        <v>ASHC</v>
      </c>
      <c r="F655" s="61" t="str">
        <f>VLOOKUP(C655,'[2]CTRL AUTOS'!$E$2:$K$58,7,FALSE)</f>
        <v>ASHC</v>
      </c>
      <c r="G655" s="4" t="s">
        <v>425</v>
      </c>
      <c r="H655" s="62">
        <v>0</v>
      </c>
      <c r="I655" s="62">
        <v>0</v>
      </c>
      <c r="J655" s="62">
        <v>0</v>
      </c>
      <c r="K655" s="62">
        <v>0</v>
      </c>
      <c r="L655" s="62">
        <v>0</v>
      </c>
      <c r="M655" s="62">
        <v>0</v>
      </c>
      <c r="N655" s="62">
        <v>0</v>
      </c>
      <c r="O655" s="62">
        <f t="shared" si="74"/>
        <v>0</v>
      </c>
      <c r="P655" s="62">
        <v>-2500</v>
      </c>
      <c r="Q655" s="62">
        <v>0</v>
      </c>
      <c r="R655" s="62">
        <v>0</v>
      </c>
      <c r="S655" s="62">
        <v>0</v>
      </c>
      <c r="T655" s="62">
        <v>0</v>
      </c>
      <c r="U655" s="62">
        <v>-300</v>
      </c>
      <c r="V655" s="62">
        <v>0</v>
      </c>
      <c r="W655" s="62">
        <f t="shared" si="75"/>
        <v>-2800</v>
      </c>
      <c r="X655" s="62">
        <f t="shared" si="71"/>
        <v>0</v>
      </c>
      <c r="Y655" s="62">
        <f t="shared" si="72"/>
        <v>-2800</v>
      </c>
      <c r="Z655" s="62">
        <f>2500+100</f>
        <v>2600</v>
      </c>
      <c r="AA655" s="62">
        <f t="shared" si="73"/>
        <v>-200</v>
      </c>
      <c r="AB655" s="62">
        <f t="shared" si="76"/>
        <v>2400</v>
      </c>
      <c r="AC655" s="4"/>
      <c r="AD655" s="4" t="s">
        <v>1101</v>
      </c>
    </row>
    <row r="656" spans="1:30" hidden="1" x14ac:dyDescent="0.3">
      <c r="A656" s="69">
        <v>11</v>
      </c>
      <c r="B656" s="3" t="s">
        <v>31</v>
      </c>
      <c r="C656" s="4" t="s">
        <v>143</v>
      </c>
      <c r="D656" s="4" t="s">
        <v>907</v>
      </c>
      <c r="E656" s="4" t="str">
        <f>VLOOKUP(C656,'[2]CTRL AUTOS'!$E$2:$L$58,8,FALSE)</f>
        <v>ASHC</v>
      </c>
      <c r="F656" s="61" t="str">
        <f>VLOOKUP(C656,'[2]CTRL AUTOS'!$E$2:$K$58,7,FALSE)</f>
        <v>ASHC</v>
      </c>
      <c r="G656" s="4" t="s">
        <v>234</v>
      </c>
      <c r="H656" s="62">
        <v>12475.46</v>
      </c>
      <c r="I656" s="62">
        <v>-6410.8899999999967</v>
      </c>
      <c r="J656" s="62">
        <v>-288</v>
      </c>
      <c r="K656" s="62">
        <v>0</v>
      </c>
      <c r="L656" s="62">
        <v>0</v>
      </c>
      <c r="M656" s="62">
        <f>-13.2384-20</f>
        <v>-33.238399999999999</v>
      </c>
      <c r="N656" s="62">
        <v>-110.32</v>
      </c>
      <c r="O656" s="62">
        <f t="shared" si="74"/>
        <v>5633.0116000000025</v>
      </c>
      <c r="P656" s="62">
        <v>-2700</v>
      </c>
      <c r="Q656" s="62">
        <v>0</v>
      </c>
      <c r="R656" s="62">
        <v>0</v>
      </c>
      <c r="S656" s="62">
        <v>0</v>
      </c>
      <c r="T656" s="62">
        <v>0</v>
      </c>
      <c r="U656" s="62">
        <v>0</v>
      </c>
      <c r="V656" s="62">
        <v>0</v>
      </c>
      <c r="W656" s="62">
        <f t="shared" si="75"/>
        <v>2933.0116000000025</v>
      </c>
      <c r="X656" s="62">
        <f t="shared" si="71"/>
        <v>2933.0116000000025</v>
      </c>
      <c r="Y656" s="62">
        <f t="shared" si="72"/>
        <v>0</v>
      </c>
      <c r="Z656" s="62">
        <v>0</v>
      </c>
      <c r="AA656" s="62">
        <f t="shared" si="73"/>
        <v>0</v>
      </c>
      <c r="AB656" s="62">
        <f t="shared" si="76"/>
        <v>2700</v>
      </c>
      <c r="AC656" s="4"/>
      <c r="AD656" s="4"/>
    </row>
    <row r="657" spans="1:30" hidden="1" x14ac:dyDescent="0.3">
      <c r="A657" s="69">
        <v>11</v>
      </c>
      <c r="B657" s="3" t="s">
        <v>91</v>
      </c>
      <c r="C657" s="4" t="s">
        <v>144</v>
      </c>
      <c r="D657" s="4" t="s">
        <v>909</v>
      </c>
      <c r="E657" s="4" t="str">
        <f>VLOOKUP(C657,'[2]CTRL AUTOS'!$E$2:$L$58,8,FALSE)</f>
        <v>ASHC</v>
      </c>
      <c r="F657" s="61" t="str">
        <f>VLOOKUP(C657,'[2]CTRL AUTOS'!$E$2:$K$58,7,FALSE)</f>
        <v>ASHC</v>
      </c>
      <c r="G657" s="4" t="s">
        <v>234</v>
      </c>
      <c r="H657" s="62">
        <v>2403.91</v>
      </c>
      <c r="I657" s="62">
        <v>0</v>
      </c>
      <c r="J657" s="62">
        <v>-33.6</v>
      </c>
      <c r="K657" s="62">
        <v>0</v>
      </c>
      <c r="L657" s="62">
        <v>0</v>
      </c>
      <c r="M657" s="62">
        <v>-6.4799999999999986</v>
      </c>
      <c r="N657" s="62">
        <v>-53.999999999999993</v>
      </c>
      <c r="O657" s="62">
        <f t="shared" si="74"/>
        <v>2309.83</v>
      </c>
      <c r="P657" s="62">
        <f>-2700-386</f>
        <v>-3086</v>
      </c>
      <c r="Q657" s="62">
        <f>-1747*1.12</f>
        <v>-1956.64</v>
      </c>
      <c r="R657" s="62">
        <v>0</v>
      </c>
      <c r="S657" s="62">
        <v>0</v>
      </c>
      <c r="T657" s="62">
        <v>0</v>
      </c>
      <c r="U657" s="62">
        <v>0</v>
      </c>
      <c r="V657" s="62">
        <v>0</v>
      </c>
      <c r="W657" s="62">
        <f t="shared" si="75"/>
        <v>-2732.8100000000004</v>
      </c>
      <c r="X657" s="62">
        <f t="shared" si="71"/>
        <v>0</v>
      </c>
      <c r="Y657" s="62">
        <f t="shared" si="72"/>
        <v>-2732.8100000000004</v>
      </c>
      <c r="Z657" s="62">
        <v>0</v>
      </c>
      <c r="AA657" s="62">
        <f t="shared" si="73"/>
        <v>-2732.8100000000004</v>
      </c>
      <c r="AB657" s="62">
        <f t="shared" si="76"/>
        <v>-422.98000000000047</v>
      </c>
      <c r="AC657" s="4"/>
      <c r="AD657" s="4"/>
    </row>
    <row r="658" spans="1:30" hidden="1" x14ac:dyDescent="0.3">
      <c r="A658" s="69">
        <v>11</v>
      </c>
      <c r="B658" s="3" t="s">
        <v>33</v>
      </c>
      <c r="C658" s="4" t="s">
        <v>67</v>
      </c>
      <c r="D658" s="4" t="s">
        <v>504</v>
      </c>
      <c r="E658" s="4" t="str">
        <f>VLOOKUP(C658,'[2]CTRL AUTOS'!$E$2:$L$58,8,FALSE)</f>
        <v>ASHC</v>
      </c>
      <c r="F658" s="61" t="str">
        <f>VLOOKUP(C658,'[2]CTRL AUTOS'!$E$2:$K$58,7,FALSE)</f>
        <v>ASHC</v>
      </c>
      <c r="G658" s="4" t="s">
        <v>234</v>
      </c>
      <c r="H658" s="62">
        <v>3361.18</v>
      </c>
      <c r="I658" s="62">
        <v>-159.94999999999999</v>
      </c>
      <c r="J658" s="62">
        <v>0</v>
      </c>
      <c r="K658" s="62">
        <v>0</v>
      </c>
      <c r="L658" s="62">
        <v>0</v>
      </c>
      <c r="M658" s="62">
        <v>-20</v>
      </c>
      <c r="N658" s="62">
        <v>0</v>
      </c>
      <c r="O658" s="62">
        <f t="shared" si="74"/>
        <v>3181.23</v>
      </c>
      <c r="P658" s="62">
        <f>(-2500/7)*5.5</f>
        <v>-1964.2857142857144</v>
      </c>
      <c r="Q658" s="62">
        <f>-2006*1.12</f>
        <v>-2246.7200000000003</v>
      </c>
      <c r="R658" s="62">
        <v>0</v>
      </c>
      <c r="S658" s="62">
        <v>0</v>
      </c>
      <c r="T658" s="62">
        <v>0</v>
      </c>
      <c r="U658" s="62">
        <v>0</v>
      </c>
      <c r="V658" s="62">
        <v>0</v>
      </c>
      <c r="W658" s="62">
        <f t="shared" si="75"/>
        <v>-1029.7757142857147</v>
      </c>
      <c r="X658" s="62">
        <f t="shared" si="71"/>
        <v>0</v>
      </c>
      <c r="Y658" s="62">
        <f t="shared" si="72"/>
        <v>-1029.7757142857147</v>
      </c>
      <c r="Z658" s="62">
        <v>419</v>
      </c>
      <c r="AA658" s="62">
        <f t="shared" si="73"/>
        <v>-610.77571428571468</v>
      </c>
      <c r="AB658" s="62">
        <f t="shared" si="76"/>
        <v>2989.4542857142851</v>
      </c>
      <c r="AC658" s="4"/>
      <c r="AD658" s="4" t="s">
        <v>1102</v>
      </c>
    </row>
    <row r="659" spans="1:30" hidden="1" x14ac:dyDescent="0.3">
      <c r="A659" s="69">
        <v>11</v>
      </c>
      <c r="B659" s="3" t="s">
        <v>35</v>
      </c>
      <c r="C659" s="4" t="s">
        <v>36</v>
      </c>
      <c r="D659" s="4" t="s">
        <v>510</v>
      </c>
      <c r="E659" s="4" t="str">
        <f>VLOOKUP(C659,'[2]CTRL AUTOS'!$E$2:$L$58,8,FALSE)</f>
        <v>ASHC</v>
      </c>
      <c r="F659" s="61" t="str">
        <f>VLOOKUP(C659,'[2]CTRL AUTOS'!$E$2:$K$58,7,FALSE)</f>
        <v>ASHC</v>
      </c>
      <c r="G659" s="4" t="s">
        <v>234</v>
      </c>
      <c r="H659" s="62">
        <v>7599.22</v>
      </c>
      <c r="I659" s="62">
        <v>-4749.9799999999996</v>
      </c>
      <c r="J659" s="62">
        <v>-70.400000000000006</v>
      </c>
      <c r="K659" s="62">
        <v>0</v>
      </c>
      <c r="L659" s="62">
        <v>0</v>
      </c>
      <c r="M659" s="62">
        <v>-60</v>
      </c>
      <c r="N659" s="62">
        <v>0</v>
      </c>
      <c r="O659" s="62">
        <f t="shared" si="74"/>
        <v>2718.8400000000006</v>
      </c>
      <c r="P659" s="62">
        <v>-2500</v>
      </c>
      <c r="Q659" s="62">
        <v>0</v>
      </c>
      <c r="R659" s="62">
        <v>0</v>
      </c>
      <c r="S659" s="62">
        <v>0</v>
      </c>
      <c r="T659" s="62">
        <v>0</v>
      </c>
      <c r="U659" s="62">
        <v>0</v>
      </c>
      <c r="V659" s="62">
        <v>0</v>
      </c>
      <c r="W659" s="62">
        <f t="shared" si="75"/>
        <v>218.8400000000006</v>
      </c>
      <c r="X659" s="62">
        <f t="shared" si="71"/>
        <v>218.8400000000006</v>
      </c>
      <c r="Y659" s="62">
        <f t="shared" si="72"/>
        <v>0</v>
      </c>
      <c r="Z659" s="62">
        <v>0</v>
      </c>
      <c r="AA659" s="62">
        <f t="shared" si="73"/>
        <v>0</v>
      </c>
      <c r="AB659" s="62">
        <f t="shared" si="76"/>
        <v>2500</v>
      </c>
      <c r="AC659" s="4"/>
      <c r="AD659" s="4"/>
    </row>
    <row r="660" spans="1:30" hidden="1" x14ac:dyDescent="0.3">
      <c r="A660" s="69">
        <v>11</v>
      </c>
      <c r="B660" s="3" t="s">
        <v>114</v>
      </c>
      <c r="C660" s="4" t="s">
        <v>46</v>
      </c>
      <c r="D660" s="4" t="s">
        <v>257</v>
      </c>
      <c r="E660" s="4" t="str">
        <f>VLOOKUP(C660,'[2]CTRL AUTOS'!$E$2:$L$58,8,FALSE)</f>
        <v>ASHC</v>
      </c>
      <c r="F660" s="61" t="str">
        <f>VLOOKUP(C660,'[2]CTRL AUTOS'!$E$2:$K$58,7,FALSE)</f>
        <v>ASHC</v>
      </c>
      <c r="G660" s="4" t="s">
        <v>234</v>
      </c>
      <c r="H660" s="62">
        <v>0</v>
      </c>
      <c r="I660" s="62">
        <v>0</v>
      </c>
      <c r="J660" s="62">
        <v>0</v>
      </c>
      <c r="K660" s="62">
        <v>0</v>
      </c>
      <c r="L660" s="62">
        <v>0</v>
      </c>
      <c r="M660" s="62">
        <v>0</v>
      </c>
      <c r="N660" s="62">
        <v>0</v>
      </c>
      <c r="O660" s="62">
        <f t="shared" si="74"/>
        <v>0</v>
      </c>
      <c r="P660" s="62">
        <v>-2500</v>
      </c>
      <c r="Q660" s="62">
        <f>-228*1.12</f>
        <v>-255.36</v>
      </c>
      <c r="R660" s="62">
        <v>-500</v>
      </c>
      <c r="S660" s="62">
        <v>0</v>
      </c>
      <c r="T660" s="62">
        <v>0</v>
      </c>
      <c r="U660" s="62">
        <v>0</v>
      </c>
      <c r="V660" s="62">
        <v>0</v>
      </c>
      <c r="W660" s="62">
        <f t="shared" si="75"/>
        <v>-3255.36</v>
      </c>
      <c r="X660" s="62">
        <f t="shared" si="71"/>
        <v>0</v>
      </c>
      <c r="Y660" s="62">
        <f t="shared" si="72"/>
        <v>-3255.36</v>
      </c>
      <c r="Z660" s="62">
        <v>0</v>
      </c>
      <c r="AA660" s="62">
        <f t="shared" si="73"/>
        <v>-3255.36</v>
      </c>
      <c r="AB660" s="62">
        <f t="shared" si="76"/>
        <v>-3255.36</v>
      </c>
      <c r="AC660" s="4"/>
      <c r="AD660" s="4" t="s">
        <v>1103</v>
      </c>
    </row>
    <row r="661" spans="1:30" hidden="1" x14ac:dyDescent="0.3">
      <c r="A661" s="69">
        <v>11</v>
      </c>
      <c r="B661" s="3" t="s">
        <v>43</v>
      </c>
      <c r="C661" s="4" t="s">
        <v>145</v>
      </c>
      <c r="D661" s="4" t="s">
        <v>913</v>
      </c>
      <c r="E661" s="4" t="str">
        <f>VLOOKUP(C661,'[2]CTRL AUTOS'!$E$2:$L$58,8,FALSE)</f>
        <v>ASHC</v>
      </c>
      <c r="F661" s="61" t="str">
        <f>VLOOKUP(C661,'[2]CTRL AUTOS'!$E$2:$K$58,7,FALSE)</f>
        <v>ASHC</v>
      </c>
      <c r="G661" s="4" t="s">
        <v>234</v>
      </c>
      <c r="H661" s="62">
        <v>1252.6300000000001</v>
      </c>
      <c r="I661" s="62">
        <v>0</v>
      </c>
      <c r="J661" s="62">
        <v>-8.3699999999999992</v>
      </c>
      <c r="K661" s="62">
        <v>52.28</v>
      </c>
      <c r="L661" s="62">
        <v>0</v>
      </c>
      <c r="M661" s="62">
        <v>-13.2</v>
      </c>
      <c r="N661" s="62">
        <v>-110</v>
      </c>
      <c r="O661" s="62">
        <f t="shared" si="74"/>
        <v>1173.3400000000001</v>
      </c>
      <c r="P661" s="62">
        <v>-2700</v>
      </c>
      <c r="Q661" s="62">
        <f>-998*1.12</f>
        <v>-1117.7600000000002</v>
      </c>
      <c r="R661" s="62">
        <v>0</v>
      </c>
      <c r="S661" s="62">
        <v>0</v>
      </c>
      <c r="T661" s="62">
        <v>0</v>
      </c>
      <c r="U661" s="62">
        <v>0</v>
      </c>
      <c r="V661" s="62">
        <v>0</v>
      </c>
      <c r="W661" s="62">
        <f t="shared" si="75"/>
        <v>-2644.42</v>
      </c>
      <c r="X661" s="62">
        <f t="shared" si="71"/>
        <v>0</v>
      </c>
      <c r="Y661" s="62">
        <f t="shared" si="72"/>
        <v>-2644.42</v>
      </c>
      <c r="Z661" s="62">
        <f>1000+800+400</f>
        <v>2200</v>
      </c>
      <c r="AA661" s="62">
        <f t="shared" si="73"/>
        <v>-444.42000000000007</v>
      </c>
      <c r="AB661" s="62">
        <f t="shared" si="76"/>
        <v>2928.92</v>
      </c>
      <c r="AC661" s="4"/>
      <c r="AD661" s="4" t="s">
        <v>1104</v>
      </c>
    </row>
    <row r="662" spans="1:30" hidden="1" x14ac:dyDescent="0.3">
      <c r="A662" s="69">
        <v>11</v>
      </c>
      <c r="B662" s="3" t="s">
        <v>84</v>
      </c>
      <c r="C662" s="4" t="s">
        <v>146</v>
      </c>
      <c r="D662" s="4" t="s">
        <v>915</v>
      </c>
      <c r="E662" s="4" t="str">
        <f>VLOOKUP(C662,'[2]CTRL AUTOS'!$E$2:$L$58,8,FALSE)</f>
        <v>ASHC</v>
      </c>
      <c r="F662" s="61" t="str">
        <f>VLOOKUP(C662,'[2]CTRL AUTOS'!$E$2:$K$58,7,FALSE)</f>
        <v>ASHC</v>
      </c>
      <c r="G662" s="4" t="s">
        <v>234</v>
      </c>
      <c r="H662" s="62">
        <v>6560.49</v>
      </c>
      <c r="I662" s="62">
        <v>-3629.18</v>
      </c>
      <c r="J662" s="62">
        <v>0</v>
      </c>
      <c r="K662" s="62">
        <v>0</v>
      </c>
      <c r="L662" s="62">
        <v>0</v>
      </c>
      <c r="M662" s="62">
        <f>-8.88-60</f>
        <v>-68.88</v>
      </c>
      <c r="N662" s="62">
        <v>-74</v>
      </c>
      <c r="O662" s="62">
        <f t="shared" si="74"/>
        <v>2788.43</v>
      </c>
      <c r="P662" s="62">
        <f>(-2700/7)*6.5</f>
        <v>-2507.1428571428573</v>
      </c>
      <c r="Q662" s="62">
        <f>-58*1.12</f>
        <v>-64.960000000000008</v>
      </c>
      <c r="R662" s="62">
        <v>0</v>
      </c>
      <c r="S662" s="62">
        <v>0</v>
      </c>
      <c r="T662" s="62">
        <v>0</v>
      </c>
      <c r="U662" s="62">
        <v>0</v>
      </c>
      <c r="V662" s="62">
        <v>0</v>
      </c>
      <c r="W662" s="62">
        <f t="shared" si="75"/>
        <v>216.32714285714249</v>
      </c>
      <c r="X662" s="62">
        <f t="shared" si="71"/>
        <v>216.32714285714249</v>
      </c>
      <c r="Y662" s="62">
        <f t="shared" si="72"/>
        <v>0</v>
      </c>
      <c r="Z662" s="62">
        <v>0</v>
      </c>
      <c r="AA662" s="62">
        <f t="shared" si="73"/>
        <v>0</v>
      </c>
      <c r="AB662" s="62">
        <f t="shared" si="76"/>
        <v>2572.1028571428574</v>
      </c>
      <c r="AC662" s="4"/>
      <c r="AD662" s="4"/>
    </row>
    <row r="663" spans="1:30" hidden="1" x14ac:dyDescent="0.3">
      <c r="A663" s="69">
        <v>11</v>
      </c>
      <c r="B663" s="3" t="s">
        <v>89</v>
      </c>
      <c r="C663" s="4" t="s">
        <v>4</v>
      </c>
      <c r="D663" s="4" t="s">
        <v>652</v>
      </c>
      <c r="E663" s="4" t="str">
        <f>VLOOKUP(C663,'[2]CTRL AUTOS'!$E$2:$L$58,8,FALSE)</f>
        <v>ASHC</v>
      </c>
      <c r="F663" s="61" t="str">
        <f>VLOOKUP(C663,'[2]CTRL AUTOS'!$E$2:$K$58,7,FALSE)</f>
        <v>ASHC</v>
      </c>
      <c r="G663" s="4" t="s">
        <v>234</v>
      </c>
      <c r="H663" s="62">
        <v>6852.26</v>
      </c>
      <c r="I663" s="62">
        <v>-2127.1200000000003</v>
      </c>
      <c r="J663" s="62">
        <v>-220.8</v>
      </c>
      <c r="K663" s="62">
        <v>0</v>
      </c>
      <c r="L663" s="62">
        <v>0</v>
      </c>
      <c r="M663" s="62">
        <v>-45</v>
      </c>
      <c r="N663" s="62">
        <v>0</v>
      </c>
      <c r="O663" s="62">
        <f t="shared" si="74"/>
        <v>4459.3399999999992</v>
      </c>
      <c r="P663" s="62">
        <v>-2500</v>
      </c>
      <c r="Q663" s="62">
        <v>0</v>
      </c>
      <c r="R663" s="62">
        <v>-500</v>
      </c>
      <c r="S663" s="62">
        <v>0</v>
      </c>
      <c r="T663" s="62">
        <v>0</v>
      </c>
      <c r="U663" s="62">
        <v>0</v>
      </c>
      <c r="V663" s="62">
        <v>0</v>
      </c>
      <c r="W663" s="62">
        <f t="shared" si="75"/>
        <v>1459.3399999999992</v>
      </c>
      <c r="X663" s="62">
        <f t="shared" si="71"/>
        <v>1459.3399999999992</v>
      </c>
      <c r="Y663" s="62">
        <f t="shared" si="72"/>
        <v>0</v>
      </c>
      <c r="Z663" s="62">
        <v>0</v>
      </c>
      <c r="AA663" s="62">
        <f t="shared" si="73"/>
        <v>0</v>
      </c>
      <c r="AB663" s="62">
        <f t="shared" si="76"/>
        <v>3000</v>
      </c>
      <c r="AC663" s="4"/>
      <c r="AD663" s="4"/>
    </row>
    <row r="664" spans="1:30" hidden="1" x14ac:dyDescent="0.3">
      <c r="A664" s="69">
        <v>11</v>
      </c>
      <c r="B664" s="3" t="s">
        <v>123</v>
      </c>
      <c r="C664" s="4" t="s">
        <v>59</v>
      </c>
      <c r="D664" s="4" t="s">
        <v>502</v>
      </c>
      <c r="E664" s="4" t="str">
        <f>VLOOKUP(C664,'[2]CTRL AUTOS'!$E$2:$L$58,8,FALSE)</f>
        <v>ASHC</v>
      </c>
      <c r="F664" s="61" t="str">
        <f>VLOOKUP(C664,'[2]CTRL AUTOS'!$E$2:$K$58,7,FALSE)</f>
        <v>ASHC</v>
      </c>
      <c r="G664" s="4" t="s">
        <v>234</v>
      </c>
      <c r="H664" s="62">
        <v>2060.37</v>
      </c>
      <c r="I664" s="62">
        <v>-859.82</v>
      </c>
      <c r="J664" s="62">
        <v>0</v>
      </c>
      <c r="K664" s="62">
        <v>0</v>
      </c>
      <c r="L664" s="62">
        <v>0</v>
      </c>
      <c r="M664" s="62">
        <v>-35</v>
      </c>
      <c r="N664" s="62">
        <v>0</v>
      </c>
      <c r="O664" s="62">
        <f t="shared" si="74"/>
        <v>1165.5499999999997</v>
      </c>
      <c r="P664" s="62">
        <f>(-2500/7)*4</f>
        <v>-1428.5714285714287</v>
      </c>
      <c r="Q664" s="62">
        <v>0</v>
      </c>
      <c r="R664" s="62">
        <v>0</v>
      </c>
      <c r="S664" s="62">
        <v>0</v>
      </c>
      <c r="T664" s="62">
        <v>0</v>
      </c>
      <c r="U664" s="62">
        <v>0</v>
      </c>
      <c r="V664" s="62">
        <v>0</v>
      </c>
      <c r="W664" s="62">
        <f t="shared" si="75"/>
        <v>-263.02142857142894</v>
      </c>
      <c r="X664" s="62">
        <f t="shared" si="71"/>
        <v>0</v>
      </c>
      <c r="Y664" s="62">
        <f t="shared" si="72"/>
        <v>-263.02142857142894</v>
      </c>
      <c r="Z664" s="62">
        <v>263</v>
      </c>
      <c r="AA664" s="62">
        <f t="shared" si="73"/>
        <v>-2.1428571428941723E-2</v>
      </c>
      <c r="AB664" s="62">
        <f t="shared" si="76"/>
        <v>1428.5285714285708</v>
      </c>
      <c r="AC664" s="4"/>
      <c r="AD664" s="4" t="s">
        <v>1105</v>
      </c>
    </row>
    <row r="665" spans="1:30" hidden="1" x14ac:dyDescent="0.3">
      <c r="A665" s="69">
        <v>11</v>
      </c>
      <c r="B665" s="3" t="s">
        <v>123</v>
      </c>
      <c r="C665" s="4" t="s">
        <v>71</v>
      </c>
      <c r="D665" s="4" t="s">
        <v>588</v>
      </c>
      <c r="E665" s="4" t="str">
        <f>VLOOKUP(C665,'[2]CTRL AUTOS'!$E$2:$L$58,8,FALSE)</f>
        <v>ASHC</v>
      </c>
      <c r="F665" s="61" t="str">
        <f>VLOOKUP(C665,'[2]CTRL AUTOS'!$E$2:$K$58,7,FALSE)</f>
        <v>ASHC</v>
      </c>
      <c r="G665" s="4" t="s">
        <v>234</v>
      </c>
      <c r="H665" s="62">
        <v>0</v>
      </c>
      <c r="I665" s="62">
        <v>0</v>
      </c>
      <c r="J665" s="62">
        <v>0</v>
      </c>
      <c r="K665" s="62">
        <v>0</v>
      </c>
      <c r="L665" s="62">
        <v>0</v>
      </c>
      <c r="M665" s="62">
        <v>0</v>
      </c>
      <c r="N665" s="62">
        <v>0</v>
      </c>
      <c r="O665" s="62">
        <f t="shared" si="74"/>
        <v>0</v>
      </c>
      <c r="P665" s="62">
        <f>(-2700/7)*3</f>
        <v>-1157.1428571428571</v>
      </c>
      <c r="Q665" s="62">
        <v>0</v>
      </c>
      <c r="R665" s="62">
        <v>0</v>
      </c>
      <c r="S665" s="62">
        <v>0</v>
      </c>
      <c r="T665" s="62">
        <v>0</v>
      </c>
      <c r="U665" s="62">
        <v>0</v>
      </c>
      <c r="V665" s="62">
        <v>0</v>
      </c>
      <c r="W665" s="62">
        <f t="shared" si="75"/>
        <v>-1157.1428571428571</v>
      </c>
      <c r="X665" s="62">
        <f t="shared" si="71"/>
        <v>0</v>
      </c>
      <c r="Y665" s="62">
        <f t="shared" si="72"/>
        <v>-1157.1428571428571</v>
      </c>
      <c r="Z665" s="62">
        <v>1157</v>
      </c>
      <c r="AA665" s="62">
        <f t="shared" si="73"/>
        <v>-0.14285714285711038</v>
      </c>
      <c r="AB665" s="62">
        <f t="shared" si="76"/>
        <v>1156.8571428571429</v>
      </c>
      <c r="AC665" s="4"/>
      <c r="AD665" s="4" t="s">
        <v>1105</v>
      </c>
    </row>
    <row r="666" spans="1:30" hidden="1" x14ac:dyDescent="0.3">
      <c r="A666" s="69">
        <v>11</v>
      </c>
      <c r="B666" s="3" t="s">
        <v>5</v>
      </c>
      <c r="C666" s="4" t="s">
        <v>6</v>
      </c>
      <c r="D666" s="4" t="s">
        <v>570</v>
      </c>
      <c r="E666" s="4" t="str">
        <f>VLOOKUP(C666,'[2]CTRL AUTOS'!$E$2:$L$58,8,FALSE)</f>
        <v>ASHC</v>
      </c>
      <c r="F666" s="61" t="str">
        <f>VLOOKUP(C666,'[2]CTRL AUTOS'!$E$2:$K$58,7,FALSE)</f>
        <v>ASHC</v>
      </c>
      <c r="G666" s="4" t="s">
        <v>425</v>
      </c>
      <c r="H666" s="62">
        <v>0</v>
      </c>
      <c r="I666" s="62">
        <v>0</v>
      </c>
      <c r="J666" s="62">
        <v>0</v>
      </c>
      <c r="K666" s="62">
        <v>0</v>
      </c>
      <c r="L666" s="62">
        <v>0</v>
      </c>
      <c r="M666" s="62">
        <v>0</v>
      </c>
      <c r="N666" s="62">
        <v>0</v>
      </c>
      <c r="O666" s="62">
        <f t="shared" si="74"/>
        <v>0</v>
      </c>
      <c r="P666" s="62">
        <f>(-2500/7)*6.5</f>
        <v>-2321.4285714285716</v>
      </c>
      <c r="Q666" s="62">
        <f>-1060*1.12</f>
        <v>-1187.2</v>
      </c>
      <c r="R666" s="62">
        <v>0</v>
      </c>
      <c r="S666" s="62">
        <v>0</v>
      </c>
      <c r="T666" s="62">
        <v>0</v>
      </c>
      <c r="U666" s="62">
        <v>0</v>
      </c>
      <c r="V666" s="62">
        <v>0</v>
      </c>
      <c r="W666" s="62">
        <f t="shared" si="75"/>
        <v>-3508.6285714285714</v>
      </c>
      <c r="X666" s="62">
        <f t="shared" si="71"/>
        <v>0</v>
      </c>
      <c r="Y666" s="62">
        <f t="shared" si="72"/>
        <v>-3508.6285714285714</v>
      </c>
      <c r="Z666" s="62">
        <v>2500</v>
      </c>
      <c r="AA666" s="62">
        <f t="shared" si="73"/>
        <v>-1008.6285714285714</v>
      </c>
      <c r="AB666" s="62">
        <f t="shared" si="76"/>
        <v>1491.3714285714286</v>
      </c>
      <c r="AC666" s="4"/>
      <c r="AD666" s="4" t="s">
        <v>1105</v>
      </c>
    </row>
    <row r="667" spans="1:30" hidden="1" x14ac:dyDescent="0.3">
      <c r="A667" s="69">
        <v>11</v>
      </c>
      <c r="B667" s="3" t="s">
        <v>5</v>
      </c>
      <c r="C667" s="4" t="s">
        <v>50</v>
      </c>
      <c r="D667" s="4" t="s">
        <v>570</v>
      </c>
      <c r="E667" s="4" t="str">
        <f>VLOOKUP(C667,'[2]CTRL AUTOS'!$E$2:$L$58,8,FALSE)</f>
        <v>ASHC</v>
      </c>
      <c r="F667" s="61" t="str">
        <f>VLOOKUP(C667,'[2]CTRL AUTOS'!$E$2:$K$58,7,FALSE)</f>
        <v>ASHC</v>
      </c>
      <c r="G667" s="4" t="s">
        <v>425</v>
      </c>
      <c r="H667" s="62">
        <v>0</v>
      </c>
      <c r="I667" s="62">
        <v>0</v>
      </c>
      <c r="J667" s="62">
        <v>0</v>
      </c>
      <c r="K667" s="62">
        <v>0</v>
      </c>
      <c r="L667" s="62">
        <v>0</v>
      </c>
      <c r="M667" s="62">
        <v>0</v>
      </c>
      <c r="N667" s="62">
        <v>0</v>
      </c>
      <c r="O667" s="62">
        <f t="shared" si="74"/>
        <v>0</v>
      </c>
      <c r="P667" s="62">
        <v>0</v>
      </c>
      <c r="Q667" s="62">
        <v>0</v>
      </c>
      <c r="R667" s="62">
        <v>0</v>
      </c>
      <c r="S667" s="62">
        <v>-700</v>
      </c>
      <c r="T667" s="62">
        <v>0</v>
      </c>
      <c r="U667" s="62">
        <v>0</v>
      </c>
      <c r="V667" s="62">
        <v>0</v>
      </c>
      <c r="W667" s="62">
        <f t="shared" si="75"/>
        <v>-700</v>
      </c>
      <c r="X667" s="62">
        <f t="shared" si="71"/>
        <v>0</v>
      </c>
      <c r="Y667" s="62">
        <f t="shared" si="72"/>
        <v>-700</v>
      </c>
      <c r="Z667" s="62">
        <v>700</v>
      </c>
      <c r="AA667" s="62">
        <f t="shared" si="73"/>
        <v>0</v>
      </c>
      <c r="AB667" s="62">
        <f t="shared" si="76"/>
        <v>700</v>
      </c>
      <c r="AC667" s="4"/>
      <c r="AD667" s="4" t="s">
        <v>1105</v>
      </c>
    </row>
    <row r="668" spans="1:30" hidden="1" x14ac:dyDescent="0.3">
      <c r="A668" s="69">
        <v>11</v>
      </c>
      <c r="B668" s="3" t="s">
        <v>47</v>
      </c>
      <c r="C668" s="4" t="s">
        <v>147</v>
      </c>
      <c r="D668" s="4" t="s">
        <v>921</v>
      </c>
      <c r="E668" s="4" t="str">
        <f>VLOOKUP(C668,'[2]CTRL AUTOS'!$E$2:$L$58,8,FALSE)</f>
        <v>ASHC</v>
      </c>
      <c r="F668" s="61" t="str">
        <f>VLOOKUP(C668,'[2]CTRL AUTOS'!$E$2:$K$58,7,FALSE)</f>
        <v>ASHC</v>
      </c>
      <c r="G668" s="4" t="s">
        <v>234</v>
      </c>
      <c r="H668" s="62">
        <v>5205.59</v>
      </c>
      <c r="I668" s="62">
        <v>-1204.3600000000001</v>
      </c>
      <c r="J668" s="62">
        <v>0</v>
      </c>
      <c r="K668" s="62">
        <v>0</v>
      </c>
      <c r="L668" s="62">
        <v>-56.900000000000013</v>
      </c>
      <c r="M668" s="62">
        <v>-45</v>
      </c>
      <c r="N668" s="62">
        <v>0</v>
      </c>
      <c r="O668" s="62">
        <f t="shared" si="74"/>
        <v>3899.33</v>
      </c>
      <c r="P668" s="62">
        <v>-2700</v>
      </c>
      <c r="Q668" s="62">
        <v>0</v>
      </c>
      <c r="R668" s="62">
        <v>0</v>
      </c>
      <c r="S668" s="62">
        <v>0</v>
      </c>
      <c r="T668" s="62">
        <v>0</v>
      </c>
      <c r="U668" s="62">
        <v>0</v>
      </c>
      <c r="V668" s="62">
        <v>-1000</v>
      </c>
      <c r="W668" s="62">
        <f t="shared" si="75"/>
        <v>199.32999999999993</v>
      </c>
      <c r="X668" s="62">
        <f t="shared" si="71"/>
        <v>199.32999999999993</v>
      </c>
      <c r="Y668" s="62">
        <f t="shared" si="72"/>
        <v>0</v>
      </c>
      <c r="Z668" s="62">
        <v>0</v>
      </c>
      <c r="AA668" s="62">
        <f t="shared" si="73"/>
        <v>0</v>
      </c>
      <c r="AB668" s="62">
        <f t="shared" si="76"/>
        <v>3700</v>
      </c>
      <c r="AC668" s="4"/>
      <c r="AD668" s="4" t="s">
        <v>1106</v>
      </c>
    </row>
    <row r="669" spans="1:30" hidden="1" x14ac:dyDescent="0.3">
      <c r="A669" s="69">
        <v>11</v>
      </c>
      <c r="B669" s="3" t="s">
        <v>49</v>
      </c>
      <c r="C669" s="4" t="s">
        <v>12</v>
      </c>
      <c r="D669" s="4" t="s">
        <v>509</v>
      </c>
      <c r="E669" s="4" t="str">
        <f>VLOOKUP(C669,'[2]CTRL AUTOS'!$E$2:$L$58,8,FALSE)</f>
        <v>ASHC</v>
      </c>
      <c r="F669" s="61" t="str">
        <f>VLOOKUP(C669,'[2]CTRL AUTOS'!$E$2:$K$58,7,FALSE)</f>
        <v>ASHC</v>
      </c>
      <c r="G669" s="4" t="s">
        <v>234</v>
      </c>
      <c r="H669" s="62">
        <v>6494.85</v>
      </c>
      <c r="I669" s="62">
        <v>-50</v>
      </c>
      <c r="J669" s="62">
        <v>-46.4</v>
      </c>
      <c r="K669" s="62">
        <v>0</v>
      </c>
      <c r="L669" s="62">
        <v>0</v>
      </c>
      <c r="M669" s="62">
        <v>-5</v>
      </c>
      <c r="N669" s="62">
        <v>0</v>
      </c>
      <c r="O669" s="62">
        <f t="shared" si="74"/>
        <v>6393.4500000000007</v>
      </c>
      <c r="P669" s="62">
        <v>-2700</v>
      </c>
      <c r="Q669" s="62">
        <v>0</v>
      </c>
      <c r="R669" s="62">
        <v>0</v>
      </c>
      <c r="S669" s="62">
        <v>0</v>
      </c>
      <c r="T669" s="62">
        <v>0</v>
      </c>
      <c r="U669" s="62">
        <v>0</v>
      </c>
      <c r="V669" s="62">
        <v>0</v>
      </c>
      <c r="W669" s="62">
        <f t="shared" si="75"/>
        <v>3693.4500000000007</v>
      </c>
      <c r="X669" s="62">
        <f t="shared" si="71"/>
        <v>3693.4500000000007</v>
      </c>
      <c r="Y669" s="62">
        <f t="shared" si="72"/>
        <v>0</v>
      </c>
      <c r="Z669" s="62">
        <v>0</v>
      </c>
      <c r="AA669" s="62">
        <f t="shared" si="73"/>
        <v>0</v>
      </c>
      <c r="AB669" s="62">
        <f t="shared" si="76"/>
        <v>2700</v>
      </c>
      <c r="AC669" s="4"/>
      <c r="AD669" s="4"/>
    </row>
    <row r="670" spans="1:30" hidden="1" x14ac:dyDescent="0.3">
      <c r="A670" s="69">
        <v>11</v>
      </c>
      <c r="B670" s="3" t="s">
        <v>49</v>
      </c>
      <c r="C670" s="4" t="s">
        <v>104</v>
      </c>
      <c r="D670" s="4" t="s">
        <v>283</v>
      </c>
      <c r="E670" s="4" t="s">
        <v>1107</v>
      </c>
      <c r="F670" s="61" t="s">
        <v>232</v>
      </c>
      <c r="G670" s="4" t="s">
        <v>234</v>
      </c>
      <c r="H670" s="62">
        <v>0</v>
      </c>
      <c r="I670" s="62">
        <v>0</v>
      </c>
      <c r="J670" s="62">
        <v>0</v>
      </c>
      <c r="K670" s="62">
        <v>0</v>
      </c>
      <c r="L670" s="62">
        <v>0</v>
      </c>
      <c r="M670" s="62">
        <v>0</v>
      </c>
      <c r="N670" s="62">
        <v>0</v>
      </c>
      <c r="O670" s="62">
        <f t="shared" si="74"/>
        <v>0</v>
      </c>
      <c r="P670" s="62">
        <v>0</v>
      </c>
      <c r="Q670" s="62">
        <v>0</v>
      </c>
      <c r="R670" s="62">
        <v>0</v>
      </c>
      <c r="S670" s="62">
        <v>0</v>
      </c>
      <c r="T670" s="62">
        <v>-700</v>
      </c>
      <c r="U670" s="62">
        <v>0</v>
      </c>
      <c r="V670" s="62">
        <v>0</v>
      </c>
      <c r="W670" s="62">
        <f t="shared" si="75"/>
        <v>-700</v>
      </c>
      <c r="X670" s="62">
        <f t="shared" si="71"/>
        <v>0</v>
      </c>
      <c r="Y670" s="62">
        <f t="shared" si="72"/>
        <v>-700</v>
      </c>
      <c r="Z670" s="62">
        <v>700</v>
      </c>
      <c r="AA670" s="62">
        <f t="shared" si="73"/>
        <v>0</v>
      </c>
      <c r="AB670" s="62">
        <f t="shared" si="76"/>
        <v>700</v>
      </c>
      <c r="AC670" s="4"/>
      <c r="AD670" s="4" t="s">
        <v>1108</v>
      </c>
    </row>
    <row r="671" spans="1:30" hidden="1" x14ac:dyDescent="0.3">
      <c r="A671" s="69">
        <v>11</v>
      </c>
      <c r="B671" s="3" t="s">
        <v>152</v>
      </c>
      <c r="C671" s="4" t="s">
        <v>42</v>
      </c>
      <c r="D671" s="4" t="s">
        <v>755</v>
      </c>
      <c r="E671" s="4" t="str">
        <f>VLOOKUP(C671,'[2]CTRL AUTOS'!$E$2:$L$58,8,FALSE)</f>
        <v>ASHC</v>
      </c>
      <c r="F671" s="61" t="str">
        <f>VLOOKUP(C671,'[2]CTRL AUTOS'!$E$2:$K$58,7,FALSE)</f>
        <v>ASHC</v>
      </c>
      <c r="G671" s="4" t="s">
        <v>234</v>
      </c>
      <c r="H671" s="62">
        <v>2725.62</v>
      </c>
      <c r="I671" s="62">
        <v>-1111.24</v>
      </c>
      <c r="J671" s="62">
        <v>0</v>
      </c>
      <c r="K671" s="62">
        <v>0</v>
      </c>
      <c r="L671" s="62">
        <v>0</v>
      </c>
      <c r="M671" s="62">
        <v>-45</v>
      </c>
      <c r="N671" s="62">
        <v>0</v>
      </c>
      <c r="O671" s="62">
        <f t="shared" si="74"/>
        <v>1569.3799999999999</v>
      </c>
      <c r="P671" s="62">
        <v>-2500</v>
      </c>
      <c r="Q671" s="62">
        <v>0</v>
      </c>
      <c r="R671" s="62">
        <v>214</v>
      </c>
      <c r="S671" s="62">
        <v>0</v>
      </c>
      <c r="T671" s="62">
        <v>0</v>
      </c>
      <c r="U671" s="62">
        <v>0</v>
      </c>
      <c r="V671" s="62">
        <v>0</v>
      </c>
      <c r="W671" s="62">
        <f t="shared" si="75"/>
        <v>-716.62000000000012</v>
      </c>
      <c r="X671" s="62">
        <f t="shared" si="71"/>
        <v>0</v>
      </c>
      <c r="Y671" s="62">
        <f t="shared" si="72"/>
        <v>-716.62000000000012</v>
      </c>
      <c r="Z671" s="62">
        <v>717</v>
      </c>
      <c r="AA671" s="62">
        <f t="shared" si="73"/>
        <v>0.37999999999988177</v>
      </c>
      <c r="AB671" s="62">
        <f t="shared" si="76"/>
        <v>2286.7600000000002</v>
      </c>
      <c r="AC671" s="4"/>
      <c r="AD671" s="4" t="s">
        <v>1109</v>
      </c>
    </row>
    <row r="672" spans="1:30" hidden="1" x14ac:dyDescent="0.3">
      <c r="A672" s="69">
        <v>11</v>
      </c>
      <c r="B672" s="3" t="s">
        <v>51</v>
      </c>
      <c r="C672" s="4" t="s">
        <v>52</v>
      </c>
      <c r="D672" s="4" t="s">
        <v>313</v>
      </c>
      <c r="E672" s="4" t="str">
        <f>VLOOKUP(C672,'[2]CTRL AUTOS'!$E$2:$L$58,8,FALSE)</f>
        <v>ASHC</v>
      </c>
      <c r="F672" s="61" t="str">
        <f>VLOOKUP(C672,'[2]CTRL AUTOS'!$E$2:$K$58,7,FALSE)</f>
        <v>ASHC</v>
      </c>
      <c r="G672" s="4" t="s">
        <v>234</v>
      </c>
      <c r="H672" s="62">
        <v>4106.62</v>
      </c>
      <c r="I672" s="62">
        <v>-150.78</v>
      </c>
      <c r="J672" s="62">
        <v>-19.760000000000002</v>
      </c>
      <c r="K672" s="62">
        <v>123.51</v>
      </c>
      <c r="L672" s="62">
        <v>-29.040000000000003</v>
      </c>
      <c r="M672" s="62">
        <v>-20</v>
      </c>
      <c r="N672" s="62">
        <v>0</v>
      </c>
      <c r="O672" s="62">
        <f t="shared" si="74"/>
        <v>4010.5499999999997</v>
      </c>
      <c r="P672" s="62">
        <v>-714.28571428571399</v>
      </c>
      <c r="Q672" s="62">
        <v>0</v>
      </c>
      <c r="R672" s="62">
        <v>0</v>
      </c>
      <c r="S672" s="62">
        <v>0</v>
      </c>
      <c r="T672" s="62">
        <v>0</v>
      </c>
      <c r="U672" s="62">
        <v>0</v>
      </c>
      <c r="V672" s="62">
        <v>0</v>
      </c>
      <c r="W672" s="62">
        <f t="shared" si="75"/>
        <v>3296.2642857142855</v>
      </c>
      <c r="X672" s="62">
        <f t="shared" si="71"/>
        <v>3296.2642857142855</v>
      </c>
      <c r="Y672" s="62">
        <f t="shared" si="72"/>
        <v>0</v>
      </c>
      <c r="Z672" s="62">
        <v>0</v>
      </c>
      <c r="AA672" s="62">
        <f t="shared" si="73"/>
        <v>0</v>
      </c>
      <c r="AB672" s="62">
        <f t="shared" si="76"/>
        <v>714.28571428571422</v>
      </c>
      <c r="AC672" s="4"/>
      <c r="AD672" s="4"/>
    </row>
    <row r="673" spans="1:30" hidden="1" x14ac:dyDescent="0.3">
      <c r="A673" s="69">
        <v>11</v>
      </c>
      <c r="B673" s="3" t="s">
        <v>51</v>
      </c>
      <c r="C673" s="4" t="s">
        <v>157</v>
      </c>
      <c r="D673" s="4"/>
      <c r="E673" s="4" t="str">
        <f>VLOOKUP(C673,'[2]CTRL AUTOS'!$E$2:$L$58,8,FALSE)</f>
        <v>ASHC</v>
      </c>
      <c r="F673" s="61" t="str">
        <f>VLOOKUP(C673,'[2]CTRL AUTOS'!$E$2:$K$58,7,FALSE)</f>
        <v>ASHC</v>
      </c>
      <c r="G673" s="4" t="s">
        <v>234</v>
      </c>
      <c r="H673" s="62">
        <v>0</v>
      </c>
      <c r="I673" s="62">
        <v>0</v>
      </c>
      <c r="J673" s="62">
        <v>0</v>
      </c>
      <c r="K673" s="62">
        <v>0</v>
      </c>
      <c r="L673" s="62">
        <v>0</v>
      </c>
      <c r="M673" s="62">
        <v>0</v>
      </c>
      <c r="N673" s="62">
        <v>0</v>
      </c>
      <c r="O673" s="62">
        <f t="shared" si="74"/>
        <v>0</v>
      </c>
      <c r="P673" s="62">
        <v>-2142.8571428571399</v>
      </c>
      <c r="Q673" s="62">
        <v>0</v>
      </c>
      <c r="R673" s="62">
        <v>0</v>
      </c>
      <c r="S673" s="62">
        <v>0</v>
      </c>
      <c r="T673" s="62">
        <v>0</v>
      </c>
      <c r="U673" s="62">
        <v>0</v>
      </c>
      <c r="V673" s="62">
        <v>0</v>
      </c>
      <c r="W673" s="62">
        <f t="shared" si="75"/>
        <v>-2142.8571428571399</v>
      </c>
      <c r="X673" s="62">
        <f t="shared" si="71"/>
        <v>0</v>
      </c>
      <c r="Y673" s="62">
        <f t="shared" si="72"/>
        <v>-2142.8571428571399</v>
      </c>
      <c r="Z673" s="62">
        <v>2143</v>
      </c>
      <c r="AA673" s="62">
        <f>+Y673+Z673</f>
        <v>0.14285714286006623</v>
      </c>
      <c r="AB673" s="62">
        <f t="shared" si="76"/>
        <v>2143.1428571428601</v>
      </c>
      <c r="AC673" s="4"/>
      <c r="AD673" s="4" t="s">
        <v>1110</v>
      </c>
    </row>
    <row r="674" spans="1:30" hidden="1" x14ac:dyDescent="0.3">
      <c r="A674" s="69">
        <v>11</v>
      </c>
      <c r="B674" s="3" t="s">
        <v>131</v>
      </c>
      <c r="C674" s="4" t="s">
        <v>116</v>
      </c>
      <c r="D674" s="4" t="s">
        <v>928</v>
      </c>
      <c r="E674" s="4" t="str">
        <f>VLOOKUP(C674,'[2]CTRL AUTOS'!$E$2:$L$58,8,FALSE)</f>
        <v>BYER</v>
      </c>
      <c r="F674" s="61" t="str">
        <f>VLOOKUP(C674,'[2]CTRL AUTOS'!$E$2:$K$58,7,FALSE)</f>
        <v>BYER</v>
      </c>
      <c r="G674" s="4" t="s">
        <v>234</v>
      </c>
      <c r="H674" s="62">
        <v>4075.16</v>
      </c>
      <c r="I674" s="62">
        <v>0</v>
      </c>
      <c r="J674" s="62">
        <v>0</v>
      </c>
      <c r="K674" s="62">
        <v>0</v>
      </c>
      <c r="L674" s="62">
        <v>-44.93</v>
      </c>
      <c r="M674" s="62">
        <v>-12</v>
      </c>
      <c r="N674" s="62">
        <v>0</v>
      </c>
      <c r="O674" s="62">
        <f t="shared" si="74"/>
        <v>4018.23</v>
      </c>
      <c r="P674" s="62">
        <f>(-2500/7)*6.5</f>
        <v>-2321.4285714285716</v>
      </c>
      <c r="Q674" s="62">
        <v>0</v>
      </c>
      <c r="R674" s="62">
        <v>-393</v>
      </c>
      <c r="S674" s="62">
        <v>0</v>
      </c>
      <c r="T674" s="62">
        <v>0</v>
      </c>
      <c r="U674" s="62">
        <v>0</v>
      </c>
      <c r="V674" s="62">
        <v>0</v>
      </c>
      <c r="W674" s="62">
        <f t="shared" si="75"/>
        <v>1303.8014285714285</v>
      </c>
      <c r="X674" s="62">
        <f t="shared" si="71"/>
        <v>1303.8014285714285</v>
      </c>
      <c r="Y674" s="62">
        <f t="shared" si="72"/>
        <v>0</v>
      </c>
      <c r="Z674" s="62">
        <v>0</v>
      </c>
      <c r="AA674" s="62">
        <f t="shared" si="73"/>
        <v>0</v>
      </c>
      <c r="AB674" s="62">
        <f t="shared" si="76"/>
        <v>2714.4285714285716</v>
      </c>
      <c r="AC674" s="4"/>
      <c r="AD674" s="4" t="s">
        <v>1093</v>
      </c>
    </row>
    <row r="675" spans="1:30" hidden="1" x14ac:dyDescent="0.3">
      <c r="A675" s="69">
        <v>11</v>
      </c>
      <c r="B675" s="3" t="s">
        <v>107</v>
      </c>
      <c r="C675" s="4" t="s">
        <v>148</v>
      </c>
      <c r="D675" s="4" t="s">
        <v>931</v>
      </c>
      <c r="E675" s="4" t="str">
        <f>VLOOKUP(C675,'[2]CTRL AUTOS'!$E$2:$L$58,8,FALSE)</f>
        <v>ASHC</v>
      </c>
      <c r="F675" s="61" t="str">
        <f>VLOOKUP(C675,'[2]CTRL AUTOS'!$E$2:$K$58,7,FALSE)</f>
        <v>ASHC</v>
      </c>
      <c r="G675" s="4" t="s">
        <v>234</v>
      </c>
      <c r="H675" s="62">
        <v>3145.35</v>
      </c>
      <c r="I675" s="62">
        <v>-823.41999999999985</v>
      </c>
      <c r="J675" s="62">
        <v>0</v>
      </c>
      <c r="K675" s="62">
        <v>0</v>
      </c>
      <c r="L675" s="62">
        <v>0</v>
      </c>
      <c r="M675" s="62">
        <f>-17.0052</f>
        <v>-17.005199999999999</v>
      </c>
      <c r="N675" s="62">
        <v>-141.71</v>
      </c>
      <c r="O675" s="62">
        <f t="shared" si="74"/>
        <v>2163.2148000000002</v>
      </c>
      <c r="P675" s="62">
        <f>(-2700/7)*6</f>
        <v>-2314.2857142857142</v>
      </c>
      <c r="Q675" s="62">
        <v>0</v>
      </c>
      <c r="R675" s="62">
        <v>0</v>
      </c>
      <c r="S675" s="62">
        <v>-700</v>
      </c>
      <c r="T675" s="62">
        <v>0</v>
      </c>
      <c r="U675" s="62">
        <v>0</v>
      </c>
      <c r="V675" s="62">
        <v>0</v>
      </c>
      <c r="W675" s="62">
        <f t="shared" si="75"/>
        <v>-851.07091428571403</v>
      </c>
      <c r="X675" s="62">
        <f t="shared" si="71"/>
        <v>0</v>
      </c>
      <c r="Y675" s="62">
        <f t="shared" si="72"/>
        <v>-851.07091428571403</v>
      </c>
      <c r="Z675" s="62">
        <f>500+351</f>
        <v>851</v>
      </c>
      <c r="AA675" s="62">
        <f t="shared" si="73"/>
        <v>-7.0914285714025027E-2</v>
      </c>
      <c r="AB675" s="62">
        <f t="shared" si="76"/>
        <v>3014.1438857142862</v>
      </c>
      <c r="AC675" s="4"/>
      <c r="AD675" s="74" t="s">
        <v>1111</v>
      </c>
    </row>
    <row r="676" spans="1:30" hidden="1" x14ac:dyDescent="0.3">
      <c r="A676" s="69">
        <v>11</v>
      </c>
      <c r="B676" s="3" t="s">
        <v>87</v>
      </c>
      <c r="C676" s="4" t="s">
        <v>83</v>
      </c>
      <c r="D676" s="4" t="s">
        <v>592</v>
      </c>
      <c r="E676" s="4" t="str">
        <f>VLOOKUP(C676,'[2]CTRL AUTOS'!$E$2:$L$58,8,FALSE)</f>
        <v>ASHC</v>
      </c>
      <c r="F676" s="61" t="str">
        <f>VLOOKUP(C676,'[2]CTRL AUTOS'!$E$2:$K$58,7,FALSE)</f>
        <v>ASHC</v>
      </c>
      <c r="G676" s="4" t="s">
        <v>234</v>
      </c>
      <c r="H676" s="62">
        <v>2040.01</v>
      </c>
      <c r="I676" s="62">
        <v>-888.34999999999991</v>
      </c>
      <c r="J676" s="62">
        <v>0</v>
      </c>
      <c r="K676" s="62">
        <v>0</v>
      </c>
      <c r="L676" s="62">
        <v>0</v>
      </c>
      <c r="M676" s="62">
        <v>0</v>
      </c>
      <c r="N676" s="62">
        <v>0</v>
      </c>
      <c r="O676" s="62">
        <f t="shared" si="74"/>
        <v>1151.6600000000001</v>
      </c>
      <c r="P676" s="62">
        <v>-2700</v>
      </c>
      <c r="Q676" s="62">
        <f>-1688*1.12</f>
        <v>-1890.5600000000002</v>
      </c>
      <c r="R676" s="62">
        <v>0</v>
      </c>
      <c r="S676" s="62">
        <v>0</v>
      </c>
      <c r="T676" s="62">
        <v>-500</v>
      </c>
      <c r="U676" s="62">
        <v>0</v>
      </c>
      <c r="V676" s="62">
        <v>0</v>
      </c>
      <c r="W676" s="62">
        <f t="shared" si="75"/>
        <v>-3938.9</v>
      </c>
      <c r="X676" s="62">
        <f t="shared" si="71"/>
        <v>0</v>
      </c>
      <c r="Y676" s="62">
        <f t="shared" si="72"/>
        <v>-3938.9</v>
      </c>
      <c r="Z676" s="62">
        <v>2048</v>
      </c>
      <c r="AA676" s="62">
        <f t="shared" si="73"/>
        <v>-1890.9</v>
      </c>
      <c r="AB676" s="62">
        <f t="shared" si="76"/>
        <v>1308.7599999999998</v>
      </c>
      <c r="AC676" s="4"/>
      <c r="AD676" s="4" t="s">
        <v>1112</v>
      </c>
    </row>
    <row r="677" spans="1:30" hidden="1" x14ac:dyDescent="0.3">
      <c r="A677" s="69">
        <v>11</v>
      </c>
      <c r="B677" s="3" t="s">
        <v>117</v>
      </c>
      <c r="C677" s="4" t="s">
        <v>118</v>
      </c>
      <c r="D677" s="4" t="s">
        <v>934</v>
      </c>
      <c r="E677" s="4" t="str">
        <f>VLOOKUP(C677,'[2]CTRL AUTOS'!$E$2:$L$58,8,FALSE)</f>
        <v>ASHC</v>
      </c>
      <c r="F677" s="61" t="str">
        <f>VLOOKUP(C677,'[2]CTRL AUTOS'!$E$2:$K$58,7,FALSE)</f>
        <v>ASHC</v>
      </c>
      <c r="G677" s="4" t="s">
        <v>234</v>
      </c>
      <c r="H677" s="62">
        <v>8492.1200000000008</v>
      </c>
      <c r="I677" s="62">
        <v>-6397.5899999999956</v>
      </c>
      <c r="J677" s="62">
        <v>-82.4</v>
      </c>
      <c r="K677" s="62">
        <v>0</v>
      </c>
      <c r="L677" s="62">
        <v>-83.659999999999968</v>
      </c>
      <c r="M677" s="62">
        <v>-75</v>
      </c>
      <c r="N677" s="62">
        <v>0</v>
      </c>
      <c r="O677" s="62">
        <f t="shared" si="74"/>
        <v>1853.4700000000053</v>
      </c>
      <c r="P677" s="62">
        <v>-2500</v>
      </c>
      <c r="Q677" s="62">
        <f>-4*1.12</f>
        <v>-4.4800000000000004</v>
      </c>
      <c r="R677" s="62">
        <v>0</v>
      </c>
      <c r="S677" s="62">
        <v>0</v>
      </c>
      <c r="T677" s="62">
        <v>-700</v>
      </c>
      <c r="U677" s="62">
        <v>0</v>
      </c>
      <c r="V677" s="62">
        <v>0</v>
      </c>
      <c r="W677" s="62">
        <f t="shared" si="75"/>
        <v>-1351.0099999999948</v>
      </c>
      <c r="X677" s="62">
        <f t="shared" si="71"/>
        <v>0</v>
      </c>
      <c r="Y677" s="62">
        <f t="shared" si="72"/>
        <v>-1351.0099999999948</v>
      </c>
      <c r="Z677" s="62">
        <v>1351</v>
      </c>
      <c r="AA677" s="62">
        <f t="shared" si="73"/>
        <v>-9.9999999947613105E-3</v>
      </c>
      <c r="AB677" s="62">
        <f t="shared" si="76"/>
        <v>3204.4600000000105</v>
      </c>
      <c r="AC677" s="4"/>
      <c r="AD677" s="74">
        <v>46098</v>
      </c>
    </row>
    <row r="678" spans="1:30" hidden="1" x14ac:dyDescent="0.3">
      <c r="A678" s="69">
        <v>11</v>
      </c>
      <c r="B678" s="3" t="s">
        <v>98</v>
      </c>
      <c r="C678" s="4" t="s">
        <v>112</v>
      </c>
      <c r="D678" s="4"/>
      <c r="E678" s="4" t="str">
        <f>VLOOKUP(C678,'[2]CTRL AUTOS'!$E$2:$L$58,8,FALSE)</f>
        <v>ASHC</v>
      </c>
      <c r="F678" s="61" t="str">
        <f>VLOOKUP(C678,'[2]CTRL AUTOS'!$E$2:$K$58,7,FALSE)</f>
        <v>ASHC</v>
      </c>
      <c r="G678" s="4" t="s">
        <v>234</v>
      </c>
      <c r="H678" s="62">
        <v>0</v>
      </c>
      <c r="I678" s="62">
        <v>0</v>
      </c>
      <c r="J678" s="62">
        <v>0</v>
      </c>
      <c r="K678" s="62">
        <v>0</v>
      </c>
      <c r="L678" s="62">
        <v>0</v>
      </c>
      <c r="M678" s="62">
        <v>-41.879999999999995</v>
      </c>
      <c r="N678" s="62">
        <v>-349</v>
      </c>
      <c r="O678" s="62">
        <f t="shared" si="74"/>
        <v>-390.88</v>
      </c>
      <c r="P678" s="62">
        <v>-2500</v>
      </c>
      <c r="Q678" s="62">
        <f>-1166*1.12</f>
        <v>-1305.92</v>
      </c>
      <c r="R678" s="62">
        <v>0</v>
      </c>
      <c r="S678" s="62">
        <v>0</v>
      </c>
      <c r="T678" s="62">
        <v>-2500</v>
      </c>
      <c r="U678" s="62">
        <v>0</v>
      </c>
      <c r="V678" s="62">
        <v>0</v>
      </c>
      <c r="W678" s="62">
        <f t="shared" si="75"/>
        <v>-6696.8</v>
      </c>
      <c r="X678" s="62">
        <f t="shared" si="71"/>
        <v>0</v>
      </c>
      <c r="Y678" s="62">
        <f t="shared" si="72"/>
        <v>-6696.8</v>
      </c>
      <c r="Z678" s="62">
        <f>3000+3000</f>
        <v>6000</v>
      </c>
      <c r="AA678" s="62">
        <f t="shared" si="73"/>
        <v>-696.80000000000018</v>
      </c>
      <c r="AB678" s="62">
        <f t="shared" si="76"/>
        <v>4912.32</v>
      </c>
      <c r="AC678" s="4"/>
      <c r="AD678" s="4" t="s">
        <v>1113</v>
      </c>
    </row>
    <row r="679" spans="1:30" hidden="1" x14ac:dyDescent="0.3">
      <c r="A679" s="69">
        <v>11</v>
      </c>
      <c r="B679" s="3" t="s">
        <v>119</v>
      </c>
      <c r="C679" s="4" t="s">
        <v>97</v>
      </c>
      <c r="D679" s="4" t="s">
        <v>273</v>
      </c>
      <c r="E679" s="4" t="str">
        <f>VLOOKUP(C679,'[2]CTRL AUTOS'!$E$2:$L$58,8,FALSE)</f>
        <v>ASHC</v>
      </c>
      <c r="F679" s="61" t="str">
        <f>VLOOKUP(C679,'[2]CTRL AUTOS'!$E$2:$K$58,7,FALSE)</f>
        <v>ASHC</v>
      </c>
      <c r="G679" s="4" t="s">
        <v>234</v>
      </c>
      <c r="H679" s="62">
        <v>0</v>
      </c>
      <c r="I679" s="62">
        <v>0</v>
      </c>
      <c r="J679" s="62">
        <v>0</v>
      </c>
      <c r="K679" s="62">
        <v>0</v>
      </c>
      <c r="L679" s="62">
        <v>0</v>
      </c>
      <c r="M679" s="62">
        <v>0</v>
      </c>
      <c r="N679" s="62">
        <v>0</v>
      </c>
      <c r="O679" s="62">
        <f t="shared" si="74"/>
        <v>0</v>
      </c>
      <c r="P679" s="62">
        <v>0</v>
      </c>
      <c r="Q679" s="62">
        <v>0</v>
      </c>
      <c r="R679" s="62">
        <v>500</v>
      </c>
      <c r="S679" s="62">
        <v>0</v>
      </c>
      <c r="T679" s="62">
        <v>0</v>
      </c>
      <c r="U679" s="62">
        <v>0</v>
      </c>
      <c r="V679" s="62">
        <v>0</v>
      </c>
      <c r="W679" s="62">
        <f t="shared" si="75"/>
        <v>500</v>
      </c>
      <c r="X679" s="62">
        <f t="shared" si="71"/>
        <v>500</v>
      </c>
      <c r="Y679" s="62">
        <f t="shared" si="72"/>
        <v>0</v>
      </c>
      <c r="Z679" s="62">
        <v>0</v>
      </c>
      <c r="AA679" s="62">
        <f t="shared" si="73"/>
        <v>0</v>
      </c>
      <c r="AB679" s="62">
        <f t="shared" si="76"/>
        <v>-500</v>
      </c>
      <c r="AC679" s="4"/>
      <c r="AD679" s="4"/>
    </row>
    <row r="680" spans="1:30" hidden="1" x14ac:dyDescent="0.3">
      <c r="A680" s="69">
        <v>11</v>
      </c>
      <c r="B680" s="4" t="s">
        <v>184</v>
      </c>
      <c r="C680" s="4" t="s">
        <v>50</v>
      </c>
      <c r="D680" s="4" t="s">
        <v>480</v>
      </c>
      <c r="E680" s="4" t="s">
        <v>232</v>
      </c>
      <c r="F680" s="61" t="s">
        <v>232</v>
      </c>
      <c r="G680" s="4" t="s">
        <v>234</v>
      </c>
      <c r="H680" s="62">
        <v>7463.03</v>
      </c>
      <c r="I680" s="62">
        <v>-1886.1299999999999</v>
      </c>
      <c r="J680" s="62">
        <v>0</v>
      </c>
      <c r="K680" s="62">
        <v>0</v>
      </c>
      <c r="L680" s="62">
        <v>0</v>
      </c>
      <c r="M680" s="62">
        <f>-12.12-45</f>
        <v>-57.12</v>
      </c>
      <c r="N680" s="62">
        <v>-101</v>
      </c>
      <c r="O680" s="62">
        <f t="shared" si="74"/>
        <v>5418.78</v>
      </c>
      <c r="P680" s="62">
        <v>-2500</v>
      </c>
      <c r="Q680" s="62">
        <v>0</v>
      </c>
      <c r="R680" s="62">
        <v>-500</v>
      </c>
      <c r="S680" s="62">
        <v>0</v>
      </c>
      <c r="T680" s="62">
        <v>0</v>
      </c>
      <c r="U680" s="62">
        <v>0</v>
      </c>
      <c r="V680" s="62">
        <v>0</v>
      </c>
      <c r="W680" s="62">
        <f t="shared" si="75"/>
        <v>2418.7799999999997</v>
      </c>
      <c r="X680" s="62">
        <f t="shared" si="71"/>
        <v>2418.7799999999997</v>
      </c>
      <c r="Y680" s="62">
        <f t="shared" si="72"/>
        <v>0</v>
      </c>
      <c r="Z680" s="62">
        <v>0</v>
      </c>
      <c r="AA680" s="62">
        <f t="shared" si="73"/>
        <v>0</v>
      </c>
      <c r="AB680" s="62">
        <f t="shared" si="76"/>
        <v>3000</v>
      </c>
      <c r="AC680" s="4"/>
      <c r="AD680" s="4"/>
    </row>
    <row r="681" spans="1:30" hidden="1" x14ac:dyDescent="0.3">
      <c r="A681" s="69">
        <v>11</v>
      </c>
      <c r="B681" s="4" t="s">
        <v>176</v>
      </c>
      <c r="C681" s="4" t="s">
        <v>158</v>
      </c>
      <c r="D681" s="4"/>
      <c r="E681" s="4" t="s">
        <v>232</v>
      </c>
      <c r="F681" s="61" t="s">
        <v>232</v>
      </c>
      <c r="G681" s="4" t="s">
        <v>234</v>
      </c>
      <c r="H681" s="62">
        <v>0</v>
      </c>
      <c r="I681" s="62">
        <v>0</v>
      </c>
      <c r="J681" s="62">
        <v>-0.1</v>
      </c>
      <c r="K681" s="62">
        <v>0.64</v>
      </c>
      <c r="L681" s="62">
        <v>0</v>
      </c>
      <c r="M681" s="62">
        <v>0</v>
      </c>
      <c r="N681" s="62">
        <v>0</v>
      </c>
      <c r="O681" s="62">
        <f t="shared" si="74"/>
        <v>0.54</v>
      </c>
      <c r="P681" s="62">
        <v>-1</v>
      </c>
      <c r="Q681" s="62">
        <v>0</v>
      </c>
      <c r="R681" s="62">
        <v>0</v>
      </c>
      <c r="S681" s="62">
        <v>0</v>
      </c>
      <c r="T681" s="62">
        <v>0</v>
      </c>
      <c r="U681" s="62">
        <v>0</v>
      </c>
      <c r="V681" s="62">
        <v>0</v>
      </c>
      <c r="W681" s="62">
        <f t="shared" si="75"/>
        <v>-0.45999999999999996</v>
      </c>
      <c r="X681" s="62">
        <f t="shared" si="71"/>
        <v>0</v>
      </c>
      <c r="Y681" s="62">
        <f t="shared" si="72"/>
        <v>-0.45999999999999996</v>
      </c>
      <c r="Z681" s="62">
        <v>0</v>
      </c>
      <c r="AA681" s="62">
        <f t="shared" si="73"/>
        <v>-0.45999999999999996</v>
      </c>
      <c r="AB681" s="62">
        <f t="shared" si="76"/>
        <v>8.0000000000000071E-2</v>
      </c>
      <c r="AC681" s="4"/>
      <c r="AD681" s="4"/>
    </row>
    <row r="682" spans="1:30" hidden="1" x14ac:dyDescent="0.3">
      <c r="A682" s="69">
        <v>11</v>
      </c>
      <c r="B682" s="4" t="s">
        <v>187</v>
      </c>
      <c r="C682" s="61" t="s">
        <v>204</v>
      </c>
      <c r="D682" s="4"/>
      <c r="E682" s="4" t="s">
        <v>364</v>
      </c>
      <c r="F682" s="61" t="s">
        <v>291</v>
      </c>
      <c r="G682" s="4" t="s">
        <v>234</v>
      </c>
      <c r="H682" s="62">
        <v>4557.9799999999996</v>
      </c>
      <c r="I682" s="62">
        <v>-1665.62</v>
      </c>
      <c r="J682" s="62">
        <v>0</v>
      </c>
      <c r="K682" s="62">
        <v>0</v>
      </c>
      <c r="L682" s="62">
        <v>0</v>
      </c>
      <c r="M682" s="62">
        <f>-56-45</f>
        <v>-101</v>
      </c>
      <c r="N682" s="62">
        <v>0</v>
      </c>
      <c r="O682" s="62">
        <f t="shared" si="74"/>
        <v>2791.3599999999997</v>
      </c>
      <c r="P682" s="62">
        <v>-1071</v>
      </c>
      <c r="Q682" s="62">
        <v>0</v>
      </c>
      <c r="R682" s="62">
        <v>0</v>
      </c>
      <c r="S682" s="62">
        <v>0</v>
      </c>
      <c r="T682" s="62">
        <v>0</v>
      </c>
      <c r="U682" s="62">
        <v>0</v>
      </c>
      <c r="V682" s="62">
        <v>0</v>
      </c>
      <c r="W682" s="62">
        <f t="shared" si="75"/>
        <v>1720.3599999999997</v>
      </c>
      <c r="X682" s="62">
        <f t="shared" si="71"/>
        <v>1720.3599999999997</v>
      </c>
      <c r="Y682" s="62">
        <f t="shared" si="72"/>
        <v>0</v>
      </c>
      <c r="Z682" s="62">
        <v>0</v>
      </c>
      <c r="AA682" s="62">
        <f t="shared" si="73"/>
        <v>0</v>
      </c>
      <c r="AB682" s="62">
        <f t="shared" si="76"/>
        <v>1071</v>
      </c>
      <c r="AC682" s="4"/>
      <c r="AD682" s="4"/>
    </row>
    <row r="683" spans="1:30" hidden="1" x14ac:dyDescent="0.3">
      <c r="A683" s="69">
        <v>11</v>
      </c>
      <c r="B683" s="4" t="s">
        <v>177</v>
      </c>
      <c r="C683" s="4" t="s">
        <v>157</v>
      </c>
      <c r="D683" s="4"/>
      <c r="E683" s="4" t="s">
        <v>232</v>
      </c>
      <c r="F683" s="61" t="s">
        <v>232</v>
      </c>
      <c r="G683" s="4" t="s">
        <v>234</v>
      </c>
      <c r="H683" s="62">
        <v>799.76</v>
      </c>
      <c r="I683" s="62">
        <v>0</v>
      </c>
      <c r="J683" s="62">
        <v>0</v>
      </c>
      <c r="K683" s="62">
        <v>133.57</v>
      </c>
      <c r="L683" s="62">
        <v>0</v>
      </c>
      <c r="M683" s="62">
        <v>0</v>
      </c>
      <c r="N683" s="62">
        <v>0</v>
      </c>
      <c r="O683" s="62">
        <f t="shared" si="74"/>
        <v>933.32999999999993</v>
      </c>
      <c r="P683" s="62">
        <v>-933</v>
      </c>
      <c r="Q683" s="62">
        <v>0</v>
      </c>
      <c r="R683" s="62">
        <v>0</v>
      </c>
      <c r="S683" s="62">
        <v>0</v>
      </c>
      <c r="T683" s="62">
        <v>0</v>
      </c>
      <c r="U683" s="62">
        <v>0</v>
      </c>
      <c r="V683" s="62">
        <v>0</v>
      </c>
      <c r="W683" s="62">
        <f t="shared" si="75"/>
        <v>0.32999999999992724</v>
      </c>
      <c r="X683" s="62">
        <f t="shared" si="71"/>
        <v>0.32999999999992724</v>
      </c>
      <c r="Y683" s="62">
        <f t="shared" si="72"/>
        <v>0</v>
      </c>
      <c r="Z683" s="62">
        <v>0</v>
      </c>
      <c r="AA683" s="62">
        <f t="shared" si="73"/>
        <v>0</v>
      </c>
      <c r="AB683" s="62">
        <f t="shared" si="76"/>
        <v>933</v>
      </c>
      <c r="AC683" s="4"/>
      <c r="AD683" s="4"/>
    </row>
    <row r="684" spans="1:30" hidden="1" x14ac:dyDescent="0.3">
      <c r="A684" s="69">
        <v>11</v>
      </c>
      <c r="B684" s="3" t="s">
        <v>27</v>
      </c>
      <c r="C684" s="4" t="s">
        <v>137</v>
      </c>
      <c r="D684" s="4" t="s">
        <v>877</v>
      </c>
      <c r="E684" s="4" t="str">
        <f>VLOOKUP(C684,'[2]CTRL AUTOS'!$E$2:$L$58,8,FALSE)</f>
        <v>ASHC</v>
      </c>
      <c r="F684" s="61" t="str">
        <f>VLOOKUP(C684,'[2]CTRL AUTOS'!$E$2:$K$58,7,FALSE)</f>
        <v>ASHC</v>
      </c>
      <c r="G684" s="4" t="s">
        <v>234</v>
      </c>
      <c r="H684" s="62">
        <v>0</v>
      </c>
      <c r="I684" s="62">
        <v>0</v>
      </c>
      <c r="J684" s="62">
        <v>0</v>
      </c>
      <c r="K684" s="62">
        <v>0</v>
      </c>
      <c r="L684" s="62">
        <v>0</v>
      </c>
      <c r="M684" s="62">
        <v>0</v>
      </c>
      <c r="N684" s="62">
        <v>0</v>
      </c>
      <c r="O684" s="62">
        <f t="shared" si="74"/>
        <v>0</v>
      </c>
      <c r="P684" s="62">
        <v>0</v>
      </c>
      <c r="Q684" s="62">
        <v>0</v>
      </c>
      <c r="R684" s="62">
        <v>500</v>
      </c>
      <c r="S684" s="62">
        <v>0</v>
      </c>
      <c r="T684" s="62">
        <v>0</v>
      </c>
      <c r="U684" s="62">
        <v>0</v>
      </c>
      <c r="V684" s="62">
        <v>0</v>
      </c>
      <c r="W684" s="62">
        <f t="shared" si="75"/>
        <v>500</v>
      </c>
      <c r="X684" s="62">
        <f t="shared" ref="X684:X747" si="77">IF(W684&gt;=0,W684,0)</f>
        <v>500</v>
      </c>
      <c r="Y684" s="62">
        <f t="shared" ref="Y684:Y747" si="78">IF(W684&lt;=0,W684,0)</f>
        <v>0</v>
      </c>
      <c r="Z684" s="62">
        <v>0</v>
      </c>
      <c r="AA684" s="62">
        <f t="shared" ref="AA684:AA747" si="79">+Y684+Z684</f>
        <v>0</v>
      </c>
      <c r="AB684" s="62">
        <f t="shared" si="76"/>
        <v>-500</v>
      </c>
      <c r="AC684" s="4"/>
      <c r="AD684" s="4"/>
    </row>
    <row r="685" spans="1:30" hidden="1" x14ac:dyDescent="0.3">
      <c r="A685" s="69">
        <v>11</v>
      </c>
      <c r="B685" s="4" t="s">
        <v>197</v>
      </c>
      <c r="C685" s="4" t="s">
        <v>79</v>
      </c>
      <c r="D685" s="4" t="s">
        <v>521</v>
      </c>
      <c r="E685" s="4" t="str">
        <f>VLOOKUP(C685,'[2]CTRL AUTOS'!$E$2:$L$58,8,FALSE)</f>
        <v>BYER</v>
      </c>
      <c r="F685" s="61" t="str">
        <f>VLOOKUP(C685,'[2]CTRL AUTOS'!$E$2:$K$58,7,FALSE)</f>
        <v>BYER</v>
      </c>
      <c r="G685" s="4" t="s">
        <v>234</v>
      </c>
      <c r="H685" s="62">
        <v>0</v>
      </c>
      <c r="I685" s="62">
        <v>0</v>
      </c>
      <c r="J685" s="62">
        <v>0</v>
      </c>
      <c r="K685" s="62">
        <v>0</v>
      </c>
      <c r="L685" s="62">
        <v>0</v>
      </c>
      <c r="M685" s="62">
        <v>0</v>
      </c>
      <c r="N685" s="62">
        <v>0</v>
      </c>
      <c r="O685" s="62">
        <f t="shared" si="74"/>
        <v>0</v>
      </c>
      <c r="P685" s="62">
        <v>0</v>
      </c>
      <c r="Q685" s="62">
        <f>-168*1.12</f>
        <v>-188.16000000000003</v>
      </c>
      <c r="R685" s="62">
        <v>0</v>
      </c>
      <c r="S685" s="62">
        <v>0</v>
      </c>
      <c r="T685" s="62">
        <v>0</v>
      </c>
      <c r="U685" s="62">
        <v>0</v>
      </c>
      <c r="V685" s="62">
        <v>0</v>
      </c>
      <c r="W685" s="62">
        <f t="shared" si="75"/>
        <v>-188.16000000000003</v>
      </c>
      <c r="X685" s="62">
        <f t="shared" si="77"/>
        <v>0</v>
      </c>
      <c r="Y685" s="62">
        <f t="shared" si="78"/>
        <v>-188.16000000000003</v>
      </c>
      <c r="Z685" s="62">
        <v>0</v>
      </c>
      <c r="AA685" s="62">
        <f t="shared" si="79"/>
        <v>-188.16000000000003</v>
      </c>
      <c r="AB685" s="62">
        <f t="shared" si="76"/>
        <v>-188.16000000000003</v>
      </c>
      <c r="AC685" s="4"/>
      <c r="AD685" s="4" t="s">
        <v>1114</v>
      </c>
    </row>
    <row r="686" spans="1:30" hidden="1" x14ac:dyDescent="0.3">
      <c r="A686" s="69">
        <v>12</v>
      </c>
      <c r="B686" s="3" t="s">
        <v>150</v>
      </c>
      <c r="C686" s="4" t="s">
        <v>96</v>
      </c>
      <c r="D686" s="4" t="s">
        <v>1035</v>
      </c>
      <c r="E686" s="4" t="s">
        <v>232</v>
      </c>
      <c r="F686" s="61" t="s">
        <v>232</v>
      </c>
      <c r="G686" s="4" t="s">
        <v>425</v>
      </c>
      <c r="H686" s="62">
        <v>0</v>
      </c>
      <c r="I686" s="62">
        <v>0</v>
      </c>
      <c r="J686" s="62">
        <v>0</v>
      </c>
      <c r="K686" s="62">
        <v>0</v>
      </c>
      <c r="L686" s="62">
        <v>0</v>
      </c>
      <c r="M686" s="62">
        <v>0</v>
      </c>
      <c r="N686" s="62">
        <v>0</v>
      </c>
      <c r="O686" s="62">
        <f t="shared" si="74"/>
        <v>0</v>
      </c>
      <c r="P686" s="62">
        <v>-2500</v>
      </c>
      <c r="Q686" s="62">
        <v>0</v>
      </c>
      <c r="R686" s="62">
        <v>-500</v>
      </c>
      <c r="S686" s="62">
        <v>0</v>
      </c>
      <c r="T686" s="62">
        <v>0</v>
      </c>
      <c r="U686" s="62">
        <v>0</v>
      </c>
      <c r="V686" s="62">
        <v>0</v>
      </c>
      <c r="W686" s="62">
        <f t="shared" si="75"/>
        <v>-3000</v>
      </c>
      <c r="X686" s="62">
        <f t="shared" si="77"/>
        <v>0</v>
      </c>
      <c r="Y686" s="62">
        <f t="shared" si="78"/>
        <v>-3000</v>
      </c>
      <c r="Z686" s="62">
        <f>1800+200+1000</f>
        <v>3000</v>
      </c>
      <c r="AA686" s="62">
        <f t="shared" si="79"/>
        <v>0</v>
      </c>
      <c r="AB686" s="62">
        <f t="shared" si="76"/>
        <v>3000</v>
      </c>
      <c r="AC686" s="4"/>
      <c r="AD686" s="4" t="s">
        <v>1115</v>
      </c>
    </row>
    <row r="687" spans="1:30" hidden="1" x14ac:dyDescent="0.3">
      <c r="A687" s="69">
        <v>12</v>
      </c>
      <c r="B687" s="3" t="s">
        <v>139</v>
      </c>
      <c r="C687" s="4" t="s">
        <v>10</v>
      </c>
      <c r="D687" s="4" t="s">
        <v>343</v>
      </c>
      <c r="E687" s="4" t="s">
        <v>232</v>
      </c>
      <c r="F687" s="61" t="s">
        <v>232</v>
      </c>
      <c r="G687" s="4" t="s">
        <v>234</v>
      </c>
      <c r="H687" s="62">
        <v>2721.12</v>
      </c>
      <c r="I687" s="62">
        <v>-1654.68</v>
      </c>
      <c r="J687" s="62">
        <v>0</v>
      </c>
      <c r="K687" s="62">
        <v>0</v>
      </c>
      <c r="L687" s="62">
        <v>0</v>
      </c>
      <c r="M687" s="62">
        <v>-55</v>
      </c>
      <c r="N687" s="62">
        <v>0</v>
      </c>
      <c r="O687" s="62">
        <f t="shared" ref="O687:O750" si="80">IF(H687+I687&lt;0,SUM(J687:N687),SUM(H687:N687))</f>
        <v>1011.4399999999998</v>
      </c>
      <c r="P687" s="62">
        <v>-2500</v>
      </c>
      <c r="Q687" s="62">
        <v>0</v>
      </c>
      <c r="R687" s="62">
        <v>-500</v>
      </c>
      <c r="S687" s="62">
        <v>0</v>
      </c>
      <c r="T687" s="62">
        <v>0</v>
      </c>
      <c r="U687" s="62">
        <v>0</v>
      </c>
      <c r="V687" s="62">
        <v>0</v>
      </c>
      <c r="W687" s="62">
        <f t="shared" si="75"/>
        <v>-1988.5600000000002</v>
      </c>
      <c r="X687" s="62">
        <f t="shared" si="77"/>
        <v>0</v>
      </c>
      <c r="Y687" s="62">
        <f t="shared" si="78"/>
        <v>-1988.5600000000002</v>
      </c>
      <c r="Z687" s="62">
        <f>1000+989</f>
        <v>1989</v>
      </c>
      <c r="AA687" s="62">
        <f t="shared" si="79"/>
        <v>0.4399999999998272</v>
      </c>
      <c r="AB687" s="62">
        <f t="shared" si="76"/>
        <v>3000.8799999999992</v>
      </c>
      <c r="AC687" s="4"/>
      <c r="AD687" s="4" t="s">
        <v>1116</v>
      </c>
    </row>
    <row r="688" spans="1:30" hidden="1" x14ac:dyDescent="0.3">
      <c r="A688" s="69">
        <v>12</v>
      </c>
      <c r="B688" s="3" t="s">
        <v>80</v>
      </c>
      <c r="C688" s="4" t="s">
        <v>81</v>
      </c>
      <c r="D688" s="4" t="s">
        <v>317</v>
      </c>
      <c r="E688" s="4" t="s">
        <v>232</v>
      </c>
      <c r="F688" s="61" t="s">
        <v>232</v>
      </c>
      <c r="G688" s="4" t="s">
        <v>234</v>
      </c>
      <c r="H688" s="62">
        <v>0</v>
      </c>
      <c r="I688" s="62">
        <v>0</v>
      </c>
      <c r="J688" s="62">
        <v>0</v>
      </c>
      <c r="K688" s="62">
        <v>0</v>
      </c>
      <c r="L688" s="62">
        <v>0</v>
      </c>
      <c r="M688" s="62">
        <v>0</v>
      </c>
      <c r="N688" s="62">
        <v>0</v>
      </c>
      <c r="O688" s="62">
        <f t="shared" si="80"/>
        <v>0</v>
      </c>
      <c r="P688" s="62">
        <v>-2500</v>
      </c>
      <c r="Q688" s="62">
        <v>0</v>
      </c>
      <c r="R688" s="62">
        <v>0</v>
      </c>
      <c r="S688" s="62">
        <v>0</v>
      </c>
      <c r="T688" s="62">
        <v>0</v>
      </c>
      <c r="U688" s="62">
        <v>0</v>
      </c>
      <c r="V688" s="62">
        <v>0</v>
      </c>
      <c r="W688" s="62">
        <f t="shared" si="75"/>
        <v>-2500</v>
      </c>
      <c r="X688" s="62">
        <f t="shared" si="77"/>
        <v>0</v>
      </c>
      <c r="Y688" s="62">
        <f t="shared" si="78"/>
        <v>-2500</v>
      </c>
      <c r="Z688" s="62">
        <v>2500</v>
      </c>
      <c r="AA688" s="62">
        <f t="shared" si="79"/>
        <v>0</v>
      </c>
      <c r="AB688" s="62">
        <f t="shared" si="76"/>
        <v>2500</v>
      </c>
      <c r="AC688" s="4"/>
      <c r="AD688" s="4" t="s">
        <v>1117</v>
      </c>
    </row>
    <row r="689" spans="1:30" hidden="1" x14ac:dyDescent="0.3">
      <c r="A689" s="69">
        <v>12</v>
      </c>
      <c r="B689" s="3" t="s">
        <v>13</v>
      </c>
      <c r="C689" s="4" t="s">
        <v>14</v>
      </c>
      <c r="D689" s="4" t="s">
        <v>505</v>
      </c>
      <c r="E689" s="4" t="s">
        <v>232</v>
      </c>
      <c r="F689" s="61" t="s">
        <v>232</v>
      </c>
      <c r="G689" s="4" t="s">
        <v>234</v>
      </c>
      <c r="H689" s="62">
        <v>6172.31</v>
      </c>
      <c r="I689" s="62">
        <v>0</v>
      </c>
      <c r="J689" s="62">
        <v>0</v>
      </c>
      <c r="K689" s="62">
        <v>0</v>
      </c>
      <c r="L689" s="62">
        <v>0</v>
      </c>
      <c r="M689" s="62">
        <v>0</v>
      </c>
      <c r="N689" s="62">
        <v>0</v>
      </c>
      <c r="O689" s="62">
        <f t="shared" si="80"/>
        <v>6172.31</v>
      </c>
      <c r="P689" s="62">
        <v>-2700</v>
      </c>
      <c r="Q689" s="62">
        <v>0</v>
      </c>
      <c r="R689" s="62">
        <v>0</v>
      </c>
      <c r="S689" s="62">
        <v>0</v>
      </c>
      <c r="T689" s="62">
        <v>0</v>
      </c>
      <c r="U689" s="62">
        <v>0</v>
      </c>
      <c r="V689" s="62">
        <v>0</v>
      </c>
      <c r="W689" s="62">
        <f t="shared" si="75"/>
        <v>3472.3100000000004</v>
      </c>
      <c r="X689" s="62">
        <f t="shared" si="77"/>
        <v>3472.3100000000004</v>
      </c>
      <c r="Y689" s="62">
        <f t="shared" si="78"/>
        <v>0</v>
      </c>
      <c r="Z689" s="62">
        <v>0</v>
      </c>
      <c r="AA689" s="62">
        <f t="shared" si="79"/>
        <v>0</v>
      </c>
      <c r="AB689" s="62">
        <f t="shared" si="76"/>
        <v>2700</v>
      </c>
      <c r="AC689" s="4"/>
      <c r="AD689" s="4"/>
    </row>
    <row r="690" spans="1:30" hidden="1" x14ac:dyDescent="0.3">
      <c r="A690" s="69">
        <v>12</v>
      </c>
      <c r="B690" s="4" t="s">
        <v>1118</v>
      </c>
      <c r="C690" s="4" t="s">
        <v>195</v>
      </c>
      <c r="D690" s="4"/>
      <c r="E690" s="4" t="s">
        <v>232</v>
      </c>
      <c r="F690" s="4" t="s">
        <v>232</v>
      </c>
      <c r="G690" s="4" t="s">
        <v>234</v>
      </c>
      <c r="H690" s="62">
        <v>4546.54</v>
      </c>
      <c r="I690" s="62">
        <v>-733.78</v>
      </c>
      <c r="J690" s="62">
        <v>-77.599999999999994</v>
      </c>
      <c r="K690" s="62">
        <v>0</v>
      </c>
      <c r="L690" s="62">
        <v>0</v>
      </c>
      <c r="M690" s="62">
        <v>-40</v>
      </c>
      <c r="N690" s="62">
        <v>0</v>
      </c>
      <c r="O690" s="62">
        <f t="shared" si="80"/>
        <v>3695.1600000000003</v>
      </c>
      <c r="P690" s="62">
        <f>(-2500/7)*3.5</f>
        <v>-1250</v>
      </c>
      <c r="Q690" s="62">
        <v>0</v>
      </c>
      <c r="R690" s="62">
        <v>-250</v>
      </c>
      <c r="S690" s="62">
        <v>0</v>
      </c>
      <c r="T690" s="62">
        <v>0</v>
      </c>
      <c r="U690" s="62">
        <v>-300</v>
      </c>
      <c r="V690" s="62">
        <v>0</v>
      </c>
      <c r="W690" s="62">
        <f t="shared" si="75"/>
        <v>1895.1600000000003</v>
      </c>
      <c r="X690" s="62">
        <f t="shared" si="77"/>
        <v>1895.1600000000003</v>
      </c>
      <c r="Y690" s="62">
        <f t="shared" si="78"/>
        <v>0</v>
      </c>
      <c r="Z690" s="62">
        <v>0</v>
      </c>
      <c r="AA690" s="62">
        <f t="shared" si="79"/>
        <v>0</v>
      </c>
      <c r="AB690" s="62">
        <f t="shared" si="76"/>
        <v>1800</v>
      </c>
      <c r="AC690" s="4"/>
      <c r="AD690" s="4" t="s">
        <v>1119</v>
      </c>
    </row>
    <row r="691" spans="1:30" hidden="1" x14ac:dyDescent="0.3">
      <c r="A691" s="69">
        <v>12</v>
      </c>
      <c r="B691" s="4" t="s">
        <v>187</v>
      </c>
      <c r="C691" s="61" t="s">
        <v>204</v>
      </c>
      <c r="D691" s="4" t="s">
        <v>283</v>
      </c>
      <c r="E691" s="4" t="s">
        <v>364</v>
      </c>
      <c r="F691" s="61" t="s">
        <v>291</v>
      </c>
      <c r="G691" s="4" t="s">
        <v>234</v>
      </c>
      <c r="H691" s="62">
        <v>5183.6000000000004</v>
      </c>
      <c r="I691" s="62">
        <v>-3599.28</v>
      </c>
      <c r="J691" s="62">
        <v>0</v>
      </c>
      <c r="K691" s="62">
        <v>31.72</v>
      </c>
      <c r="L691" s="62">
        <v>0</v>
      </c>
      <c r="M691" s="62">
        <v>-50</v>
      </c>
      <c r="N691" s="62">
        <v>0</v>
      </c>
      <c r="O691" s="62">
        <f t="shared" si="80"/>
        <v>1566.0400000000002</v>
      </c>
      <c r="P691" s="62">
        <v>-2500</v>
      </c>
      <c r="Q691" s="62">
        <v>0</v>
      </c>
      <c r="R691" s="62">
        <v>-500</v>
      </c>
      <c r="S691" s="62">
        <v>0</v>
      </c>
      <c r="T691" s="62">
        <v>0</v>
      </c>
      <c r="U691" s="62">
        <v>0</v>
      </c>
      <c r="V691" s="62">
        <v>0</v>
      </c>
      <c r="W691" s="62">
        <f t="shared" si="75"/>
        <v>-1433.9599999999998</v>
      </c>
      <c r="X691" s="62">
        <f t="shared" si="77"/>
        <v>0</v>
      </c>
      <c r="Y691" s="62">
        <f t="shared" si="78"/>
        <v>-1433.9599999999998</v>
      </c>
      <c r="Z691" s="62">
        <v>1434</v>
      </c>
      <c r="AA691" s="62">
        <f t="shared" si="79"/>
        <v>4.0000000000190994E-2</v>
      </c>
      <c r="AB691" s="62">
        <f t="shared" si="76"/>
        <v>3000.08</v>
      </c>
      <c r="AC691" s="4"/>
      <c r="AD691" s="4" t="s">
        <v>1120</v>
      </c>
    </row>
    <row r="692" spans="1:30" hidden="1" x14ac:dyDescent="0.3">
      <c r="A692" s="69">
        <v>12</v>
      </c>
      <c r="B692" s="4" t="s">
        <v>1121</v>
      </c>
      <c r="C692" s="4" t="s">
        <v>22</v>
      </c>
      <c r="D692" s="4" t="s">
        <v>319</v>
      </c>
      <c r="E692" s="4" t="s">
        <v>232</v>
      </c>
      <c r="F692" s="4" t="s">
        <v>232</v>
      </c>
      <c r="G692" s="4" t="s">
        <v>234</v>
      </c>
      <c r="H692" s="62">
        <v>1522.79</v>
      </c>
      <c r="I692" s="62">
        <v>0</v>
      </c>
      <c r="J692" s="62">
        <v>0</v>
      </c>
      <c r="K692" s="62">
        <v>0</v>
      </c>
      <c r="L692" s="62">
        <v>0</v>
      </c>
      <c r="M692" s="62">
        <v>0</v>
      </c>
      <c r="N692" s="62">
        <v>0</v>
      </c>
      <c r="O692" s="62">
        <f t="shared" si="80"/>
        <v>1522.79</v>
      </c>
      <c r="P692" s="62">
        <f>(-2500/7)*3.5</f>
        <v>-1250</v>
      </c>
      <c r="Q692" s="62">
        <v>0</v>
      </c>
      <c r="R692" s="62">
        <v>-250</v>
      </c>
      <c r="S692" s="62">
        <v>0</v>
      </c>
      <c r="T692" s="62">
        <v>0</v>
      </c>
      <c r="U692" s="62">
        <v>0</v>
      </c>
      <c r="V692" s="62">
        <v>0</v>
      </c>
      <c r="W692" s="62">
        <f t="shared" si="75"/>
        <v>22.789999999999964</v>
      </c>
      <c r="X692" s="62">
        <f t="shared" si="77"/>
        <v>22.789999999999964</v>
      </c>
      <c r="Y692" s="62">
        <f t="shared" si="78"/>
        <v>0</v>
      </c>
      <c r="Z692" s="62">
        <v>0</v>
      </c>
      <c r="AA692" s="62">
        <f t="shared" si="79"/>
        <v>0</v>
      </c>
      <c r="AB692" s="62">
        <f t="shared" si="76"/>
        <v>1500</v>
      </c>
      <c r="AC692" s="75">
        <v>2000</v>
      </c>
      <c r="AD692" s="4"/>
    </row>
    <row r="693" spans="1:30" hidden="1" x14ac:dyDescent="0.3">
      <c r="A693" s="69">
        <v>12</v>
      </c>
      <c r="B693" s="3" t="s">
        <v>15</v>
      </c>
      <c r="C693" s="4" t="s">
        <v>144</v>
      </c>
      <c r="D693" s="4" t="s">
        <v>909</v>
      </c>
      <c r="E693" s="4" t="s">
        <v>232</v>
      </c>
      <c r="F693" s="4" t="s">
        <v>232</v>
      </c>
      <c r="G693" s="4" t="s">
        <v>234</v>
      </c>
      <c r="H693" s="62">
        <v>0</v>
      </c>
      <c r="I693" s="62">
        <v>0</v>
      </c>
      <c r="J693" s="62">
        <v>0</v>
      </c>
      <c r="K693" s="62">
        <v>0</v>
      </c>
      <c r="L693" s="62">
        <v>0</v>
      </c>
      <c r="M693" s="62">
        <v>0</v>
      </c>
      <c r="N693" s="62">
        <v>0</v>
      </c>
      <c r="O693" s="62">
        <f t="shared" si="80"/>
        <v>0</v>
      </c>
      <c r="P693" s="62">
        <f>(-2700/7)*2.5</f>
        <v>-964.28571428571433</v>
      </c>
      <c r="Q693" s="62">
        <v>0</v>
      </c>
      <c r="R693" s="62">
        <v>0</v>
      </c>
      <c r="S693" s="62">
        <v>0</v>
      </c>
      <c r="T693" s="62">
        <v>0</v>
      </c>
      <c r="U693" s="62">
        <v>0</v>
      </c>
      <c r="V693" s="62">
        <v>0</v>
      </c>
      <c r="W693" s="62">
        <f t="shared" si="75"/>
        <v>-964.28571428571433</v>
      </c>
      <c r="X693" s="62">
        <f t="shared" si="77"/>
        <v>0</v>
      </c>
      <c r="Y693" s="62">
        <f t="shared" si="78"/>
        <v>-964.28571428571433</v>
      </c>
      <c r="Z693" s="62">
        <f>964+500+600</f>
        <v>2064</v>
      </c>
      <c r="AA693" s="62">
        <f t="shared" si="79"/>
        <v>1099.7142857142858</v>
      </c>
      <c r="AB693" s="62">
        <f t="shared" si="76"/>
        <v>3163.7142857142858</v>
      </c>
      <c r="AC693" s="4"/>
      <c r="AD693" s="4" t="s">
        <v>1122</v>
      </c>
    </row>
    <row r="694" spans="1:30" hidden="1" x14ac:dyDescent="0.3">
      <c r="A694" s="69">
        <v>12</v>
      </c>
      <c r="B694" s="3" t="s">
        <v>15</v>
      </c>
      <c r="C694" s="4" t="s">
        <v>137</v>
      </c>
      <c r="D694" s="4" t="s">
        <v>877</v>
      </c>
      <c r="E694" s="4" t="s">
        <v>232</v>
      </c>
      <c r="F694" s="61" t="s">
        <v>232</v>
      </c>
      <c r="G694" s="4" t="s">
        <v>234</v>
      </c>
      <c r="H694" s="62">
        <v>1692.85</v>
      </c>
      <c r="I694" s="62">
        <v>-295.55</v>
      </c>
      <c r="J694" s="62">
        <v>0</v>
      </c>
      <c r="K694" s="62">
        <v>0</v>
      </c>
      <c r="L694" s="62">
        <v>0</v>
      </c>
      <c r="M694" s="62">
        <v>-25</v>
      </c>
      <c r="N694" s="62">
        <v>0</v>
      </c>
      <c r="O694" s="62">
        <f t="shared" si="80"/>
        <v>1372.3</v>
      </c>
      <c r="P694" s="62">
        <f>(-2700/7)*4.5</f>
        <v>-1735.7142857142858</v>
      </c>
      <c r="Q694" s="62">
        <f>-1710*1.12</f>
        <v>-1915.2000000000003</v>
      </c>
      <c r="R694" s="62">
        <v>0</v>
      </c>
      <c r="S694" s="62">
        <v>0</v>
      </c>
      <c r="T694" s="62">
        <v>0</v>
      </c>
      <c r="U694" s="62">
        <v>0</v>
      </c>
      <c r="V694" s="62">
        <v>0</v>
      </c>
      <c r="W694" s="62">
        <f t="shared" si="75"/>
        <v>-2278.6142857142859</v>
      </c>
      <c r="X694" s="62">
        <f t="shared" si="77"/>
        <v>0</v>
      </c>
      <c r="Y694" s="62">
        <f t="shared" si="78"/>
        <v>-2278.6142857142859</v>
      </c>
      <c r="Z694" s="62">
        <v>436</v>
      </c>
      <c r="AA694" s="62">
        <f t="shared" si="79"/>
        <v>-1842.6142857142859</v>
      </c>
      <c r="AB694" s="62">
        <f t="shared" si="76"/>
        <v>-34.314285714285916</v>
      </c>
      <c r="AC694" s="4"/>
      <c r="AD694" s="4" t="s">
        <v>1123</v>
      </c>
    </row>
    <row r="695" spans="1:30" hidden="1" x14ac:dyDescent="0.3">
      <c r="A695" s="69">
        <v>12</v>
      </c>
      <c r="B695" s="3" t="s">
        <v>120</v>
      </c>
      <c r="C695" s="4" t="s">
        <v>38</v>
      </c>
      <c r="D695" s="4" t="s">
        <v>579</v>
      </c>
      <c r="E695" s="4" t="s">
        <v>232</v>
      </c>
      <c r="F695" s="61" t="s">
        <v>232</v>
      </c>
      <c r="G695" s="4" t="s">
        <v>234</v>
      </c>
      <c r="H695" s="62">
        <v>3506.95</v>
      </c>
      <c r="I695" s="62">
        <v>-1148.05</v>
      </c>
      <c r="J695" s="62">
        <v>-18.399999999999999</v>
      </c>
      <c r="K695" s="62">
        <v>0</v>
      </c>
      <c r="L695" s="62">
        <v>0</v>
      </c>
      <c r="M695" s="62">
        <v>-55</v>
      </c>
      <c r="N695" s="62">
        <v>0</v>
      </c>
      <c r="O695" s="62">
        <f t="shared" si="80"/>
        <v>2285.4999999999995</v>
      </c>
      <c r="P695" s="62">
        <v>-2500</v>
      </c>
      <c r="Q695" s="62">
        <v>0</v>
      </c>
      <c r="R695" s="62">
        <v>0</v>
      </c>
      <c r="S695" s="62">
        <v>0</v>
      </c>
      <c r="T695" s="62">
        <v>0</v>
      </c>
      <c r="U695" s="62">
        <v>0</v>
      </c>
      <c r="V695" s="62">
        <v>0</v>
      </c>
      <c r="W695" s="62">
        <f t="shared" si="75"/>
        <v>-214.50000000000045</v>
      </c>
      <c r="X695" s="62">
        <f t="shared" si="77"/>
        <v>0</v>
      </c>
      <c r="Y695" s="62">
        <f t="shared" si="78"/>
        <v>-214.50000000000045</v>
      </c>
      <c r="Z695" s="62">
        <v>215</v>
      </c>
      <c r="AA695" s="62">
        <f t="shared" si="79"/>
        <v>0.49999999999954525</v>
      </c>
      <c r="AB695" s="62">
        <f t="shared" si="76"/>
        <v>2500.9999999999991</v>
      </c>
      <c r="AC695" s="4"/>
      <c r="AD695" s="4" t="s">
        <v>1124</v>
      </c>
    </row>
    <row r="696" spans="1:30" hidden="1" x14ac:dyDescent="0.3">
      <c r="A696" s="69">
        <v>12</v>
      </c>
      <c r="B696" s="4" t="s">
        <v>186</v>
      </c>
      <c r="C696" s="4" t="s">
        <v>54</v>
      </c>
      <c r="D696" s="4" t="s">
        <v>318</v>
      </c>
      <c r="E696" s="4" t="s">
        <v>232</v>
      </c>
      <c r="F696" s="4" t="s">
        <v>232</v>
      </c>
      <c r="G696" s="4" t="s">
        <v>234</v>
      </c>
      <c r="H696" s="62">
        <v>2200.81</v>
      </c>
      <c r="I696" s="62">
        <v>-94.62</v>
      </c>
      <c r="J696" s="62">
        <v>-95.2</v>
      </c>
      <c r="K696" s="62">
        <v>0</v>
      </c>
      <c r="L696" s="62">
        <v>0</v>
      </c>
      <c r="M696" s="62">
        <v>-10</v>
      </c>
      <c r="N696" s="62">
        <v>0</v>
      </c>
      <c r="O696" s="62">
        <f t="shared" si="80"/>
        <v>2000.99</v>
      </c>
      <c r="P696" s="62">
        <v>-2500</v>
      </c>
      <c r="Q696" s="62">
        <f>-1075*1.12</f>
        <v>-1204.0000000000002</v>
      </c>
      <c r="R696" s="62">
        <v>-500</v>
      </c>
      <c r="S696" s="62">
        <v>0</v>
      </c>
      <c r="T696" s="62">
        <v>0</v>
      </c>
      <c r="U696" s="62">
        <v>0</v>
      </c>
      <c r="V696" s="62">
        <v>0</v>
      </c>
      <c r="W696" s="62">
        <f t="shared" si="75"/>
        <v>-2203.0100000000002</v>
      </c>
      <c r="X696" s="62">
        <f t="shared" si="77"/>
        <v>0</v>
      </c>
      <c r="Y696" s="62">
        <f t="shared" si="78"/>
        <v>-2203.0100000000002</v>
      </c>
      <c r="Z696" s="62">
        <v>1000</v>
      </c>
      <c r="AA696" s="62">
        <f t="shared" si="79"/>
        <v>-1203.0100000000002</v>
      </c>
      <c r="AB696" s="62">
        <f t="shared" si="76"/>
        <v>1797.9799999999996</v>
      </c>
      <c r="AC696" s="4"/>
      <c r="AD696" s="4" t="s">
        <v>1125</v>
      </c>
    </row>
    <row r="697" spans="1:30" hidden="1" x14ac:dyDescent="0.3">
      <c r="A697" s="69">
        <v>12</v>
      </c>
      <c r="B697" s="3" t="s">
        <v>111</v>
      </c>
      <c r="C697" s="4" t="s">
        <v>63</v>
      </c>
      <c r="D697" s="4" t="s">
        <v>374</v>
      </c>
      <c r="E697" s="4" t="s">
        <v>291</v>
      </c>
      <c r="F697" s="61" t="s">
        <v>291</v>
      </c>
      <c r="G697" s="4" t="s">
        <v>234</v>
      </c>
      <c r="H697" s="62">
        <v>5804.38</v>
      </c>
      <c r="I697" s="62">
        <v>-1975.45</v>
      </c>
      <c r="J697" s="62">
        <v>0</v>
      </c>
      <c r="K697" s="62">
        <v>0</v>
      </c>
      <c r="L697" s="62">
        <v>0</v>
      </c>
      <c r="M697" s="62">
        <v>-75</v>
      </c>
      <c r="N697" s="62">
        <v>0</v>
      </c>
      <c r="O697" s="62">
        <f t="shared" si="80"/>
        <v>3753.9300000000003</v>
      </c>
      <c r="P697" s="62">
        <v>-2500</v>
      </c>
      <c r="Q697" s="62">
        <v>0</v>
      </c>
      <c r="R697" s="62">
        <v>0</v>
      </c>
      <c r="S697" s="62">
        <v>0</v>
      </c>
      <c r="T697" s="62">
        <v>0</v>
      </c>
      <c r="U697" s="62">
        <v>0</v>
      </c>
      <c r="V697" s="62">
        <v>0</v>
      </c>
      <c r="W697" s="62">
        <f t="shared" si="75"/>
        <v>1253.9300000000003</v>
      </c>
      <c r="X697" s="62">
        <f t="shared" si="77"/>
        <v>1253.9300000000003</v>
      </c>
      <c r="Y697" s="62">
        <f t="shared" si="78"/>
        <v>0</v>
      </c>
      <c r="Z697" s="62">
        <v>0</v>
      </c>
      <c r="AA697" s="62">
        <f t="shared" si="79"/>
        <v>0</v>
      </c>
      <c r="AB697" s="62">
        <f t="shared" si="76"/>
        <v>2500</v>
      </c>
      <c r="AC697" s="4"/>
      <c r="AD697" s="4"/>
    </row>
    <row r="698" spans="1:30" hidden="1" x14ac:dyDescent="0.3">
      <c r="A698" s="69">
        <v>12</v>
      </c>
      <c r="B698" s="3" t="s">
        <v>121</v>
      </c>
      <c r="C698" s="4" t="s">
        <v>156</v>
      </c>
      <c r="D698" s="4" t="s">
        <v>1072</v>
      </c>
      <c r="E698" s="4" t="s">
        <v>232</v>
      </c>
      <c r="F698" s="61" t="s">
        <v>232</v>
      </c>
      <c r="G698" s="4" t="s">
        <v>234</v>
      </c>
      <c r="H698" s="62">
        <v>4278.84</v>
      </c>
      <c r="I698" s="62">
        <v>-1203.1200000000001</v>
      </c>
      <c r="J698" s="62">
        <v>-14.64</v>
      </c>
      <c r="K698" s="62">
        <v>0</v>
      </c>
      <c r="L698" s="62">
        <v>0</v>
      </c>
      <c r="M698" s="62">
        <v>-55</v>
      </c>
      <c r="N698" s="62">
        <v>0</v>
      </c>
      <c r="O698" s="62">
        <f t="shared" si="80"/>
        <v>3006.0800000000004</v>
      </c>
      <c r="P698" s="62">
        <v>-2700</v>
      </c>
      <c r="Q698" s="62">
        <v>0</v>
      </c>
      <c r="R698" s="62">
        <v>0</v>
      </c>
      <c r="S698" s="62">
        <v>0</v>
      </c>
      <c r="T698" s="62">
        <v>0</v>
      </c>
      <c r="U698" s="62">
        <v>0</v>
      </c>
      <c r="V698" s="62">
        <v>0</v>
      </c>
      <c r="W698" s="62">
        <f t="shared" si="75"/>
        <v>306.08000000000038</v>
      </c>
      <c r="X698" s="62">
        <f t="shared" si="77"/>
        <v>306.08000000000038</v>
      </c>
      <c r="Y698" s="62">
        <f t="shared" si="78"/>
        <v>0</v>
      </c>
      <c r="Z698" s="62">
        <v>0</v>
      </c>
      <c r="AA698" s="62">
        <f t="shared" si="79"/>
        <v>0</v>
      </c>
      <c r="AB698" s="62">
        <f t="shared" si="76"/>
        <v>2700</v>
      </c>
      <c r="AC698" s="4"/>
      <c r="AD698" s="4"/>
    </row>
    <row r="699" spans="1:30" hidden="1" x14ac:dyDescent="0.3">
      <c r="A699" s="69">
        <v>12</v>
      </c>
      <c r="B699" s="3" t="s">
        <v>17</v>
      </c>
      <c r="C699" s="4" t="s">
        <v>18</v>
      </c>
      <c r="D699" s="4" t="s">
        <v>572</v>
      </c>
      <c r="E699" s="4" t="s">
        <v>232</v>
      </c>
      <c r="F699" s="61" t="s">
        <v>232</v>
      </c>
      <c r="G699" s="4" t="s">
        <v>234</v>
      </c>
      <c r="H699" s="62">
        <v>1398.84</v>
      </c>
      <c r="I699" s="62">
        <v>-612.23</v>
      </c>
      <c r="J699" s="62">
        <v>0</v>
      </c>
      <c r="K699" s="62">
        <v>0</v>
      </c>
      <c r="L699" s="62">
        <v>0</v>
      </c>
      <c r="M699" s="62">
        <v>-30</v>
      </c>
      <c r="N699" s="62">
        <v>0</v>
      </c>
      <c r="O699" s="62">
        <f t="shared" si="80"/>
        <v>756.6099999999999</v>
      </c>
      <c r="P699" s="62">
        <v>-2700</v>
      </c>
      <c r="Q699" s="62">
        <v>0</v>
      </c>
      <c r="R699" s="62">
        <v>0</v>
      </c>
      <c r="S699" s="62">
        <v>0</v>
      </c>
      <c r="T699" s="62">
        <v>0</v>
      </c>
      <c r="U699" s="62">
        <v>0</v>
      </c>
      <c r="V699" s="62">
        <v>0</v>
      </c>
      <c r="W699" s="62">
        <f t="shared" si="75"/>
        <v>-1943.39</v>
      </c>
      <c r="X699" s="62">
        <f t="shared" si="77"/>
        <v>0</v>
      </c>
      <c r="Y699" s="62">
        <f t="shared" si="78"/>
        <v>-1943.39</v>
      </c>
      <c r="Z699" s="62">
        <v>1943</v>
      </c>
      <c r="AA699" s="62">
        <f t="shared" si="79"/>
        <v>-0.39000000000010004</v>
      </c>
      <c r="AB699" s="62">
        <f t="shared" si="76"/>
        <v>2699.2199999999993</v>
      </c>
      <c r="AC699" s="4"/>
      <c r="AD699" s="74" t="s">
        <v>1126</v>
      </c>
    </row>
    <row r="700" spans="1:30" hidden="1" x14ac:dyDescent="0.3">
      <c r="A700" s="69">
        <v>12</v>
      </c>
      <c r="B700" s="3" t="s">
        <v>19</v>
      </c>
      <c r="C700" s="4" t="s">
        <v>20</v>
      </c>
      <c r="D700" s="4" t="s">
        <v>239</v>
      </c>
      <c r="E700" s="4" t="s">
        <v>232</v>
      </c>
      <c r="F700" s="61" t="s">
        <v>232</v>
      </c>
      <c r="G700" s="4" t="s">
        <v>234</v>
      </c>
      <c r="H700" s="62">
        <v>5177.45</v>
      </c>
      <c r="I700" s="62">
        <v>-185.97</v>
      </c>
      <c r="J700" s="62">
        <v>0</v>
      </c>
      <c r="K700" s="62">
        <v>0</v>
      </c>
      <c r="L700" s="62">
        <v>-47.5</v>
      </c>
      <c r="M700" s="62">
        <v>-25</v>
      </c>
      <c r="N700" s="62">
        <v>0</v>
      </c>
      <c r="O700" s="62">
        <f t="shared" si="80"/>
        <v>4918.9799999999996</v>
      </c>
      <c r="P700" s="62">
        <v>-2500</v>
      </c>
      <c r="Q700" s="62">
        <v>0</v>
      </c>
      <c r="R700" s="62">
        <v>0</v>
      </c>
      <c r="S700" s="62">
        <v>0</v>
      </c>
      <c r="T700" s="62">
        <v>0</v>
      </c>
      <c r="U700" s="62">
        <v>-1321</v>
      </c>
      <c r="V700" s="62">
        <v>0</v>
      </c>
      <c r="W700" s="62">
        <f t="shared" si="75"/>
        <v>1097.9799999999996</v>
      </c>
      <c r="X700" s="62">
        <f t="shared" si="77"/>
        <v>1097.9799999999996</v>
      </c>
      <c r="Y700" s="62">
        <f t="shared" si="78"/>
        <v>0</v>
      </c>
      <c r="Z700" s="62">
        <v>0</v>
      </c>
      <c r="AA700" s="62">
        <f t="shared" si="79"/>
        <v>0</v>
      </c>
      <c r="AB700" s="62">
        <f t="shared" si="76"/>
        <v>3821</v>
      </c>
      <c r="AC700" s="4"/>
      <c r="AD700" s="4"/>
    </row>
    <row r="701" spans="1:30" hidden="1" x14ac:dyDescent="0.3">
      <c r="A701" s="69">
        <v>12</v>
      </c>
      <c r="B701" s="3" t="s">
        <v>128</v>
      </c>
      <c r="C701" s="4" t="s">
        <v>155</v>
      </c>
      <c r="D701" s="4"/>
      <c r="E701" s="4" t="s">
        <v>232</v>
      </c>
      <c r="F701" s="61" t="s">
        <v>232</v>
      </c>
      <c r="G701" s="4" t="s">
        <v>234</v>
      </c>
      <c r="H701" s="62">
        <v>8093.01</v>
      </c>
      <c r="I701" s="62">
        <v>-3272.2299999999996</v>
      </c>
      <c r="J701" s="62">
        <v>-93.52</v>
      </c>
      <c r="K701" s="62">
        <v>0</v>
      </c>
      <c r="L701" s="62">
        <v>0</v>
      </c>
      <c r="M701" s="62">
        <v>-60</v>
      </c>
      <c r="N701" s="62">
        <v>0</v>
      </c>
      <c r="O701" s="62">
        <f t="shared" si="80"/>
        <v>4667.26</v>
      </c>
      <c r="P701" s="62">
        <v>-2500</v>
      </c>
      <c r="Q701" s="62">
        <v>0</v>
      </c>
      <c r="R701" s="62">
        <v>0</v>
      </c>
      <c r="S701" s="62">
        <v>0</v>
      </c>
      <c r="T701" s="62">
        <v>0</v>
      </c>
      <c r="U701" s="62">
        <v>0</v>
      </c>
      <c r="V701" s="62">
        <v>0</v>
      </c>
      <c r="W701" s="62">
        <f t="shared" si="75"/>
        <v>2167.2600000000002</v>
      </c>
      <c r="X701" s="62">
        <f t="shared" si="77"/>
        <v>2167.2600000000002</v>
      </c>
      <c r="Y701" s="62">
        <f t="shared" si="78"/>
        <v>0</v>
      </c>
      <c r="Z701" s="62">
        <v>0</v>
      </c>
      <c r="AA701" s="62">
        <f t="shared" si="79"/>
        <v>0</v>
      </c>
      <c r="AB701" s="62">
        <f t="shared" si="76"/>
        <v>2500</v>
      </c>
      <c r="AC701" s="4"/>
      <c r="AD701" s="4"/>
    </row>
    <row r="702" spans="1:30" hidden="1" x14ac:dyDescent="0.3">
      <c r="A702" s="69">
        <v>12</v>
      </c>
      <c r="B702" s="3" t="s">
        <v>21</v>
      </c>
      <c r="C702" s="4" t="s">
        <v>22</v>
      </c>
      <c r="D702" s="4" t="s">
        <v>319</v>
      </c>
      <c r="E702" s="4" t="s">
        <v>232</v>
      </c>
      <c r="F702" s="61" t="s">
        <v>232</v>
      </c>
      <c r="G702" s="4" t="s">
        <v>234</v>
      </c>
      <c r="H702" s="62">
        <v>0</v>
      </c>
      <c r="I702" s="62">
        <v>0</v>
      </c>
      <c r="J702" s="62">
        <v>0</v>
      </c>
      <c r="K702" s="62">
        <v>102.23</v>
      </c>
      <c r="L702" s="62">
        <v>0</v>
      </c>
      <c r="M702" s="62">
        <v>0</v>
      </c>
      <c r="N702" s="62">
        <v>0</v>
      </c>
      <c r="O702" s="62">
        <f t="shared" si="80"/>
        <v>102.23</v>
      </c>
      <c r="P702" s="62">
        <v>-102</v>
      </c>
      <c r="Q702" s="62">
        <v>0</v>
      </c>
      <c r="R702" s="62">
        <v>0</v>
      </c>
      <c r="S702" s="62">
        <v>0</v>
      </c>
      <c r="T702" s="62">
        <v>0</v>
      </c>
      <c r="U702" s="62">
        <v>0</v>
      </c>
      <c r="V702" s="62">
        <v>0</v>
      </c>
      <c r="W702" s="62">
        <f t="shared" si="75"/>
        <v>0.23000000000000398</v>
      </c>
      <c r="X702" s="62">
        <f t="shared" si="77"/>
        <v>0.23000000000000398</v>
      </c>
      <c r="Y702" s="62">
        <f t="shared" si="78"/>
        <v>0</v>
      </c>
      <c r="Z702" s="62">
        <v>0</v>
      </c>
      <c r="AA702" s="62">
        <f t="shared" si="79"/>
        <v>0</v>
      </c>
      <c r="AB702" s="62">
        <f t="shared" si="76"/>
        <v>102</v>
      </c>
      <c r="AC702" s="4"/>
      <c r="AD702" s="4"/>
    </row>
    <row r="703" spans="1:30" hidden="1" x14ac:dyDescent="0.3">
      <c r="A703" s="69">
        <v>12</v>
      </c>
      <c r="B703" s="3" t="s">
        <v>64</v>
      </c>
      <c r="C703" s="4" t="s">
        <v>140</v>
      </c>
      <c r="D703" s="4" t="s">
        <v>680</v>
      </c>
      <c r="E703" s="4" t="s">
        <v>232</v>
      </c>
      <c r="F703" s="61" t="s">
        <v>232</v>
      </c>
      <c r="G703" s="4" t="s">
        <v>234</v>
      </c>
      <c r="H703" s="62">
        <v>5914.95</v>
      </c>
      <c r="I703" s="62">
        <v>0</v>
      </c>
      <c r="J703" s="62">
        <v>-71.2</v>
      </c>
      <c r="K703" s="62">
        <v>0</v>
      </c>
      <c r="L703" s="62">
        <v>0</v>
      </c>
      <c r="M703" s="62">
        <v>0</v>
      </c>
      <c r="N703" s="62">
        <v>0</v>
      </c>
      <c r="O703" s="62">
        <f t="shared" si="80"/>
        <v>5843.75</v>
      </c>
      <c r="P703" s="62">
        <v>-2700</v>
      </c>
      <c r="Q703" s="62">
        <v>0</v>
      </c>
      <c r="R703" s="62">
        <v>0</v>
      </c>
      <c r="S703" s="62">
        <v>0</v>
      </c>
      <c r="T703" s="62">
        <v>0</v>
      </c>
      <c r="U703" s="62">
        <v>0</v>
      </c>
      <c r="V703" s="62">
        <v>0</v>
      </c>
      <c r="W703" s="62">
        <f t="shared" si="75"/>
        <v>3143.75</v>
      </c>
      <c r="X703" s="62">
        <f t="shared" si="77"/>
        <v>3143.75</v>
      </c>
      <c r="Y703" s="62">
        <f t="shared" si="78"/>
        <v>0</v>
      </c>
      <c r="Z703" s="62">
        <v>0</v>
      </c>
      <c r="AA703" s="62">
        <f t="shared" si="79"/>
        <v>0</v>
      </c>
      <c r="AB703" s="62">
        <f t="shared" si="76"/>
        <v>2700</v>
      </c>
      <c r="AC703" s="4"/>
      <c r="AD703" s="4"/>
    </row>
    <row r="704" spans="1:30" hidden="1" x14ac:dyDescent="0.3">
      <c r="A704" s="69">
        <v>12</v>
      </c>
      <c r="B704" s="3" t="s">
        <v>90</v>
      </c>
      <c r="C704" s="4" t="s">
        <v>16</v>
      </c>
      <c r="D704" s="4" t="s">
        <v>314</v>
      </c>
      <c r="E704" s="4" t="s">
        <v>232</v>
      </c>
      <c r="F704" s="61" t="s">
        <v>232</v>
      </c>
      <c r="G704" s="4" t="s">
        <v>234</v>
      </c>
      <c r="H704" s="62">
        <v>9817.7199999999993</v>
      </c>
      <c r="I704" s="62">
        <v>-2693.7299999999996</v>
      </c>
      <c r="J704" s="62">
        <v>-145.6</v>
      </c>
      <c r="K704" s="62">
        <f>1206.8+108</f>
        <v>1314.8</v>
      </c>
      <c r="L704" s="62">
        <v>0</v>
      </c>
      <c r="M704" s="62">
        <v>-73</v>
      </c>
      <c r="N704" s="62">
        <v>0</v>
      </c>
      <c r="O704" s="62">
        <f t="shared" si="80"/>
        <v>8220.1899999999987</v>
      </c>
      <c r="P704" s="62">
        <v>-2500</v>
      </c>
      <c r="Q704" s="62">
        <v>0</v>
      </c>
      <c r="R704" s="62">
        <v>-107</v>
      </c>
      <c r="S704" s="62">
        <v>0</v>
      </c>
      <c r="T704" s="62">
        <v>0</v>
      </c>
      <c r="U704" s="62">
        <v>0</v>
      </c>
      <c r="V704" s="62">
        <v>0</v>
      </c>
      <c r="W704" s="62">
        <f t="shared" si="75"/>
        <v>5613.1899999999987</v>
      </c>
      <c r="X704" s="62">
        <f t="shared" si="77"/>
        <v>5613.1899999999987</v>
      </c>
      <c r="Y704" s="62">
        <f t="shared" si="78"/>
        <v>0</v>
      </c>
      <c r="Z704" s="62">
        <v>0</v>
      </c>
      <c r="AA704" s="62">
        <f t="shared" si="79"/>
        <v>0</v>
      </c>
      <c r="AB704" s="62">
        <f t="shared" si="76"/>
        <v>2607</v>
      </c>
      <c r="AC704" s="4"/>
      <c r="AD704" s="4"/>
    </row>
    <row r="705" spans="1:30" hidden="1" x14ac:dyDescent="0.3">
      <c r="A705" s="69">
        <v>12</v>
      </c>
      <c r="B705" s="3" t="s">
        <v>23</v>
      </c>
      <c r="C705" s="4" t="s">
        <v>24</v>
      </c>
      <c r="D705" s="4" t="s">
        <v>515</v>
      </c>
      <c r="E705" s="4" t="s">
        <v>232</v>
      </c>
      <c r="F705" s="61" t="s">
        <v>232</v>
      </c>
      <c r="G705" s="4" t="s">
        <v>234</v>
      </c>
      <c r="H705" s="62">
        <v>3574.67</v>
      </c>
      <c r="I705" s="62">
        <v>-3530.8499999999995</v>
      </c>
      <c r="J705" s="62">
        <v>-20.8</v>
      </c>
      <c r="K705" s="62">
        <v>0</v>
      </c>
      <c r="L705" s="62">
        <v>0</v>
      </c>
      <c r="M705" s="62">
        <f>-17.88-60</f>
        <v>-77.88</v>
      </c>
      <c r="N705" s="62">
        <v>-149</v>
      </c>
      <c r="O705" s="62">
        <f t="shared" si="80"/>
        <v>-203.85999999999939</v>
      </c>
      <c r="P705" s="62">
        <v>-2700</v>
      </c>
      <c r="Q705" s="62">
        <f>-7*1.12</f>
        <v>-7.8400000000000007</v>
      </c>
      <c r="R705" s="62">
        <v>0</v>
      </c>
      <c r="S705" s="62">
        <v>0</v>
      </c>
      <c r="T705" s="62">
        <v>0</v>
      </c>
      <c r="U705" s="62">
        <v>0</v>
      </c>
      <c r="V705" s="62">
        <v>0</v>
      </c>
      <c r="W705" s="62">
        <f t="shared" si="75"/>
        <v>-2911.6999999999994</v>
      </c>
      <c r="X705" s="62">
        <f t="shared" si="77"/>
        <v>0</v>
      </c>
      <c r="Y705" s="62">
        <f t="shared" si="78"/>
        <v>-2911.6999999999994</v>
      </c>
      <c r="Z705" s="62">
        <f>800+1300+612+200</f>
        <v>2912</v>
      </c>
      <c r="AA705" s="62">
        <f t="shared" si="79"/>
        <v>0.30000000000063665</v>
      </c>
      <c r="AB705" s="62">
        <f t="shared" si="76"/>
        <v>2708.4400000000014</v>
      </c>
      <c r="AC705" s="4"/>
      <c r="AD705" s="4" t="s">
        <v>1127</v>
      </c>
    </row>
    <row r="706" spans="1:30" hidden="1" x14ac:dyDescent="0.3">
      <c r="A706" s="69">
        <v>12</v>
      </c>
      <c r="B706" s="3" t="s">
        <v>23</v>
      </c>
      <c r="C706" s="4" t="s">
        <v>22</v>
      </c>
      <c r="D706" s="4" t="s">
        <v>319</v>
      </c>
      <c r="E706" s="4" t="s">
        <v>232</v>
      </c>
      <c r="F706" s="61" t="s">
        <v>232</v>
      </c>
      <c r="G706" s="4" t="s">
        <v>234</v>
      </c>
      <c r="H706" s="62">
        <v>0</v>
      </c>
      <c r="I706" s="62">
        <v>0</v>
      </c>
      <c r="J706" s="62">
        <v>0</v>
      </c>
      <c r="K706" s="62">
        <v>0</v>
      </c>
      <c r="L706" s="62">
        <v>0</v>
      </c>
      <c r="M706" s="62">
        <v>0</v>
      </c>
      <c r="N706" s="62">
        <v>0</v>
      </c>
      <c r="O706" s="62">
        <f t="shared" si="80"/>
        <v>0</v>
      </c>
      <c r="P706" s="62">
        <v>0</v>
      </c>
      <c r="Q706" s="62">
        <v>0</v>
      </c>
      <c r="R706" s="62">
        <v>0</v>
      </c>
      <c r="S706" s="62">
        <v>0</v>
      </c>
      <c r="T706" s="62">
        <v>-500</v>
      </c>
      <c r="U706" s="62">
        <v>0</v>
      </c>
      <c r="V706" s="62">
        <v>0</v>
      </c>
      <c r="W706" s="62">
        <f t="shared" ref="W706:W749" si="81">SUM(O706:V706)</f>
        <v>-500</v>
      </c>
      <c r="X706" s="62">
        <f t="shared" si="77"/>
        <v>0</v>
      </c>
      <c r="Y706" s="62">
        <f t="shared" si="78"/>
        <v>-500</v>
      </c>
      <c r="Z706" s="62">
        <v>500</v>
      </c>
      <c r="AA706" s="62">
        <f t="shared" si="79"/>
        <v>0</v>
      </c>
      <c r="AB706" s="62">
        <f t="shared" ref="AB706:AB749" si="82">+O706-X706+Z706+AA706</f>
        <v>500</v>
      </c>
      <c r="AC706" s="4"/>
      <c r="AD706" s="4" t="s">
        <v>1128</v>
      </c>
    </row>
    <row r="707" spans="1:30" hidden="1" x14ac:dyDescent="0.3">
      <c r="A707" s="69">
        <v>12</v>
      </c>
      <c r="B707" s="3" t="s">
        <v>108</v>
      </c>
      <c r="C707" s="4" t="s">
        <v>75</v>
      </c>
      <c r="D707" s="4" t="s">
        <v>744</v>
      </c>
      <c r="E707" s="4" t="s">
        <v>241</v>
      </c>
      <c r="F707" s="61" t="s">
        <v>291</v>
      </c>
      <c r="G707" s="4" t="s">
        <v>234</v>
      </c>
      <c r="H707" s="62">
        <v>5625.16</v>
      </c>
      <c r="I707" s="62">
        <v>-1061.98</v>
      </c>
      <c r="J707" s="76">
        <v>-115.93</v>
      </c>
      <c r="K707" s="62">
        <v>100.57</v>
      </c>
      <c r="L707" s="62">
        <v>0</v>
      </c>
      <c r="M707" s="62">
        <v>-75</v>
      </c>
      <c r="N707" s="62">
        <v>0</v>
      </c>
      <c r="O707" s="62">
        <f t="shared" si="80"/>
        <v>4472.82</v>
      </c>
      <c r="P707" s="62">
        <v>-1786</v>
      </c>
      <c r="Q707" s="62">
        <v>0</v>
      </c>
      <c r="R707" s="62">
        <v>0</v>
      </c>
      <c r="S707" s="62">
        <v>0</v>
      </c>
      <c r="T707" s="62">
        <v>-700</v>
      </c>
      <c r="U707" s="62">
        <v>0</v>
      </c>
      <c r="V707" s="62">
        <v>0</v>
      </c>
      <c r="W707" s="62">
        <f t="shared" si="81"/>
        <v>1986.8199999999997</v>
      </c>
      <c r="X707" s="62">
        <f t="shared" si="77"/>
        <v>1986.8199999999997</v>
      </c>
      <c r="Y707" s="62">
        <f t="shared" si="78"/>
        <v>0</v>
      </c>
      <c r="Z707" s="62">
        <v>0</v>
      </c>
      <c r="AA707" s="62">
        <f t="shared" si="79"/>
        <v>0</v>
      </c>
      <c r="AB707" s="62">
        <f t="shared" si="82"/>
        <v>2486</v>
      </c>
      <c r="AC707" s="4"/>
      <c r="AD707" s="61"/>
    </row>
    <row r="708" spans="1:30" hidden="1" x14ac:dyDescent="0.3">
      <c r="A708" s="69">
        <v>12</v>
      </c>
      <c r="B708" s="3" t="s">
        <v>85</v>
      </c>
      <c r="C708" s="4" t="s">
        <v>86</v>
      </c>
      <c r="D708" s="4" t="s">
        <v>519</v>
      </c>
      <c r="E708" s="4" t="s">
        <v>232</v>
      </c>
      <c r="F708" s="61" t="s">
        <v>232</v>
      </c>
      <c r="G708" s="4" t="s">
        <v>234</v>
      </c>
      <c r="H708" s="62">
        <v>0</v>
      </c>
      <c r="I708" s="62">
        <v>0</v>
      </c>
      <c r="J708" s="62">
        <v>0</v>
      </c>
      <c r="K708" s="62">
        <v>0</v>
      </c>
      <c r="L708" s="62">
        <v>0</v>
      </c>
      <c r="M708" s="62">
        <v>0</v>
      </c>
      <c r="N708" s="62">
        <v>0</v>
      </c>
      <c r="O708" s="62">
        <f t="shared" si="80"/>
        <v>0</v>
      </c>
      <c r="P708" s="62">
        <v>0</v>
      </c>
      <c r="Q708" s="62">
        <f>-2072*1.12</f>
        <v>-2320.6400000000003</v>
      </c>
      <c r="R708" s="62">
        <v>0</v>
      </c>
      <c r="S708" s="62">
        <v>0</v>
      </c>
      <c r="T708" s="62">
        <v>0</v>
      </c>
      <c r="U708" s="62">
        <v>0</v>
      </c>
      <c r="V708" s="62">
        <v>0</v>
      </c>
      <c r="W708" s="62">
        <f t="shared" si="81"/>
        <v>-2320.6400000000003</v>
      </c>
      <c r="X708" s="62">
        <f t="shared" si="77"/>
        <v>0</v>
      </c>
      <c r="Y708" s="62">
        <f t="shared" si="78"/>
        <v>-2320.6400000000003</v>
      </c>
      <c r="Z708" s="62">
        <v>0</v>
      </c>
      <c r="AA708" s="62">
        <f t="shared" si="79"/>
        <v>-2320.6400000000003</v>
      </c>
      <c r="AB708" s="62">
        <f t="shared" si="82"/>
        <v>-2320.6400000000003</v>
      </c>
      <c r="AC708" s="4"/>
      <c r="AD708" s="4"/>
    </row>
    <row r="709" spans="1:30" hidden="1" x14ac:dyDescent="0.3">
      <c r="A709" s="69">
        <v>12</v>
      </c>
      <c r="B709" s="3" t="s">
        <v>136</v>
      </c>
      <c r="C709" s="4" t="s">
        <v>56</v>
      </c>
      <c r="D709" s="4" t="s">
        <v>336</v>
      </c>
      <c r="E709" s="4" t="s">
        <v>241</v>
      </c>
      <c r="F709" s="61" t="s">
        <v>291</v>
      </c>
      <c r="G709" s="4" t="s">
        <v>234</v>
      </c>
      <c r="H709" s="62">
        <v>3406.45</v>
      </c>
      <c r="I709" s="62">
        <v>-890.57</v>
      </c>
      <c r="J709" s="76">
        <v>-44.17</v>
      </c>
      <c r="K709" s="62">
        <v>276.04000000000002</v>
      </c>
      <c r="L709" s="62">
        <v>0</v>
      </c>
      <c r="M709" s="62">
        <v>-34</v>
      </c>
      <c r="N709" s="62">
        <v>0</v>
      </c>
      <c r="O709" s="62">
        <f t="shared" si="80"/>
        <v>2713.7499999999995</v>
      </c>
      <c r="P709" s="62">
        <v>-2500</v>
      </c>
      <c r="Q709" s="62">
        <v>0</v>
      </c>
      <c r="R709" s="62">
        <v>-214</v>
      </c>
      <c r="S709" s="62">
        <v>0</v>
      </c>
      <c r="T709" s="62">
        <v>0</v>
      </c>
      <c r="U709" s="62">
        <v>0</v>
      </c>
      <c r="V709" s="62">
        <v>0</v>
      </c>
      <c r="W709" s="62">
        <f t="shared" si="81"/>
        <v>-0.25000000000045475</v>
      </c>
      <c r="X709" s="62">
        <f t="shared" si="77"/>
        <v>0</v>
      </c>
      <c r="Y709" s="62">
        <f t="shared" si="78"/>
        <v>-0.25000000000045475</v>
      </c>
      <c r="Z709" s="62">
        <v>0</v>
      </c>
      <c r="AA709" s="62">
        <f t="shared" si="79"/>
        <v>-0.25000000000045475</v>
      </c>
      <c r="AB709" s="62">
        <f t="shared" si="82"/>
        <v>2713.4999999999991</v>
      </c>
      <c r="AC709" s="4"/>
      <c r="AD709" s="74"/>
    </row>
    <row r="710" spans="1:30" hidden="1" x14ac:dyDescent="0.3">
      <c r="A710" s="69">
        <v>12</v>
      </c>
      <c r="B710" s="4" t="s">
        <v>1129</v>
      </c>
      <c r="C710" s="4" t="s">
        <v>71</v>
      </c>
      <c r="D710" s="4" t="s">
        <v>588</v>
      </c>
      <c r="E710" s="4" t="s">
        <v>291</v>
      </c>
      <c r="F710" s="61" t="s">
        <v>291</v>
      </c>
      <c r="G710" s="4" t="s">
        <v>234</v>
      </c>
      <c r="H710" s="62">
        <v>2402.77</v>
      </c>
      <c r="I710" s="62">
        <v>0</v>
      </c>
      <c r="J710" s="62">
        <v>0</v>
      </c>
      <c r="K710" s="62">
        <v>0</v>
      </c>
      <c r="L710" s="62">
        <v>0</v>
      </c>
      <c r="M710" s="62">
        <v>0</v>
      </c>
      <c r="N710" s="62">
        <v>0</v>
      </c>
      <c r="O710" s="62">
        <f t="shared" si="80"/>
        <v>2402.77</v>
      </c>
      <c r="P710" s="62">
        <v>-2402.77</v>
      </c>
      <c r="Q710" s="62">
        <v>0</v>
      </c>
      <c r="R710" s="62">
        <v>0</v>
      </c>
      <c r="S710" s="62">
        <v>0</v>
      </c>
      <c r="T710" s="62">
        <v>0</v>
      </c>
      <c r="U710" s="62">
        <v>0</v>
      </c>
      <c r="V710" s="62">
        <v>0</v>
      </c>
      <c r="W710" s="62">
        <f t="shared" si="81"/>
        <v>0</v>
      </c>
      <c r="X710" s="62">
        <f t="shared" si="77"/>
        <v>0</v>
      </c>
      <c r="Y710" s="62">
        <f t="shared" si="78"/>
        <v>0</v>
      </c>
      <c r="Z710" s="62">
        <v>0</v>
      </c>
      <c r="AA710" s="62">
        <f t="shared" si="79"/>
        <v>0</v>
      </c>
      <c r="AB710" s="62">
        <f t="shared" si="82"/>
        <v>2402.77</v>
      </c>
      <c r="AC710" s="4"/>
      <c r="AD710" s="4"/>
    </row>
    <row r="711" spans="1:30" hidden="1" x14ac:dyDescent="0.3">
      <c r="A711" s="69">
        <v>12</v>
      </c>
      <c r="B711" s="4" t="s">
        <v>190</v>
      </c>
      <c r="C711" s="4" t="s">
        <v>142</v>
      </c>
      <c r="D711" s="4" t="s">
        <v>1079</v>
      </c>
      <c r="E711" s="4" t="s">
        <v>232</v>
      </c>
      <c r="F711" s="4" t="s">
        <v>232</v>
      </c>
      <c r="G711" s="4" t="s">
        <v>234</v>
      </c>
      <c r="H711" s="62">
        <v>6402.25</v>
      </c>
      <c r="I711" s="62">
        <v>0</v>
      </c>
      <c r="J711" s="62">
        <v>0</v>
      </c>
      <c r="K711" s="62">
        <v>9.7899999999999991</v>
      </c>
      <c r="L711" s="62">
        <v>0</v>
      </c>
      <c r="M711" s="62">
        <v>0</v>
      </c>
      <c r="N711" s="62">
        <v>0</v>
      </c>
      <c r="O711" s="62">
        <f t="shared" si="80"/>
        <v>6412.04</v>
      </c>
      <c r="P711" s="62">
        <v>-2700</v>
      </c>
      <c r="Q711" s="62">
        <v>0</v>
      </c>
      <c r="R711" s="62">
        <v>-500</v>
      </c>
      <c r="S711" s="62">
        <v>0</v>
      </c>
      <c r="T711" s="62">
        <v>0</v>
      </c>
      <c r="U711" s="62">
        <v>0</v>
      </c>
      <c r="V711" s="62">
        <v>0</v>
      </c>
      <c r="W711" s="62">
        <f t="shared" si="81"/>
        <v>3212.04</v>
      </c>
      <c r="X711" s="62">
        <f t="shared" si="77"/>
        <v>3212.04</v>
      </c>
      <c r="Y711" s="62">
        <f t="shared" si="78"/>
        <v>0</v>
      </c>
      <c r="Z711" s="62">
        <v>0</v>
      </c>
      <c r="AA711" s="62">
        <f t="shared" si="79"/>
        <v>0</v>
      </c>
      <c r="AB711" s="62">
        <f t="shared" si="82"/>
        <v>3200</v>
      </c>
      <c r="AC711" s="4"/>
      <c r="AD711" s="4"/>
    </row>
    <row r="712" spans="1:30" hidden="1" x14ac:dyDescent="0.3">
      <c r="A712" s="69">
        <v>12</v>
      </c>
      <c r="B712" s="4" t="s">
        <v>1130</v>
      </c>
      <c r="C712" s="4" t="s">
        <v>46</v>
      </c>
      <c r="D712" s="4" t="s">
        <v>257</v>
      </c>
      <c r="E712" s="4" t="s">
        <v>232</v>
      </c>
      <c r="F712" s="4" t="s">
        <v>232</v>
      </c>
      <c r="G712" s="4" t="s">
        <v>234</v>
      </c>
      <c r="H712" s="62">
        <v>1733.11</v>
      </c>
      <c r="I712" s="62">
        <v>-1416.0800000000002</v>
      </c>
      <c r="J712" s="62">
        <v>0</v>
      </c>
      <c r="K712" s="62">
        <v>0</v>
      </c>
      <c r="L712" s="62">
        <v>0</v>
      </c>
      <c r="M712" s="62">
        <v>-55</v>
      </c>
      <c r="N712" s="62">
        <v>0</v>
      </c>
      <c r="O712" s="62">
        <f t="shared" si="80"/>
        <v>262.02999999999975</v>
      </c>
      <c r="P712" s="62">
        <f>(-2500/7)*2</f>
        <v>-714.28571428571433</v>
      </c>
      <c r="Q712" s="62">
        <v>0</v>
      </c>
      <c r="R712" s="62">
        <v>-142.85714285714286</v>
      </c>
      <c r="S712" s="62">
        <v>0</v>
      </c>
      <c r="T712" s="62">
        <v>0</v>
      </c>
      <c r="U712" s="62">
        <v>0</v>
      </c>
      <c r="V712" s="62">
        <v>0</v>
      </c>
      <c r="W712" s="62">
        <f t="shared" si="81"/>
        <v>-595.11285714285748</v>
      </c>
      <c r="X712" s="62">
        <f t="shared" si="77"/>
        <v>0</v>
      </c>
      <c r="Y712" s="62">
        <f t="shared" si="78"/>
        <v>-595.11285714285748</v>
      </c>
      <c r="Z712" s="62">
        <v>595</v>
      </c>
      <c r="AA712" s="62">
        <f t="shared" si="79"/>
        <v>-0.11285714285747872</v>
      </c>
      <c r="AB712" s="62">
        <f t="shared" si="82"/>
        <v>856.91714285714227</v>
      </c>
      <c r="AC712" s="4"/>
      <c r="AD712" s="4" t="s">
        <v>1131</v>
      </c>
    </row>
    <row r="713" spans="1:30" hidden="1" x14ac:dyDescent="0.3">
      <c r="A713" s="69">
        <v>12</v>
      </c>
      <c r="B713" s="4" t="s">
        <v>177</v>
      </c>
      <c r="C713" s="4" t="s">
        <v>157</v>
      </c>
      <c r="D713" s="4"/>
      <c r="E713" s="4" t="s">
        <v>232</v>
      </c>
      <c r="F713" s="61" t="s">
        <v>232</v>
      </c>
      <c r="G713" s="4" t="s">
        <v>234</v>
      </c>
      <c r="H713" s="62">
        <v>0</v>
      </c>
      <c r="I713" s="62">
        <v>0</v>
      </c>
      <c r="J713" s="62">
        <v>-0.37</v>
      </c>
      <c r="K713" s="62">
        <v>2.31</v>
      </c>
      <c r="L713" s="62">
        <v>0</v>
      </c>
      <c r="M713" s="62">
        <v>0</v>
      </c>
      <c r="N713" s="62">
        <v>0</v>
      </c>
      <c r="O713" s="62">
        <f t="shared" si="80"/>
        <v>1.94</v>
      </c>
      <c r="P713" s="62">
        <v>-2</v>
      </c>
      <c r="Q713" s="62">
        <v>0</v>
      </c>
      <c r="R713" s="62">
        <v>0</v>
      </c>
      <c r="S713" s="62">
        <v>0</v>
      </c>
      <c r="T713" s="62">
        <v>0</v>
      </c>
      <c r="U713" s="62">
        <v>0</v>
      </c>
      <c r="V713" s="62">
        <v>0</v>
      </c>
      <c r="W713" s="62">
        <f t="shared" si="81"/>
        <v>-6.0000000000000053E-2</v>
      </c>
      <c r="X713" s="62">
        <f t="shared" si="77"/>
        <v>0</v>
      </c>
      <c r="Y713" s="62">
        <f t="shared" si="78"/>
        <v>-6.0000000000000053E-2</v>
      </c>
      <c r="Z713" s="62">
        <v>0</v>
      </c>
      <c r="AA713" s="62">
        <f t="shared" si="79"/>
        <v>-6.0000000000000053E-2</v>
      </c>
      <c r="AB713" s="62">
        <f t="shared" si="82"/>
        <v>1.88</v>
      </c>
      <c r="AC713" s="4"/>
      <c r="AD713" s="4"/>
    </row>
    <row r="714" spans="1:30" hidden="1" x14ac:dyDescent="0.3">
      <c r="A714" s="69">
        <v>12</v>
      </c>
      <c r="B714" s="3" t="s">
        <v>27</v>
      </c>
      <c r="C714" s="4" t="s">
        <v>137</v>
      </c>
      <c r="D714" s="4" t="s">
        <v>877</v>
      </c>
      <c r="E714" s="4" t="s">
        <v>232</v>
      </c>
      <c r="F714" s="61" t="s">
        <v>232</v>
      </c>
      <c r="G714" s="4" t="s">
        <v>234</v>
      </c>
      <c r="H714" s="62">
        <v>0</v>
      </c>
      <c r="I714" s="62">
        <v>0</v>
      </c>
      <c r="J714" s="62">
        <v>0</v>
      </c>
      <c r="K714" s="62">
        <v>0</v>
      </c>
      <c r="L714" s="62">
        <v>0</v>
      </c>
      <c r="M714" s="62">
        <v>0</v>
      </c>
      <c r="N714" s="62">
        <v>0</v>
      </c>
      <c r="O714" s="62">
        <f t="shared" si="80"/>
        <v>0</v>
      </c>
      <c r="P714" s="62">
        <v>0</v>
      </c>
      <c r="Q714" s="62">
        <v>0</v>
      </c>
      <c r="R714" s="62">
        <v>500</v>
      </c>
      <c r="S714" s="62">
        <v>0</v>
      </c>
      <c r="T714" s="62">
        <v>0</v>
      </c>
      <c r="U714" s="62">
        <v>0</v>
      </c>
      <c r="V714" s="62">
        <v>0</v>
      </c>
      <c r="W714" s="62">
        <f t="shared" si="81"/>
        <v>500</v>
      </c>
      <c r="X714" s="62">
        <f t="shared" si="77"/>
        <v>500</v>
      </c>
      <c r="Y714" s="62">
        <f t="shared" si="78"/>
        <v>0</v>
      </c>
      <c r="Z714" s="62">
        <v>0</v>
      </c>
      <c r="AA714" s="62">
        <f t="shared" si="79"/>
        <v>0</v>
      </c>
      <c r="AB714" s="62">
        <f t="shared" si="82"/>
        <v>-500</v>
      </c>
      <c r="AC714" s="4"/>
      <c r="AD714" s="4"/>
    </row>
    <row r="715" spans="1:30" hidden="1" x14ac:dyDescent="0.3">
      <c r="A715" s="69">
        <v>12</v>
      </c>
      <c r="B715" s="4" t="s">
        <v>184</v>
      </c>
      <c r="C715" s="4" t="s">
        <v>50</v>
      </c>
      <c r="D715" s="4" t="s">
        <v>480</v>
      </c>
      <c r="E715" s="4" t="s">
        <v>232</v>
      </c>
      <c r="F715" s="61" t="s">
        <v>232</v>
      </c>
      <c r="G715" s="4" t="s">
        <v>234</v>
      </c>
      <c r="H715" s="62">
        <v>7179.12</v>
      </c>
      <c r="I715" s="62">
        <v>-1294.9399999999998</v>
      </c>
      <c r="J715" s="62">
        <v>0</v>
      </c>
      <c r="K715" s="62">
        <v>0</v>
      </c>
      <c r="L715" s="62">
        <v>0</v>
      </c>
      <c r="M715" s="62">
        <v>-55</v>
      </c>
      <c r="N715" s="62">
        <v>0</v>
      </c>
      <c r="O715" s="62">
        <f t="shared" si="80"/>
        <v>5829.18</v>
      </c>
      <c r="P715" s="62">
        <v>-2500</v>
      </c>
      <c r="Q715" s="62">
        <v>0</v>
      </c>
      <c r="R715" s="62">
        <v>-500</v>
      </c>
      <c r="S715" s="62">
        <v>0</v>
      </c>
      <c r="T715" s="62">
        <v>0</v>
      </c>
      <c r="U715" s="62">
        <v>0</v>
      </c>
      <c r="V715" s="62">
        <v>0</v>
      </c>
      <c r="W715" s="62">
        <f t="shared" si="81"/>
        <v>2829.1800000000003</v>
      </c>
      <c r="X715" s="62">
        <f t="shared" si="77"/>
        <v>2829.1800000000003</v>
      </c>
      <c r="Y715" s="62">
        <f t="shared" si="78"/>
        <v>0</v>
      </c>
      <c r="Z715" s="62">
        <v>0</v>
      </c>
      <c r="AA715" s="62">
        <f t="shared" si="79"/>
        <v>0</v>
      </c>
      <c r="AB715" s="62">
        <f t="shared" si="82"/>
        <v>3000</v>
      </c>
      <c r="AC715" s="4"/>
      <c r="AD715" s="4"/>
    </row>
    <row r="716" spans="1:30" hidden="1" x14ac:dyDescent="0.3">
      <c r="A716" s="69">
        <v>12</v>
      </c>
      <c r="B716" s="4" t="s">
        <v>70</v>
      </c>
      <c r="C716" s="4" t="s">
        <v>26</v>
      </c>
      <c r="D716" s="4" t="s">
        <v>575</v>
      </c>
      <c r="E716" s="4" t="s">
        <v>232</v>
      </c>
      <c r="F716" s="61" t="s">
        <v>232</v>
      </c>
      <c r="G716" s="4" t="s">
        <v>234</v>
      </c>
      <c r="H716" s="62">
        <v>2920.84</v>
      </c>
      <c r="I716" s="62">
        <v>-135.49</v>
      </c>
      <c r="J716" s="62">
        <v>0</v>
      </c>
      <c r="K716" s="62">
        <v>0</v>
      </c>
      <c r="L716" s="62">
        <v>0</v>
      </c>
      <c r="M716" s="62">
        <v>-25</v>
      </c>
      <c r="N716" s="62">
        <v>0</v>
      </c>
      <c r="O716" s="62">
        <f t="shared" si="80"/>
        <v>2760.3500000000004</v>
      </c>
      <c r="P716" s="62">
        <v>-2500</v>
      </c>
      <c r="Q716" s="62">
        <v>0</v>
      </c>
      <c r="R716" s="62">
        <v>-500</v>
      </c>
      <c r="S716" s="62">
        <v>0</v>
      </c>
      <c r="T716" s="62">
        <v>0</v>
      </c>
      <c r="U716" s="62">
        <f>40+80</f>
        <v>120</v>
      </c>
      <c r="V716" s="62">
        <v>0</v>
      </c>
      <c r="W716" s="62">
        <f t="shared" si="81"/>
        <v>-119.64999999999964</v>
      </c>
      <c r="X716" s="62">
        <f t="shared" si="77"/>
        <v>0</v>
      </c>
      <c r="Y716" s="62">
        <f t="shared" si="78"/>
        <v>-119.64999999999964</v>
      </c>
      <c r="Z716" s="62">
        <v>200</v>
      </c>
      <c r="AA716" s="62">
        <f t="shared" si="79"/>
        <v>80.350000000000364</v>
      </c>
      <c r="AB716" s="62">
        <f t="shared" si="82"/>
        <v>3040.7000000000007</v>
      </c>
      <c r="AC716" s="4"/>
      <c r="AD716" s="4" t="s">
        <v>1132</v>
      </c>
    </row>
    <row r="717" spans="1:30" hidden="1" x14ac:dyDescent="0.3">
      <c r="A717" s="69">
        <v>12</v>
      </c>
      <c r="B717" s="4" t="s">
        <v>198</v>
      </c>
      <c r="C717" s="4" t="s">
        <v>28</v>
      </c>
      <c r="D717" s="4" t="s">
        <v>274</v>
      </c>
      <c r="E717" s="4" t="s">
        <v>232</v>
      </c>
      <c r="F717" s="61" t="s">
        <v>232</v>
      </c>
      <c r="G717" s="4" t="s">
        <v>234</v>
      </c>
      <c r="H717" s="62">
        <v>3436.78</v>
      </c>
      <c r="I717" s="62">
        <v>-1131.6299999999999</v>
      </c>
      <c r="J717" s="62">
        <v>0</v>
      </c>
      <c r="K717" s="62">
        <v>0</v>
      </c>
      <c r="L717" s="62">
        <v>0</v>
      </c>
      <c r="M717" s="62">
        <f>-27.24-55</f>
        <v>-82.24</v>
      </c>
      <c r="N717" s="62">
        <v>-227</v>
      </c>
      <c r="O717" s="62">
        <f t="shared" si="80"/>
        <v>1995.9100000000008</v>
      </c>
      <c r="P717" s="62">
        <f>-2500</f>
        <v>-2500</v>
      </c>
      <c r="Q717" s="62">
        <v>0</v>
      </c>
      <c r="R717" s="62">
        <v>-500</v>
      </c>
      <c r="S717" s="62">
        <v>0</v>
      </c>
      <c r="T717" s="62">
        <v>0</v>
      </c>
      <c r="U717" s="62">
        <v>0</v>
      </c>
      <c r="V717" s="62">
        <v>0</v>
      </c>
      <c r="W717" s="62">
        <f t="shared" si="81"/>
        <v>-1004.0899999999992</v>
      </c>
      <c r="X717" s="62">
        <f t="shared" si="77"/>
        <v>0</v>
      </c>
      <c r="Y717" s="62">
        <f t="shared" si="78"/>
        <v>-1004.0899999999992</v>
      </c>
      <c r="Z717" s="62">
        <f>450+560</f>
        <v>1010</v>
      </c>
      <c r="AA717" s="62">
        <f t="shared" si="79"/>
        <v>5.910000000000764</v>
      </c>
      <c r="AB717" s="62">
        <f t="shared" si="82"/>
        <v>3011.8200000000015</v>
      </c>
      <c r="AC717" s="4"/>
      <c r="AD717" s="4" t="s">
        <v>1133</v>
      </c>
    </row>
    <row r="718" spans="1:30" hidden="1" x14ac:dyDescent="0.3">
      <c r="A718" s="69">
        <v>12</v>
      </c>
      <c r="B718" s="3" t="s">
        <v>29</v>
      </c>
      <c r="C718" s="4" t="s">
        <v>141</v>
      </c>
      <c r="D718" s="4" t="s">
        <v>901</v>
      </c>
      <c r="E718" s="4" t="s">
        <v>232</v>
      </c>
      <c r="F718" s="61" t="s">
        <v>232</v>
      </c>
      <c r="G718" s="4" t="s">
        <v>234</v>
      </c>
      <c r="H718" s="62">
        <v>1588.97</v>
      </c>
      <c r="I718" s="62">
        <v>-627.65</v>
      </c>
      <c r="J718" s="62">
        <v>0</v>
      </c>
      <c r="K718" s="62">
        <v>0</v>
      </c>
      <c r="L718" s="62">
        <v>0</v>
      </c>
      <c r="M718" s="62">
        <f>-26.6496-30</f>
        <v>-56.6496</v>
      </c>
      <c r="N718" s="62">
        <v>-222.08</v>
      </c>
      <c r="O718" s="62">
        <f t="shared" si="80"/>
        <v>682.59040000000005</v>
      </c>
      <c r="P718" s="62">
        <f>(-2700/7)*6</f>
        <v>-2314.2857142857142</v>
      </c>
      <c r="Q718" s="62">
        <f>-237*1.12</f>
        <v>-265.44</v>
      </c>
      <c r="R718" s="62">
        <v>0</v>
      </c>
      <c r="S718" s="62">
        <v>0</v>
      </c>
      <c r="T718" s="62">
        <v>0</v>
      </c>
      <c r="U718" s="62">
        <v>0</v>
      </c>
      <c r="V718" s="62">
        <v>0</v>
      </c>
      <c r="W718" s="62">
        <f t="shared" si="81"/>
        <v>-1897.1353142857142</v>
      </c>
      <c r="X718" s="62">
        <f t="shared" si="77"/>
        <v>0</v>
      </c>
      <c r="Y718" s="62">
        <f t="shared" si="78"/>
        <v>-1897.1353142857142</v>
      </c>
      <c r="Z718" s="62">
        <f>800+1097</f>
        <v>1897</v>
      </c>
      <c r="AA718" s="62">
        <f t="shared" si="79"/>
        <v>-0.13531428571423021</v>
      </c>
      <c r="AB718" s="62">
        <f t="shared" si="82"/>
        <v>2579.4550857142858</v>
      </c>
      <c r="AC718" s="4"/>
      <c r="AD718" s="4" t="s">
        <v>1134</v>
      </c>
    </row>
    <row r="719" spans="1:30" hidden="1" x14ac:dyDescent="0.3">
      <c r="A719" s="69">
        <v>12</v>
      </c>
      <c r="B719" s="3" t="s">
        <v>72</v>
      </c>
      <c r="C719" s="4" t="s">
        <v>73</v>
      </c>
      <c r="D719" s="4" t="s">
        <v>368</v>
      </c>
      <c r="E719" s="4" t="s">
        <v>241</v>
      </c>
      <c r="F719" s="61" t="s">
        <v>291</v>
      </c>
      <c r="G719" s="4" t="s">
        <v>234</v>
      </c>
      <c r="H719" s="62">
        <v>9007.89</v>
      </c>
      <c r="I719" s="62">
        <v>-3048.83</v>
      </c>
      <c r="J719" s="76">
        <v>-113.6</v>
      </c>
      <c r="K719" s="62">
        <v>0</v>
      </c>
      <c r="L719" s="62">
        <v>-81.94</v>
      </c>
      <c r="M719" s="62">
        <v>-50</v>
      </c>
      <c r="N719" s="62">
        <v>0</v>
      </c>
      <c r="O719" s="62">
        <f t="shared" si="80"/>
        <v>5713.5199999999995</v>
      </c>
      <c r="P719" s="62">
        <v>-2500</v>
      </c>
      <c r="Q719" s="62">
        <v>0</v>
      </c>
      <c r="R719" s="62">
        <v>0</v>
      </c>
      <c r="S719" s="62">
        <v>0</v>
      </c>
      <c r="T719" s="62">
        <v>0</v>
      </c>
      <c r="U719" s="62">
        <v>0</v>
      </c>
      <c r="V719" s="62">
        <v>0</v>
      </c>
      <c r="W719" s="62">
        <f t="shared" si="81"/>
        <v>3213.5199999999995</v>
      </c>
      <c r="X719" s="62">
        <f t="shared" si="77"/>
        <v>3213.5199999999995</v>
      </c>
      <c r="Y719" s="62">
        <f t="shared" si="78"/>
        <v>0</v>
      </c>
      <c r="Z719" s="62">
        <v>0</v>
      </c>
      <c r="AA719" s="62">
        <f t="shared" si="79"/>
        <v>0</v>
      </c>
      <c r="AB719" s="62">
        <f t="shared" si="82"/>
        <v>2500</v>
      </c>
      <c r="AC719" s="4"/>
      <c r="AD719" s="4"/>
    </row>
    <row r="720" spans="1:30" hidden="1" x14ac:dyDescent="0.3">
      <c r="A720" s="69">
        <v>12</v>
      </c>
      <c r="B720" s="3" t="s">
        <v>92</v>
      </c>
      <c r="C720" s="4" t="s">
        <v>30</v>
      </c>
      <c r="D720" s="4" t="s">
        <v>521</v>
      </c>
      <c r="E720" s="4" t="s">
        <v>232</v>
      </c>
      <c r="F720" s="61" t="s">
        <v>232</v>
      </c>
      <c r="G720" s="4" t="s">
        <v>234</v>
      </c>
      <c r="H720" s="62">
        <v>5153.7700000000004</v>
      </c>
      <c r="I720" s="62">
        <v>-2053.38</v>
      </c>
      <c r="J720" s="62">
        <v>0</v>
      </c>
      <c r="K720" s="62">
        <v>428.8</v>
      </c>
      <c r="L720" s="62">
        <v>0</v>
      </c>
      <c r="M720" s="62">
        <v>-60</v>
      </c>
      <c r="N720" s="62">
        <v>0</v>
      </c>
      <c r="O720" s="62">
        <f t="shared" si="80"/>
        <v>3469.1900000000005</v>
      </c>
      <c r="P720" s="62">
        <v>-2500</v>
      </c>
      <c r="Q720" s="62">
        <v>0</v>
      </c>
      <c r="R720" s="62">
        <f>-36</f>
        <v>-36</v>
      </c>
      <c r="S720" s="62">
        <v>0</v>
      </c>
      <c r="T720" s="62">
        <v>0</v>
      </c>
      <c r="U720" s="62">
        <v>0</v>
      </c>
      <c r="V720" s="62">
        <v>0</v>
      </c>
      <c r="W720" s="62">
        <f t="shared" si="81"/>
        <v>933.19000000000051</v>
      </c>
      <c r="X720" s="62">
        <f t="shared" si="77"/>
        <v>933.19000000000051</v>
      </c>
      <c r="Y720" s="62">
        <f t="shared" si="78"/>
        <v>0</v>
      </c>
      <c r="Z720" s="62">
        <v>0</v>
      </c>
      <c r="AA720" s="62">
        <f t="shared" si="79"/>
        <v>0</v>
      </c>
      <c r="AB720" s="62">
        <f t="shared" si="82"/>
        <v>2536</v>
      </c>
      <c r="AC720" s="4"/>
      <c r="AD720" s="4"/>
    </row>
    <row r="721" spans="1:30" hidden="1" x14ac:dyDescent="0.3">
      <c r="A721" s="69">
        <v>12</v>
      </c>
      <c r="B721" s="3" t="s">
        <v>105</v>
      </c>
      <c r="C721" s="4" t="s">
        <v>106</v>
      </c>
      <c r="D721" s="4" t="s">
        <v>646</v>
      </c>
      <c r="E721" s="4" t="s">
        <v>232</v>
      </c>
      <c r="F721" s="61" t="s">
        <v>232</v>
      </c>
      <c r="G721" s="4" t="s">
        <v>425</v>
      </c>
      <c r="H721" s="62">
        <v>0</v>
      </c>
      <c r="I721" s="62">
        <v>0</v>
      </c>
      <c r="J721" s="62">
        <v>0</v>
      </c>
      <c r="K721" s="62">
        <v>0</v>
      </c>
      <c r="L721" s="62">
        <v>0</v>
      </c>
      <c r="M721" s="62">
        <v>0</v>
      </c>
      <c r="N721" s="62">
        <v>0</v>
      </c>
      <c r="O721" s="62">
        <f t="shared" si="80"/>
        <v>0</v>
      </c>
      <c r="P721" s="62">
        <v>-2500</v>
      </c>
      <c r="Q721" s="62">
        <f>-200*1.12</f>
        <v>-224.00000000000003</v>
      </c>
      <c r="R721" s="62">
        <v>0</v>
      </c>
      <c r="S721" s="62">
        <v>0</v>
      </c>
      <c r="T721" s="62">
        <v>0</v>
      </c>
      <c r="U721" s="62">
        <v>-100</v>
      </c>
      <c r="V721" s="62">
        <v>0</v>
      </c>
      <c r="W721" s="62">
        <f t="shared" si="81"/>
        <v>-2824</v>
      </c>
      <c r="X721" s="62">
        <f t="shared" si="77"/>
        <v>0</v>
      </c>
      <c r="Y721" s="62">
        <f t="shared" si="78"/>
        <v>-2824</v>
      </c>
      <c r="Z721" s="62">
        <v>2500</v>
      </c>
      <c r="AA721" s="62">
        <f t="shared" si="79"/>
        <v>-324</v>
      </c>
      <c r="AB721" s="62">
        <f t="shared" si="82"/>
        <v>2176</v>
      </c>
      <c r="AC721" s="4"/>
      <c r="AD721" s="4" t="s">
        <v>1135</v>
      </c>
    </row>
    <row r="722" spans="1:30" hidden="1" x14ac:dyDescent="0.3">
      <c r="A722" s="69">
        <v>12</v>
      </c>
      <c r="B722" s="3" t="s">
        <v>31</v>
      </c>
      <c r="C722" s="4" t="s">
        <v>143</v>
      </c>
      <c r="D722" s="4" t="s">
        <v>907</v>
      </c>
      <c r="E722" s="4" t="s">
        <v>232</v>
      </c>
      <c r="F722" s="61" t="s">
        <v>232</v>
      </c>
      <c r="G722" s="4" t="s">
        <v>234</v>
      </c>
      <c r="H722" s="62">
        <v>12992.77</v>
      </c>
      <c r="I722" s="62">
        <v>-7163.5099999999966</v>
      </c>
      <c r="J722" s="62">
        <v>-379.2</v>
      </c>
      <c r="K722" s="62">
        <v>0</v>
      </c>
      <c r="L722" s="62">
        <v>0</v>
      </c>
      <c r="M722" s="62">
        <f>-1.5636-80</f>
        <v>-81.563599999999994</v>
      </c>
      <c r="N722" s="62">
        <v>-13.03</v>
      </c>
      <c r="O722" s="62">
        <f t="shared" si="80"/>
        <v>5355.4664000000039</v>
      </c>
      <c r="P722" s="62">
        <v>-2700</v>
      </c>
      <c r="Q722" s="62">
        <v>0</v>
      </c>
      <c r="R722" s="62">
        <v>0</v>
      </c>
      <c r="S722" s="62">
        <v>0</v>
      </c>
      <c r="T722" s="62">
        <v>0</v>
      </c>
      <c r="U722" s="62">
        <v>0</v>
      </c>
      <c r="V722" s="62">
        <v>0</v>
      </c>
      <c r="W722" s="62">
        <f t="shared" si="81"/>
        <v>2655.4664000000039</v>
      </c>
      <c r="X722" s="62">
        <f t="shared" si="77"/>
        <v>2655.4664000000039</v>
      </c>
      <c r="Y722" s="62">
        <f t="shared" si="78"/>
        <v>0</v>
      </c>
      <c r="Z722" s="62">
        <v>0</v>
      </c>
      <c r="AA722" s="62">
        <f t="shared" si="79"/>
        <v>0</v>
      </c>
      <c r="AB722" s="62">
        <f t="shared" si="82"/>
        <v>2700</v>
      </c>
      <c r="AC722" s="4"/>
      <c r="AD722" s="4"/>
    </row>
    <row r="723" spans="1:30" hidden="1" x14ac:dyDescent="0.3">
      <c r="A723" s="69">
        <v>12</v>
      </c>
      <c r="B723" s="3" t="s">
        <v>33</v>
      </c>
      <c r="C723" s="4" t="s">
        <v>67</v>
      </c>
      <c r="D723" s="4" t="s">
        <v>504</v>
      </c>
      <c r="E723" s="4" t="s">
        <v>232</v>
      </c>
      <c r="F723" s="61" t="s">
        <v>232</v>
      </c>
      <c r="G723" s="4" t="s">
        <v>234</v>
      </c>
      <c r="H723" s="63">
        <v>1021.95</v>
      </c>
      <c r="I723" s="62">
        <v>0</v>
      </c>
      <c r="J723" s="62">
        <v>0</v>
      </c>
      <c r="K723" s="62">
        <v>0</v>
      </c>
      <c r="L723" s="62">
        <v>0</v>
      </c>
      <c r="M723" s="62">
        <v>0</v>
      </c>
      <c r="N723" s="62">
        <v>0</v>
      </c>
      <c r="O723" s="62">
        <f t="shared" si="80"/>
        <v>1021.95</v>
      </c>
      <c r="P723" s="62">
        <v>-2500</v>
      </c>
      <c r="Q723" s="62">
        <f>-611*1.12</f>
        <v>-684.32</v>
      </c>
      <c r="R723" s="62">
        <v>0</v>
      </c>
      <c r="S723" s="62">
        <v>0</v>
      </c>
      <c r="T723" s="62">
        <v>0</v>
      </c>
      <c r="U723" s="62">
        <v>0</v>
      </c>
      <c r="V723" s="62">
        <v>0</v>
      </c>
      <c r="W723" s="62">
        <f t="shared" si="81"/>
        <v>-2162.37</v>
      </c>
      <c r="X723" s="62">
        <f t="shared" si="77"/>
        <v>0</v>
      </c>
      <c r="Y723" s="62">
        <f t="shared" si="78"/>
        <v>-2162.37</v>
      </c>
      <c r="Z723" s="62">
        <v>0</v>
      </c>
      <c r="AA723" s="62">
        <f t="shared" si="79"/>
        <v>-2162.37</v>
      </c>
      <c r="AB723" s="62">
        <f t="shared" si="82"/>
        <v>-1140.4199999999998</v>
      </c>
      <c r="AC723" s="4"/>
      <c r="AD723" s="4"/>
    </row>
    <row r="724" spans="1:30" hidden="1" x14ac:dyDescent="0.3">
      <c r="A724" s="69">
        <v>12</v>
      </c>
      <c r="B724" s="4" t="s">
        <v>173</v>
      </c>
      <c r="C724" s="4" t="s">
        <v>52</v>
      </c>
      <c r="D724" s="4" t="s">
        <v>934</v>
      </c>
      <c r="E724" s="4" t="s">
        <v>232</v>
      </c>
      <c r="F724" s="4" t="s">
        <v>232</v>
      </c>
      <c r="G724" s="4" t="s">
        <v>234</v>
      </c>
      <c r="H724" s="62">
        <v>0</v>
      </c>
      <c r="I724" s="62">
        <v>0</v>
      </c>
      <c r="J724" s="62">
        <v>0</v>
      </c>
      <c r="K724" s="62">
        <v>0</v>
      </c>
      <c r="L724" s="62">
        <v>0</v>
      </c>
      <c r="M724" s="62">
        <v>0</v>
      </c>
      <c r="N724" s="62">
        <v>0</v>
      </c>
      <c r="O724" s="62">
        <f t="shared" si="80"/>
        <v>0</v>
      </c>
      <c r="P724" s="62">
        <v>-2500</v>
      </c>
      <c r="Q724" s="62">
        <v>0</v>
      </c>
      <c r="R724" s="62">
        <v>-500</v>
      </c>
      <c r="S724" s="62">
        <v>0</v>
      </c>
      <c r="T724" s="62">
        <v>0</v>
      </c>
      <c r="U724" s="62">
        <v>0</v>
      </c>
      <c r="V724" s="62">
        <v>0</v>
      </c>
      <c r="W724" s="62">
        <f t="shared" si="81"/>
        <v>-3000</v>
      </c>
      <c r="X724" s="62">
        <f t="shared" si="77"/>
        <v>0</v>
      </c>
      <c r="Y724" s="62">
        <f t="shared" si="78"/>
        <v>-3000</v>
      </c>
      <c r="Z724" s="62">
        <f>1880+1120</f>
        <v>3000</v>
      </c>
      <c r="AA724" s="62">
        <f t="shared" si="79"/>
        <v>0</v>
      </c>
      <c r="AB724" s="62">
        <f t="shared" si="82"/>
        <v>3000</v>
      </c>
      <c r="AC724" s="4"/>
      <c r="AD724" s="4" t="s">
        <v>1136</v>
      </c>
    </row>
    <row r="725" spans="1:30" hidden="1" x14ac:dyDescent="0.3">
      <c r="A725" s="69">
        <v>12</v>
      </c>
      <c r="B725" s="4" t="s">
        <v>175</v>
      </c>
      <c r="C725" s="4" t="s">
        <v>69</v>
      </c>
      <c r="D725" s="4" t="str">
        <f>VLOOKUP(C725,'[2]CTRL AUTOS'!$E$2:$M$58,9,FALSE)</f>
        <v xml:space="preserve">OHLM032762106
</v>
      </c>
      <c r="E725" s="4" t="s">
        <v>232</v>
      </c>
      <c r="F725" s="4" t="s">
        <v>232</v>
      </c>
      <c r="G725" s="4" t="s">
        <v>425</v>
      </c>
      <c r="H725" s="62">
        <v>2577.6799999999998</v>
      </c>
      <c r="I725" s="62">
        <v>-1904.88</v>
      </c>
      <c r="J725" s="62">
        <v>-192.39288000000002</v>
      </c>
      <c r="K725" s="62">
        <v>0</v>
      </c>
      <c r="L725" s="62">
        <v>0</v>
      </c>
      <c r="M725" s="62">
        <v>0</v>
      </c>
      <c r="N725" s="62">
        <v>0</v>
      </c>
      <c r="O725" s="62">
        <f t="shared" si="80"/>
        <v>480.40711999999974</v>
      </c>
      <c r="P725" s="62">
        <v>-2500</v>
      </c>
      <c r="Q725" s="62">
        <v>0</v>
      </c>
      <c r="R725" s="62">
        <v>-500</v>
      </c>
      <c r="S725" s="62">
        <v>0</v>
      </c>
      <c r="T725" s="62">
        <v>0</v>
      </c>
      <c r="U725" s="62">
        <v>0</v>
      </c>
      <c r="V725" s="62">
        <v>0</v>
      </c>
      <c r="W725" s="62">
        <f t="shared" si="81"/>
        <v>-2519.5928800000002</v>
      </c>
      <c r="X725" s="62">
        <f t="shared" si="77"/>
        <v>0</v>
      </c>
      <c r="Y725" s="62">
        <f t="shared" si="78"/>
        <v>-2519.5928800000002</v>
      </c>
      <c r="Z725" s="62">
        <v>2520</v>
      </c>
      <c r="AA725" s="62">
        <f t="shared" si="79"/>
        <v>0.40711999999984982</v>
      </c>
      <c r="AB725" s="62">
        <f t="shared" si="82"/>
        <v>3000.8142399999997</v>
      </c>
      <c r="AC725" s="4"/>
      <c r="AD725" s="4" t="s">
        <v>1137</v>
      </c>
    </row>
    <row r="726" spans="1:30" hidden="1" x14ac:dyDescent="0.3">
      <c r="A726" s="69">
        <v>12</v>
      </c>
      <c r="B726" s="3" t="s">
        <v>35</v>
      </c>
      <c r="C726" s="4" t="s">
        <v>36</v>
      </c>
      <c r="D726" s="4" t="s">
        <v>510</v>
      </c>
      <c r="E726" s="4" t="s">
        <v>232</v>
      </c>
      <c r="F726" s="61" t="s">
        <v>232</v>
      </c>
      <c r="G726" s="4" t="s">
        <v>234</v>
      </c>
      <c r="H726" s="62">
        <v>8154.43</v>
      </c>
      <c r="I726" s="62">
        <v>-4573.0699999999979</v>
      </c>
      <c r="J726" s="62">
        <v>-113.6</v>
      </c>
      <c r="K726" s="62">
        <v>0</v>
      </c>
      <c r="L726" s="62">
        <v>0</v>
      </c>
      <c r="M726" s="62">
        <v>-75</v>
      </c>
      <c r="N726" s="62">
        <v>0</v>
      </c>
      <c r="O726" s="62">
        <f t="shared" si="80"/>
        <v>3392.7600000000025</v>
      </c>
      <c r="P726" s="62">
        <v>-2500</v>
      </c>
      <c r="Q726" s="62">
        <v>0</v>
      </c>
      <c r="R726" s="62">
        <v>0</v>
      </c>
      <c r="S726" s="62">
        <v>0</v>
      </c>
      <c r="T726" s="62">
        <v>0</v>
      </c>
      <c r="U726" s="62">
        <v>0</v>
      </c>
      <c r="V726" s="62">
        <v>0</v>
      </c>
      <c r="W726" s="62">
        <f t="shared" si="81"/>
        <v>892.76000000000249</v>
      </c>
      <c r="X726" s="62">
        <f t="shared" si="77"/>
        <v>892.76000000000249</v>
      </c>
      <c r="Y726" s="62">
        <f t="shared" si="78"/>
        <v>0</v>
      </c>
      <c r="Z726" s="62">
        <v>0</v>
      </c>
      <c r="AA726" s="62">
        <f t="shared" si="79"/>
        <v>0</v>
      </c>
      <c r="AB726" s="62">
        <f t="shared" si="82"/>
        <v>2500</v>
      </c>
      <c r="AC726" s="4"/>
      <c r="AD726" s="4"/>
    </row>
    <row r="727" spans="1:30" hidden="1" x14ac:dyDescent="0.3">
      <c r="A727" s="69">
        <v>12</v>
      </c>
      <c r="B727" s="4" t="s">
        <v>183</v>
      </c>
      <c r="C727" s="4" t="str">
        <f>VLOOKUP($B727,'[2]CTRL AUTOS'!$D$2:$L$59,2,FALSE)</f>
        <v>AVEO|2019|PLATA|NEL860A</v>
      </c>
      <c r="D727" s="4" t="str">
        <f>VLOOKUP(B727,'[2]CTRL AUTOS'!$D:$M,10,FALSE)</f>
        <v>OHLM032370132</v>
      </c>
      <c r="E727" s="4" t="s">
        <v>232</v>
      </c>
      <c r="F727" s="4" t="s">
        <v>232</v>
      </c>
      <c r="G727" s="4" t="s">
        <v>234</v>
      </c>
      <c r="H727" s="62">
        <v>2772.32</v>
      </c>
      <c r="I727" s="62">
        <v>-1221.8800000000001</v>
      </c>
      <c r="J727" s="62">
        <v>0</v>
      </c>
      <c r="K727" s="62">
        <v>14.69</v>
      </c>
      <c r="L727" s="62">
        <v>0</v>
      </c>
      <c r="M727" s="62">
        <v>-55</v>
      </c>
      <c r="N727" s="62">
        <v>0</v>
      </c>
      <c r="O727" s="62">
        <f t="shared" si="80"/>
        <v>1510.13</v>
      </c>
      <c r="P727" s="62">
        <v>-2500</v>
      </c>
      <c r="Q727" s="62">
        <f>-940*1.12</f>
        <v>-1052.8000000000002</v>
      </c>
      <c r="R727" s="62">
        <v>-500</v>
      </c>
      <c r="S727" s="62">
        <v>0</v>
      </c>
      <c r="T727" s="62">
        <v>0</v>
      </c>
      <c r="U727" s="62">
        <v>0</v>
      </c>
      <c r="V727" s="62">
        <v>0</v>
      </c>
      <c r="W727" s="62">
        <f t="shared" si="81"/>
        <v>-2542.67</v>
      </c>
      <c r="X727" s="62">
        <f t="shared" si="77"/>
        <v>0</v>
      </c>
      <c r="Y727" s="62">
        <f t="shared" si="78"/>
        <v>-2542.67</v>
      </c>
      <c r="Z727" s="62">
        <f>350+300+500</f>
        <v>1150</v>
      </c>
      <c r="AA727" s="62">
        <f t="shared" si="79"/>
        <v>-1392.67</v>
      </c>
      <c r="AB727" s="62">
        <f t="shared" si="82"/>
        <v>1267.46</v>
      </c>
      <c r="AC727" s="4"/>
      <c r="AD727" s="4" t="s">
        <v>1138</v>
      </c>
    </row>
    <row r="728" spans="1:30" hidden="1" x14ac:dyDescent="0.3">
      <c r="A728" s="69">
        <v>12</v>
      </c>
      <c r="B728" s="4" t="s">
        <v>189</v>
      </c>
      <c r="C728" s="4" t="str">
        <f>VLOOKUP($B728,'[2]CTRL AUTOS'!$D$2:$L$59,2,FALSE)</f>
        <v>AVEO|2025|PERSUASION|MXM502C</v>
      </c>
      <c r="D728" s="4" t="str">
        <f>VLOOKUP(B728,'[2]CTRL AUTOS'!$D:$M,10,FALSE)</f>
        <v>OHLM038285805</v>
      </c>
      <c r="E728" s="4" t="s">
        <v>232</v>
      </c>
      <c r="F728" s="4" t="s">
        <v>232</v>
      </c>
      <c r="G728" s="4" t="s">
        <v>234</v>
      </c>
      <c r="H728" s="62">
        <v>2660.78</v>
      </c>
      <c r="I728" s="62">
        <v>0</v>
      </c>
      <c r="J728" s="62">
        <v>0</v>
      </c>
      <c r="K728" s="62">
        <v>0</v>
      </c>
      <c r="L728" s="62">
        <v>0</v>
      </c>
      <c r="M728" s="62">
        <v>-8.5223999999999975</v>
      </c>
      <c r="N728" s="62">
        <v>-71.019999999999982</v>
      </c>
      <c r="O728" s="62">
        <f t="shared" si="80"/>
        <v>2581.2376000000004</v>
      </c>
      <c r="P728" s="62">
        <v>-2700</v>
      </c>
      <c r="Q728" s="62">
        <v>0</v>
      </c>
      <c r="R728" s="62">
        <v>-500</v>
      </c>
      <c r="S728" s="62">
        <v>0</v>
      </c>
      <c r="T728" s="62">
        <v>0</v>
      </c>
      <c r="U728" s="62">
        <v>0</v>
      </c>
      <c r="V728" s="62">
        <v>0</v>
      </c>
      <c r="W728" s="62">
        <f t="shared" si="81"/>
        <v>-618.76239999999962</v>
      </c>
      <c r="X728" s="62">
        <f t="shared" si="77"/>
        <v>0</v>
      </c>
      <c r="Y728" s="62">
        <f t="shared" si="78"/>
        <v>-618.76239999999962</v>
      </c>
      <c r="Z728" s="62">
        <v>619</v>
      </c>
      <c r="AA728" s="62">
        <f t="shared" si="79"/>
        <v>0.23760000000038417</v>
      </c>
      <c r="AB728" s="62">
        <f t="shared" si="82"/>
        <v>3200.4752000000008</v>
      </c>
      <c r="AC728" s="4"/>
      <c r="AD728" s="4" t="s">
        <v>1139</v>
      </c>
    </row>
    <row r="729" spans="1:30" hidden="1" x14ac:dyDescent="0.3">
      <c r="A729" s="69">
        <v>12</v>
      </c>
      <c r="B729" s="4" t="s">
        <v>174</v>
      </c>
      <c r="C729" s="4" t="s">
        <v>77</v>
      </c>
      <c r="D729" s="4" t="str">
        <f>VLOOKUP(C729,'[2]CTRL AUTOS'!$E$2:$M$58,9,FALSE)</f>
        <v>OHLM036759082</v>
      </c>
      <c r="E729" s="4" t="s">
        <v>232</v>
      </c>
      <c r="F729" s="4" t="s">
        <v>232</v>
      </c>
      <c r="G729" s="4" t="s">
        <v>234</v>
      </c>
      <c r="H729" s="62">
        <v>3764.02</v>
      </c>
      <c r="I729" s="62">
        <v>-663.05000000000007</v>
      </c>
      <c r="J729" s="62">
        <v>-16</v>
      </c>
      <c r="K729" s="62">
        <v>29.37</v>
      </c>
      <c r="L729" s="62">
        <v>0</v>
      </c>
      <c r="M729" s="62">
        <v>-30</v>
      </c>
      <c r="N729" s="62">
        <v>0</v>
      </c>
      <c r="O729" s="62">
        <f t="shared" si="80"/>
        <v>3084.3399999999997</v>
      </c>
      <c r="P729" s="62">
        <v>-2500</v>
      </c>
      <c r="Q729" s="62">
        <v>0</v>
      </c>
      <c r="R729" s="62">
        <v>-500</v>
      </c>
      <c r="S729" s="62">
        <v>0</v>
      </c>
      <c r="T729" s="62">
        <v>0</v>
      </c>
      <c r="U729" s="62">
        <v>0</v>
      </c>
      <c r="V729" s="62">
        <v>0</v>
      </c>
      <c r="W729" s="62">
        <f t="shared" si="81"/>
        <v>84.339999999999691</v>
      </c>
      <c r="X729" s="62">
        <f t="shared" si="77"/>
        <v>84.339999999999691</v>
      </c>
      <c r="Y729" s="62">
        <f t="shared" si="78"/>
        <v>0</v>
      </c>
      <c r="Z729" s="62">
        <v>0</v>
      </c>
      <c r="AA729" s="62">
        <f t="shared" si="79"/>
        <v>0</v>
      </c>
      <c r="AB729" s="62">
        <f t="shared" si="82"/>
        <v>3000</v>
      </c>
      <c r="AC729" s="4"/>
      <c r="AD729" s="4"/>
    </row>
    <row r="730" spans="1:30" hidden="1" x14ac:dyDescent="0.3">
      <c r="A730" s="69">
        <v>12</v>
      </c>
      <c r="B730" s="3" t="s">
        <v>114</v>
      </c>
      <c r="C730" s="4" t="s">
        <v>46</v>
      </c>
      <c r="D730" s="4" t="s">
        <v>257</v>
      </c>
      <c r="E730" s="4" t="s">
        <v>232</v>
      </c>
      <c r="F730" s="61" t="s">
        <v>232</v>
      </c>
      <c r="G730" s="4" t="s">
        <v>234</v>
      </c>
      <c r="H730" s="62">
        <v>0</v>
      </c>
      <c r="I730" s="62">
        <v>0</v>
      </c>
      <c r="J730" s="62">
        <v>0</v>
      </c>
      <c r="K730" s="62">
        <v>0</v>
      </c>
      <c r="L730" s="62">
        <v>0</v>
      </c>
      <c r="M730" s="62">
        <v>0</v>
      </c>
      <c r="N730" s="62">
        <v>0</v>
      </c>
      <c r="O730" s="62">
        <f t="shared" si="80"/>
        <v>0</v>
      </c>
      <c r="P730" s="62">
        <f>(-2500/7)*4.5</f>
        <v>-1607.1428571428573</v>
      </c>
      <c r="Q730" s="62">
        <v>-3255</v>
      </c>
      <c r="R730" s="62">
        <v>-321.42857142857144</v>
      </c>
      <c r="S730" s="62">
        <v>0</v>
      </c>
      <c r="T730" s="62">
        <v>0</v>
      </c>
      <c r="U730" s="62">
        <v>0</v>
      </c>
      <c r="V730" s="62">
        <v>0</v>
      </c>
      <c r="W730" s="62">
        <f t="shared" si="81"/>
        <v>-5183.5714285714284</v>
      </c>
      <c r="X730" s="62">
        <f t="shared" si="77"/>
        <v>0</v>
      </c>
      <c r="Y730" s="62">
        <f t="shared" si="78"/>
        <v>-5183.5714285714284</v>
      </c>
      <c r="Z730" s="62">
        <v>500</v>
      </c>
      <c r="AA730" s="62">
        <f t="shared" si="79"/>
        <v>-4683.5714285714284</v>
      </c>
      <c r="AB730" s="62">
        <f t="shared" si="82"/>
        <v>-4183.5714285714284</v>
      </c>
      <c r="AC730" s="4"/>
      <c r="AD730" s="4" t="s">
        <v>1140</v>
      </c>
    </row>
    <row r="731" spans="1:30" hidden="1" x14ac:dyDescent="0.3">
      <c r="A731" s="69">
        <v>12</v>
      </c>
      <c r="B731" s="3" t="s">
        <v>43</v>
      </c>
      <c r="C731" s="4" t="s">
        <v>145</v>
      </c>
      <c r="D731" s="4" t="s">
        <v>913</v>
      </c>
      <c r="E731" s="4" t="s">
        <v>232</v>
      </c>
      <c r="F731" s="61" t="s">
        <v>232</v>
      </c>
      <c r="G731" s="4" t="s">
        <v>234</v>
      </c>
      <c r="H731" s="62">
        <v>2089.66</v>
      </c>
      <c r="I731" s="62">
        <v>0</v>
      </c>
      <c r="J731" s="62">
        <v>0</v>
      </c>
      <c r="K731" s="62">
        <v>0</v>
      </c>
      <c r="L731" s="62">
        <v>0</v>
      </c>
      <c r="M731" s="62">
        <v>-14.16</v>
      </c>
      <c r="N731" s="62">
        <v>-118</v>
      </c>
      <c r="O731" s="62">
        <f t="shared" si="80"/>
        <v>1957.5</v>
      </c>
      <c r="P731" s="62">
        <v>-2700</v>
      </c>
      <c r="Q731" s="62">
        <f>-444*1.12</f>
        <v>-497.28000000000003</v>
      </c>
      <c r="R731" s="62">
        <v>0</v>
      </c>
      <c r="S731" s="62">
        <v>0</v>
      </c>
      <c r="T731" s="62">
        <v>0</v>
      </c>
      <c r="U731" s="62">
        <v>0</v>
      </c>
      <c r="V731" s="62">
        <v>0</v>
      </c>
      <c r="W731" s="62">
        <f t="shared" si="81"/>
        <v>-1239.78</v>
      </c>
      <c r="X731" s="62">
        <f t="shared" si="77"/>
        <v>0</v>
      </c>
      <c r="Y731" s="62">
        <f t="shared" si="78"/>
        <v>-1239.78</v>
      </c>
      <c r="Z731" s="62">
        <v>1000</v>
      </c>
      <c r="AA731" s="62">
        <f t="shared" si="79"/>
        <v>-239.77999999999997</v>
      </c>
      <c r="AB731" s="62">
        <f t="shared" si="82"/>
        <v>2717.7200000000003</v>
      </c>
      <c r="AC731" s="4"/>
      <c r="AD731" s="4" t="s">
        <v>1141</v>
      </c>
    </row>
    <row r="732" spans="1:30" hidden="1" x14ac:dyDescent="0.3">
      <c r="A732" s="69">
        <v>12</v>
      </c>
      <c r="B732" s="3" t="s">
        <v>84</v>
      </c>
      <c r="C732" s="4" t="s">
        <v>146</v>
      </c>
      <c r="D732" s="4" t="s">
        <v>915</v>
      </c>
      <c r="E732" s="4" t="s">
        <v>232</v>
      </c>
      <c r="F732" s="61" t="s">
        <v>232</v>
      </c>
      <c r="G732" s="4" t="s">
        <v>234</v>
      </c>
      <c r="H732" s="62">
        <v>2078.3000000000002</v>
      </c>
      <c r="I732" s="62">
        <v>-1125.5700000000002</v>
      </c>
      <c r="J732" s="62">
        <v>0</v>
      </c>
      <c r="K732" s="62">
        <v>0</v>
      </c>
      <c r="L732" s="62">
        <v>0</v>
      </c>
      <c r="M732" s="62">
        <v>-55</v>
      </c>
      <c r="N732" s="62">
        <v>0</v>
      </c>
      <c r="O732" s="62">
        <f t="shared" si="80"/>
        <v>897.73</v>
      </c>
      <c r="P732" s="62">
        <v>-2700</v>
      </c>
      <c r="Q732" s="62">
        <v>0</v>
      </c>
      <c r="R732" s="62">
        <v>0</v>
      </c>
      <c r="S732" s="62">
        <v>0</v>
      </c>
      <c r="T732" s="62">
        <v>0</v>
      </c>
      <c r="U732" s="62">
        <v>0</v>
      </c>
      <c r="V732" s="62">
        <v>0</v>
      </c>
      <c r="W732" s="62">
        <f t="shared" si="81"/>
        <v>-1802.27</v>
      </c>
      <c r="X732" s="62">
        <f t="shared" si="77"/>
        <v>0</v>
      </c>
      <c r="Y732" s="62">
        <f t="shared" si="78"/>
        <v>-1802.27</v>
      </c>
      <c r="Z732" s="62">
        <f>1000+500</f>
        <v>1500</v>
      </c>
      <c r="AA732" s="62">
        <f t="shared" si="79"/>
        <v>-302.27</v>
      </c>
      <c r="AB732" s="62">
        <f t="shared" si="82"/>
        <v>2095.46</v>
      </c>
      <c r="AC732" s="4"/>
      <c r="AD732" s="4" t="s">
        <v>1142</v>
      </c>
    </row>
    <row r="733" spans="1:30" hidden="1" x14ac:dyDescent="0.3">
      <c r="A733" s="69">
        <v>12</v>
      </c>
      <c r="B733" s="3" t="s">
        <v>89</v>
      </c>
      <c r="C733" s="4" t="s">
        <v>4</v>
      </c>
      <c r="D733" s="4" t="s">
        <v>652</v>
      </c>
      <c r="E733" s="4" t="s">
        <v>232</v>
      </c>
      <c r="F733" s="61" t="s">
        <v>232</v>
      </c>
      <c r="G733" s="4" t="s">
        <v>234</v>
      </c>
      <c r="H733" s="62">
        <v>5527.08</v>
      </c>
      <c r="I733" s="62">
        <v>-1736.3900000000008</v>
      </c>
      <c r="J733" s="62">
        <v>-237.6</v>
      </c>
      <c r="K733" s="62">
        <v>0</v>
      </c>
      <c r="L733" s="62">
        <v>0</v>
      </c>
      <c r="M733" s="62">
        <v>-55</v>
      </c>
      <c r="N733" s="62">
        <v>0</v>
      </c>
      <c r="O733" s="62">
        <f t="shared" si="80"/>
        <v>3498.0899999999992</v>
      </c>
      <c r="P733" s="62">
        <v>-2500</v>
      </c>
      <c r="Q733" s="62">
        <v>0</v>
      </c>
      <c r="R733" s="62">
        <v>-143</v>
      </c>
      <c r="S733" s="62">
        <v>0</v>
      </c>
      <c r="T733" s="62">
        <v>0</v>
      </c>
      <c r="U733" s="62">
        <v>0</v>
      </c>
      <c r="V733" s="62">
        <v>0</v>
      </c>
      <c r="W733" s="62">
        <f t="shared" si="81"/>
        <v>855.08999999999924</v>
      </c>
      <c r="X733" s="62">
        <f t="shared" si="77"/>
        <v>855.08999999999924</v>
      </c>
      <c r="Y733" s="62">
        <f t="shared" si="78"/>
        <v>0</v>
      </c>
      <c r="Z733" s="62">
        <v>0</v>
      </c>
      <c r="AA733" s="62">
        <f t="shared" si="79"/>
        <v>0</v>
      </c>
      <c r="AB733" s="62">
        <f t="shared" si="82"/>
        <v>2643</v>
      </c>
      <c r="AC733" s="4"/>
      <c r="AD733" s="4"/>
    </row>
    <row r="734" spans="1:30" hidden="1" x14ac:dyDescent="0.3">
      <c r="A734" s="69">
        <v>12</v>
      </c>
      <c r="B734" s="3" t="s">
        <v>119</v>
      </c>
      <c r="C734" s="4" t="s">
        <v>97</v>
      </c>
      <c r="D734" s="4" t="s">
        <v>273</v>
      </c>
      <c r="E734" s="4" t="s">
        <v>232</v>
      </c>
      <c r="F734" s="61" t="s">
        <v>232</v>
      </c>
      <c r="G734" s="4" t="s">
        <v>234</v>
      </c>
      <c r="H734" s="62">
        <v>0</v>
      </c>
      <c r="I734" s="62">
        <v>0</v>
      </c>
      <c r="J734" s="62">
        <v>0</v>
      </c>
      <c r="K734" s="62">
        <v>0</v>
      </c>
      <c r="L734" s="62">
        <v>0</v>
      </c>
      <c r="M734" s="62">
        <v>0</v>
      </c>
      <c r="N734" s="62">
        <v>0</v>
      </c>
      <c r="O734" s="62">
        <f t="shared" si="80"/>
        <v>0</v>
      </c>
      <c r="P734" s="62">
        <v>0</v>
      </c>
      <c r="Q734" s="62">
        <v>0</v>
      </c>
      <c r="R734" s="62">
        <v>500</v>
      </c>
      <c r="S734" s="62">
        <v>0</v>
      </c>
      <c r="T734" s="62">
        <v>0</v>
      </c>
      <c r="U734" s="62">
        <v>0</v>
      </c>
      <c r="V734" s="62">
        <v>0</v>
      </c>
      <c r="W734" s="62">
        <f t="shared" si="81"/>
        <v>500</v>
      </c>
      <c r="X734" s="62">
        <f t="shared" si="77"/>
        <v>500</v>
      </c>
      <c r="Y734" s="62">
        <f t="shared" si="78"/>
        <v>0</v>
      </c>
      <c r="Z734" s="62">
        <v>0</v>
      </c>
      <c r="AA734" s="62">
        <f t="shared" si="79"/>
        <v>0</v>
      </c>
      <c r="AB734" s="62">
        <f t="shared" si="82"/>
        <v>-500</v>
      </c>
      <c r="AC734" s="4"/>
      <c r="AD734" s="4"/>
    </row>
    <row r="735" spans="1:30" hidden="1" x14ac:dyDescent="0.3">
      <c r="A735" s="69">
        <v>12</v>
      </c>
      <c r="B735" s="3" t="s">
        <v>123</v>
      </c>
      <c r="C735" s="4" t="s">
        <v>59</v>
      </c>
      <c r="D735" s="4" t="s">
        <v>502</v>
      </c>
      <c r="E735" s="4" t="s">
        <v>232</v>
      </c>
      <c r="F735" s="61" t="s">
        <v>232</v>
      </c>
      <c r="G735" s="4" t="s">
        <v>234</v>
      </c>
      <c r="H735" s="62">
        <v>3830.08</v>
      </c>
      <c r="I735" s="62">
        <v>-1874.2600000000002</v>
      </c>
      <c r="J735" s="62">
        <v>0</v>
      </c>
      <c r="K735" s="62">
        <v>0</v>
      </c>
      <c r="L735" s="62">
        <v>0</v>
      </c>
      <c r="M735" s="62">
        <v>-55</v>
      </c>
      <c r="N735" s="62">
        <v>0</v>
      </c>
      <c r="O735" s="62">
        <f t="shared" si="80"/>
        <v>1900.8199999999997</v>
      </c>
      <c r="P735" s="62">
        <v>-2500</v>
      </c>
      <c r="Q735" s="62">
        <v>0</v>
      </c>
      <c r="R735" s="62">
        <v>0</v>
      </c>
      <c r="S735" s="62">
        <v>0</v>
      </c>
      <c r="T735" s="62">
        <v>-500</v>
      </c>
      <c r="U735" s="62">
        <v>0</v>
      </c>
      <c r="V735" s="62">
        <v>0</v>
      </c>
      <c r="W735" s="62">
        <f t="shared" si="81"/>
        <v>-1099.1800000000003</v>
      </c>
      <c r="X735" s="62">
        <f t="shared" si="77"/>
        <v>0</v>
      </c>
      <c r="Y735" s="62">
        <f t="shared" si="78"/>
        <v>-1099.1800000000003</v>
      </c>
      <c r="Z735" s="62">
        <v>1099</v>
      </c>
      <c r="AA735" s="62">
        <f t="shared" si="79"/>
        <v>-0.18000000000029104</v>
      </c>
      <c r="AB735" s="62">
        <f t="shared" si="82"/>
        <v>2999.6399999999994</v>
      </c>
      <c r="AC735" s="4"/>
      <c r="AD735" s="4" t="s">
        <v>1143</v>
      </c>
    </row>
    <row r="736" spans="1:30" hidden="1" x14ac:dyDescent="0.3">
      <c r="A736" s="69">
        <v>12</v>
      </c>
      <c r="B736" s="3" t="s">
        <v>5</v>
      </c>
      <c r="C736" s="4" t="s">
        <v>6</v>
      </c>
      <c r="D736" s="4" t="s">
        <v>570</v>
      </c>
      <c r="E736" s="4" t="s">
        <v>232</v>
      </c>
      <c r="F736" s="61" t="s">
        <v>232</v>
      </c>
      <c r="G736" s="4" t="s">
        <v>425</v>
      </c>
      <c r="H736" s="62">
        <v>0</v>
      </c>
      <c r="I736" s="62">
        <v>0</v>
      </c>
      <c r="J736" s="62">
        <v>0</v>
      </c>
      <c r="K736" s="62">
        <v>0</v>
      </c>
      <c r="L736" s="62">
        <v>0</v>
      </c>
      <c r="M736" s="62">
        <v>0</v>
      </c>
      <c r="N736" s="62">
        <v>0</v>
      </c>
      <c r="O736" s="62">
        <f t="shared" si="80"/>
        <v>0</v>
      </c>
      <c r="P736" s="62">
        <v>-2500</v>
      </c>
      <c r="Q736" s="62">
        <f>-1009*1.12</f>
        <v>-1130.0800000000002</v>
      </c>
      <c r="R736" s="62">
        <v>0</v>
      </c>
      <c r="S736" s="62">
        <v>0</v>
      </c>
      <c r="T736" s="62">
        <v>0</v>
      </c>
      <c r="U736" s="62">
        <v>0</v>
      </c>
      <c r="V736" s="62">
        <v>0</v>
      </c>
      <c r="W736" s="62">
        <f t="shared" si="81"/>
        <v>-3630.08</v>
      </c>
      <c r="X736" s="62">
        <f t="shared" si="77"/>
        <v>0</v>
      </c>
      <c r="Y736" s="62">
        <f t="shared" si="78"/>
        <v>-3630.08</v>
      </c>
      <c r="Z736" s="62">
        <f>680+4000</f>
        <v>4680</v>
      </c>
      <c r="AA736" s="62">
        <f t="shared" si="79"/>
        <v>1049.92</v>
      </c>
      <c r="AB736" s="62">
        <f t="shared" si="82"/>
        <v>5729.92</v>
      </c>
      <c r="AC736" s="4"/>
      <c r="AD736" s="4" t="s">
        <v>1144</v>
      </c>
    </row>
    <row r="737" spans="1:30" hidden="1" x14ac:dyDescent="0.3">
      <c r="A737" s="69">
        <v>12</v>
      </c>
      <c r="B737" s="3" t="s">
        <v>5</v>
      </c>
      <c r="C737" s="4" t="s">
        <v>50</v>
      </c>
      <c r="D737" s="4" t="s">
        <v>570</v>
      </c>
      <c r="E737" s="4" t="s">
        <v>232</v>
      </c>
      <c r="F737" s="61" t="s">
        <v>232</v>
      </c>
      <c r="G737" s="4" t="s">
        <v>425</v>
      </c>
      <c r="H737" s="62">
        <v>0</v>
      </c>
      <c r="I737" s="62">
        <v>0</v>
      </c>
      <c r="J737" s="62">
        <v>0</v>
      </c>
      <c r="K737" s="62">
        <v>0</v>
      </c>
      <c r="L737" s="62">
        <v>0</v>
      </c>
      <c r="M737" s="62">
        <v>0</v>
      </c>
      <c r="N737" s="62">
        <v>0</v>
      </c>
      <c r="O737" s="62">
        <f t="shared" si="80"/>
        <v>0</v>
      </c>
      <c r="P737" s="62">
        <v>0</v>
      </c>
      <c r="Q737" s="62">
        <v>0</v>
      </c>
      <c r="R737" s="62">
        <v>0</v>
      </c>
      <c r="S737" s="62">
        <v>-420</v>
      </c>
      <c r="T737" s="62">
        <v>0</v>
      </c>
      <c r="U737" s="62">
        <v>0</v>
      </c>
      <c r="V737" s="62">
        <v>0</v>
      </c>
      <c r="W737" s="62">
        <f t="shared" si="81"/>
        <v>-420</v>
      </c>
      <c r="X737" s="62">
        <f t="shared" si="77"/>
        <v>0</v>
      </c>
      <c r="Y737" s="62">
        <f t="shared" si="78"/>
        <v>-420</v>
      </c>
      <c r="Z737" s="62">
        <v>420</v>
      </c>
      <c r="AA737" s="62">
        <f t="shared" si="79"/>
        <v>0</v>
      </c>
      <c r="AB737" s="62">
        <f t="shared" si="82"/>
        <v>420</v>
      </c>
      <c r="AC737" s="4"/>
      <c r="AD737" s="4"/>
    </row>
    <row r="738" spans="1:30" x14ac:dyDescent="0.3">
      <c r="A738" s="69">
        <v>12</v>
      </c>
      <c r="B738" s="4" t="s">
        <v>185</v>
      </c>
      <c r="C738" s="4" t="str">
        <f>VLOOKUP($B738,'[2]CTRL AUTOS'!$D$2:$L$59,2,FALSE)</f>
        <v>AVEO|2018|GRIS|X59AWG</v>
      </c>
      <c r="D738" s="4" t="str">
        <f>VLOOKUP(B738,'[2]CTRL AUTOS'!$D:$M,10,FALSE)</f>
        <v>OHLM031409063</v>
      </c>
      <c r="E738" s="4" t="s">
        <v>232</v>
      </c>
      <c r="F738" s="4" t="s">
        <v>232</v>
      </c>
      <c r="G738" s="4" t="s">
        <v>234</v>
      </c>
      <c r="H738" s="62">
        <v>6225.7</v>
      </c>
      <c r="I738" s="62">
        <v>-2038.5800000000004</v>
      </c>
      <c r="J738" s="62">
        <v>0</v>
      </c>
      <c r="K738" s="62">
        <v>0</v>
      </c>
      <c r="L738" s="62">
        <v>0</v>
      </c>
      <c r="M738" s="62">
        <v>-60</v>
      </c>
      <c r="N738" s="62">
        <v>0</v>
      </c>
      <c r="O738" s="62">
        <f t="shared" si="80"/>
        <v>4127.119999999999</v>
      </c>
      <c r="P738" s="62">
        <v>-2500</v>
      </c>
      <c r="Q738" s="62">
        <v>0</v>
      </c>
      <c r="R738" s="62">
        <v>-500</v>
      </c>
      <c r="S738" s="62">
        <v>0</v>
      </c>
      <c r="T738" s="62">
        <v>0</v>
      </c>
      <c r="U738" s="62">
        <v>0</v>
      </c>
      <c r="V738" s="62">
        <v>0</v>
      </c>
      <c r="W738" s="62">
        <f t="shared" si="81"/>
        <v>1127.119999999999</v>
      </c>
      <c r="X738" s="62">
        <f t="shared" si="77"/>
        <v>1127.119999999999</v>
      </c>
      <c r="Y738" s="62">
        <f t="shared" si="78"/>
        <v>0</v>
      </c>
      <c r="Z738" s="62">
        <v>0</v>
      </c>
      <c r="AA738" s="62">
        <f t="shared" si="79"/>
        <v>0</v>
      </c>
      <c r="AB738" s="62">
        <f t="shared" si="82"/>
        <v>3000</v>
      </c>
      <c r="AC738" s="4"/>
      <c r="AD738" s="4"/>
    </row>
    <row r="739" spans="1:30" hidden="1" x14ac:dyDescent="0.3">
      <c r="A739" s="69">
        <v>12</v>
      </c>
      <c r="B739" s="3" t="s">
        <v>47</v>
      </c>
      <c r="C739" s="4" t="s">
        <v>147</v>
      </c>
      <c r="D739" s="4" t="s">
        <v>921</v>
      </c>
      <c r="E739" s="4" t="s">
        <v>232</v>
      </c>
      <c r="F739" s="61" t="s">
        <v>232</v>
      </c>
      <c r="G739" s="4" t="s">
        <v>234</v>
      </c>
      <c r="H739" s="62">
        <v>4661.49</v>
      </c>
      <c r="I739" s="62">
        <v>-1346.52</v>
      </c>
      <c r="J739" s="62">
        <v>0</v>
      </c>
      <c r="K739" s="62">
        <v>0</v>
      </c>
      <c r="L739" s="62">
        <v>-57.139999999999993</v>
      </c>
      <c r="M739" s="62">
        <f>-8.88-55</f>
        <v>-63.88</v>
      </c>
      <c r="N739" s="62">
        <v>-73.999999999999986</v>
      </c>
      <c r="O739" s="62">
        <f t="shared" si="80"/>
        <v>3119.95</v>
      </c>
      <c r="P739" s="62">
        <v>-2700</v>
      </c>
      <c r="Q739" s="62">
        <v>0</v>
      </c>
      <c r="R739" s="62">
        <v>0</v>
      </c>
      <c r="S739" s="62">
        <v>0</v>
      </c>
      <c r="T739" s="62">
        <v>0</v>
      </c>
      <c r="U739" s="62">
        <v>0</v>
      </c>
      <c r="V739" s="62">
        <v>-1000</v>
      </c>
      <c r="W739" s="62">
        <f t="shared" si="81"/>
        <v>-580.05000000000018</v>
      </c>
      <c r="X739" s="62">
        <f t="shared" si="77"/>
        <v>0</v>
      </c>
      <c r="Y739" s="62">
        <f t="shared" si="78"/>
        <v>-580.05000000000018</v>
      </c>
      <c r="Z739" s="62">
        <v>580</v>
      </c>
      <c r="AA739" s="62">
        <f t="shared" si="79"/>
        <v>-5.0000000000181899E-2</v>
      </c>
      <c r="AB739" s="62">
        <f t="shared" si="82"/>
        <v>3699.8999999999996</v>
      </c>
      <c r="AC739" s="4"/>
      <c r="AD739" s="4" t="s">
        <v>1145</v>
      </c>
    </row>
    <row r="740" spans="1:30" hidden="1" x14ac:dyDescent="0.3">
      <c r="A740" s="69">
        <v>12</v>
      </c>
      <c r="B740" s="3" t="s">
        <v>49</v>
      </c>
      <c r="C740" s="4" t="s">
        <v>12</v>
      </c>
      <c r="D740" s="4" t="s">
        <v>509</v>
      </c>
      <c r="E740" s="4" t="s">
        <v>232</v>
      </c>
      <c r="F740" s="61" t="s">
        <v>232</v>
      </c>
      <c r="G740" s="4" t="s">
        <v>234</v>
      </c>
      <c r="H740" s="62">
        <v>7461.04</v>
      </c>
      <c r="I740" s="62">
        <v>-280.39999999999998</v>
      </c>
      <c r="J740" s="62">
        <v>-47.2</v>
      </c>
      <c r="K740" s="62">
        <v>0</v>
      </c>
      <c r="L740" s="62">
        <v>0</v>
      </c>
      <c r="M740" s="62">
        <v>-25</v>
      </c>
      <c r="N740" s="62">
        <v>0</v>
      </c>
      <c r="O740" s="62">
        <f t="shared" si="80"/>
        <v>7108.4400000000005</v>
      </c>
      <c r="P740" s="62">
        <v>-2700</v>
      </c>
      <c r="Q740" s="62">
        <v>0</v>
      </c>
      <c r="R740" s="62">
        <v>0</v>
      </c>
      <c r="S740" s="62">
        <v>0</v>
      </c>
      <c r="T740" s="62">
        <v>0</v>
      </c>
      <c r="U740" s="62">
        <v>0</v>
      </c>
      <c r="V740" s="62">
        <v>0</v>
      </c>
      <c r="W740" s="62">
        <f t="shared" si="81"/>
        <v>4408.4400000000005</v>
      </c>
      <c r="X740" s="62">
        <f t="shared" si="77"/>
        <v>4408.4400000000005</v>
      </c>
      <c r="Y740" s="62">
        <f t="shared" si="78"/>
        <v>0</v>
      </c>
      <c r="Z740" s="62">
        <v>0</v>
      </c>
      <c r="AA740" s="62">
        <f t="shared" si="79"/>
        <v>0</v>
      </c>
      <c r="AB740" s="62">
        <f t="shared" si="82"/>
        <v>2700</v>
      </c>
      <c r="AC740" s="4"/>
      <c r="AD740" s="4"/>
    </row>
    <row r="741" spans="1:30" hidden="1" x14ac:dyDescent="0.3">
      <c r="A741" s="69">
        <v>12</v>
      </c>
      <c r="B741" s="3" t="s">
        <v>49</v>
      </c>
      <c r="C741" s="4" t="s">
        <v>104</v>
      </c>
      <c r="D741" s="4" t="s">
        <v>283</v>
      </c>
      <c r="E741" s="4" t="s">
        <v>1107</v>
      </c>
      <c r="F741" s="61" t="s">
        <v>232</v>
      </c>
      <c r="G741" s="4" t="s">
        <v>234</v>
      </c>
      <c r="H741" s="62">
        <v>0</v>
      </c>
      <c r="I741" s="62">
        <v>0</v>
      </c>
      <c r="J741" s="62">
        <v>0</v>
      </c>
      <c r="K741" s="62">
        <v>0</v>
      </c>
      <c r="L741" s="62">
        <v>0</v>
      </c>
      <c r="M741" s="62">
        <v>0</v>
      </c>
      <c r="N741" s="62">
        <v>0</v>
      </c>
      <c r="O741" s="62">
        <f t="shared" si="80"/>
        <v>0</v>
      </c>
      <c r="P741" s="62">
        <v>0</v>
      </c>
      <c r="Q741" s="62">
        <v>0</v>
      </c>
      <c r="R741" s="62">
        <v>0</v>
      </c>
      <c r="S741" s="62">
        <v>0</v>
      </c>
      <c r="T741" s="62">
        <v>-700</v>
      </c>
      <c r="U741" s="62">
        <v>0</v>
      </c>
      <c r="V741" s="62">
        <v>0</v>
      </c>
      <c r="W741" s="62">
        <f t="shared" si="81"/>
        <v>-700</v>
      </c>
      <c r="X741" s="62">
        <f t="shared" si="77"/>
        <v>0</v>
      </c>
      <c r="Y741" s="62">
        <f t="shared" si="78"/>
        <v>-700</v>
      </c>
      <c r="Z741" s="62">
        <v>700</v>
      </c>
      <c r="AA741" s="62">
        <f t="shared" si="79"/>
        <v>0</v>
      </c>
      <c r="AB741" s="62">
        <f t="shared" si="82"/>
        <v>700</v>
      </c>
      <c r="AC741" s="4"/>
      <c r="AD741" s="4" t="s">
        <v>1110</v>
      </c>
    </row>
    <row r="742" spans="1:30" hidden="1" x14ac:dyDescent="0.3">
      <c r="A742" s="69">
        <v>12</v>
      </c>
      <c r="B742" s="3" t="s">
        <v>192</v>
      </c>
      <c r="C742" s="4" t="s">
        <v>79</v>
      </c>
      <c r="D742" s="4" t="s">
        <v>475</v>
      </c>
      <c r="E742" s="4" t="s">
        <v>291</v>
      </c>
      <c r="F742" s="61" t="s">
        <v>291</v>
      </c>
      <c r="G742" s="4" t="s">
        <v>234</v>
      </c>
      <c r="H742" s="62">
        <v>0</v>
      </c>
      <c r="I742" s="62">
        <v>0</v>
      </c>
      <c r="J742" s="62">
        <v>0</v>
      </c>
      <c r="K742" s="62">
        <v>0</v>
      </c>
      <c r="L742" s="62">
        <v>0</v>
      </c>
      <c r="M742" s="62">
        <v>-5.04</v>
      </c>
      <c r="N742" s="62">
        <v>-42</v>
      </c>
      <c r="O742" s="62">
        <f t="shared" si="80"/>
        <v>-47.04</v>
      </c>
      <c r="P742" s="62">
        <f>(-2500/7)*2.5</f>
        <v>-892.85714285714289</v>
      </c>
      <c r="Q742" s="62">
        <v>-2444</v>
      </c>
      <c r="R742" s="62">
        <v>-178.57142857142858</v>
      </c>
      <c r="S742" s="62">
        <v>0</v>
      </c>
      <c r="T742" s="62">
        <v>0</v>
      </c>
      <c r="U742" s="62">
        <v>0</v>
      </c>
      <c r="V742" s="62">
        <v>0</v>
      </c>
      <c r="W742" s="62">
        <f t="shared" si="81"/>
        <v>-3562.4685714285715</v>
      </c>
      <c r="X742" s="62">
        <f t="shared" si="77"/>
        <v>0</v>
      </c>
      <c r="Y742" s="62">
        <f t="shared" si="78"/>
        <v>-3562.4685714285715</v>
      </c>
      <c r="Z742" s="62">
        <f>500+512</f>
        <v>1012</v>
      </c>
      <c r="AA742" s="62">
        <f t="shared" si="79"/>
        <v>-2550.4685714285715</v>
      </c>
      <c r="AB742" s="62">
        <f t="shared" si="82"/>
        <v>-1585.5085714285715</v>
      </c>
      <c r="AC742" s="4"/>
      <c r="AD742" s="4" t="s">
        <v>1146</v>
      </c>
    </row>
    <row r="743" spans="1:30" hidden="1" x14ac:dyDescent="0.3">
      <c r="A743" s="69">
        <v>12</v>
      </c>
      <c r="B743" s="3" t="s">
        <v>152</v>
      </c>
      <c r="C743" s="4" t="s">
        <v>42</v>
      </c>
      <c r="D743" s="4" t="s">
        <v>755</v>
      </c>
      <c r="E743" s="4" t="s">
        <v>232</v>
      </c>
      <c r="F743" s="61" t="s">
        <v>232</v>
      </c>
      <c r="G743" s="4" t="s">
        <v>234</v>
      </c>
      <c r="H743" s="62">
        <v>2144.08</v>
      </c>
      <c r="I743" s="62">
        <v>-824.96999999999991</v>
      </c>
      <c r="J743" s="62">
        <v>0</v>
      </c>
      <c r="K743" s="62">
        <v>0</v>
      </c>
      <c r="L743" s="62">
        <v>0</v>
      </c>
      <c r="M743" s="62">
        <v>-40</v>
      </c>
      <c r="N743" s="62">
        <v>0</v>
      </c>
      <c r="O743" s="62">
        <f t="shared" si="80"/>
        <v>1279.1100000000001</v>
      </c>
      <c r="P743" s="62">
        <v>-2500</v>
      </c>
      <c r="Q743" s="62">
        <v>0</v>
      </c>
      <c r="R743" s="62">
        <v>0</v>
      </c>
      <c r="S743" s="62">
        <v>0</v>
      </c>
      <c r="T743" s="62">
        <v>0</v>
      </c>
      <c r="U743" s="62">
        <v>0</v>
      </c>
      <c r="V743" s="62">
        <v>0</v>
      </c>
      <c r="W743" s="62">
        <f t="shared" si="81"/>
        <v>-1220.8899999999999</v>
      </c>
      <c r="X743" s="62">
        <f t="shared" si="77"/>
        <v>0</v>
      </c>
      <c r="Y743" s="62">
        <f t="shared" si="78"/>
        <v>-1220.8899999999999</v>
      </c>
      <c r="Z743" s="62">
        <v>0</v>
      </c>
      <c r="AA743" s="62">
        <f t="shared" si="79"/>
        <v>-1220.8899999999999</v>
      </c>
      <c r="AB743" s="62">
        <f t="shared" si="82"/>
        <v>58.220000000000255</v>
      </c>
      <c r="AC743" s="4"/>
      <c r="AD743" s="4"/>
    </row>
    <row r="744" spans="1:30" hidden="1" x14ac:dyDescent="0.3">
      <c r="A744" s="69">
        <v>12</v>
      </c>
      <c r="B744" s="3" t="s">
        <v>51</v>
      </c>
      <c r="C744" s="4" t="s">
        <v>157</v>
      </c>
      <c r="D744" s="4"/>
      <c r="E744" s="4" t="s">
        <v>232</v>
      </c>
      <c r="F744" s="61" t="s">
        <v>232</v>
      </c>
      <c r="G744" s="4" t="s">
        <v>234</v>
      </c>
      <c r="H744" s="62">
        <v>2647.27</v>
      </c>
      <c r="I744" s="62">
        <v>0</v>
      </c>
      <c r="J744" s="62">
        <v>0</v>
      </c>
      <c r="K744" s="62">
        <v>0</v>
      </c>
      <c r="L744" s="62">
        <v>-21.660000000000004</v>
      </c>
      <c r="M744" s="62">
        <v>0</v>
      </c>
      <c r="N744" s="62">
        <v>0</v>
      </c>
      <c r="O744" s="62">
        <f t="shared" si="80"/>
        <v>2625.61</v>
      </c>
      <c r="P744" s="62">
        <f>(-3000/7)*6</f>
        <v>-2571.4285714285716</v>
      </c>
      <c r="Q744" s="62">
        <v>0</v>
      </c>
      <c r="R744" s="62">
        <v>0</v>
      </c>
      <c r="S744" s="62">
        <v>0</v>
      </c>
      <c r="T744" s="62">
        <v>0</v>
      </c>
      <c r="U744" s="62">
        <v>0</v>
      </c>
      <c r="V744" s="62">
        <v>0</v>
      </c>
      <c r="W744" s="62">
        <f t="shared" si="81"/>
        <v>54.181428571428569</v>
      </c>
      <c r="X744" s="62">
        <f t="shared" si="77"/>
        <v>54.181428571428569</v>
      </c>
      <c r="Y744" s="62">
        <f t="shared" si="78"/>
        <v>0</v>
      </c>
      <c r="Z744" s="62">
        <v>0</v>
      </c>
      <c r="AA744" s="62">
        <f t="shared" si="79"/>
        <v>0</v>
      </c>
      <c r="AB744" s="62">
        <f t="shared" si="82"/>
        <v>2571.4285714285716</v>
      </c>
      <c r="AC744" s="4"/>
      <c r="AD744" s="4"/>
    </row>
    <row r="745" spans="1:30" hidden="1" x14ac:dyDescent="0.3">
      <c r="A745" s="69">
        <v>12</v>
      </c>
      <c r="B745" s="3" t="s">
        <v>131</v>
      </c>
      <c r="C745" s="4" t="s">
        <v>116</v>
      </c>
      <c r="D745" s="4" t="s">
        <v>928</v>
      </c>
      <c r="E745" s="4" t="s">
        <v>291</v>
      </c>
      <c r="F745" s="61" t="s">
        <v>291</v>
      </c>
      <c r="G745" s="4" t="s">
        <v>234</v>
      </c>
      <c r="H745" s="62">
        <v>4124.8500000000004</v>
      </c>
      <c r="I745" s="62">
        <v>-90</v>
      </c>
      <c r="J745" s="76">
        <v>-17.55</v>
      </c>
      <c r="K745" s="62">
        <v>0</v>
      </c>
      <c r="L745" s="62">
        <v>-46.12</v>
      </c>
      <c r="M745" s="62">
        <v>-10</v>
      </c>
      <c r="N745" s="62">
        <v>0</v>
      </c>
      <c r="O745" s="62">
        <f t="shared" si="80"/>
        <v>3961.1800000000003</v>
      </c>
      <c r="P745" s="62">
        <v>-2500</v>
      </c>
      <c r="Q745" s="62">
        <v>0</v>
      </c>
      <c r="R745" s="62">
        <v>0</v>
      </c>
      <c r="S745" s="62">
        <v>0</v>
      </c>
      <c r="T745" s="62">
        <v>0</v>
      </c>
      <c r="U745" s="62">
        <v>0</v>
      </c>
      <c r="V745" s="62">
        <v>0</v>
      </c>
      <c r="W745" s="62">
        <f t="shared" si="81"/>
        <v>1461.1800000000003</v>
      </c>
      <c r="X745" s="62">
        <f t="shared" si="77"/>
        <v>1461.1800000000003</v>
      </c>
      <c r="Y745" s="62">
        <f t="shared" si="78"/>
        <v>0</v>
      </c>
      <c r="Z745" s="62">
        <v>0</v>
      </c>
      <c r="AA745" s="62">
        <f t="shared" si="79"/>
        <v>0</v>
      </c>
      <c r="AB745" s="62">
        <f t="shared" si="82"/>
        <v>2500</v>
      </c>
      <c r="AC745" s="4"/>
      <c r="AD745" s="4"/>
    </row>
    <row r="746" spans="1:30" hidden="1" x14ac:dyDescent="0.3">
      <c r="A746" s="69">
        <v>12</v>
      </c>
      <c r="B746" s="3" t="s">
        <v>107</v>
      </c>
      <c r="C746" s="4" t="s">
        <v>148</v>
      </c>
      <c r="D746" s="4" t="s">
        <v>931</v>
      </c>
      <c r="E746" s="4" t="s">
        <v>232</v>
      </c>
      <c r="F746" s="61" t="s">
        <v>232</v>
      </c>
      <c r="G746" s="4" t="s">
        <v>234</v>
      </c>
      <c r="H746" s="62">
        <v>3243.52</v>
      </c>
      <c r="I746" s="62">
        <v>-1266.3300000000002</v>
      </c>
      <c r="J746" s="62">
        <v>0</v>
      </c>
      <c r="K746" s="62">
        <v>0</v>
      </c>
      <c r="L746" s="62">
        <v>0</v>
      </c>
      <c r="M746" s="62">
        <f>-33.36-55</f>
        <v>-88.36</v>
      </c>
      <c r="N746" s="62">
        <v>-278</v>
      </c>
      <c r="O746" s="62">
        <f t="shared" si="80"/>
        <v>1610.83</v>
      </c>
      <c r="P746" s="62">
        <v>-2700</v>
      </c>
      <c r="Q746" s="62">
        <v>0</v>
      </c>
      <c r="R746" s="62">
        <v>0</v>
      </c>
      <c r="S746" s="62">
        <v>-700</v>
      </c>
      <c r="T746" s="62">
        <v>0</v>
      </c>
      <c r="U746" s="62">
        <v>0</v>
      </c>
      <c r="V746" s="62">
        <v>0</v>
      </c>
      <c r="W746" s="62">
        <f t="shared" si="81"/>
        <v>-1789.17</v>
      </c>
      <c r="X746" s="62">
        <f t="shared" si="77"/>
        <v>0</v>
      </c>
      <c r="Y746" s="62">
        <f t="shared" si="78"/>
        <v>-1789.17</v>
      </c>
      <c r="Z746" s="62">
        <v>1789</v>
      </c>
      <c r="AA746" s="62">
        <f t="shared" si="79"/>
        <v>-0.17000000000007276</v>
      </c>
      <c r="AB746" s="62">
        <f t="shared" si="82"/>
        <v>3399.66</v>
      </c>
      <c r="AC746" s="4"/>
      <c r="AD746" s="74" t="s">
        <v>1147</v>
      </c>
    </row>
    <row r="747" spans="1:30" hidden="1" x14ac:dyDescent="0.3">
      <c r="A747" s="69">
        <v>12</v>
      </c>
      <c r="B747" s="3" t="s">
        <v>76</v>
      </c>
      <c r="C747" s="4" t="s">
        <v>40</v>
      </c>
      <c r="D747" s="4" t="s">
        <v>315</v>
      </c>
      <c r="E747" s="4" t="s">
        <v>232</v>
      </c>
      <c r="F747" s="61" t="s">
        <v>232</v>
      </c>
      <c r="G747" s="4" t="s">
        <v>234</v>
      </c>
      <c r="H747" s="62">
        <v>2862.98</v>
      </c>
      <c r="I747" s="62">
        <v>-99.94</v>
      </c>
      <c r="J747" s="62">
        <v>0</v>
      </c>
      <c r="K747" s="62">
        <v>-1.73</v>
      </c>
      <c r="L747" s="62">
        <v>-35.519999999999996</v>
      </c>
      <c r="M747" s="62">
        <f>-59.5488-25</f>
        <v>-84.5488</v>
      </c>
      <c r="N747" s="62">
        <v>-496.24</v>
      </c>
      <c r="O747" s="62">
        <f t="shared" si="80"/>
        <v>2145.0011999999997</v>
      </c>
      <c r="P747" s="62">
        <v>-2500</v>
      </c>
      <c r="Q747" s="62">
        <v>0</v>
      </c>
      <c r="R747" s="62">
        <v>0</v>
      </c>
      <c r="S747" s="62">
        <v>0</v>
      </c>
      <c r="T747" s="62">
        <v>0</v>
      </c>
      <c r="U747" s="62">
        <v>0</v>
      </c>
      <c r="V747" s="62">
        <v>-945</v>
      </c>
      <c r="W747" s="62">
        <f t="shared" si="81"/>
        <v>-1299.9988000000003</v>
      </c>
      <c r="X747" s="62">
        <f t="shared" si="77"/>
        <v>0</v>
      </c>
      <c r="Y747" s="62">
        <f t="shared" si="78"/>
        <v>-1299.9988000000003</v>
      </c>
      <c r="Z747" s="62">
        <v>1300</v>
      </c>
      <c r="AA747" s="62">
        <f t="shared" si="79"/>
        <v>1.1999999996987754E-3</v>
      </c>
      <c r="AB747" s="62">
        <f t="shared" si="82"/>
        <v>3445.0023999999994</v>
      </c>
      <c r="AC747" s="4"/>
      <c r="AD747" s="4" t="s">
        <v>1148</v>
      </c>
    </row>
    <row r="748" spans="1:30" hidden="1" x14ac:dyDescent="0.3">
      <c r="A748" s="69">
        <v>12</v>
      </c>
      <c r="B748" s="3" t="s">
        <v>87</v>
      </c>
      <c r="C748" s="4" t="s">
        <v>83</v>
      </c>
      <c r="D748" s="4" t="s">
        <v>592</v>
      </c>
      <c r="E748" s="4" t="s">
        <v>232</v>
      </c>
      <c r="F748" s="61" t="s">
        <v>232</v>
      </c>
      <c r="G748" s="4" t="s">
        <v>234</v>
      </c>
      <c r="H748" s="62">
        <v>3525.64</v>
      </c>
      <c r="I748" s="62">
        <v>-1342.0600000000002</v>
      </c>
      <c r="J748" s="62">
        <v>-68.8</v>
      </c>
      <c r="K748" s="62">
        <v>0</v>
      </c>
      <c r="L748" s="62">
        <v>0</v>
      </c>
      <c r="M748" s="62">
        <v>-55</v>
      </c>
      <c r="N748" s="62">
        <v>0</v>
      </c>
      <c r="O748" s="62">
        <f t="shared" si="80"/>
        <v>2059.7799999999997</v>
      </c>
      <c r="P748" s="62">
        <v>-2700</v>
      </c>
      <c r="Q748" s="62">
        <f>-1891*1.12</f>
        <v>-2117.92</v>
      </c>
      <c r="R748" s="62">
        <v>0</v>
      </c>
      <c r="S748" s="62">
        <v>0</v>
      </c>
      <c r="T748" s="62">
        <v>0</v>
      </c>
      <c r="U748" s="62">
        <v>0</v>
      </c>
      <c r="V748" s="62">
        <v>0</v>
      </c>
      <c r="W748" s="62">
        <f t="shared" si="81"/>
        <v>-2758.1400000000003</v>
      </c>
      <c r="X748" s="62">
        <f t="shared" ref="X748:X750" si="83">IF(W748&gt;=0,W748,0)</f>
        <v>0</v>
      </c>
      <c r="Y748" s="62">
        <f t="shared" ref="Y748:Y750" si="84">IF(W748&lt;=0,W748,0)</f>
        <v>-2758.1400000000003</v>
      </c>
      <c r="Z748" s="62">
        <f>1637+1121</f>
        <v>2758</v>
      </c>
      <c r="AA748" s="62">
        <f t="shared" ref="AA748:AA750" si="85">+Y748+Z748</f>
        <v>-0.14000000000032742</v>
      </c>
      <c r="AB748" s="62">
        <f t="shared" si="82"/>
        <v>4817.6399999999994</v>
      </c>
      <c r="AC748" s="4"/>
      <c r="AD748" s="4" t="s">
        <v>1149</v>
      </c>
    </row>
    <row r="749" spans="1:30" hidden="1" x14ac:dyDescent="0.3">
      <c r="A749" s="69">
        <v>12</v>
      </c>
      <c r="B749" s="3" t="s">
        <v>117</v>
      </c>
      <c r="C749" s="4" t="s">
        <v>118</v>
      </c>
      <c r="D749" s="4" t="s">
        <v>934</v>
      </c>
      <c r="E749" s="4" t="s">
        <v>232</v>
      </c>
      <c r="F749" s="61" t="s">
        <v>232</v>
      </c>
      <c r="G749" s="4" t="s">
        <v>234</v>
      </c>
      <c r="H749" s="62">
        <v>7599.06</v>
      </c>
      <c r="I749" s="62">
        <v>-3655.8899999999994</v>
      </c>
      <c r="J749" s="62">
        <v>0</v>
      </c>
      <c r="K749" s="62">
        <v>0</v>
      </c>
      <c r="L749" s="62">
        <v>-82.81</v>
      </c>
      <c r="M749" s="62">
        <v>-60</v>
      </c>
      <c r="N749" s="62">
        <v>0</v>
      </c>
      <c r="O749" s="62">
        <f t="shared" si="80"/>
        <v>3800.360000000001</v>
      </c>
      <c r="P749" s="62">
        <v>-2500</v>
      </c>
      <c r="Q749" s="62">
        <v>0</v>
      </c>
      <c r="R749" s="62">
        <v>0</v>
      </c>
      <c r="S749" s="62">
        <v>0</v>
      </c>
      <c r="T749" s="62">
        <v>-700</v>
      </c>
      <c r="U749" s="62">
        <v>0</v>
      </c>
      <c r="V749" s="62">
        <v>0</v>
      </c>
      <c r="W749" s="62">
        <f t="shared" si="81"/>
        <v>600.36000000000104</v>
      </c>
      <c r="X749" s="62">
        <f t="shared" si="83"/>
        <v>600.36000000000104</v>
      </c>
      <c r="Y749" s="62">
        <f t="shared" si="84"/>
        <v>0</v>
      </c>
      <c r="Z749" s="62">
        <v>0</v>
      </c>
      <c r="AA749" s="62">
        <f t="shared" si="85"/>
        <v>0</v>
      </c>
      <c r="AB749" s="62">
        <f t="shared" si="82"/>
        <v>3200</v>
      </c>
      <c r="AC749" s="4"/>
      <c r="AD749" s="74"/>
    </row>
    <row r="750" spans="1:30" hidden="1" x14ac:dyDescent="0.3">
      <c r="A750" s="69">
        <v>12</v>
      </c>
      <c r="B750" s="3" t="s">
        <v>98</v>
      </c>
      <c r="C750" s="4" t="s">
        <v>112</v>
      </c>
      <c r="D750" s="4"/>
      <c r="E750" s="4" t="s">
        <v>232</v>
      </c>
      <c r="F750" s="61" t="s">
        <v>232</v>
      </c>
      <c r="G750" s="4" t="s">
        <v>234</v>
      </c>
      <c r="H750" s="62">
        <v>0</v>
      </c>
      <c r="I750" s="62">
        <v>0</v>
      </c>
      <c r="J750" s="62">
        <v>0</v>
      </c>
      <c r="K750" s="62">
        <v>0</v>
      </c>
      <c r="L750" s="62">
        <v>0</v>
      </c>
      <c r="M750" s="62">
        <v>0</v>
      </c>
      <c r="N750" s="62">
        <v>0</v>
      </c>
      <c r="O750" s="62">
        <f t="shared" si="80"/>
        <v>0</v>
      </c>
      <c r="P750" s="62">
        <v>-2500</v>
      </c>
      <c r="Q750" s="62">
        <f>-697*1.12</f>
        <v>-780.6400000000001</v>
      </c>
      <c r="R750" s="62">
        <v>0</v>
      </c>
      <c r="S750" s="62">
        <v>0</v>
      </c>
      <c r="T750" s="62">
        <v>-1654</v>
      </c>
      <c r="U750" s="62">
        <v>0</v>
      </c>
      <c r="V750" s="62">
        <v>0</v>
      </c>
      <c r="W750" s="62">
        <f>SUM(O750:V750)</f>
        <v>-4934.6400000000003</v>
      </c>
      <c r="X750" s="62">
        <f t="shared" si="83"/>
        <v>0</v>
      </c>
      <c r="Y750" s="62">
        <f t="shared" si="84"/>
        <v>-4934.6400000000003</v>
      </c>
      <c r="Z750" s="62">
        <f>3000+1500</f>
        <v>4500</v>
      </c>
      <c r="AA750" s="62">
        <f t="shared" si="85"/>
        <v>-434.64000000000033</v>
      </c>
      <c r="AB750" s="62">
        <f>+O750-X750+Z750+AA750</f>
        <v>4065.3599999999997</v>
      </c>
      <c r="AC750" s="4"/>
      <c r="AD750" s="4" t="s">
        <v>1150</v>
      </c>
    </row>
  </sheetData>
  <autoFilter ref="A1:AR750" xr:uid="{5A3CDDD4-4845-4FAF-B738-2592C5BC4B76}">
    <filterColumn colId="0">
      <filters>
        <filter val="12"/>
      </filters>
    </filterColumn>
    <filterColumn colId="1">
      <filters>
        <filter val="RAUL NABOR MORIN MEJIA"/>
      </filters>
    </filterColumn>
  </autoFilter>
  <conditionalFormatting sqref="B545">
    <cfRule type="duplicateValues" dxfId="28" priority="9"/>
    <cfRule type="duplicateValues" dxfId="27" priority="10"/>
  </conditionalFormatting>
  <conditionalFormatting sqref="B611">
    <cfRule type="duplicateValues" dxfId="26" priority="7"/>
    <cfRule type="duplicateValues" dxfId="25" priority="8"/>
  </conditionalFormatting>
  <conditionalFormatting sqref="B679">
    <cfRule type="duplicateValues" dxfId="24" priority="5"/>
    <cfRule type="duplicateValues" dxfId="23" priority="6"/>
  </conditionalFormatting>
  <conditionalFormatting sqref="B743">
    <cfRule type="duplicateValues" dxfId="22" priority="3"/>
    <cfRule type="duplicateValues" dxfId="21" priority="4"/>
  </conditionalFormatting>
  <pageMargins left="0.70866141732283472" right="0.70866141732283472" top="0.74803149606299213" bottom="0.74803149606299213" header="0.31496062992125984" footer="0.31496062992125984"/>
  <pageSetup scale="65" orientation="landscape" r:id="rId1"/>
  <headerFooter>
    <oddHeader>&amp;LDEUDORES UBER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AE06-9837-43B3-B0F8-D71CA829B5F3}">
  <dimension ref="B1:E1353"/>
  <sheetViews>
    <sheetView workbookViewId="0">
      <selection activeCell="B2" sqref="B2"/>
    </sheetView>
  </sheetViews>
  <sheetFormatPr baseColWidth="10" defaultRowHeight="13.8" x14ac:dyDescent="0.3"/>
  <cols>
    <col min="1" max="1" width="1.5546875" customWidth="1"/>
    <col min="2" max="2" width="4.33203125" bestFit="1" customWidth="1"/>
    <col min="3" max="3" width="40.6640625" bestFit="1" customWidth="1"/>
    <col min="4" max="4" width="30" bestFit="1" customWidth="1"/>
  </cols>
  <sheetData>
    <row r="1" spans="2:5" x14ac:dyDescent="0.3">
      <c r="B1" s="1" t="s">
        <v>0</v>
      </c>
      <c r="C1" s="1" t="s">
        <v>1</v>
      </c>
      <c r="D1" s="1" t="s">
        <v>2</v>
      </c>
      <c r="E1" s="22" t="s">
        <v>232</v>
      </c>
    </row>
    <row r="2" spans="2:5" x14ac:dyDescent="0.3">
      <c r="B2" s="2">
        <v>1</v>
      </c>
      <c r="C2" s="3" t="s">
        <v>3</v>
      </c>
      <c r="D2" s="4" t="s">
        <v>4</v>
      </c>
      <c r="E2" s="22" t="s">
        <v>232</v>
      </c>
    </row>
    <row r="3" spans="2:5" x14ac:dyDescent="0.3">
      <c r="B3" s="2">
        <v>1</v>
      </c>
      <c r="C3" s="3" t="s">
        <v>5</v>
      </c>
      <c r="D3" s="4" t="s">
        <v>6</v>
      </c>
      <c r="E3" s="22" t="s">
        <v>232</v>
      </c>
    </row>
    <row r="4" spans="2:5" x14ac:dyDescent="0.3">
      <c r="B4" s="2">
        <v>1</v>
      </c>
      <c r="C4" s="3" t="s">
        <v>7</v>
      </c>
      <c r="D4" s="4" t="s">
        <v>8</v>
      </c>
      <c r="E4" s="22" t="s">
        <v>241</v>
      </c>
    </row>
    <row r="5" spans="2:5" x14ac:dyDescent="0.3">
      <c r="B5" s="2">
        <v>1</v>
      </c>
      <c r="C5" s="3" t="s">
        <v>9</v>
      </c>
      <c r="D5" s="4" t="s">
        <v>10</v>
      </c>
      <c r="E5" s="22" t="s">
        <v>232</v>
      </c>
    </row>
    <row r="6" spans="2:5" x14ac:dyDescent="0.3">
      <c r="B6" s="2">
        <v>1</v>
      </c>
      <c r="C6" s="3" t="s">
        <v>11</v>
      </c>
      <c r="D6" s="4" t="s">
        <v>12</v>
      </c>
      <c r="E6" s="22" t="s">
        <v>232</v>
      </c>
    </row>
    <row r="7" spans="2:5" x14ac:dyDescent="0.3">
      <c r="B7" s="2">
        <v>1</v>
      </c>
      <c r="C7" s="3" t="s">
        <v>13</v>
      </c>
      <c r="D7" s="4" t="s">
        <v>14</v>
      </c>
      <c r="E7" s="22" t="s">
        <v>232</v>
      </c>
    </row>
    <row r="8" spans="2:5" x14ac:dyDescent="0.3">
      <c r="B8" s="2">
        <v>1</v>
      </c>
      <c r="C8" s="3" t="s">
        <v>15</v>
      </c>
      <c r="D8" s="4" t="s">
        <v>16</v>
      </c>
      <c r="E8" s="22" t="s">
        <v>232</v>
      </c>
    </row>
    <row r="9" spans="2:5" x14ac:dyDescent="0.3">
      <c r="B9" s="2">
        <v>1</v>
      </c>
      <c r="C9" s="3" t="s">
        <v>17</v>
      </c>
      <c r="D9" s="4" t="s">
        <v>18</v>
      </c>
      <c r="E9" s="22" t="s">
        <v>232</v>
      </c>
    </row>
    <row r="10" spans="2:5" x14ac:dyDescent="0.3">
      <c r="B10" s="2">
        <v>1</v>
      </c>
      <c r="C10" s="3" t="s">
        <v>19</v>
      </c>
      <c r="D10" s="4" t="s">
        <v>20</v>
      </c>
      <c r="E10" s="22" t="s">
        <v>232</v>
      </c>
    </row>
    <row r="11" spans="2:5" x14ac:dyDescent="0.3">
      <c r="B11" s="2">
        <v>1</v>
      </c>
      <c r="C11" s="3" t="s">
        <v>21</v>
      </c>
      <c r="D11" s="4" t="s">
        <v>22</v>
      </c>
      <c r="E11" s="22" t="s">
        <v>232</v>
      </c>
    </row>
    <row r="12" spans="2:5" x14ac:dyDescent="0.3">
      <c r="B12" s="2">
        <v>1</v>
      </c>
      <c r="C12" s="3" t="s">
        <v>23</v>
      </c>
      <c r="D12" s="4" t="s">
        <v>24</v>
      </c>
      <c r="E12" s="22" t="s">
        <v>241</v>
      </c>
    </row>
    <row r="13" spans="2:5" x14ac:dyDescent="0.3">
      <c r="B13" s="2">
        <v>1</v>
      </c>
      <c r="C13" s="3" t="s">
        <v>25</v>
      </c>
      <c r="D13" s="4" t="s">
        <v>26</v>
      </c>
      <c r="E13" s="22" t="s">
        <v>232</v>
      </c>
    </row>
    <row r="14" spans="2:5" x14ac:dyDescent="0.3">
      <c r="B14" s="2">
        <v>1</v>
      </c>
      <c r="C14" s="3" t="s">
        <v>27</v>
      </c>
      <c r="D14" s="4" t="s">
        <v>28</v>
      </c>
      <c r="E14" s="22" t="s">
        <v>232</v>
      </c>
    </row>
    <row r="15" spans="2:5" x14ac:dyDescent="0.3">
      <c r="B15" s="2">
        <v>1</v>
      </c>
      <c r="C15" s="3" t="s">
        <v>9</v>
      </c>
      <c r="D15" s="4" t="s">
        <v>10</v>
      </c>
      <c r="E15" s="22" t="s">
        <v>232</v>
      </c>
    </row>
    <row r="16" spans="2:5" x14ac:dyDescent="0.3">
      <c r="B16" s="2">
        <v>1</v>
      </c>
      <c r="C16" s="3" t="s">
        <v>29</v>
      </c>
      <c r="D16" s="4" t="s">
        <v>30</v>
      </c>
      <c r="E16" s="22" t="s">
        <v>241</v>
      </c>
    </row>
    <row r="17" spans="2:5" x14ac:dyDescent="0.3">
      <c r="B17" s="2">
        <v>1</v>
      </c>
      <c r="C17" s="3" t="s">
        <v>31</v>
      </c>
      <c r="D17" s="4" t="s">
        <v>32</v>
      </c>
      <c r="E17" s="22" t="s">
        <v>232</v>
      </c>
    </row>
    <row r="18" spans="2:5" x14ac:dyDescent="0.3">
      <c r="B18" s="2">
        <v>1</v>
      </c>
      <c r="C18" s="3" t="s">
        <v>33</v>
      </c>
      <c r="D18" s="4" t="s">
        <v>34</v>
      </c>
      <c r="E18" s="22" t="s">
        <v>232</v>
      </c>
    </row>
    <row r="19" spans="2:5" x14ac:dyDescent="0.3">
      <c r="B19" s="2">
        <v>1</v>
      </c>
      <c r="C19" s="3" t="s">
        <v>35</v>
      </c>
      <c r="D19" s="4" t="s">
        <v>36</v>
      </c>
      <c r="E19" s="22" t="s">
        <v>232</v>
      </c>
    </row>
    <row r="20" spans="2:5" x14ac:dyDescent="0.3">
      <c r="B20" s="2">
        <v>1</v>
      </c>
      <c r="C20" s="3" t="s">
        <v>37</v>
      </c>
      <c r="D20" s="4" t="s">
        <v>38</v>
      </c>
      <c r="E20" s="22" t="s">
        <v>232</v>
      </c>
    </row>
    <row r="21" spans="2:5" x14ac:dyDescent="0.3">
      <c r="B21" s="2">
        <v>1</v>
      </c>
      <c r="C21" s="3" t="s">
        <v>39</v>
      </c>
      <c r="D21" s="4" t="s">
        <v>40</v>
      </c>
      <c r="E21" s="22" t="s">
        <v>232</v>
      </c>
    </row>
    <row r="22" spans="2:5" x14ac:dyDescent="0.3">
      <c r="B22" s="2">
        <v>1</v>
      </c>
      <c r="C22" s="3" t="s">
        <v>41</v>
      </c>
      <c r="D22" s="4" t="s">
        <v>42</v>
      </c>
      <c r="E22" s="22" t="s">
        <v>232</v>
      </c>
    </row>
    <row r="23" spans="2:5" x14ac:dyDescent="0.3">
      <c r="B23" s="2">
        <v>1</v>
      </c>
      <c r="C23" s="3" t="s">
        <v>43</v>
      </c>
      <c r="D23" s="4" t="s">
        <v>44</v>
      </c>
      <c r="E23" s="22" t="s">
        <v>232</v>
      </c>
    </row>
    <row r="24" spans="2:5" x14ac:dyDescent="0.3">
      <c r="B24" s="2">
        <v>1</v>
      </c>
      <c r="C24" s="3" t="s">
        <v>45</v>
      </c>
      <c r="D24" s="4" t="s">
        <v>46</v>
      </c>
      <c r="E24" s="22" t="s">
        <v>241</v>
      </c>
    </row>
    <row r="25" spans="2:5" x14ac:dyDescent="0.3">
      <c r="B25" s="2">
        <v>1</v>
      </c>
      <c r="C25" s="3" t="s">
        <v>47</v>
      </c>
      <c r="D25" s="4" t="s">
        <v>48</v>
      </c>
      <c r="E25" s="22" t="s">
        <v>232</v>
      </c>
    </row>
    <row r="26" spans="2:5" x14ac:dyDescent="0.3">
      <c r="B26" s="2">
        <v>1</v>
      </c>
      <c r="C26" s="3" t="s">
        <v>49</v>
      </c>
      <c r="D26" s="4" t="s">
        <v>50</v>
      </c>
      <c r="E26" s="22" t="s">
        <v>232</v>
      </c>
    </row>
    <row r="27" spans="2:5" x14ac:dyDescent="0.3">
      <c r="B27" s="2">
        <v>1</v>
      </c>
      <c r="C27" s="3" t="s">
        <v>51</v>
      </c>
      <c r="D27" s="4" t="s">
        <v>52</v>
      </c>
      <c r="E27" s="22" t="s">
        <v>232</v>
      </c>
    </row>
    <row r="28" spans="2:5" x14ac:dyDescent="0.3">
      <c r="B28" s="2">
        <v>1</v>
      </c>
      <c r="C28" s="3" t="s">
        <v>53</v>
      </c>
      <c r="D28" s="4" t="s">
        <v>54</v>
      </c>
      <c r="E28" s="22" t="s">
        <v>241</v>
      </c>
    </row>
    <row r="29" spans="2:5" x14ac:dyDescent="0.3">
      <c r="B29" s="2">
        <v>1</v>
      </c>
      <c r="C29" s="3" t="s">
        <v>55</v>
      </c>
      <c r="D29" s="4" t="s">
        <v>56</v>
      </c>
      <c r="E29" s="22" t="s">
        <v>232</v>
      </c>
    </row>
    <row r="30" spans="2:5" x14ac:dyDescent="0.3">
      <c r="B30" s="2">
        <v>1</v>
      </c>
      <c r="C30" s="3" t="s">
        <v>57</v>
      </c>
      <c r="D30" s="4" t="s">
        <v>16</v>
      </c>
      <c r="E30" s="22" t="s">
        <v>232</v>
      </c>
    </row>
    <row r="31" spans="2:5" x14ac:dyDescent="0.3">
      <c r="B31" s="2">
        <v>1</v>
      </c>
      <c r="C31" s="3" t="s">
        <v>58</v>
      </c>
      <c r="D31" s="4" t="s">
        <v>59</v>
      </c>
      <c r="E31" s="22" t="s">
        <v>232</v>
      </c>
    </row>
    <row r="32" spans="2:5" x14ac:dyDescent="0.3">
      <c r="B32" s="2">
        <v>1</v>
      </c>
      <c r="C32" s="3" t="s">
        <v>60</v>
      </c>
      <c r="D32" s="4" t="s">
        <v>28</v>
      </c>
      <c r="E32" s="22" t="s">
        <v>232</v>
      </c>
    </row>
    <row r="33" spans="2:5" x14ac:dyDescent="0.3">
      <c r="B33" s="2">
        <v>1</v>
      </c>
      <c r="C33" s="3" t="s">
        <v>61</v>
      </c>
      <c r="D33" s="4" t="s">
        <v>34</v>
      </c>
      <c r="E33" s="22" t="s">
        <v>232</v>
      </c>
    </row>
    <row r="34" spans="2:5" x14ac:dyDescent="0.3">
      <c r="B34" s="2">
        <v>1</v>
      </c>
      <c r="C34" s="3" t="s">
        <v>62</v>
      </c>
      <c r="D34" s="4" t="s">
        <v>63</v>
      </c>
      <c r="E34" s="22" t="s">
        <v>241</v>
      </c>
    </row>
    <row r="35" spans="2:5" x14ac:dyDescent="0.3">
      <c r="B35" s="2">
        <v>1</v>
      </c>
      <c r="C35" s="3" t="s">
        <v>64</v>
      </c>
      <c r="D35" s="4" t="s">
        <v>65</v>
      </c>
      <c r="E35" s="22" t="s">
        <v>232</v>
      </c>
    </row>
    <row r="36" spans="2:5" x14ac:dyDescent="0.3">
      <c r="B36" s="2">
        <v>1</v>
      </c>
      <c r="C36" s="3" t="s">
        <v>66</v>
      </c>
      <c r="D36" s="4" t="s">
        <v>67</v>
      </c>
      <c r="E36" s="22" t="s">
        <v>232</v>
      </c>
    </row>
    <row r="37" spans="2:5" x14ac:dyDescent="0.3">
      <c r="B37" s="2">
        <v>1</v>
      </c>
      <c r="C37" s="3" t="s">
        <v>68</v>
      </c>
      <c r="D37" s="4" t="s">
        <v>69</v>
      </c>
      <c r="E37" s="22" t="s">
        <v>232</v>
      </c>
    </row>
    <row r="38" spans="2:5" x14ac:dyDescent="0.3">
      <c r="B38" s="2">
        <v>1</v>
      </c>
      <c r="C38" s="3" t="s">
        <v>70</v>
      </c>
      <c r="D38" s="4" t="s">
        <v>71</v>
      </c>
      <c r="E38" s="22" t="s">
        <v>232</v>
      </c>
    </row>
    <row r="39" spans="2:5" x14ac:dyDescent="0.3">
      <c r="B39" s="2">
        <v>1</v>
      </c>
      <c r="C39" s="3" t="s">
        <v>72</v>
      </c>
      <c r="D39" s="4" t="s">
        <v>73</v>
      </c>
      <c r="E39" s="22" t="s">
        <v>232</v>
      </c>
    </row>
    <row r="40" spans="2:5" x14ac:dyDescent="0.3">
      <c r="B40" s="2">
        <v>1</v>
      </c>
      <c r="C40" s="3" t="s">
        <v>74</v>
      </c>
      <c r="D40" s="4" t="s">
        <v>75</v>
      </c>
      <c r="E40" s="22" t="s">
        <v>232</v>
      </c>
    </row>
    <row r="41" spans="2:5" x14ac:dyDescent="0.3">
      <c r="B41" s="2">
        <v>1</v>
      </c>
      <c r="C41" s="3" t="s">
        <v>76</v>
      </c>
      <c r="D41" s="4" t="s">
        <v>77</v>
      </c>
      <c r="E41" s="22" t="s">
        <v>232</v>
      </c>
    </row>
    <row r="42" spans="2:5" x14ac:dyDescent="0.3">
      <c r="B42" s="2">
        <v>1</v>
      </c>
      <c r="C42" s="3" t="s">
        <v>78</v>
      </c>
      <c r="D42" s="4" t="s">
        <v>79</v>
      </c>
      <c r="E42" s="22" t="s">
        <v>241</v>
      </c>
    </row>
    <row r="43" spans="2:5" x14ac:dyDescent="0.3">
      <c r="B43" s="2">
        <v>1</v>
      </c>
      <c r="C43" s="3" t="s">
        <v>80</v>
      </c>
      <c r="D43" s="4" t="s">
        <v>81</v>
      </c>
      <c r="E43" s="22" t="s">
        <v>232</v>
      </c>
    </row>
    <row r="44" spans="2:5" x14ac:dyDescent="0.3">
      <c r="B44" s="2">
        <v>1</v>
      </c>
      <c r="C44" s="3" t="s">
        <v>82</v>
      </c>
      <c r="D44" s="4" t="s">
        <v>83</v>
      </c>
      <c r="E44" s="22" t="s">
        <v>232</v>
      </c>
    </row>
    <row r="45" spans="2:5" x14ac:dyDescent="0.3">
      <c r="B45" s="2">
        <v>1</v>
      </c>
      <c r="C45" s="3" t="s">
        <v>84</v>
      </c>
      <c r="D45" s="4" t="s">
        <v>59</v>
      </c>
      <c r="E45" s="22" t="s">
        <v>232</v>
      </c>
    </row>
    <row r="46" spans="2:5" x14ac:dyDescent="0.3">
      <c r="B46" s="2">
        <v>1</v>
      </c>
      <c r="C46" s="3" t="s">
        <v>85</v>
      </c>
      <c r="D46" s="4" t="s">
        <v>86</v>
      </c>
      <c r="E46" s="22" t="s">
        <v>232</v>
      </c>
    </row>
    <row r="47" spans="2:5" x14ac:dyDescent="0.3">
      <c r="B47" s="2">
        <v>1</v>
      </c>
      <c r="C47" s="3" t="s">
        <v>87</v>
      </c>
      <c r="D47" s="4" t="s">
        <v>54</v>
      </c>
      <c r="E47" s="22" t="s">
        <v>232</v>
      </c>
    </row>
    <row r="48" spans="2:5" x14ac:dyDescent="0.3">
      <c r="B48" s="2">
        <v>1</v>
      </c>
      <c r="C48" s="3" t="s">
        <v>64</v>
      </c>
      <c r="D48" s="4" t="s">
        <v>59</v>
      </c>
      <c r="E48" s="22" t="s">
        <v>232</v>
      </c>
    </row>
    <row r="49" spans="2:5" x14ac:dyDescent="0.3">
      <c r="B49" s="2">
        <v>2</v>
      </c>
      <c r="C49" s="3" t="s">
        <v>5</v>
      </c>
      <c r="D49" s="4" t="s">
        <v>6</v>
      </c>
      <c r="E49" s="22" t="s">
        <v>232</v>
      </c>
    </row>
    <row r="50" spans="2:5" x14ac:dyDescent="0.3">
      <c r="B50" s="2">
        <v>2</v>
      </c>
      <c r="C50" s="3" t="s">
        <v>5</v>
      </c>
      <c r="D50" s="4" t="s">
        <v>42</v>
      </c>
      <c r="E50" s="22" t="s">
        <v>232</v>
      </c>
    </row>
    <row r="51" spans="2:5" x14ac:dyDescent="0.3">
      <c r="B51" s="2">
        <v>2</v>
      </c>
      <c r="C51" s="3" t="s">
        <v>9</v>
      </c>
      <c r="D51" s="4" t="s">
        <v>10</v>
      </c>
      <c r="E51" s="22" t="s">
        <v>232</v>
      </c>
    </row>
    <row r="52" spans="2:5" x14ac:dyDescent="0.3">
      <c r="B52" s="2">
        <v>2</v>
      </c>
      <c r="C52" s="3" t="s">
        <v>11</v>
      </c>
      <c r="D52" s="4" t="s">
        <v>12</v>
      </c>
      <c r="E52" s="22" t="s">
        <v>232</v>
      </c>
    </row>
    <row r="53" spans="2:5" x14ac:dyDescent="0.3">
      <c r="B53" s="2">
        <v>2</v>
      </c>
      <c r="C53" s="3" t="s">
        <v>13</v>
      </c>
      <c r="D53" s="4" t="s">
        <v>14</v>
      </c>
      <c r="E53" s="22" t="s">
        <v>232</v>
      </c>
    </row>
    <row r="54" spans="2:5" x14ac:dyDescent="0.3">
      <c r="B54" s="2">
        <v>2</v>
      </c>
      <c r="C54" s="3" t="s">
        <v>88</v>
      </c>
      <c r="D54" s="4" t="s">
        <v>46</v>
      </c>
      <c r="E54" s="22" t="s">
        <v>232</v>
      </c>
    </row>
    <row r="55" spans="2:5" x14ac:dyDescent="0.3">
      <c r="B55" s="2">
        <v>2</v>
      </c>
      <c r="C55" s="3" t="s">
        <v>89</v>
      </c>
      <c r="D55" s="4" t="s">
        <v>4</v>
      </c>
      <c r="E55" s="22" t="s">
        <v>232</v>
      </c>
    </row>
    <row r="56" spans="2:5" x14ac:dyDescent="0.3">
      <c r="B56" s="2">
        <v>2</v>
      </c>
      <c r="C56" s="3" t="s">
        <v>90</v>
      </c>
      <c r="D56" s="4" t="s">
        <v>16</v>
      </c>
      <c r="E56" s="22" t="s">
        <v>232</v>
      </c>
    </row>
    <row r="57" spans="2:5" x14ac:dyDescent="0.3">
      <c r="B57" s="2">
        <v>2</v>
      </c>
      <c r="C57" s="3" t="s">
        <v>91</v>
      </c>
      <c r="D57" s="4" t="s">
        <v>50</v>
      </c>
      <c r="E57" s="22" t="s">
        <v>241</v>
      </c>
    </row>
    <row r="58" spans="2:5" x14ac:dyDescent="0.3">
      <c r="B58" s="2">
        <v>2</v>
      </c>
      <c r="C58" s="3" t="s">
        <v>92</v>
      </c>
      <c r="D58" s="4" t="s">
        <v>30</v>
      </c>
      <c r="E58" s="22" t="s">
        <v>232</v>
      </c>
    </row>
    <row r="59" spans="2:5" x14ac:dyDescent="0.3">
      <c r="B59" s="2">
        <v>2</v>
      </c>
      <c r="C59" s="3" t="s">
        <v>15</v>
      </c>
      <c r="D59" s="4" t="s">
        <v>93</v>
      </c>
      <c r="E59" s="22" t="s">
        <v>232</v>
      </c>
    </row>
    <row r="60" spans="2:5" x14ac:dyDescent="0.3">
      <c r="B60" s="2">
        <v>2</v>
      </c>
      <c r="C60" s="3" t="s">
        <v>17</v>
      </c>
      <c r="D60" s="4" t="s">
        <v>18</v>
      </c>
      <c r="E60" s="22" t="s">
        <v>232</v>
      </c>
    </row>
    <row r="61" spans="2:5" x14ac:dyDescent="0.3">
      <c r="B61" s="2">
        <v>2</v>
      </c>
      <c r="C61" s="3" t="s">
        <v>19</v>
      </c>
      <c r="D61" s="4" t="s">
        <v>20</v>
      </c>
      <c r="E61" s="22" t="s">
        <v>241</v>
      </c>
    </row>
    <row r="62" spans="2:5" x14ac:dyDescent="0.3">
      <c r="B62" s="2">
        <v>2</v>
      </c>
      <c r="C62" s="3" t="s">
        <v>19</v>
      </c>
      <c r="D62" s="4" t="s">
        <v>94</v>
      </c>
      <c r="E62" s="22" t="s">
        <v>232</v>
      </c>
    </row>
    <row r="63" spans="2:5" x14ac:dyDescent="0.3">
      <c r="B63" s="2">
        <v>2</v>
      </c>
      <c r="C63" s="3" t="s">
        <v>21</v>
      </c>
      <c r="D63" s="4" t="s">
        <v>22</v>
      </c>
      <c r="E63" s="22" t="s">
        <v>232</v>
      </c>
    </row>
    <row r="64" spans="2:5" x14ac:dyDescent="0.3">
      <c r="B64" s="2">
        <v>2</v>
      </c>
      <c r="C64" s="3" t="s">
        <v>23</v>
      </c>
      <c r="D64" s="4" t="s">
        <v>24</v>
      </c>
      <c r="E64" s="22" t="s">
        <v>232</v>
      </c>
    </row>
    <row r="65" spans="2:5" x14ac:dyDescent="0.3">
      <c r="B65" s="2">
        <v>2</v>
      </c>
      <c r="C65" s="3" t="s">
        <v>23</v>
      </c>
      <c r="D65" s="4" t="s">
        <v>22</v>
      </c>
      <c r="E65" s="22" t="s">
        <v>232</v>
      </c>
    </row>
    <row r="66" spans="2:5" x14ac:dyDescent="0.3">
      <c r="B66" s="2">
        <v>2</v>
      </c>
      <c r="C66" s="3" t="s">
        <v>25</v>
      </c>
      <c r="D66" s="4" t="s">
        <v>26</v>
      </c>
      <c r="E66" s="22" t="s">
        <v>232</v>
      </c>
    </row>
    <row r="67" spans="2:5" x14ac:dyDescent="0.3">
      <c r="B67" s="2">
        <v>2</v>
      </c>
      <c r="C67" s="3" t="s">
        <v>25</v>
      </c>
      <c r="D67" s="4" t="s">
        <v>67</v>
      </c>
      <c r="E67" s="22" t="s">
        <v>232</v>
      </c>
    </row>
    <row r="68" spans="2:5" x14ac:dyDescent="0.3">
      <c r="B68" s="2">
        <v>2</v>
      </c>
      <c r="C68" s="3" t="s">
        <v>27</v>
      </c>
      <c r="D68" s="4" t="s">
        <v>28</v>
      </c>
      <c r="E68" s="22" t="s">
        <v>232</v>
      </c>
    </row>
    <row r="69" spans="2:5" x14ac:dyDescent="0.3">
      <c r="B69" s="2">
        <v>2</v>
      </c>
      <c r="C69" s="3" t="s">
        <v>29</v>
      </c>
      <c r="D69" s="4" t="s">
        <v>95</v>
      </c>
      <c r="E69" s="22" t="s">
        <v>232</v>
      </c>
    </row>
    <row r="70" spans="2:5" x14ac:dyDescent="0.3">
      <c r="B70" s="2">
        <v>2</v>
      </c>
      <c r="C70" s="3" t="s">
        <v>31</v>
      </c>
      <c r="D70" s="4" t="s">
        <v>32</v>
      </c>
      <c r="E70" s="22" t="s">
        <v>232</v>
      </c>
    </row>
    <row r="71" spans="2:5" x14ac:dyDescent="0.3">
      <c r="B71" s="2">
        <v>2</v>
      </c>
      <c r="C71" s="3" t="s">
        <v>33</v>
      </c>
      <c r="D71" s="4" t="s">
        <v>34</v>
      </c>
      <c r="E71" s="22" t="s">
        <v>232</v>
      </c>
    </row>
    <row r="72" spans="2:5" x14ac:dyDescent="0.3">
      <c r="B72" s="2">
        <v>2</v>
      </c>
      <c r="C72" s="3" t="s">
        <v>35</v>
      </c>
      <c r="D72" s="4" t="s">
        <v>36</v>
      </c>
      <c r="E72" s="22" t="s">
        <v>241</v>
      </c>
    </row>
    <row r="73" spans="2:5" x14ac:dyDescent="0.3">
      <c r="B73" s="2">
        <v>2</v>
      </c>
      <c r="C73" s="3" t="s">
        <v>37</v>
      </c>
      <c r="D73" s="4" t="s">
        <v>38</v>
      </c>
      <c r="E73" s="22" t="s">
        <v>232</v>
      </c>
    </row>
    <row r="74" spans="2:5" x14ac:dyDescent="0.3">
      <c r="B74" s="2">
        <v>2</v>
      </c>
      <c r="C74" s="3" t="s">
        <v>39</v>
      </c>
      <c r="D74" s="4" t="s">
        <v>40</v>
      </c>
      <c r="E74" s="22" t="s">
        <v>232</v>
      </c>
    </row>
    <row r="75" spans="2:5" x14ac:dyDescent="0.3">
      <c r="B75" s="2">
        <v>2</v>
      </c>
      <c r="C75" s="3" t="s">
        <v>43</v>
      </c>
      <c r="D75" s="4" t="s">
        <v>44</v>
      </c>
      <c r="E75" s="22" t="s">
        <v>232</v>
      </c>
    </row>
    <row r="76" spans="2:5" x14ac:dyDescent="0.3">
      <c r="B76" s="2">
        <v>2</v>
      </c>
      <c r="C76" s="3" t="s">
        <v>47</v>
      </c>
      <c r="D76" s="4" t="s">
        <v>48</v>
      </c>
      <c r="E76" s="22" t="s">
        <v>241</v>
      </c>
    </row>
    <row r="77" spans="2:5" x14ac:dyDescent="0.3">
      <c r="B77" s="2">
        <v>2</v>
      </c>
      <c r="C77" s="3" t="s">
        <v>49</v>
      </c>
      <c r="D77" s="4" t="s">
        <v>96</v>
      </c>
      <c r="E77" s="22" t="s">
        <v>232</v>
      </c>
    </row>
    <row r="78" spans="2:5" x14ac:dyDescent="0.3">
      <c r="B78" s="2">
        <v>2</v>
      </c>
      <c r="C78" s="3" t="s">
        <v>51</v>
      </c>
      <c r="D78" s="4" t="s">
        <v>52</v>
      </c>
      <c r="E78" s="22" t="s">
        <v>232</v>
      </c>
    </row>
    <row r="79" spans="2:5" x14ac:dyDescent="0.3">
      <c r="B79" s="2">
        <v>2</v>
      </c>
      <c r="C79" s="3" t="s">
        <v>53</v>
      </c>
      <c r="D79" s="4" t="s">
        <v>54</v>
      </c>
      <c r="E79" s="22" t="s">
        <v>232</v>
      </c>
    </row>
    <row r="80" spans="2:5" x14ac:dyDescent="0.3">
      <c r="B80" s="2">
        <v>2</v>
      </c>
      <c r="C80" s="3" t="s">
        <v>64</v>
      </c>
      <c r="D80" s="4" t="s">
        <v>65</v>
      </c>
      <c r="E80" s="22" t="s">
        <v>232</v>
      </c>
    </row>
    <row r="81" spans="2:5" x14ac:dyDescent="0.3">
      <c r="B81" s="2">
        <v>2</v>
      </c>
      <c r="C81" s="3" t="s">
        <v>66</v>
      </c>
      <c r="D81" s="4" t="s">
        <v>67</v>
      </c>
      <c r="E81" s="22" t="s">
        <v>232</v>
      </c>
    </row>
    <row r="82" spans="2:5" x14ac:dyDescent="0.3">
      <c r="B82" s="2">
        <v>2</v>
      </c>
      <c r="C82" s="3" t="s">
        <v>74</v>
      </c>
      <c r="D82" s="4" t="s">
        <v>77</v>
      </c>
      <c r="E82" s="22" t="s">
        <v>232</v>
      </c>
    </row>
    <row r="83" spans="2:5" x14ac:dyDescent="0.3">
      <c r="B83" s="2">
        <v>2</v>
      </c>
      <c r="C83" s="3" t="s">
        <v>85</v>
      </c>
      <c r="D83" s="4" t="s">
        <v>86</v>
      </c>
      <c r="E83" s="22" t="s">
        <v>232</v>
      </c>
    </row>
    <row r="84" spans="2:5" x14ac:dyDescent="0.3">
      <c r="B84" s="2">
        <v>2</v>
      </c>
      <c r="C84" s="3" t="s">
        <v>87</v>
      </c>
      <c r="D84" s="4" t="s">
        <v>97</v>
      </c>
      <c r="E84" s="22" t="s">
        <v>232</v>
      </c>
    </row>
    <row r="85" spans="2:5" x14ac:dyDescent="0.3">
      <c r="B85" s="2">
        <v>2</v>
      </c>
      <c r="C85" s="3" t="s">
        <v>80</v>
      </c>
      <c r="D85" s="4" t="s">
        <v>81</v>
      </c>
      <c r="E85" s="22" t="s">
        <v>232</v>
      </c>
    </row>
    <row r="86" spans="2:5" x14ac:dyDescent="0.3">
      <c r="B86" s="2">
        <v>2</v>
      </c>
      <c r="C86" s="3" t="s">
        <v>82</v>
      </c>
      <c r="D86" s="4" t="s">
        <v>83</v>
      </c>
      <c r="E86" s="22" t="s">
        <v>241</v>
      </c>
    </row>
    <row r="87" spans="2:5" x14ac:dyDescent="0.3">
      <c r="B87" s="2">
        <v>2</v>
      </c>
      <c r="C87" s="3" t="s">
        <v>61</v>
      </c>
      <c r="D87" s="4" t="s">
        <v>34</v>
      </c>
      <c r="E87" s="22" t="s">
        <v>232</v>
      </c>
    </row>
    <row r="88" spans="2:5" x14ac:dyDescent="0.3">
      <c r="B88" s="2">
        <v>2</v>
      </c>
      <c r="C88" s="3" t="s">
        <v>57</v>
      </c>
      <c r="D88" s="4" t="s">
        <v>16</v>
      </c>
      <c r="E88" s="22" t="s">
        <v>232</v>
      </c>
    </row>
    <row r="89" spans="2:5" x14ac:dyDescent="0.3">
      <c r="B89" s="2">
        <v>2</v>
      </c>
      <c r="C89" s="3" t="s">
        <v>60</v>
      </c>
      <c r="D89" s="4" t="s">
        <v>28</v>
      </c>
      <c r="E89" s="22" t="s">
        <v>232</v>
      </c>
    </row>
    <row r="90" spans="2:5" x14ac:dyDescent="0.3">
      <c r="B90" s="2">
        <v>2</v>
      </c>
      <c r="C90" s="3" t="s">
        <v>74</v>
      </c>
      <c r="D90" s="4" t="s">
        <v>75</v>
      </c>
      <c r="E90" s="22" t="s">
        <v>232</v>
      </c>
    </row>
    <row r="91" spans="2:5" x14ac:dyDescent="0.3">
      <c r="B91" s="2">
        <v>2</v>
      </c>
      <c r="C91" s="3" t="s">
        <v>62</v>
      </c>
      <c r="D91" s="4" t="s">
        <v>63</v>
      </c>
      <c r="E91" s="22" t="s">
        <v>241</v>
      </c>
    </row>
    <row r="92" spans="2:5" x14ac:dyDescent="0.3">
      <c r="B92" s="2">
        <v>2</v>
      </c>
      <c r="C92" s="3" t="s">
        <v>68</v>
      </c>
      <c r="D92" s="4" t="s">
        <v>69</v>
      </c>
      <c r="E92" s="22" t="s">
        <v>232</v>
      </c>
    </row>
    <row r="93" spans="2:5" x14ac:dyDescent="0.3">
      <c r="B93" s="2">
        <v>2</v>
      </c>
      <c r="C93" s="3" t="s">
        <v>70</v>
      </c>
      <c r="D93" s="4" t="s">
        <v>71</v>
      </c>
      <c r="E93" s="22" t="s">
        <v>232</v>
      </c>
    </row>
    <row r="94" spans="2:5" x14ac:dyDescent="0.3">
      <c r="B94" s="2">
        <v>2</v>
      </c>
      <c r="C94" s="3" t="s">
        <v>72</v>
      </c>
      <c r="D94" s="4" t="s">
        <v>73</v>
      </c>
      <c r="E94" s="22" t="s">
        <v>232</v>
      </c>
    </row>
    <row r="95" spans="2:5" x14ac:dyDescent="0.3">
      <c r="B95" s="2">
        <v>2</v>
      </c>
      <c r="C95" s="3" t="s">
        <v>76</v>
      </c>
      <c r="D95" s="4" t="s">
        <v>77</v>
      </c>
      <c r="E95" s="22" t="s">
        <v>232</v>
      </c>
    </row>
    <row r="96" spans="2:5" x14ac:dyDescent="0.3">
      <c r="B96" s="2">
        <v>2</v>
      </c>
      <c r="C96" s="3" t="s">
        <v>78</v>
      </c>
      <c r="D96" s="4" t="s">
        <v>79</v>
      </c>
      <c r="E96" s="22" t="s">
        <v>232</v>
      </c>
    </row>
    <row r="97" spans="2:5" x14ac:dyDescent="0.3">
      <c r="B97" s="2">
        <v>2</v>
      </c>
      <c r="C97" s="3" t="s">
        <v>84</v>
      </c>
      <c r="D97" s="4" t="s">
        <v>59</v>
      </c>
      <c r="E97" s="22" t="s">
        <v>232</v>
      </c>
    </row>
    <row r="98" spans="2:5" x14ac:dyDescent="0.3">
      <c r="B98" s="2">
        <v>2</v>
      </c>
      <c r="C98" s="3" t="s">
        <v>98</v>
      </c>
      <c r="D98" s="4" t="s">
        <v>56</v>
      </c>
      <c r="E98" s="22" t="s">
        <v>232</v>
      </c>
    </row>
    <row r="99" spans="2:5" x14ac:dyDescent="0.3">
      <c r="B99" s="2">
        <v>2</v>
      </c>
      <c r="C99" s="3" t="s">
        <v>99</v>
      </c>
      <c r="D99" s="4" t="s">
        <v>42</v>
      </c>
      <c r="E99" s="22" t="s">
        <v>232</v>
      </c>
    </row>
    <row r="100" spans="2:5" x14ac:dyDescent="0.3">
      <c r="B100" s="2">
        <v>2</v>
      </c>
      <c r="C100" s="3" t="s">
        <v>61</v>
      </c>
      <c r="D100" s="4" t="s">
        <v>100</v>
      </c>
      <c r="E100" s="22" t="s">
        <v>232</v>
      </c>
    </row>
    <row r="101" spans="2:5" x14ac:dyDescent="0.3">
      <c r="B101" s="2">
        <v>2</v>
      </c>
      <c r="C101" s="4" t="s">
        <v>76</v>
      </c>
      <c r="D101" s="4" t="s">
        <v>101</v>
      </c>
      <c r="E101" s="22" t="s">
        <v>241</v>
      </c>
    </row>
    <row r="102" spans="2:5" x14ac:dyDescent="0.3">
      <c r="B102" s="2">
        <v>2</v>
      </c>
      <c r="C102" s="3" t="s">
        <v>99</v>
      </c>
      <c r="D102" s="4" t="s">
        <v>102</v>
      </c>
      <c r="E102" s="22" t="s">
        <v>232</v>
      </c>
    </row>
    <row r="103" spans="2:5" x14ac:dyDescent="0.3">
      <c r="B103" s="2">
        <v>2</v>
      </c>
      <c r="C103" s="3" t="s">
        <v>103</v>
      </c>
      <c r="D103" s="4" t="s">
        <v>94</v>
      </c>
      <c r="E103" s="22" t="s">
        <v>232</v>
      </c>
    </row>
    <row r="104" spans="2:5" x14ac:dyDescent="0.3">
      <c r="B104" s="2">
        <v>3</v>
      </c>
      <c r="C104" s="3" t="s">
        <v>5</v>
      </c>
      <c r="D104" s="4" t="s">
        <v>6</v>
      </c>
      <c r="E104" s="22" t="s">
        <v>232</v>
      </c>
    </row>
    <row r="105" spans="2:5" x14ac:dyDescent="0.3">
      <c r="B105" s="2">
        <v>3</v>
      </c>
      <c r="C105" s="3" t="s">
        <v>5</v>
      </c>
      <c r="D105" s="4" t="s">
        <v>42</v>
      </c>
      <c r="E105" s="22" t="s">
        <v>232</v>
      </c>
    </row>
    <row r="106" spans="2:5" x14ac:dyDescent="0.3">
      <c r="B106" s="2">
        <v>3</v>
      </c>
      <c r="C106" s="3" t="s">
        <v>9</v>
      </c>
      <c r="D106" s="4" t="s">
        <v>10</v>
      </c>
      <c r="E106" s="22" t="s">
        <v>241</v>
      </c>
    </row>
    <row r="107" spans="2:5" x14ac:dyDescent="0.3">
      <c r="B107" s="2">
        <v>3</v>
      </c>
      <c r="C107" s="3" t="s">
        <v>9</v>
      </c>
      <c r="D107" s="4" t="s">
        <v>10</v>
      </c>
      <c r="E107" s="22" t="s">
        <v>232</v>
      </c>
    </row>
    <row r="108" spans="2:5" x14ac:dyDescent="0.3">
      <c r="B108" s="2">
        <v>3</v>
      </c>
      <c r="C108" s="3" t="s">
        <v>11</v>
      </c>
      <c r="D108" s="4" t="s">
        <v>12</v>
      </c>
      <c r="E108" s="22" t="s">
        <v>232</v>
      </c>
    </row>
    <row r="109" spans="2:5" x14ac:dyDescent="0.3">
      <c r="B109" s="2">
        <v>3</v>
      </c>
      <c r="C109" s="3" t="s">
        <v>13</v>
      </c>
      <c r="D109" s="4" t="s">
        <v>14</v>
      </c>
      <c r="E109" s="22" t="s">
        <v>232</v>
      </c>
    </row>
    <row r="110" spans="2:5" x14ac:dyDescent="0.3">
      <c r="B110" s="2">
        <v>3</v>
      </c>
      <c r="C110" s="3" t="s">
        <v>88</v>
      </c>
      <c r="D110" s="4" t="s">
        <v>46</v>
      </c>
      <c r="E110" s="22" t="s">
        <v>241</v>
      </c>
    </row>
    <row r="111" spans="2:5" x14ac:dyDescent="0.3">
      <c r="B111" s="2">
        <v>3</v>
      </c>
      <c r="C111" s="3" t="s">
        <v>89</v>
      </c>
      <c r="D111" s="4" t="s">
        <v>4</v>
      </c>
      <c r="E111" s="22" t="s">
        <v>232</v>
      </c>
    </row>
    <row r="112" spans="2:5" x14ac:dyDescent="0.3">
      <c r="B112" s="2">
        <v>3</v>
      </c>
      <c r="C112" s="3" t="s">
        <v>90</v>
      </c>
      <c r="D112" s="4" t="s">
        <v>16</v>
      </c>
      <c r="E112" s="22" t="s">
        <v>232</v>
      </c>
    </row>
    <row r="113" spans="2:5" x14ac:dyDescent="0.3">
      <c r="B113" s="2">
        <v>3</v>
      </c>
      <c r="C113" s="3" t="s">
        <v>91</v>
      </c>
      <c r="D113" s="4" t="s">
        <v>50</v>
      </c>
      <c r="E113" s="22" t="s">
        <v>232</v>
      </c>
    </row>
    <row r="114" spans="2:5" x14ac:dyDescent="0.3">
      <c r="B114" s="2">
        <v>3</v>
      </c>
      <c r="C114" s="3" t="s">
        <v>91</v>
      </c>
      <c r="D114" s="4" t="s">
        <v>97</v>
      </c>
      <c r="E114" s="22" t="s">
        <v>232</v>
      </c>
    </row>
    <row r="115" spans="2:5" x14ac:dyDescent="0.3">
      <c r="B115" s="2">
        <v>3</v>
      </c>
      <c r="C115" s="3" t="s">
        <v>92</v>
      </c>
      <c r="D115" s="4" t="s">
        <v>30</v>
      </c>
      <c r="E115" s="22" t="s">
        <v>232</v>
      </c>
    </row>
    <row r="116" spans="2:5" x14ac:dyDescent="0.3">
      <c r="B116" s="2">
        <v>3</v>
      </c>
      <c r="C116" s="3" t="s">
        <v>15</v>
      </c>
      <c r="D116" s="4" t="s">
        <v>93</v>
      </c>
      <c r="E116" s="22" t="s">
        <v>232</v>
      </c>
    </row>
    <row r="117" spans="2:5" x14ac:dyDescent="0.3">
      <c r="B117" s="2">
        <v>3</v>
      </c>
      <c r="C117" s="3" t="s">
        <v>17</v>
      </c>
      <c r="D117" s="4" t="s">
        <v>18</v>
      </c>
      <c r="E117" s="22" t="s">
        <v>232</v>
      </c>
    </row>
    <row r="118" spans="2:5" x14ac:dyDescent="0.3">
      <c r="B118" s="2">
        <v>3</v>
      </c>
      <c r="C118" s="3" t="s">
        <v>19</v>
      </c>
      <c r="D118" s="4" t="s">
        <v>20</v>
      </c>
      <c r="E118" s="22" t="s">
        <v>232</v>
      </c>
    </row>
    <row r="119" spans="2:5" x14ac:dyDescent="0.3">
      <c r="B119" s="2">
        <v>3</v>
      </c>
      <c r="C119" s="3" t="s">
        <v>21</v>
      </c>
      <c r="D119" s="4" t="s">
        <v>22</v>
      </c>
      <c r="E119" s="22" t="s">
        <v>232</v>
      </c>
    </row>
    <row r="120" spans="2:5" x14ac:dyDescent="0.3">
      <c r="B120" s="2">
        <v>3</v>
      </c>
      <c r="C120" s="3" t="s">
        <v>23</v>
      </c>
      <c r="D120" s="4" t="s">
        <v>24</v>
      </c>
      <c r="E120" s="22" t="s">
        <v>232</v>
      </c>
    </row>
    <row r="121" spans="2:5" x14ac:dyDescent="0.3">
      <c r="B121" s="2">
        <v>3</v>
      </c>
      <c r="C121" s="3" t="s">
        <v>23</v>
      </c>
      <c r="D121" s="4" t="s">
        <v>22</v>
      </c>
      <c r="E121" s="22" t="s">
        <v>232</v>
      </c>
    </row>
    <row r="122" spans="2:5" x14ac:dyDescent="0.3">
      <c r="B122" s="2">
        <v>3</v>
      </c>
      <c r="C122" s="3" t="s">
        <v>25</v>
      </c>
      <c r="D122" s="4" t="s">
        <v>26</v>
      </c>
      <c r="E122" s="22" t="s">
        <v>232</v>
      </c>
    </row>
    <row r="123" spans="2:5" x14ac:dyDescent="0.3">
      <c r="B123" s="2">
        <v>3</v>
      </c>
      <c r="C123" s="3" t="s">
        <v>25</v>
      </c>
      <c r="D123" s="4" t="s">
        <v>67</v>
      </c>
      <c r="E123" s="22" t="s">
        <v>232</v>
      </c>
    </row>
    <row r="124" spans="2:5" x14ac:dyDescent="0.3">
      <c r="B124" s="2">
        <v>3</v>
      </c>
      <c r="C124" s="3" t="s">
        <v>27</v>
      </c>
      <c r="D124" s="4" t="s">
        <v>28</v>
      </c>
      <c r="E124" s="22" t="s">
        <v>232</v>
      </c>
    </row>
    <row r="125" spans="2:5" x14ac:dyDescent="0.3">
      <c r="B125" s="2">
        <v>3</v>
      </c>
      <c r="C125" s="3" t="s">
        <v>29</v>
      </c>
      <c r="D125" s="4" t="s">
        <v>95</v>
      </c>
      <c r="E125" s="22" t="s">
        <v>232</v>
      </c>
    </row>
    <row r="126" spans="2:5" x14ac:dyDescent="0.3">
      <c r="B126" s="2">
        <v>3</v>
      </c>
      <c r="C126" s="3" t="s">
        <v>31</v>
      </c>
      <c r="D126" s="4" t="s">
        <v>32</v>
      </c>
      <c r="E126" s="22" t="s">
        <v>241</v>
      </c>
    </row>
    <row r="127" spans="2:5" x14ac:dyDescent="0.3">
      <c r="B127" s="2">
        <v>3</v>
      </c>
      <c r="C127" s="3" t="s">
        <v>33</v>
      </c>
      <c r="D127" s="4" t="s">
        <v>34</v>
      </c>
      <c r="E127" s="22" t="s">
        <v>232</v>
      </c>
    </row>
    <row r="128" spans="2:5" x14ac:dyDescent="0.3">
      <c r="B128" s="2">
        <v>3</v>
      </c>
      <c r="C128" s="3" t="s">
        <v>33</v>
      </c>
      <c r="D128" s="4" t="s">
        <v>56</v>
      </c>
      <c r="E128" s="22" t="s">
        <v>232</v>
      </c>
    </row>
    <row r="129" spans="2:5" x14ac:dyDescent="0.3">
      <c r="B129" s="2">
        <v>3</v>
      </c>
      <c r="C129" s="3" t="s">
        <v>35</v>
      </c>
      <c r="D129" s="4" t="s">
        <v>36</v>
      </c>
      <c r="E129" s="22" t="s">
        <v>232</v>
      </c>
    </row>
    <row r="130" spans="2:5" x14ac:dyDescent="0.3">
      <c r="B130" s="2">
        <v>3</v>
      </c>
      <c r="C130" s="3" t="s">
        <v>37</v>
      </c>
      <c r="D130" s="4" t="s">
        <v>38</v>
      </c>
      <c r="E130" s="22" t="s">
        <v>232</v>
      </c>
    </row>
    <row r="131" spans="2:5" x14ac:dyDescent="0.3">
      <c r="B131" s="2">
        <v>3</v>
      </c>
      <c r="C131" s="3" t="s">
        <v>39</v>
      </c>
      <c r="D131" s="4" t="s">
        <v>40</v>
      </c>
      <c r="E131" s="22" t="s">
        <v>232</v>
      </c>
    </row>
    <row r="132" spans="2:5" x14ac:dyDescent="0.3">
      <c r="B132" s="2">
        <v>3</v>
      </c>
      <c r="C132" s="3" t="s">
        <v>43</v>
      </c>
      <c r="D132" s="4" t="s">
        <v>44</v>
      </c>
      <c r="E132" s="22" t="s">
        <v>241</v>
      </c>
    </row>
    <row r="133" spans="2:5" x14ac:dyDescent="0.3">
      <c r="B133" s="2">
        <v>3</v>
      </c>
      <c r="C133" s="3" t="s">
        <v>47</v>
      </c>
      <c r="D133" s="4" t="s">
        <v>48</v>
      </c>
      <c r="E133" s="22" t="s">
        <v>232</v>
      </c>
    </row>
    <row r="134" spans="2:5" x14ac:dyDescent="0.3">
      <c r="B134" s="2">
        <v>3</v>
      </c>
      <c r="C134" s="3" t="s">
        <v>49</v>
      </c>
      <c r="D134" s="4" t="s">
        <v>96</v>
      </c>
      <c r="E134" s="22" t="s">
        <v>232</v>
      </c>
    </row>
    <row r="135" spans="2:5" x14ac:dyDescent="0.3">
      <c r="B135" s="2">
        <v>3</v>
      </c>
      <c r="C135" s="3" t="s">
        <v>49</v>
      </c>
      <c r="D135" s="4" t="s">
        <v>104</v>
      </c>
      <c r="E135" s="22" t="s">
        <v>232</v>
      </c>
    </row>
    <row r="136" spans="2:5" x14ac:dyDescent="0.3">
      <c r="B136" s="2">
        <v>3</v>
      </c>
      <c r="C136" s="3" t="s">
        <v>51</v>
      </c>
      <c r="D136" s="4" t="s">
        <v>52</v>
      </c>
      <c r="E136" s="22" t="s">
        <v>232</v>
      </c>
    </row>
    <row r="137" spans="2:5" x14ac:dyDescent="0.3">
      <c r="B137" s="2">
        <v>3</v>
      </c>
      <c r="C137" s="3" t="s">
        <v>53</v>
      </c>
      <c r="D137" s="4" t="s">
        <v>54</v>
      </c>
      <c r="E137" s="20" t="s">
        <v>291</v>
      </c>
    </row>
    <row r="138" spans="2:5" x14ac:dyDescent="0.3">
      <c r="B138" s="2">
        <v>3</v>
      </c>
      <c r="C138" s="3" t="s">
        <v>64</v>
      </c>
      <c r="D138" s="4" t="s">
        <v>65</v>
      </c>
      <c r="E138" s="22" t="s">
        <v>232</v>
      </c>
    </row>
    <row r="139" spans="2:5" x14ac:dyDescent="0.3">
      <c r="B139" s="2">
        <v>3</v>
      </c>
      <c r="C139" s="3" t="s">
        <v>66</v>
      </c>
      <c r="D139" s="4" t="s">
        <v>67</v>
      </c>
      <c r="E139" s="22" t="s">
        <v>232</v>
      </c>
    </row>
    <row r="140" spans="2:5" x14ac:dyDescent="0.3">
      <c r="B140" s="2">
        <v>3</v>
      </c>
      <c r="C140" s="3" t="s">
        <v>74</v>
      </c>
      <c r="D140" s="4" t="s">
        <v>77</v>
      </c>
      <c r="E140" s="22" t="s">
        <v>232</v>
      </c>
    </row>
    <row r="141" spans="2:5" x14ac:dyDescent="0.3">
      <c r="B141" s="2">
        <v>3</v>
      </c>
      <c r="C141" s="3" t="s">
        <v>74</v>
      </c>
      <c r="D141" s="4" t="s">
        <v>75</v>
      </c>
      <c r="E141" s="22" t="s">
        <v>232</v>
      </c>
    </row>
    <row r="142" spans="2:5" x14ac:dyDescent="0.3">
      <c r="B142" s="2">
        <v>3</v>
      </c>
      <c r="C142" s="3" t="s">
        <v>85</v>
      </c>
      <c r="D142" s="4" t="s">
        <v>86</v>
      </c>
      <c r="E142" s="22" t="s">
        <v>241</v>
      </c>
    </row>
    <row r="143" spans="2:5" x14ac:dyDescent="0.3">
      <c r="B143" s="2">
        <v>3</v>
      </c>
      <c r="C143" s="3" t="s">
        <v>87</v>
      </c>
      <c r="D143" s="4" t="s">
        <v>97</v>
      </c>
      <c r="E143" s="22" t="s">
        <v>232</v>
      </c>
    </row>
    <row r="144" spans="2:5" x14ac:dyDescent="0.3">
      <c r="B144" s="2">
        <v>3</v>
      </c>
      <c r="C144" s="3" t="s">
        <v>87</v>
      </c>
      <c r="D144" s="4" t="s">
        <v>83</v>
      </c>
      <c r="E144" s="22" t="s">
        <v>232</v>
      </c>
    </row>
    <row r="145" spans="2:5" x14ac:dyDescent="0.3">
      <c r="B145" s="2">
        <v>3</v>
      </c>
      <c r="C145" s="3" t="s">
        <v>80</v>
      </c>
      <c r="D145" s="4" t="s">
        <v>81</v>
      </c>
      <c r="E145" s="22" t="s">
        <v>232</v>
      </c>
    </row>
    <row r="146" spans="2:5" x14ac:dyDescent="0.3">
      <c r="B146" s="2">
        <v>3</v>
      </c>
      <c r="C146" s="3" t="s">
        <v>61</v>
      </c>
      <c r="D146" s="4" t="s">
        <v>34</v>
      </c>
      <c r="E146" s="22" t="s">
        <v>232</v>
      </c>
    </row>
    <row r="147" spans="2:5" x14ac:dyDescent="0.3">
      <c r="B147" s="2">
        <v>3</v>
      </c>
      <c r="C147" s="3" t="s">
        <v>57</v>
      </c>
      <c r="D147" s="4" t="s">
        <v>16</v>
      </c>
      <c r="E147" s="22" t="s">
        <v>241</v>
      </c>
    </row>
    <row r="148" spans="2:5" x14ac:dyDescent="0.3">
      <c r="B148" s="2">
        <v>3</v>
      </c>
      <c r="C148" s="3" t="s">
        <v>60</v>
      </c>
      <c r="D148" s="4" t="s">
        <v>28</v>
      </c>
      <c r="E148" s="22" t="s">
        <v>232</v>
      </c>
    </row>
    <row r="149" spans="2:5" x14ac:dyDescent="0.3">
      <c r="B149" s="2">
        <v>3</v>
      </c>
      <c r="C149" s="3" t="s">
        <v>62</v>
      </c>
      <c r="D149" s="4" t="s">
        <v>63</v>
      </c>
      <c r="E149" s="22" t="s">
        <v>241</v>
      </c>
    </row>
    <row r="150" spans="2:5" x14ac:dyDescent="0.3">
      <c r="B150" s="2">
        <v>3</v>
      </c>
      <c r="C150" s="3" t="s">
        <v>68</v>
      </c>
      <c r="D150" s="4" t="s">
        <v>69</v>
      </c>
      <c r="E150" s="22" t="s">
        <v>232</v>
      </c>
    </row>
    <row r="151" spans="2:5" x14ac:dyDescent="0.3">
      <c r="B151" s="2">
        <v>3</v>
      </c>
      <c r="C151" s="3" t="s">
        <v>70</v>
      </c>
      <c r="D151" s="4" t="s">
        <v>71</v>
      </c>
      <c r="E151" s="22" t="s">
        <v>232</v>
      </c>
    </row>
    <row r="152" spans="2:5" x14ac:dyDescent="0.3">
      <c r="B152" s="2">
        <v>3</v>
      </c>
      <c r="C152" s="3" t="s">
        <v>72</v>
      </c>
      <c r="D152" s="4" t="s">
        <v>73</v>
      </c>
      <c r="E152" s="22" t="s">
        <v>232</v>
      </c>
    </row>
    <row r="153" spans="2:5" x14ac:dyDescent="0.3">
      <c r="B153" s="2">
        <v>3</v>
      </c>
      <c r="C153" s="3" t="s">
        <v>78</v>
      </c>
      <c r="D153" s="4" t="s">
        <v>79</v>
      </c>
      <c r="E153" s="22" t="s">
        <v>232</v>
      </c>
    </row>
    <row r="154" spans="2:5" x14ac:dyDescent="0.3">
      <c r="B154" s="2">
        <v>3</v>
      </c>
      <c r="C154" s="3" t="s">
        <v>84</v>
      </c>
      <c r="D154" s="4" t="s">
        <v>59</v>
      </c>
      <c r="E154" s="20" t="s">
        <v>291</v>
      </c>
    </row>
    <row r="155" spans="2:5" x14ac:dyDescent="0.3">
      <c r="B155" s="2">
        <v>3</v>
      </c>
      <c r="C155" s="3" t="s">
        <v>98</v>
      </c>
      <c r="D155" s="4" t="s">
        <v>56</v>
      </c>
      <c r="E155" s="22" t="s">
        <v>232</v>
      </c>
    </row>
    <row r="156" spans="2:5" x14ac:dyDescent="0.3">
      <c r="B156" s="2">
        <v>3</v>
      </c>
      <c r="C156" s="3" t="s">
        <v>98</v>
      </c>
      <c r="D156" s="4" t="s">
        <v>42</v>
      </c>
      <c r="E156" s="22" t="s">
        <v>232</v>
      </c>
    </row>
    <row r="157" spans="2:5" x14ac:dyDescent="0.3">
      <c r="B157" s="2">
        <v>3</v>
      </c>
      <c r="C157" s="3" t="s">
        <v>105</v>
      </c>
      <c r="D157" s="4" t="s">
        <v>106</v>
      </c>
      <c r="E157" s="22" t="s">
        <v>232</v>
      </c>
    </row>
    <row r="158" spans="2:5" x14ac:dyDescent="0.3">
      <c r="B158" s="2">
        <v>3</v>
      </c>
      <c r="C158" s="3" t="s">
        <v>107</v>
      </c>
      <c r="D158" s="4" t="s">
        <v>50</v>
      </c>
      <c r="E158" s="22" t="s">
        <v>232</v>
      </c>
    </row>
    <row r="159" spans="2:5" x14ac:dyDescent="0.3">
      <c r="B159" s="2">
        <v>3</v>
      </c>
      <c r="C159" s="3" t="s">
        <v>108</v>
      </c>
      <c r="D159" s="4" t="s">
        <v>75</v>
      </c>
      <c r="E159" s="22" t="s">
        <v>241</v>
      </c>
    </row>
    <row r="160" spans="2:5" x14ac:dyDescent="0.3">
      <c r="B160" s="2">
        <v>3</v>
      </c>
      <c r="C160" s="3" t="s">
        <v>109</v>
      </c>
      <c r="D160" s="4" t="s">
        <v>93</v>
      </c>
      <c r="E160" s="22" t="s">
        <v>232</v>
      </c>
    </row>
    <row r="161" spans="2:5" x14ac:dyDescent="0.3">
      <c r="B161" s="2">
        <v>3</v>
      </c>
      <c r="C161" s="3" t="s">
        <v>110</v>
      </c>
      <c r="D161" s="4" t="s">
        <v>46</v>
      </c>
      <c r="E161" s="22" t="s">
        <v>232</v>
      </c>
    </row>
    <row r="162" spans="2:5" x14ac:dyDescent="0.3">
      <c r="B162" s="2">
        <v>4</v>
      </c>
      <c r="C162" s="5" t="s">
        <v>5</v>
      </c>
      <c r="D162" s="6" t="s">
        <v>6</v>
      </c>
      <c r="E162" s="22" t="s">
        <v>232</v>
      </c>
    </row>
    <row r="163" spans="2:5" x14ac:dyDescent="0.3">
      <c r="B163" s="2">
        <v>4</v>
      </c>
      <c r="C163" s="5" t="s">
        <v>5</v>
      </c>
      <c r="D163" s="6" t="s">
        <v>42</v>
      </c>
      <c r="E163" s="22" t="s">
        <v>241</v>
      </c>
    </row>
    <row r="164" spans="2:5" x14ac:dyDescent="0.3">
      <c r="B164" s="2">
        <v>4</v>
      </c>
      <c r="C164" s="5" t="s">
        <v>13</v>
      </c>
      <c r="D164" s="6" t="s">
        <v>14</v>
      </c>
      <c r="E164" s="22" t="s">
        <v>232</v>
      </c>
    </row>
    <row r="165" spans="2:5" x14ac:dyDescent="0.3">
      <c r="B165" s="2">
        <v>4</v>
      </c>
      <c r="C165" s="5" t="s">
        <v>89</v>
      </c>
      <c r="D165" s="6" t="s">
        <v>4</v>
      </c>
      <c r="E165" s="22" t="s">
        <v>241</v>
      </c>
    </row>
    <row r="166" spans="2:5" x14ac:dyDescent="0.3">
      <c r="B166" s="2">
        <v>4</v>
      </c>
      <c r="C166" s="5" t="s">
        <v>90</v>
      </c>
      <c r="D166" s="6" t="s">
        <v>16</v>
      </c>
      <c r="E166" s="22" t="s">
        <v>232</v>
      </c>
    </row>
    <row r="167" spans="2:5" x14ac:dyDescent="0.3">
      <c r="B167" s="2">
        <v>4</v>
      </c>
      <c r="C167" s="5" t="s">
        <v>91</v>
      </c>
      <c r="D167" s="6" t="s">
        <v>97</v>
      </c>
      <c r="E167" s="22" t="s">
        <v>232</v>
      </c>
    </row>
    <row r="168" spans="2:5" x14ac:dyDescent="0.3">
      <c r="B168" s="2">
        <v>4</v>
      </c>
      <c r="C168" s="5" t="s">
        <v>92</v>
      </c>
      <c r="D168" s="6" t="s">
        <v>30</v>
      </c>
      <c r="E168" s="22" t="s">
        <v>232</v>
      </c>
    </row>
    <row r="169" spans="2:5" x14ac:dyDescent="0.3">
      <c r="B169" s="2">
        <v>4</v>
      </c>
      <c r="C169" s="5" t="s">
        <v>17</v>
      </c>
      <c r="D169" s="6" t="s">
        <v>18</v>
      </c>
      <c r="E169" s="22" t="s">
        <v>232</v>
      </c>
    </row>
    <row r="170" spans="2:5" x14ac:dyDescent="0.3">
      <c r="B170" s="2">
        <v>4</v>
      </c>
      <c r="C170" s="5" t="s">
        <v>19</v>
      </c>
      <c r="D170" s="6" t="s">
        <v>20</v>
      </c>
      <c r="E170" s="20" t="s">
        <v>291</v>
      </c>
    </row>
    <row r="171" spans="2:5" x14ac:dyDescent="0.3">
      <c r="B171" s="2">
        <v>4</v>
      </c>
      <c r="C171" s="5" t="s">
        <v>21</v>
      </c>
      <c r="D171" s="6" t="s">
        <v>22</v>
      </c>
      <c r="E171" s="22" t="s">
        <v>232</v>
      </c>
    </row>
    <row r="172" spans="2:5" x14ac:dyDescent="0.3">
      <c r="B172" s="2">
        <v>4</v>
      </c>
      <c r="C172" s="5" t="s">
        <v>23</v>
      </c>
      <c r="D172" s="6" t="s">
        <v>24</v>
      </c>
      <c r="E172" s="22" t="s">
        <v>232</v>
      </c>
    </row>
    <row r="173" spans="2:5" x14ac:dyDescent="0.3">
      <c r="B173" s="2">
        <v>4</v>
      </c>
      <c r="C173" s="5" t="s">
        <v>23</v>
      </c>
      <c r="D173" s="6" t="s">
        <v>22</v>
      </c>
      <c r="E173" s="22" t="s">
        <v>232</v>
      </c>
    </row>
    <row r="174" spans="2:5" x14ac:dyDescent="0.3">
      <c r="B174" s="2">
        <v>4</v>
      </c>
      <c r="C174" s="5" t="s">
        <v>25</v>
      </c>
      <c r="D174" s="6" t="s">
        <v>26</v>
      </c>
      <c r="E174" s="22" t="s">
        <v>232</v>
      </c>
    </row>
    <row r="175" spans="2:5" x14ac:dyDescent="0.3">
      <c r="B175" s="2">
        <v>4</v>
      </c>
      <c r="C175" s="5" t="s">
        <v>25</v>
      </c>
      <c r="D175" s="6" t="s">
        <v>67</v>
      </c>
      <c r="E175" s="22" t="s">
        <v>232</v>
      </c>
    </row>
    <row r="176" spans="2:5" x14ac:dyDescent="0.3">
      <c r="B176" s="2">
        <v>4</v>
      </c>
      <c r="C176" s="5" t="s">
        <v>27</v>
      </c>
      <c r="D176" s="6" t="s">
        <v>28</v>
      </c>
      <c r="E176" s="22" t="s">
        <v>241</v>
      </c>
    </row>
    <row r="177" spans="2:5" x14ac:dyDescent="0.3">
      <c r="B177" s="2">
        <v>4</v>
      </c>
      <c r="C177" s="5" t="s">
        <v>29</v>
      </c>
      <c r="D177" s="6" t="s">
        <v>95</v>
      </c>
      <c r="E177" s="22" t="s">
        <v>232</v>
      </c>
    </row>
    <row r="178" spans="2:5" x14ac:dyDescent="0.3">
      <c r="B178" s="2">
        <v>4</v>
      </c>
      <c r="C178" s="5" t="s">
        <v>31</v>
      </c>
      <c r="D178" s="6" t="s">
        <v>32</v>
      </c>
      <c r="E178" s="22" t="s">
        <v>232</v>
      </c>
    </row>
    <row r="179" spans="2:5" x14ac:dyDescent="0.3">
      <c r="B179" s="2">
        <v>4</v>
      </c>
      <c r="C179" s="5" t="s">
        <v>33</v>
      </c>
      <c r="D179" s="6" t="s">
        <v>34</v>
      </c>
      <c r="E179" s="22" t="s">
        <v>232</v>
      </c>
    </row>
    <row r="180" spans="2:5" x14ac:dyDescent="0.3">
      <c r="B180" s="2">
        <v>4</v>
      </c>
      <c r="C180" s="5" t="s">
        <v>33</v>
      </c>
      <c r="D180" s="6" t="s">
        <v>56</v>
      </c>
      <c r="E180" s="22" t="s">
        <v>232</v>
      </c>
    </row>
    <row r="181" spans="2:5" x14ac:dyDescent="0.3">
      <c r="B181" s="2">
        <v>4</v>
      </c>
      <c r="C181" s="5" t="s">
        <v>35</v>
      </c>
      <c r="D181" s="6" t="s">
        <v>36</v>
      </c>
      <c r="E181" s="22" t="s">
        <v>232</v>
      </c>
    </row>
    <row r="182" spans="2:5" x14ac:dyDescent="0.3">
      <c r="B182" s="2">
        <v>4</v>
      </c>
      <c r="C182" s="5" t="s">
        <v>37</v>
      </c>
      <c r="D182" s="6" t="s">
        <v>38</v>
      </c>
      <c r="E182" s="22" t="s">
        <v>232</v>
      </c>
    </row>
    <row r="183" spans="2:5" x14ac:dyDescent="0.3">
      <c r="B183" s="2">
        <v>4</v>
      </c>
      <c r="C183" s="5" t="s">
        <v>39</v>
      </c>
      <c r="D183" s="6" t="s">
        <v>40</v>
      </c>
      <c r="E183" s="22" t="s">
        <v>241</v>
      </c>
    </row>
    <row r="184" spans="2:5" x14ac:dyDescent="0.3">
      <c r="B184" s="2">
        <v>4</v>
      </c>
      <c r="C184" s="5" t="s">
        <v>43</v>
      </c>
      <c r="D184" s="6" t="s">
        <v>44</v>
      </c>
      <c r="E184" s="22" t="s">
        <v>232</v>
      </c>
    </row>
    <row r="185" spans="2:5" x14ac:dyDescent="0.3">
      <c r="B185" s="2">
        <v>4</v>
      </c>
      <c r="C185" s="5" t="s">
        <v>47</v>
      </c>
      <c r="D185" s="6" t="s">
        <v>48</v>
      </c>
      <c r="E185" s="22" t="s">
        <v>232</v>
      </c>
    </row>
    <row r="186" spans="2:5" x14ac:dyDescent="0.3">
      <c r="B186" s="2">
        <v>4</v>
      </c>
      <c r="C186" s="5" t="s">
        <v>49</v>
      </c>
      <c r="D186" s="6" t="s">
        <v>96</v>
      </c>
      <c r="E186" s="22" t="s">
        <v>232</v>
      </c>
    </row>
    <row r="187" spans="2:5" x14ac:dyDescent="0.3">
      <c r="B187" s="2">
        <v>4</v>
      </c>
      <c r="C187" s="5" t="s">
        <v>49</v>
      </c>
      <c r="D187" s="6" t="s">
        <v>104</v>
      </c>
      <c r="E187" s="20" t="s">
        <v>291</v>
      </c>
    </row>
    <row r="188" spans="2:5" x14ac:dyDescent="0.3">
      <c r="B188" s="2">
        <v>4</v>
      </c>
      <c r="C188" s="5" t="s">
        <v>51</v>
      </c>
      <c r="D188" s="6" t="s">
        <v>52</v>
      </c>
      <c r="E188" s="22" t="s">
        <v>232</v>
      </c>
    </row>
    <row r="189" spans="2:5" x14ac:dyDescent="0.3">
      <c r="B189" s="2">
        <v>4</v>
      </c>
      <c r="C189" s="5" t="s">
        <v>53</v>
      </c>
      <c r="D189" s="6" t="s">
        <v>54</v>
      </c>
      <c r="E189" s="22" t="s">
        <v>232</v>
      </c>
    </row>
    <row r="190" spans="2:5" x14ac:dyDescent="0.3">
      <c r="B190" s="2">
        <v>4</v>
      </c>
      <c r="C190" s="5" t="s">
        <v>64</v>
      </c>
      <c r="D190" s="6" t="s">
        <v>65</v>
      </c>
      <c r="E190" s="22" t="s">
        <v>232</v>
      </c>
    </row>
    <row r="191" spans="2:5" x14ac:dyDescent="0.3">
      <c r="B191" s="2">
        <v>4</v>
      </c>
      <c r="C191" s="5" t="s">
        <v>66</v>
      </c>
      <c r="D191" s="6" t="s">
        <v>67</v>
      </c>
      <c r="E191" s="22" t="s">
        <v>241</v>
      </c>
    </row>
    <row r="192" spans="2:5" x14ac:dyDescent="0.3">
      <c r="B192" s="2">
        <v>4</v>
      </c>
      <c r="C192" s="5" t="s">
        <v>74</v>
      </c>
      <c r="D192" s="6" t="s">
        <v>77</v>
      </c>
      <c r="E192" s="22" t="s">
        <v>232</v>
      </c>
    </row>
    <row r="193" spans="2:5" x14ac:dyDescent="0.3">
      <c r="B193" s="2">
        <v>4</v>
      </c>
      <c r="C193" s="5" t="s">
        <v>85</v>
      </c>
      <c r="D193" s="6" t="s">
        <v>86</v>
      </c>
      <c r="E193" s="22" t="s">
        <v>232</v>
      </c>
    </row>
    <row r="194" spans="2:5" x14ac:dyDescent="0.3">
      <c r="B194" s="2">
        <v>4</v>
      </c>
      <c r="C194" s="5" t="s">
        <v>87</v>
      </c>
      <c r="D194" s="6" t="s">
        <v>83</v>
      </c>
      <c r="E194" s="22" t="s">
        <v>241</v>
      </c>
    </row>
    <row r="195" spans="2:5" x14ac:dyDescent="0.3">
      <c r="B195" s="2">
        <v>4</v>
      </c>
      <c r="C195" s="5" t="s">
        <v>80</v>
      </c>
      <c r="D195" s="6" t="s">
        <v>81</v>
      </c>
      <c r="E195" s="22" t="s">
        <v>232</v>
      </c>
    </row>
    <row r="196" spans="2:5" x14ac:dyDescent="0.3">
      <c r="B196" s="2">
        <v>4</v>
      </c>
      <c r="C196" s="5" t="s">
        <v>111</v>
      </c>
      <c r="D196" s="6" t="s">
        <v>63</v>
      </c>
      <c r="E196" s="22" t="s">
        <v>232</v>
      </c>
    </row>
    <row r="197" spans="2:5" x14ac:dyDescent="0.3">
      <c r="B197" s="2">
        <v>4</v>
      </c>
      <c r="C197" s="5" t="s">
        <v>68</v>
      </c>
      <c r="D197" s="6" t="s">
        <v>69</v>
      </c>
      <c r="E197" s="22" t="s">
        <v>232</v>
      </c>
    </row>
    <row r="198" spans="2:5" x14ac:dyDescent="0.3">
      <c r="B198" s="2">
        <v>4</v>
      </c>
      <c r="C198" s="5" t="s">
        <v>70</v>
      </c>
      <c r="D198" s="6" t="s">
        <v>71</v>
      </c>
      <c r="E198" s="22" t="s">
        <v>232</v>
      </c>
    </row>
    <row r="199" spans="2:5" x14ac:dyDescent="0.3">
      <c r="B199" s="2">
        <v>4</v>
      </c>
      <c r="C199" s="5" t="s">
        <v>72</v>
      </c>
      <c r="D199" s="6" t="s">
        <v>73</v>
      </c>
      <c r="E199" s="22" t="s">
        <v>232</v>
      </c>
    </row>
    <row r="200" spans="2:5" x14ac:dyDescent="0.3">
      <c r="B200" s="2">
        <v>4</v>
      </c>
      <c r="C200" s="5" t="s">
        <v>78</v>
      </c>
      <c r="D200" s="6" t="s">
        <v>79</v>
      </c>
      <c r="E200" s="22" t="s">
        <v>232</v>
      </c>
    </row>
    <row r="201" spans="2:5" x14ac:dyDescent="0.3">
      <c r="B201" s="2">
        <v>4</v>
      </c>
      <c r="C201" s="5" t="s">
        <v>84</v>
      </c>
      <c r="D201" s="6" t="s">
        <v>59</v>
      </c>
      <c r="E201" s="22" t="s">
        <v>241</v>
      </c>
    </row>
    <row r="202" spans="2:5" x14ac:dyDescent="0.3">
      <c r="B202" s="2">
        <v>4</v>
      </c>
      <c r="C202" s="5" t="s">
        <v>98</v>
      </c>
      <c r="D202" s="6" t="s">
        <v>112</v>
      </c>
      <c r="E202" s="22" t="s">
        <v>232</v>
      </c>
    </row>
    <row r="203" spans="2:5" x14ac:dyDescent="0.3">
      <c r="B203" s="2">
        <v>4</v>
      </c>
      <c r="C203" s="5" t="s">
        <v>98</v>
      </c>
      <c r="D203" s="6" t="s">
        <v>42</v>
      </c>
      <c r="E203" s="22" t="s">
        <v>232</v>
      </c>
    </row>
    <row r="204" spans="2:5" x14ac:dyDescent="0.3">
      <c r="B204" s="2">
        <v>4</v>
      </c>
      <c r="C204" s="5" t="s">
        <v>105</v>
      </c>
      <c r="D204" s="6" t="s">
        <v>106</v>
      </c>
      <c r="E204" s="22" t="s">
        <v>232</v>
      </c>
    </row>
    <row r="205" spans="2:5" x14ac:dyDescent="0.3">
      <c r="B205" s="2">
        <v>4</v>
      </c>
      <c r="C205" s="5" t="s">
        <v>107</v>
      </c>
      <c r="D205" s="6" t="s">
        <v>50</v>
      </c>
      <c r="E205" s="20" t="s">
        <v>291</v>
      </c>
    </row>
    <row r="206" spans="2:5" x14ac:dyDescent="0.3">
      <c r="B206" s="2">
        <v>4</v>
      </c>
      <c r="C206" s="5" t="s">
        <v>108</v>
      </c>
      <c r="D206" s="6" t="s">
        <v>75</v>
      </c>
      <c r="E206" s="22" t="s">
        <v>232</v>
      </c>
    </row>
    <row r="207" spans="2:5" x14ac:dyDescent="0.3">
      <c r="B207" s="2">
        <v>4</v>
      </c>
      <c r="C207" s="5" t="s">
        <v>109</v>
      </c>
      <c r="D207" s="6" t="s">
        <v>93</v>
      </c>
      <c r="E207" s="22" t="s">
        <v>232</v>
      </c>
    </row>
    <row r="208" spans="2:5" x14ac:dyDescent="0.3">
      <c r="B208" s="2">
        <v>4</v>
      </c>
      <c r="C208" s="5" t="s">
        <v>113</v>
      </c>
      <c r="D208" s="6" t="s">
        <v>38</v>
      </c>
      <c r="E208" s="22" t="s">
        <v>232</v>
      </c>
    </row>
    <row r="209" spans="2:5" x14ac:dyDescent="0.3">
      <c r="B209" s="2">
        <v>4</v>
      </c>
      <c r="C209" s="5" t="s">
        <v>114</v>
      </c>
      <c r="D209" s="6" t="s">
        <v>46</v>
      </c>
      <c r="E209" s="22" t="s">
        <v>241</v>
      </c>
    </row>
    <row r="210" spans="2:5" x14ac:dyDescent="0.3">
      <c r="B210" s="2">
        <v>4</v>
      </c>
      <c r="C210" s="5" t="s">
        <v>115</v>
      </c>
      <c r="D210" s="6" t="s">
        <v>116</v>
      </c>
      <c r="E210" s="22" t="s">
        <v>232</v>
      </c>
    </row>
    <row r="211" spans="2:5" x14ac:dyDescent="0.3">
      <c r="B211" s="2">
        <v>4</v>
      </c>
      <c r="C211" s="7" t="s">
        <v>117</v>
      </c>
      <c r="D211" s="6" t="s">
        <v>118</v>
      </c>
      <c r="E211" s="22" t="s">
        <v>232</v>
      </c>
    </row>
    <row r="212" spans="2:5" x14ac:dyDescent="0.3">
      <c r="B212" s="2">
        <v>4</v>
      </c>
      <c r="C212" s="7" t="s">
        <v>119</v>
      </c>
      <c r="D212" s="6" t="s">
        <v>97</v>
      </c>
      <c r="E212" s="22" t="s">
        <v>241</v>
      </c>
    </row>
    <row r="213" spans="2:5" x14ac:dyDescent="0.3">
      <c r="B213" s="2">
        <v>4</v>
      </c>
      <c r="C213" s="7" t="s">
        <v>120</v>
      </c>
      <c r="D213" s="6" t="s">
        <v>44</v>
      </c>
      <c r="E213" s="22" t="s">
        <v>232</v>
      </c>
    </row>
    <row r="214" spans="2:5" x14ac:dyDescent="0.3">
      <c r="B214" s="2">
        <v>4</v>
      </c>
      <c r="C214" s="7" t="s">
        <v>121</v>
      </c>
      <c r="D214" s="6" t="s">
        <v>122</v>
      </c>
      <c r="E214" s="22" t="s">
        <v>232</v>
      </c>
    </row>
    <row r="215" spans="2:5" x14ac:dyDescent="0.3">
      <c r="B215" s="2">
        <v>4</v>
      </c>
      <c r="C215" s="5" t="s">
        <v>123</v>
      </c>
      <c r="D215" s="6" t="s">
        <v>59</v>
      </c>
      <c r="E215" s="22" t="s">
        <v>232</v>
      </c>
    </row>
    <row r="216" spans="2:5" x14ac:dyDescent="0.3">
      <c r="B216" s="2">
        <v>4</v>
      </c>
      <c r="C216" s="5" t="s">
        <v>27</v>
      </c>
      <c r="D216" s="6" t="s">
        <v>124</v>
      </c>
      <c r="E216" s="22" t="s">
        <v>232</v>
      </c>
    </row>
    <row r="217" spans="2:5" x14ac:dyDescent="0.3">
      <c r="B217" s="2">
        <v>4</v>
      </c>
      <c r="C217" s="5" t="s">
        <v>43</v>
      </c>
      <c r="D217" s="6" t="s">
        <v>125</v>
      </c>
      <c r="E217" s="22" t="s">
        <v>232</v>
      </c>
    </row>
    <row r="218" spans="2:5" x14ac:dyDescent="0.3">
      <c r="B218" s="2">
        <v>4</v>
      </c>
      <c r="C218" s="7" t="s">
        <v>84</v>
      </c>
      <c r="D218" s="6" t="s">
        <v>126</v>
      </c>
      <c r="E218" s="22" t="s">
        <v>232</v>
      </c>
    </row>
    <row r="219" spans="2:5" x14ac:dyDescent="0.3">
      <c r="B219" s="2">
        <v>4</v>
      </c>
      <c r="C219" s="7" t="s">
        <v>91</v>
      </c>
      <c r="D219" s="6" t="s">
        <v>127</v>
      </c>
      <c r="E219" s="22" t="s">
        <v>241</v>
      </c>
    </row>
    <row r="220" spans="2:5" x14ac:dyDescent="0.3">
      <c r="B220" s="2">
        <v>4</v>
      </c>
      <c r="C220" s="5" t="s">
        <v>128</v>
      </c>
      <c r="D220" s="6" t="s">
        <v>69</v>
      </c>
      <c r="E220" s="22" t="s">
        <v>232</v>
      </c>
    </row>
    <row r="221" spans="2:5" x14ac:dyDescent="0.3">
      <c r="B221" s="2">
        <v>4</v>
      </c>
      <c r="C221" s="5" t="s">
        <v>11</v>
      </c>
      <c r="D221" s="6" t="s">
        <v>12</v>
      </c>
      <c r="E221" s="22" t="s">
        <v>232</v>
      </c>
    </row>
    <row r="222" spans="2:5" x14ac:dyDescent="0.3">
      <c r="B222" s="2">
        <v>4</v>
      </c>
      <c r="C222" s="5" t="s">
        <v>9</v>
      </c>
      <c r="D222" s="6" t="s">
        <v>10</v>
      </c>
      <c r="E222" s="22" t="s">
        <v>232</v>
      </c>
    </row>
    <row r="223" spans="2:5" x14ac:dyDescent="0.3">
      <c r="B223" s="2">
        <v>4</v>
      </c>
      <c r="C223" s="5" t="s">
        <v>60</v>
      </c>
      <c r="D223" s="6" t="s">
        <v>28</v>
      </c>
      <c r="E223" s="20" t="s">
        <v>291</v>
      </c>
    </row>
    <row r="224" spans="2:5" x14ac:dyDescent="0.3">
      <c r="B224" s="2">
        <v>4</v>
      </c>
      <c r="C224" s="5" t="s">
        <v>57</v>
      </c>
      <c r="D224" s="6" t="s">
        <v>16</v>
      </c>
      <c r="E224" s="22" t="s">
        <v>232</v>
      </c>
    </row>
    <row r="225" spans="2:5" x14ac:dyDescent="0.3">
      <c r="B225" s="2">
        <v>4</v>
      </c>
      <c r="C225" s="5" t="s">
        <v>76</v>
      </c>
      <c r="D225" s="6" t="s">
        <v>8</v>
      </c>
      <c r="E225" s="22" t="s">
        <v>232</v>
      </c>
    </row>
    <row r="226" spans="2:5" x14ac:dyDescent="0.3">
      <c r="B226">
        <v>5</v>
      </c>
      <c r="C226" t="s">
        <v>98</v>
      </c>
      <c r="D226" t="s">
        <v>112</v>
      </c>
      <c r="E226" s="22" t="s">
        <v>241</v>
      </c>
    </row>
    <row r="227" spans="2:5" x14ac:dyDescent="0.3">
      <c r="B227">
        <v>5</v>
      </c>
      <c r="C227" t="s">
        <v>98</v>
      </c>
      <c r="D227" t="s">
        <v>42</v>
      </c>
      <c r="E227" s="22" t="s">
        <v>232</v>
      </c>
    </row>
    <row r="228" spans="2:5" x14ac:dyDescent="0.3">
      <c r="B228">
        <v>5</v>
      </c>
      <c r="C228" t="s">
        <v>117</v>
      </c>
      <c r="D228" t="s">
        <v>118</v>
      </c>
      <c r="E228" s="22" t="s">
        <v>232</v>
      </c>
    </row>
    <row r="229" spans="2:5" x14ac:dyDescent="0.3">
      <c r="B229">
        <v>5</v>
      </c>
      <c r="C229" t="s">
        <v>87</v>
      </c>
      <c r="D229" t="s">
        <v>83</v>
      </c>
      <c r="E229" s="22" t="s">
        <v>241</v>
      </c>
    </row>
    <row r="230" spans="2:5" x14ac:dyDescent="0.3">
      <c r="B230">
        <v>5</v>
      </c>
      <c r="C230" t="s">
        <v>76</v>
      </c>
      <c r="D230" t="s">
        <v>8</v>
      </c>
      <c r="E230" s="22" t="s">
        <v>232</v>
      </c>
    </row>
    <row r="231" spans="2:5" x14ac:dyDescent="0.3">
      <c r="B231">
        <v>5</v>
      </c>
      <c r="C231" t="s">
        <v>107</v>
      </c>
      <c r="D231" t="s">
        <v>50</v>
      </c>
      <c r="E231" s="22" t="s">
        <v>232</v>
      </c>
    </row>
    <row r="232" spans="2:5" x14ac:dyDescent="0.3">
      <c r="B232">
        <v>5</v>
      </c>
      <c r="C232" t="s">
        <v>107</v>
      </c>
      <c r="D232" t="s">
        <v>129</v>
      </c>
      <c r="E232" s="22" t="s">
        <v>232</v>
      </c>
    </row>
    <row r="233" spans="2:5" x14ac:dyDescent="0.3">
      <c r="B233">
        <v>5</v>
      </c>
      <c r="C233" t="s">
        <v>78</v>
      </c>
      <c r="D233" t="s">
        <v>79</v>
      </c>
      <c r="E233" s="22" t="s">
        <v>232</v>
      </c>
    </row>
    <row r="234" spans="2:5" x14ac:dyDescent="0.3">
      <c r="B234">
        <v>5</v>
      </c>
      <c r="C234" t="s">
        <v>51</v>
      </c>
      <c r="D234" t="s">
        <v>52</v>
      </c>
      <c r="E234" s="22" t="s">
        <v>232</v>
      </c>
    </row>
    <row r="235" spans="2:5" x14ac:dyDescent="0.3">
      <c r="B235">
        <v>5</v>
      </c>
      <c r="C235" t="s">
        <v>74</v>
      </c>
      <c r="D235" t="s">
        <v>77</v>
      </c>
      <c r="E235" s="22" t="s">
        <v>232</v>
      </c>
    </row>
    <row r="236" spans="2:5" x14ac:dyDescent="0.3">
      <c r="B236">
        <v>5</v>
      </c>
      <c r="C236" t="s">
        <v>115</v>
      </c>
      <c r="D236" t="s">
        <v>116</v>
      </c>
      <c r="E236" s="22" t="s">
        <v>232</v>
      </c>
    </row>
    <row r="237" spans="2:5" x14ac:dyDescent="0.3">
      <c r="B237">
        <v>5</v>
      </c>
      <c r="C237" t="s">
        <v>49</v>
      </c>
      <c r="D237" t="s">
        <v>96</v>
      </c>
      <c r="E237" s="22" t="s">
        <v>232</v>
      </c>
    </row>
    <row r="238" spans="2:5" x14ac:dyDescent="0.3">
      <c r="B238">
        <v>5</v>
      </c>
      <c r="C238" t="s">
        <v>49</v>
      </c>
      <c r="D238" t="s">
        <v>104</v>
      </c>
      <c r="E238" s="22" t="s">
        <v>241</v>
      </c>
    </row>
    <row r="239" spans="2:5" x14ac:dyDescent="0.3">
      <c r="B239">
        <v>5</v>
      </c>
      <c r="C239" t="s">
        <v>47</v>
      </c>
      <c r="D239" t="s">
        <v>48</v>
      </c>
      <c r="E239" s="22" t="s">
        <v>232</v>
      </c>
    </row>
    <row r="240" spans="2:5" x14ac:dyDescent="0.3">
      <c r="B240">
        <v>5</v>
      </c>
      <c r="C240" t="s">
        <v>5</v>
      </c>
      <c r="D240" t="s">
        <v>6</v>
      </c>
      <c r="E240" s="22" t="s">
        <v>232</v>
      </c>
    </row>
    <row r="241" spans="2:5" x14ac:dyDescent="0.3">
      <c r="B241">
        <v>5</v>
      </c>
      <c r="C241" t="s">
        <v>5</v>
      </c>
      <c r="D241" t="s">
        <v>42</v>
      </c>
      <c r="E241" s="22" t="s">
        <v>232</v>
      </c>
    </row>
    <row r="242" spans="2:5" x14ac:dyDescent="0.3">
      <c r="B242">
        <v>5</v>
      </c>
      <c r="C242" t="s">
        <v>123</v>
      </c>
      <c r="D242" t="s">
        <v>59</v>
      </c>
      <c r="E242" s="20" t="s">
        <v>291</v>
      </c>
    </row>
    <row r="243" spans="2:5" x14ac:dyDescent="0.3">
      <c r="B243">
        <v>5</v>
      </c>
      <c r="C243" t="s">
        <v>119</v>
      </c>
      <c r="D243" t="s">
        <v>97</v>
      </c>
      <c r="E243" s="22" t="s">
        <v>232</v>
      </c>
    </row>
    <row r="244" spans="2:5" x14ac:dyDescent="0.3">
      <c r="B244">
        <v>5</v>
      </c>
      <c r="C244" t="s">
        <v>89</v>
      </c>
      <c r="D244" t="s">
        <v>4</v>
      </c>
      <c r="E244" s="22" t="s">
        <v>232</v>
      </c>
    </row>
    <row r="245" spans="2:5" x14ac:dyDescent="0.3">
      <c r="B245">
        <v>5</v>
      </c>
      <c r="C245" t="s">
        <v>84</v>
      </c>
      <c r="D245" t="s">
        <v>126</v>
      </c>
      <c r="E245" s="22" t="s">
        <v>241</v>
      </c>
    </row>
    <row r="246" spans="2:5" x14ac:dyDescent="0.3">
      <c r="B246">
        <v>5</v>
      </c>
      <c r="C246" t="s">
        <v>43</v>
      </c>
      <c r="D246" t="s">
        <v>125</v>
      </c>
      <c r="E246" s="22" t="s">
        <v>232</v>
      </c>
    </row>
    <row r="247" spans="2:5" x14ac:dyDescent="0.3">
      <c r="B247">
        <v>5</v>
      </c>
      <c r="C247" t="s">
        <v>114</v>
      </c>
      <c r="D247" t="s">
        <v>46</v>
      </c>
      <c r="E247" s="22" t="s">
        <v>232</v>
      </c>
    </row>
    <row r="248" spans="2:5" x14ac:dyDescent="0.3">
      <c r="B248">
        <v>5</v>
      </c>
      <c r="C248" t="s">
        <v>35</v>
      </c>
      <c r="D248" t="s">
        <v>36</v>
      </c>
      <c r="E248" s="22" t="s">
        <v>232</v>
      </c>
    </row>
    <row r="249" spans="2:5" x14ac:dyDescent="0.3">
      <c r="B249">
        <v>5</v>
      </c>
      <c r="C249" t="s">
        <v>33</v>
      </c>
      <c r="D249" t="s">
        <v>34</v>
      </c>
      <c r="E249" s="22" t="s">
        <v>232</v>
      </c>
    </row>
    <row r="250" spans="2:5" x14ac:dyDescent="0.3">
      <c r="B250">
        <v>5</v>
      </c>
      <c r="C250" t="s">
        <v>33</v>
      </c>
      <c r="D250" t="s">
        <v>56</v>
      </c>
      <c r="E250" s="22" t="s">
        <v>232</v>
      </c>
    </row>
    <row r="251" spans="2:5" x14ac:dyDescent="0.3">
      <c r="B251">
        <v>5</v>
      </c>
      <c r="C251" t="s">
        <v>91</v>
      </c>
      <c r="D251" t="s">
        <v>97</v>
      </c>
      <c r="E251" s="22" t="s">
        <v>232</v>
      </c>
    </row>
    <row r="252" spans="2:5" x14ac:dyDescent="0.3">
      <c r="B252">
        <v>5</v>
      </c>
      <c r="C252" t="s">
        <v>91</v>
      </c>
      <c r="D252" t="s">
        <v>127</v>
      </c>
      <c r="E252" s="22" t="s">
        <v>232</v>
      </c>
    </row>
    <row r="253" spans="2:5" x14ac:dyDescent="0.3">
      <c r="B253">
        <v>5</v>
      </c>
      <c r="C253" t="s">
        <v>31</v>
      </c>
      <c r="D253" t="s">
        <v>32</v>
      </c>
      <c r="E253" s="22" t="s">
        <v>232</v>
      </c>
    </row>
    <row r="254" spans="2:5" x14ac:dyDescent="0.3">
      <c r="B254">
        <v>5</v>
      </c>
      <c r="C254" t="s">
        <v>105</v>
      </c>
      <c r="D254" t="s">
        <v>106</v>
      </c>
      <c r="E254" s="22" t="s">
        <v>232</v>
      </c>
    </row>
    <row r="255" spans="2:5" x14ac:dyDescent="0.3">
      <c r="B255">
        <v>5</v>
      </c>
      <c r="C255" t="s">
        <v>92</v>
      </c>
      <c r="D255" t="s">
        <v>30</v>
      </c>
      <c r="E255" s="22" t="s">
        <v>241</v>
      </c>
    </row>
    <row r="256" spans="2:5" x14ac:dyDescent="0.3">
      <c r="B256">
        <v>5</v>
      </c>
      <c r="C256" t="s">
        <v>72</v>
      </c>
      <c r="D256" t="s">
        <v>73</v>
      </c>
      <c r="E256" s="22" t="s">
        <v>241</v>
      </c>
    </row>
    <row r="257" spans="2:5" x14ac:dyDescent="0.3">
      <c r="B257">
        <v>5</v>
      </c>
      <c r="C257" t="s">
        <v>109</v>
      </c>
      <c r="D257" t="s">
        <v>93</v>
      </c>
      <c r="E257" s="22" t="s">
        <v>232</v>
      </c>
    </row>
    <row r="258" spans="2:5" x14ac:dyDescent="0.3">
      <c r="B258">
        <v>5</v>
      </c>
      <c r="C258" t="s">
        <v>130</v>
      </c>
      <c r="D258" t="s">
        <v>50</v>
      </c>
      <c r="E258" s="22" t="s">
        <v>232</v>
      </c>
    </row>
    <row r="259" spans="2:5" x14ac:dyDescent="0.3">
      <c r="B259">
        <v>5</v>
      </c>
      <c r="C259" t="s">
        <v>29</v>
      </c>
      <c r="D259" t="s">
        <v>95</v>
      </c>
      <c r="E259" s="22" t="s">
        <v>232</v>
      </c>
    </row>
    <row r="260" spans="2:5" x14ac:dyDescent="0.3">
      <c r="B260">
        <v>5</v>
      </c>
      <c r="C260" t="s">
        <v>70</v>
      </c>
      <c r="D260" t="s">
        <v>71</v>
      </c>
      <c r="E260" s="20" t="s">
        <v>291</v>
      </c>
    </row>
    <row r="261" spans="2:5" x14ac:dyDescent="0.3">
      <c r="B261">
        <v>5</v>
      </c>
      <c r="C261" t="s">
        <v>9</v>
      </c>
      <c r="D261" t="s">
        <v>10</v>
      </c>
      <c r="E261" s="22" t="s">
        <v>232</v>
      </c>
    </row>
    <row r="262" spans="2:5" x14ac:dyDescent="0.3">
      <c r="B262">
        <v>5</v>
      </c>
      <c r="C262" t="s">
        <v>27</v>
      </c>
      <c r="D262" t="s">
        <v>124</v>
      </c>
      <c r="E262" s="22" t="s">
        <v>232</v>
      </c>
    </row>
    <row r="263" spans="2:5" x14ac:dyDescent="0.3">
      <c r="B263">
        <v>5</v>
      </c>
      <c r="C263" t="s">
        <v>60</v>
      </c>
      <c r="D263" t="s">
        <v>28</v>
      </c>
      <c r="E263" s="22" t="s">
        <v>232</v>
      </c>
    </row>
    <row r="264" spans="2:5" x14ac:dyDescent="0.3">
      <c r="B264">
        <v>5</v>
      </c>
      <c r="C264" t="s">
        <v>25</v>
      </c>
      <c r="D264" t="s">
        <v>26</v>
      </c>
      <c r="E264" s="22" t="s">
        <v>232</v>
      </c>
    </row>
    <row r="265" spans="2:5" x14ac:dyDescent="0.3">
      <c r="B265">
        <v>5</v>
      </c>
      <c r="C265" t="s">
        <v>25</v>
      </c>
      <c r="D265" t="s">
        <v>67</v>
      </c>
      <c r="E265" s="22" t="s">
        <v>232</v>
      </c>
    </row>
    <row r="266" spans="2:5" x14ac:dyDescent="0.3">
      <c r="B266">
        <v>5</v>
      </c>
      <c r="C266" t="s">
        <v>66</v>
      </c>
      <c r="D266" t="s">
        <v>67</v>
      </c>
      <c r="E266" s="22" t="s">
        <v>232</v>
      </c>
    </row>
    <row r="267" spans="2:5" x14ac:dyDescent="0.3">
      <c r="B267">
        <v>5</v>
      </c>
      <c r="C267" t="s">
        <v>85</v>
      </c>
      <c r="D267" t="s">
        <v>86</v>
      </c>
      <c r="E267" s="22" t="s">
        <v>232</v>
      </c>
    </row>
    <row r="268" spans="2:5" x14ac:dyDescent="0.3">
      <c r="B268">
        <v>5</v>
      </c>
      <c r="C268" t="s">
        <v>108</v>
      </c>
      <c r="D268" t="s">
        <v>75</v>
      </c>
      <c r="E268" s="22" t="s">
        <v>232</v>
      </c>
    </row>
    <row r="269" spans="2:5" x14ac:dyDescent="0.3">
      <c r="B269">
        <v>5</v>
      </c>
      <c r="C269" t="s">
        <v>23</v>
      </c>
      <c r="D269" t="s">
        <v>24</v>
      </c>
      <c r="E269" s="35" t="s">
        <v>232</v>
      </c>
    </row>
    <row r="270" spans="2:5" x14ac:dyDescent="0.3">
      <c r="B270">
        <v>5</v>
      </c>
      <c r="C270" t="s">
        <v>23</v>
      </c>
      <c r="D270" t="s">
        <v>22</v>
      </c>
      <c r="E270" s="22" t="s">
        <v>232</v>
      </c>
    </row>
    <row r="271" spans="2:5" x14ac:dyDescent="0.3">
      <c r="B271">
        <v>5</v>
      </c>
      <c r="C271" t="s">
        <v>90</v>
      </c>
      <c r="D271" t="s">
        <v>16</v>
      </c>
      <c r="E271" s="22" t="s">
        <v>232</v>
      </c>
    </row>
    <row r="272" spans="2:5" x14ac:dyDescent="0.3">
      <c r="B272">
        <v>5</v>
      </c>
      <c r="C272" t="s">
        <v>64</v>
      </c>
      <c r="D272" t="s">
        <v>65</v>
      </c>
      <c r="E272" s="22" t="s">
        <v>232</v>
      </c>
    </row>
    <row r="273" spans="2:5" x14ac:dyDescent="0.3">
      <c r="B273">
        <v>5</v>
      </c>
      <c r="C273" t="s">
        <v>21</v>
      </c>
      <c r="D273" t="s">
        <v>22</v>
      </c>
      <c r="E273" s="22" t="s">
        <v>241</v>
      </c>
    </row>
    <row r="274" spans="2:5" x14ac:dyDescent="0.3">
      <c r="B274">
        <v>5</v>
      </c>
      <c r="C274" t="s">
        <v>128</v>
      </c>
      <c r="D274" t="s">
        <v>69</v>
      </c>
      <c r="E274" s="22" t="s">
        <v>241</v>
      </c>
    </row>
    <row r="275" spans="2:5" x14ac:dyDescent="0.3">
      <c r="B275">
        <v>5</v>
      </c>
      <c r="C275" t="s">
        <v>19</v>
      </c>
      <c r="D275" t="s">
        <v>20</v>
      </c>
      <c r="E275" s="22" t="s">
        <v>232</v>
      </c>
    </row>
    <row r="276" spans="2:5" x14ac:dyDescent="0.3">
      <c r="B276">
        <v>5</v>
      </c>
      <c r="C276" t="s">
        <v>17</v>
      </c>
      <c r="D276" t="s">
        <v>18</v>
      </c>
      <c r="E276" s="22" t="s">
        <v>232</v>
      </c>
    </row>
    <row r="277" spans="2:5" x14ac:dyDescent="0.3">
      <c r="B277">
        <v>5</v>
      </c>
      <c r="C277" t="s">
        <v>121</v>
      </c>
      <c r="D277" t="s">
        <v>122</v>
      </c>
      <c r="E277" s="22" t="s">
        <v>232</v>
      </c>
    </row>
    <row r="278" spans="2:5" x14ac:dyDescent="0.3">
      <c r="B278">
        <v>5</v>
      </c>
      <c r="C278" t="s">
        <v>111</v>
      </c>
      <c r="D278" t="s">
        <v>63</v>
      </c>
      <c r="E278" s="20" t="s">
        <v>291</v>
      </c>
    </row>
    <row r="279" spans="2:5" x14ac:dyDescent="0.3">
      <c r="B279">
        <v>5</v>
      </c>
      <c r="C279" t="s">
        <v>120</v>
      </c>
      <c r="D279" t="s">
        <v>44</v>
      </c>
      <c r="E279" s="22" t="s">
        <v>232</v>
      </c>
    </row>
    <row r="280" spans="2:5" x14ac:dyDescent="0.3">
      <c r="B280">
        <v>5</v>
      </c>
      <c r="C280" t="s">
        <v>113</v>
      </c>
      <c r="D280" t="s">
        <v>38</v>
      </c>
      <c r="E280" s="22" t="s">
        <v>232</v>
      </c>
    </row>
    <row r="281" spans="2:5" x14ac:dyDescent="0.3">
      <c r="B281">
        <v>5</v>
      </c>
      <c r="C281" t="s">
        <v>13</v>
      </c>
      <c r="D281" t="s">
        <v>14</v>
      </c>
      <c r="E281" s="22" t="s">
        <v>232</v>
      </c>
    </row>
    <row r="282" spans="2:5" x14ac:dyDescent="0.3">
      <c r="B282">
        <v>5</v>
      </c>
      <c r="C282" t="s">
        <v>80</v>
      </c>
      <c r="D282" t="s">
        <v>81</v>
      </c>
      <c r="E282" s="22" t="s">
        <v>232</v>
      </c>
    </row>
    <row r="283" spans="2:5" x14ac:dyDescent="0.3">
      <c r="B283">
        <v>5</v>
      </c>
      <c r="C283" t="s">
        <v>11</v>
      </c>
      <c r="D283" t="s">
        <v>12</v>
      </c>
      <c r="E283" s="22" t="s">
        <v>232</v>
      </c>
    </row>
    <row r="284" spans="2:5" x14ac:dyDescent="0.3">
      <c r="B284">
        <v>5</v>
      </c>
      <c r="C284" t="s">
        <v>131</v>
      </c>
      <c r="D284" t="s">
        <v>116</v>
      </c>
      <c r="E284" s="22" t="s">
        <v>232</v>
      </c>
    </row>
    <row r="285" spans="2:5" x14ac:dyDescent="0.3">
      <c r="B285">
        <v>5</v>
      </c>
      <c r="C285" t="s">
        <v>132</v>
      </c>
      <c r="D285" t="s">
        <v>54</v>
      </c>
      <c r="E285" s="22" t="s">
        <v>232</v>
      </c>
    </row>
    <row r="286" spans="2:5" x14ac:dyDescent="0.3">
      <c r="B286">
        <v>5</v>
      </c>
      <c r="C286" t="s">
        <v>115</v>
      </c>
      <c r="D286" t="s">
        <v>42</v>
      </c>
      <c r="E286" s="22" t="s">
        <v>232</v>
      </c>
    </row>
    <row r="287" spans="2:5" x14ac:dyDescent="0.3">
      <c r="B287">
        <v>5</v>
      </c>
      <c r="C287" t="s">
        <v>61</v>
      </c>
      <c r="D287" t="s">
        <v>34</v>
      </c>
      <c r="E287" s="22" t="s">
        <v>232</v>
      </c>
    </row>
    <row r="288" spans="2:5" x14ac:dyDescent="0.3">
      <c r="B288">
        <v>5</v>
      </c>
      <c r="C288" t="s">
        <v>133</v>
      </c>
      <c r="D288" t="s">
        <v>104</v>
      </c>
      <c r="E288" s="22" t="s">
        <v>232</v>
      </c>
    </row>
    <row r="289" spans="2:5" x14ac:dyDescent="0.3">
      <c r="B289">
        <v>6</v>
      </c>
      <c r="C289" t="s">
        <v>134</v>
      </c>
      <c r="D289" t="s">
        <v>52</v>
      </c>
      <c r="E289" s="22" t="s">
        <v>232</v>
      </c>
    </row>
    <row r="290" spans="2:5" x14ac:dyDescent="0.3">
      <c r="B290">
        <v>6</v>
      </c>
      <c r="C290" t="s">
        <v>66</v>
      </c>
      <c r="D290" t="s">
        <v>67</v>
      </c>
      <c r="E290" s="22" t="s">
        <v>241</v>
      </c>
    </row>
    <row r="291" spans="2:5" x14ac:dyDescent="0.3">
      <c r="B291">
        <v>6</v>
      </c>
      <c r="C291" t="s">
        <v>135</v>
      </c>
      <c r="D291" t="s">
        <v>10</v>
      </c>
      <c r="E291" s="22" t="s">
        <v>241</v>
      </c>
    </row>
    <row r="292" spans="2:5" x14ac:dyDescent="0.3">
      <c r="B292">
        <v>6</v>
      </c>
      <c r="C292" t="s">
        <v>33</v>
      </c>
      <c r="D292" t="s">
        <v>67</v>
      </c>
      <c r="E292" s="22" t="s">
        <v>232</v>
      </c>
    </row>
    <row r="293" spans="2:5" x14ac:dyDescent="0.3">
      <c r="B293">
        <v>6</v>
      </c>
      <c r="C293" t="s">
        <v>120</v>
      </c>
      <c r="D293" t="s">
        <v>44</v>
      </c>
      <c r="E293" s="22" t="s">
        <v>232</v>
      </c>
    </row>
    <row r="294" spans="2:5" x14ac:dyDescent="0.3">
      <c r="B294">
        <v>6</v>
      </c>
      <c r="C294" t="s">
        <v>120</v>
      </c>
      <c r="D294" t="s">
        <v>38</v>
      </c>
      <c r="E294" s="22" t="s">
        <v>232</v>
      </c>
    </row>
    <row r="295" spans="2:5" x14ac:dyDescent="0.3">
      <c r="B295">
        <v>6</v>
      </c>
      <c r="C295" t="s">
        <v>33</v>
      </c>
      <c r="D295" t="s">
        <v>34</v>
      </c>
      <c r="E295" s="20" t="s">
        <v>291</v>
      </c>
    </row>
    <row r="296" spans="2:5" x14ac:dyDescent="0.3">
      <c r="B296">
        <v>6</v>
      </c>
      <c r="C296" t="s">
        <v>136</v>
      </c>
      <c r="D296" t="s">
        <v>56</v>
      </c>
      <c r="E296" s="22" t="s">
        <v>232</v>
      </c>
    </row>
    <row r="297" spans="2:5" x14ac:dyDescent="0.3">
      <c r="B297">
        <v>6</v>
      </c>
      <c r="C297" t="s">
        <v>37</v>
      </c>
      <c r="D297" t="s">
        <v>24</v>
      </c>
      <c r="E297" s="22" t="s">
        <v>232</v>
      </c>
    </row>
    <row r="298" spans="2:5" x14ac:dyDescent="0.3">
      <c r="B298">
        <v>6</v>
      </c>
      <c r="C298" t="s">
        <v>11</v>
      </c>
      <c r="D298" t="s">
        <v>12</v>
      </c>
      <c r="E298" s="22" t="s">
        <v>232</v>
      </c>
    </row>
    <row r="299" spans="2:5" x14ac:dyDescent="0.3">
      <c r="B299">
        <v>6</v>
      </c>
      <c r="C299" t="s">
        <v>80</v>
      </c>
      <c r="D299" t="s">
        <v>81</v>
      </c>
      <c r="E299" s="22" t="s">
        <v>232</v>
      </c>
    </row>
    <row r="300" spans="2:5" x14ac:dyDescent="0.3">
      <c r="B300">
        <v>6</v>
      </c>
      <c r="C300" t="s">
        <v>13</v>
      </c>
      <c r="D300" t="s">
        <v>14</v>
      </c>
      <c r="E300" s="22" t="s">
        <v>232</v>
      </c>
    </row>
    <row r="301" spans="2:5" x14ac:dyDescent="0.3">
      <c r="B301">
        <v>6</v>
      </c>
      <c r="C301" t="s">
        <v>111</v>
      </c>
      <c r="D301" t="s">
        <v>63</v>
      </c>
      <c r="E301" s="22" t="s">
        <v>232</v>
      </c>
    </row>
    <row r="302" spans="2:5" x14ac:dyDescent="0.3">
      <c r="B302">
        <v>6</v>
      </c>
      <c r="C302" t="s">
        <v>121</v>
      </c>
      <c r="D302" t="s">
        <v>122</v>
      </c>
      <c r="E302" s="22" t="s">
        <v>232</v>
      </c>
    </row>
    <row r="303" spans="2:5" x14ac:dyDescent="0.3">
      <c r="B303">
        <v>6</v>
      </c>
      <c r="C303" t="s">
        <v>17</v>
      </c>
      <c r="D303" t="s">
        <v>18</v>
      </c>
      <c r="E303" s="22" t="s">
        <v>232</v>
      </c>
    </row>
    <row r="304" spans="2:5" x14ac:dyDescent="0.3">
      <c r="B304">
        <v>6</v>
      </c>
      <c r="C304" t="s">
        <v>19</v>
      </c>
      <c r="D304" t="s">
        <v>20</v>
      </c>
      <c r="E304" s="22" t="s">
        <v>232</v>
      </c>
    </row>
    <row r="305" spans="2:5" x14ac:dyDescent="0.3">
      <c r="B305">
        <v>6</v>
      </c>
      <c r="C305" t="s">
        <v>128</v>
      </c>
      <c r="D305" t="s">
        <v>69</v>
      </c>
      <c r="E305" s="22" t="s">
        <v>232</v>
      </c>
    </row>
    <row r="306" spans="2:5" x14ac:dyDescent="0.3">
      <c r="B306">
        <v>6</v>
      </c>
      <c r="C306" t="s">
        <v>21</v>
      </c>
      <c r="D306" t="s">
        <v>22</v>
      </c>
      <c r="E306" s="22" t="s">
        <v>232</v>
      </c>
    </row>
    <row r="307" spans="2:5" x14ac:dyDescent="0.3">
      <c r="B307">
        <v>6</v>
      </c>
      <c r="C307" t="s">
        <v>64</v>
      </c>
      <c r="D307" t="s">
        <v>65</v>
      </c>
      <c r="E307" s="22" t="s">
        <v>232</v>
      </c>
    </row>
    <row r="308" spans="2:5" x14ac:dyDescent="0.3">
      <c r="B308">
        <v>6</v>
      </c>
      <c r="C308" t="s">
        <v>90</v>
      </c>
      <c r="D308" t="s">
        <v>16</v>
      </c>
      <c r="E308" s="22" t="s">
        <v>241</v>
      </c>
    </row>
    <row r="309" spans="2:5" x14ac:dyDescent="0.3">
      <c r="B309">
        <v>6</v>
      </c>
      <c r="C309" t="s">
        <v>23</v>
      </c>
      <c r="D309" t="s">
        <v>24</v>
      </c>
      <c r="E309" s="20" t="s">
        <v>232</v>
      </c>
    </row>
    <row r="310" spans="2:5" x14ac:dyDescent="0.3">
      <c r="B310">
        <v>6</v>
      </c>
      <c r="C310" t="s">
        <v>23</v>
      </c>
      <c r="D310" t="s">
        <v>22</v>
      </c>
      <c r="E310" s="22" t="s">
        <v>232</v>
      </c>
    </row>
    <row r="311" spans="2:5" x14ac:dyDescent="0.3">
      <c r="B311">
        <v>6</v>
      </c>
      <c r="C311" t="s">
        <v>108</v>
      </c>
      <c r="D311" t="s">
        <v>75</v>
      </c>
      <c r="E311" s="22" t="s">
        <v>232</v>
      </c>
    </row>
    <row r="312" spans="2:5" x14ac:dyDescent="0.3">
      <c r="B312">
        <v>6</v>
      </c>
      <c r="C312" t="s">
        <v>85</v>
      </c>
      <c r="D312" t="s">
        <v>86</v>
      </c>
      <c r="E312" s="22" t="s">
        <v>232</v>
      </c>
    </row>
    <row r="313" spans="2:5" x14ac:dyDescent="0.3">
      <c r="B313">
        <v>6</v>
      </c>
      <c r="C313" t="s">
        <v>25</v>
      </c>
      <c r="D313" t="s">
        <v>26</v>
      </c>
      <c r="E313" s="22" t="s">
        <v>232</v>
      </c>
    </row>
    <row r="314" spans="2:5" x14ac:dyDescent="0.3">
      <c r="B314">
        <v>6</v>
      </c>
      <c r="C314" t="s">
        <v>25</v>
      </c>
      <c r="D314" t="s">
        <v>67</v>
      </c>
      <c r="E314" s="22" t="s">
        <v>241</v>
      </c>
    </row>
    <row r="315" spans="2:5" x14ac:dyDescent="0.3">
      <c r="B315">
        <v>6</v>
      </c>
      <c r="C315" t="s">
        <v>27</v>
      </c>
      <c r="D315" t="s">
        <v>124</v>
      </c>
      <c r="E315" s="22" t="s">
        <v>241</v>
      </c>
    </row>
    <row r="316" spans="2:5" x14ac:dyDescent="0.3">
      <c r="B316">
        <v>6</v>
      </c>
      <c r="C316" t="s">
        <v>9</v>
      </c>
      <c r="D316" t="s">
        <v>10</v>
      </c>
      <c r="E316" s="22" t="s">
        <v>232</v>
      </c>
    </row>
    <row r="317" spans="2:5" x14ac:dyDescent="0.3">
      <c r="B317">
        <v>6</v>
      </c>
      <c r="C317" t="s">
        <v>70</v>
      </c>
      <c r="D317" t="s">
        <v>71</v>
      </c>
      <c r="E317" s="22" t="s">
        <v>232</v>
      </c>
    </row>
    <row r="318" spans="2:5" x14ac:dyDescent="0.3">
      <c r="B318">
        <v>6</v>
      </c>
      <c r="C318" t="s">
        <v>29</v>
      </c>
      <c r="D318" t="s">
        <v>95</v>
      </c>
      <c r="E318" s="22" t="s">
        <v>232</v>
      </c>
    </row>
    <row r="319" spans="2:5" x14ac:dyDescent="0.3">
      <c r="B319">
        <v>6</v>
      </c>
      <c r="C319" t="s">
        <v>130</v>
      </c>
      <c r="D319" t="s">
        <v>50</v>
      </c>
      <c r="E319" s="22" t="s">
        <v>232</v>
      </c>
    </row>
    <row r="320" spans="2:5" x14ac:dyDescent="0.3">
      <c r="B320">
        <v>6</v>
      </c>
      <c r="C320" t="s">
        <v>109</v>
      </c>
      <c r="D320" t="s">
        <v>93</v>
      </c>
      <c r="E320" s="22" t="s">
        <v>232</v>
      </c>
    </row>
    <row r="321" spans="2:5" x14ac:dyDescent="0.3">
      <c r="B321">
        <v>6</v>
      </c>
      <c r="C321" t="s">
        <v>72</v>
      </c>
      <c r="D321" t="s">
        <v>73</v>
      </c>
      <c r="E321" s="22" t="s">
        <v>232</v>
      </c>
    </row>
    <row r="322" spans="2:5" x14ac:dyDescent="0.3">
      <c r="B322">
        <v>6</v>
      </c>
      <c r="C322" t="s">
        <v>92</v>
      </c>
      <c r="D322" t="s">
        <v>30</v>
      </c>
      <c r="E322" s="22" t="s">
        <v>232</v>
      </c>
    </row>
    <row r="323" spans="2:5" x14ac:dyDescent="0.3">
      <c r="B323">
        <v>6</v>
      </c>
      <c r="C323" t="s">
        <v>105</v>
      </c>
      <c r="D323" t="s">
        <v>106</v>
      </c>
      <c r="E323" s="22" t="s">
        <v>232</v>
      </c>
    </row>
    <row r="324" spans="2:5" x14ac:dyDescent="0.3">
      <c r="B324">
        <v>6</v>
      </c>
      <c r="C324" t="s">
        <v>31</v>
      </c>
      <c r="D324" t="s">
        <v>32</v>
      </c>
      <c r="E324" s="22" t="s">
        <v>232</v>
      </c>
    </row>
    <row r="325" spans="2:5" x14ac:dyDescent="0.3">
      <c r="B325">
        <v>6</v>
      </c>
      <c r="C325" t="s">
        <v>91</v>
      </c>
      <c r="D325" t="s">
        <v>127</v>
      </c>
      <c r="E325" s="22" t="s">
        <v>232</v>
      </c>
    </row>
    <row r="326" spans="2:5" x14ac:dyDescent="0.3">
      <c r="B326">
        <v>6</v>
      </c>
      <c r="C326" t="s">
        <v>35</v>
      </c>
      <c r="D326" t="s">
        <v>36</v>
      </c>
      <c r="E326" s="22" t="s">
        <v>232</v>
      </c>
    </row>
    <row r="327" spans="2:5" x14ac:dyDescent="0.3">
      <c r="B327">
        <v>6</v>
      </c>
      <c r="C327" t="s">
        <v>114</v>
      </c>
      <c r="D327" t="s">
        <v>46</v>
      </c>
      <c r="E327" s="22" t="s">
        <v>232</v>
      </c>
    </row>
    <row r="328" spans="2:5" x14ac:dyDescent="0.3">
      <c r="B328">
        <v>6</v>
      </c>
      <c r="C328" t="s">
        <v>43</v>
      </c>
      <c r="D328" t="s">
        <v>125</v>
      </c>
      <c r="E328" s="22" t="s">
        <v>232</v>
      </c>
    </row>
    <row r="329" spans="2:5" x14ac:dyDescent="0.3">
      <c r="B329">
        <v>6</v>
      </c>
      <c r="C329" t="s">
        <v>84</v>
      </c>
      <c r="D329" t="s">
        <v>126</v>
      </c>
      <c r="E329" s="22" t="s">
        <v>241</v>
      </c>
    </row>
    <row r="330" spans="2:5" x14ac:dyDescent="0.3">
      <c r="B330">
        <v>6</v>
      </c>
      <c r="C330" t="s">
        <v>89</v>
      </c>
      <c r="D330" t="s">
        <v>4</v>
      </c>
      <c r="E330" s="20" t="s">
        <v>232</v>
      </c>
    </row>
    <row r="331" spans="2:5" x14ac:dyDescent="0.3">
      <c r="B331">
        <v>6</v>
      </c>
      <c r="C331" t="s">
        <v>119</v>
      </c>
      <c r="D331" t="s">
        <v>97</v>
      </c>
      <c r="E331" s="39" t="s">
        <v>232</v>
      </c>
    </row>
    <row r="332" spans="2:5" x14ac:dyDescent="0.3">
      <c r="B332">
        <v>6</v>
      </c>
      <c r="C332" t="s">
        <v>123</v>
      </c>
      <c r="D332" t="s">
        <v>59</v>
      </c>
      <c r="E332" s="22" t="s">
        <v>232</v>
      </c>
    </row>
    <row r="333" spans="2:5" x14ac:dyDescent="0.3">
      <c r="B333">
        <v>6</v>
      </c>
      <c r="C333" t="s">
        <v>5</v>
      </c>
      <c r="D333" t="s">
        <v>6</v>
      </c>
      <c r="E333" s="22" t="s">
        <v>232</v>
      </c>
    </row>
    <row r="334" spans="2:5" x14ac:dyDescent="0.3">
      <c r="B334">
        <v>6</v>
      </c>
      <c r="C334" t="s">
        <v>5</v>
      </c>
      <c r="D334" t="s">
        <v>42</v>
      </c>
      <c r="E334" s="22" t="s">
        <v>232</v>
      </c>
    </row>
    <row r="335" spans="2:5" x14ac:dyDescent="0.3">
      <c r="B335">
        <v>6</v>
      </c>
      <c r="C335" t="s">
        <v>47</v>
      </c>
      <c r="D335" t="s">
        <v>48</v>
      </c>
      <c r="E335" s="22" t="s">
        <v>232</v>
      </c>
    </row>
    <row r="336" spans="2:5" x14ac:dyDescent="0.3">
      <c r="B336">
        <v>6</v>
      </c>
      <c r="C336" t="s">
        <v>49</v>
      </c>
      <c r="D336" t="s">
        <v>96</v>
      </c>
      <c r="E336" s="22" t="s">
        <v>241</v>
      </c>
    </row>
    <row r="337" spans="2:5" x14ac:dyDescent="0.3">
      <c r="B337">
        <v>6</v>
      </c>
      <c r="C337" t="s">
        <v>49</v>
      </c>
      <c r="D337" t="s">
        <v>104</v>
      </c>
      <c r="E337" s="22" t="s">
        <v>241</v>
      </c>
    </row>
    <row r="338" spans="2:5" x14ac:dyDescent="0.3">
      <c r="B338">
        <v>6</v>
      </c>
      <c r="C338" t="s">
        <v>115</v>
      </c>
      <c r="D338" t="s">
        <v>42</v>
      </c>
      <c r="E338" s="22" t="s">
        <v>232</v>
      </c>
    </row>
    <row r="339" spans="2:5" x14ac:dyDescent="0.3">
      <c r="B339">
        <v>6</v>
      </c>
      <c r="C339" t="s">
        <v>74</v>
      </c>
      <c r="D339" t="s">
        <v>77</v>
      </c>
      <c r="E339" s="22" t="s">
        <v>232</v>
      </c>
    </row>
    <row r="340" spans="2:5" x14ac:dyDescent="0.3">
      <c r="B340">
        <v>6</v>
      </c>
      <c r="C340" t="s">
        <v>132</v>
      </c>
      <c r="D340" t="s">
        <v>54</v>
      </c>
      <c r="E340" s="22" t="s">
        <v>232</v>
      </c>
    </row>
    <row r="341" spans="2:5" x14ac:dyDescent="0.3">
      <c r="B341">
        <v>6</v>
      </c>
      <c r="C341" t="s">
        <v>51</v>
      </c>
      <c r="D341" t="s">
        <v>52</v>
      </c>
      <c r="E341" s="22" t="s">
        <v>232</v>
      </c>
    </row>
    <row r="342" spans="2:5" x14ac:dyDescent="0.3">
      <c r="B342">
        <v>6</v>
      </c>
      <c r="C342" t="s">
        <v>131</v>
      </c>
      <c r="D342" t="s">
        <v>116</v>
      </c>
      <c r="E342" s="22" t="s">
        <v>232</v>
      </c>
    </row>
    <row r="343" spans="2:5" x14ac:dyDescent="0.3">
      <c r="B343">
        <v>6</v>
      </c>
      <c r="C343" t="s">
        <v>78</v>
      </c>
      <c r="D343" t="s">
        <v>79</v>
      </c>
      <c r="E343" s="22" t="s">
        <v>232</v>
      </c>
    </row>
    <row r="344" spans="2:5" x14ac:dyDescent="0.3">
      <c r="B344">
        <v>6</v>
      </c>
      <c r="C344" t="s">
        <v>107</v>
      </c>
      <c r="D344" t="s">
        <v>129</v>
      </c>
      <c r="E344" s="22" t="s">
        <v>232</v>
      </c>
    </row>
    <row r="345" spans="2:5" x14ac:dyDescent="0.3">
      <c r="B345">
        <v>6</v>
      </c>
      <c r="C345" t="s">
        <v>76</v>
      </c>
      <c r="D345" t="s">
        <v>8</v>
      </c>
      <c r="E345" s="22" t="s">
        <v>241</v>
      </c>
    </row>
    <row r="346" spans="2:5" x14ac:dyDescent="0.3">
      <c r="B346">
        <v>6</v>
      </c>
      <c r="C346" t="s">
        <v>87</v>
      </c>
      <c r="D346" t="s">
        <v>83</v>
      </c>
      <c r="E346" s="22" t="s">
        <v>241</v>
      </c>
    </row>
    <row r="347" spans="2:5" x14ac:dyDescent="0.3">
      <c r="B347">
        <v>6</v>
      </c>
      <c r="C347" t="s">
        <v>117</v>
      </c>
      <c r="D347" t="s">
        <v>118</v>
      </c>
      <c r="E347" s="22" t="s">
        <v>232</v>
      </c>
    </row>
    <row r="348" spans="2:5" x14ac:dyDescent="0.3">
      <c r="B348">
        <v>6</v>
      </c>
      <c r="C348" t="s">
        <v>98</v>
      </c>
      <c r="D348" t="s">
        <v>112</v>
      </c>
      <c r="E348" s="22" t="s">
        <v>232</v>
      </c>
    </row>
    <row r="349" spans="2:5" x14ac:dyDescent="0.3">
      <c r="B349">
        <v>6</v>
      </c>
      <c r="C349" t="s">
        <v>128</v>
      </c>
      <c r="D349" t="s">
        <v>44</v>
      </c>
      <c r="E349" s="22" t="s">
        <v>232</v>
      </c>
    </row>
    <row r="350" spans="2:5" x14ac:dyDescent="0.3">
      <c r="B350">
        <v>6</v>
      </c>
      <c r="C350" t="s">
        <v>70</v>
      </c>
      <c r="D350" t="s">
        <v>71</v>
      </c>
      <c r="E350" s="22" t="s">
        <v>232</v>
      </c>
    </row>
    <row r="351" spans="2:5" x14ac:dyDescent="0.3">
      <c r="B351">
        <v>7</v>
      </c>
      <c r="C351" t="s">
        <v>76</v>
      </c>
      <c r="D351" t="s">
        <v>40</v>
      </c>
      <c r="E351" s="22" t="s">
        <v>232</v>
      </c>
    </row>
    <row r="352" spans="2:5" x14ac:dyDescent="0.3">
      <c r="B352">
        <v>7</v>
      </c>
      <c r="C352" t="s">
        <v>15</v>
      </c>
      <c r="D352" t="s">
        <v>137</v>
      </c>
      <c r="E352" s="22" t="s">
        <v>241</v>
      </c>
    </row>
    <row r="353" spans="2:5" x14ac:dyDescent="0.3">
      <c r="B353">
        <v>7</v>
      </c>
      <c r="C353" t="s">
        <v>138</v>
      </c>
      <c r="D353" t="s">
        <v>50</v>
      </c>
      <c r="E353" s="20" t="s">
        <v>232</v>
      </c>
    </row>
    <row r="354" spans="2:5" x14ac:dyDescent="0.3">
      <c r="B354">
        <v>7</v>
      </c>
      <c r="C354" t="s">
        <v>139</v>
      </c>
      <c r="D354" t="s">
        <v>10</v>
      </c>
      <c r="E354" s="39" t="s">
        <v>232</v>
      </c>
    </row>
    <row r="355" spans="2:5" x14ac:dyDescent="0.3">
      <c r="B355">
        <v>7</v>
      </c>
      <c r="C355" t="s">
        <v>11</v>
      </c>
      <c r="D355" t="s">
        <v>12</v>
      </c>
      <c r="E355" s="22" t="s">
        <v>232</v>
      </c>
    </row>
    <row r="356" spans="2:5" x14ac:dyDescent="0.3">
      <c r="B356">
        <v>7</v>
      </c>
      <c r="C356" t="s">
        <v>80</v>
      </c>
      <c r="D356" t="s">
        <v>81</v>
      </c>
      <c r="E356" s="22" t="s">
        <v>232</v>
      </c>
    </row>
    <row r="357" spans="2:5" x14ac:dyDescent="0.3">
      <c r="B357">
        <v>7</v>
      </c>
      <c r="C357" t="s">
        <v>13</v>
      </c>
      <c r="D357" t="s">
        <v>14</v>
      </c>
      <c r="E357" s="22" t="s">
        <v>232</v>
      </c>
    </row>
    <row r="358" spans="2:5" x14ac:dyDescent="0.3">
      <c r="B358">
        <v>7</v>
      </c>
      <c r="C358" t="s">
        <v>120</v>
      </c>
      <c r="D358" t="s">
        <v>38</v>
      </c>
      <c r="E358" s="22" t="s">
        <v>241</v>
      </c>
    </row>
    <row r="359" spans="2:5" x14ac:dyDescent="0.3">
      <c r="B359">
        <v>7</v>
      </c>
      <c r="C359" t="s">
        <v>111</v>
      </c>
      <c r="D359" t="s">
        <v>63</v>
      </c>
      <c r="E359" s="22" t="s">
        <v>232</v>
      </c>
    </row>
    <row r="360" spans="2:5" x14ac:dyDescent="0.3">
      <c r="B360">
        <v>7</v>
      </c>
      <c r="C360" t="s">
        <v>121</v>
      </c>
      <c r="D360" t="s">
        <v>122</v>
      </c>
      <c r="E360" s="22" t="s">
        <v>232</v>
      </c>
    </row>
    <row r="361" spans="2:5" x14ac:dyDescent="0.3">
      <c r="B361">
        <v>7</v>
      </c>
      <c r="C361" t="s">
        <v>17</v>
      </c>
      <c r="D361" t="s">
        <v>18</v>
      </c>
      <c r="E361" s="22" t="s">
        <v>232</v>
      </c>
    </row>
    <row r="362" spans="2:5" x14ac:dyDescent="0.3">
      <c r="B362">
        <v>7</v>
      </c>
      <c r="C362" t="s">
        <v>19</v>
      </c>
      <c r="D362" t="s">
        <v>20</v>
      </c>
      <c r="E362" s="22" t="s">
        <v>232</v>
      </c>
    </row>
    <row r="363" spans="2:5" x14ac:dyDescent="0.3">
      <c r="B363">
        <v>7</v>
      </c>
      <c r="C363" t="s">
        <v>128</v>
      </c>
      <c r="D363" t="s">
        <v>44</v>
      </c>
      <c r="E363" s="22" t="s">
        <v>232</v>
      </c>
    </row>
    <row r="364" spans="2:5" x14ac:dyDescent="0.3">
      <c r="B364">
        <v>7</v>
      </c>
      <c r="C364" t="s">
        <v>21</v>
      </c>
      <c r="D364" t="s">
        <v>22</v>
      </c>
      <c r="E364" s="22" t="s">
        <v>232</v>
      </c>
    </row>
    <row r="365" spans="2:5" x14ac:dyDescent="0.3">
      <c r="B365">
        <v>7</v>
      </c>
      <c r="C365" t="s">
        <v>134</v>
      </c>
      <c r="D365" t="s">
        <v>52</v>
      </c>
      <c r="E365" s="22" t="s">
        <v>232</v>
      </c>
    </row>
    <row r="366" spans="2:5" x14ac:dyDescent="0.3">
      <c r="B366">
        <v>7</v>
      </c>
      <c r="C366" t="s">
        <v>64</v>
      </c>
      <c r="D366" t="s">
        <v>140</v>
      </c>
      <c r="E366" s="22" t="s">
        <v>232</v>
      </c>
    </row>
    <row r="367" spans="2:5" x14ac:dyDescent="0.3">
      <c r="B367">
        <v>7</v>
      </c>
      <c r="C367" t="s">
        <v>90</v>
      </c>
      <c r="D367" t="s">
        <v>16</v>
      </c>
      <c r="E367" s="22" t="s">
        <v>232</v>
      </c>
    </row>
    <row r="368" spans="2:5" x14ac:dyDescent="0.3">
      <c r="B368">
        <v>7</v>
      </c>
      <c r="C368" t="s">
        <v>23</v>
      </c>
      <c r="D368" t="s">
        <v>24</v>
      </c>
      <c r="E368" s="22" t="s">
        <v>241</v>
      </c>
    </row>
    <row r="369" spans="2:5" x14ac:dyDescent="0.3">
      <c r="B369">
        <v>7</v>
      </c>
      <c r="C369" t="s">
        <v>23</v>
      </c>
      <c r="D369" t="s">
        <v>22</v>
      </c>
      <c r="E369" s="22" t="s">
        <v>232</v>
      </c>
    </row>
    <row r="370" spans="2:5" x14ac:dyDescent="0.3">
      <c r="B370">
        <v>7</v>
      </c>
      <c r="C370" t="s">
        <v>108</v>
      </c>
      <c r="D370" t="s">
        <v>75</v>
      </c>
      <c r="E370" s="22" t="s">
        <v>232</v>
      </c>
    </row>
    <row r="371" spans="2:5" x14ac:dyDescent="0.3">
      <c r="B371">
        <v>7</v>
      </c>
      <c r="C371" t="s">
        <v>85</v>
      </c>
      <c r="D371" t="s">
        <v>86</v>
      </c>
      <c r="E371" s="22" t="s">
        <v>232</v>
      </c>
    </row>
    <row r="372" spans="2:5" x14ac:dyDescent="0.3">
      <c r="B372">
        <v>7</v>
      </c>
      <c r="C372" t="s">
        <v>136</v>
      </c>
      <c r="D372" t="s">
        <v>56</v>
      </c>
      <c r="E372" s="22" t="s">
        <v>232</v>
      </c>
    </row>
    <row r="373" spans="2:5" x14ac:dyDescent="0.3">
      <c r="B373">
        <v>7</v>
      </c>
      <c r="C373" t="s">
        <v>25</v>
      </c>
      <c r="D373" t="s">
        <v>26</v>
      </c>
      <c r="E373" s="22" t="s">
        <v>241</v>
      </c>
    </row>
    <row r="374" spans="2:5" x14ac:dyDescent="0.3">
      <c r="B374">
        <v>7</v>
      </c>
      <c r="C374" t="s">
        <v>27</v>
      </c>
      <c r="D374" t="s">
        <v>137</v>
      </c>
      <c r="E374" s="20" t="s">
        <v>232</v>
      </c>
    </row>
    <row r="375" spans="2:5" x14ac:dyDescent="0.3">
      <c r="B375">
        <v>7</v>
      </c>
      <c r="C375" t="s">
        <v>9</v>
      </c>
      <c r="D375" t="s">
        <v>10</v>
      </c>
      <c r="E375" s="39" t="s">
        <v>232</v>
      </c>
    </row>
    <row r="376" spans="2:5" x14ac:dyDescent="0.3">
      <c r="B376">
        <v>7</v>
      </c>
      <c r="C376" t="s">
        <v>70</v>
      </c>
      <c r="D376" t="s">
        <v>71</v>
      </c>
      <c r="E376" s="22" t="s">
        <v>232</v>
      </c>
    </row>
    <row r="377" spans="2:5" x14ac:dyDescent="0.3">
      <c r="B377">
        <v>7</v>
      </c>
      <c r="C377" t="s">
        <v>29</v>
      </c>
      <c r="D377" t="s">
        <v>141</v>
      </c>
      <c r="E377" s="22" t="s">
        <v>232</v>
      </c>
    </row>
    <row r="378" spans="2:5" x14ac:dyDescent="0.3">
      <c r="B378">
        <v>7</v>
      </c>
      <c r="C378" t="s">
        <v>109</v>
      </c>
      <c r="D378" t="s">
        <v>142</v>
      </c>
      <c r="E378" s="22" t="s">
        <v>232</v>
      </c>
    </row>
    <row r="379" spans="2:5" x14ac:dyDescent="0.3">
      <c r="B379">
        <v>7</v>
      </c>
      <c r="C379" t="s">
        <v>72</v>
      </c>
      <c r="D379" t="s">
        <v>73</v>
      </c>
      <c r="E379" s="22" t="s">
        <v>241</v>
      </c>
    </row>
    <row r="380" spans="2:5" x14ac:dyDescent="0.3">
      <c r="B380">
        <v>7</v>
      </c>
      <c r="C380" t="s">
        <v>92</v>
      </c>
      <c r="D380" t="s">
        <v>30</v>
      </c>
      <c r="E380" s="22" t="s">
        <v>232</v>
      </c>
    </row>
    <row r="381" spans="2:5" x14ac:dyDescent="0.3">
      <c r="B381">
        <v>7</v>
      </c>
      <c r="C381" t="s">
        <v>105</v>
      </c>
      <c r="D381" t="s">
        <v>106</v>
      </c>
      <c r="E381" s="22" t="s">
        <v>232</v>
      </c>
    </row>
    <row r="382" spans="2:5" x14ac:dyDescent="0.3">
      <c r="B382">
        <v>7</v>
      </c>
      <c r="C382" t="s">
        <v>31</v>
      </c>
      <c r="D382" t="s">
        <v>143</v>
      </c>
      <c r="E382" s="22" t="s">
        <v>232</v>
      </c>
    </row>
    <row r="383" spans="2:5" x14ac:dyDescent="0.3">
      <c r="B383">
        <v>7</v>
      </c>
      <c r="C383" t="s">
        <v>91</v>
      </c>
      <c r="D383" t="s">
        <v>144</v>
      </c>
      <c r="E383" s="22" t="s">
        <v>232</v>
      </c>
    </row>
    <row r="384" spans="2:5" x14ac:dyDescent="0.3">
      <c r="B384">
        <v>7</v>
      </c>
      <c r="C384" t="s">
        <v>33</v>
      </c>
      <c r="D384" t="s">
        <v>67</v>
      </c>
      <c r="E384" s="22" t="s">
        <v>232</v>
      </c>
    </row>
    <row r="385" spans="2:5" x14ac:dyDescent="0.3">
      <c r="B385">
        <v>7</v>
      </c>
      <c r="C385" t="s">
        <v>35</v>
      </c>
      <c r="D385" t="s">
        <v>36</v>
      </c>
      <c r="E385" s="22" t="s">
        <v>232</v>
      </c>
    </row>
    <row r="386" spans="2:5" x14ac:dyDescent="0.3">
      <c r="B386">
        <v>7</v>
      </c>
      <c r="C386" t="s">
        <v>37</v>
      </c>
      <c r="D386" t="s">
        <v>24</v>
      </c>
      <c r="E386" s="22" t="s">
        <v>232</v>
      </c>
    </row>
    <row r="387" spans="2:5" x14ac:dyDescent="0.3">
      <c r="B387">
        <v>7</v>
      </c>
      <c r="C387" t="s">
        <v>114</v>
      </c>
      <c r="D387" t="s">
        <v>46</v>
      </c>
      <c r="E387" s="22" t="s">
        <v>232</v>
      </c>
    </row>
    <row r="388" spans="2:5" x14ac:dyDescent="0.3">
      <c r="B388">
        <v>7</v>
      </c>
      <c r="C388" t="s">
        <v>43</v>
      </c>
      <c r="D388" t="s">
        <v>145</v>
      </c>
      <c r="E388" s="20" t="s">
        <v>291</v>
      </c>
    </row>
    <row r="389" spans="2:5" x14ac:dyDescent="0.3">
      <c r="B389">
        <v>7</v>
      </c>
      <c r="C389" t="s">
        <v>84</v>
      </c>
      <c r="D389" t="s">
        <v>146</v>
      </c>
      <c r="E389" s="22" t="s">
        <v>232</v>
      </c>
    </row>
    <row r="390" spans="2:5" x14ac:dyDescent="0.3">
      <c r="B390">
        <v>7</v>
      </c>
      <c r="C390" t="s">
        <v>89</v>
      </c>
      <c r="D390" t="s">
        <v>4</v>
      </c>
      <c r="E390" s="22" t="s">
        <v>241</v>
      </c>
    </row>
    <row r="391" spans="2:5" x14ac:dyDescent="0.3">
      <c r="B391">
        <v>7</v>
      </c>
      <c r="C391" t="s">
        <v>119</v>
      </c>
      <c r="D391" t="s">
        <v>97</v>
      </c>
      <c r="E391" s="22" t="s">
        <v>232</v>
      </c>
    </row>
    <row r="392" spans="2:5" x14ac:dyDescent="0.3">
      <c r="B392">
        <v>7</v>
      </c>
      <c r="C392" t="s">
        <v>123</v>
      </c>
      <c r="D392" t="s">
        <v>59</v>
      </c>
      <c r="E392" s="22" t="s">
        <v>232</v>
      </c>
    </row>
    <row r="393" spans="2:5" x14ac:dyDescent="0.3">
      <c r="B393">
        <v>7</v>
      </c>
      <c r="C393" t="s">
        <v>5</v>
      </c>
      <c r="D393" t="s">
        <v>6</v>
      </c>
      <c r="E393" s="22" t="s">
        <v>232</v>
      </c>
    </row>
    <row r="394" spans="2:5" x14ac:dyDescent="0.3">
      <c r="B394">
        <v>7</v>
      </c>
      <c r="C394" t="s">
        <v>5</v>
      </c>
      <c r="D394" t="s">
        <v>42</v>
      </c>
      <c r="E394" s="22" t="s">
        <v>241</v>
      </c>
    </row>
    <row r="395" spans="2:5" x14ac:dyDescent="0.3">
      <c r="B395">
        <v>7</v>
      </c>
      <c r="C395" t="s">
        <v>47</v>
      </c>
      <c r="D395" t="s">
        <v>147</v>
      </c>
      <c r="E395" s="22" t="s">
        <v>232</v>
      </c>
    </row>
    <row r="396" spans="2:5" x14ac:dyDescent="0.3">
      <c r="B396">
        <v>7</v>
      </c>
      <c r="C396" t="s">
        <v>49</v>
      </c>
      <c r="D396" t="s">
        <v>96</v>
      </c>
      <c r="E396" s="22" t="s">
        <v>241</v>
      </c>
    </row>
    <row r="397" spans="2:5" x14ac:dyDescent="0.3">
      <c r="B397">
        <v>7</v>
      </c>
      <c r="C397" t="s">
        <v>49</v>
      </c>
      <c r="D397" t="s">
        <v>104</v>
      </c>
      <c r="E397" s="20" t="s">
        <v>232</v>
      </c>
    </row>
    <row r="398" spans="2:5" x14ac:dyDescent="0.3">
      <c r="B398">
        <v>7</v>
      </c>
      <c r="C398" t="s">
        <v>115</v>
      </c>
      <c r="D398" t="s">
        <v>42</v>
      </c>
      <c r="E398" s="39" t="s">
        <v>232</v>
      </c>
    </row>
    <row r="399" spans="2:5" x14ac:dyDescent="0.3">
      <c r="B399">
        <v>7</v>
      </c>
      <c r="C399" t="s">
        <v>74</v>
      </c>
      <c r="D399" t="s">
        <v>77</v>
      </c>
      <c r="E399" s="41" t="s">
        <v>291</v>
      </c>
    </row>
    <row r="400" spans="2:5" x14ac:dyDescent="0.3">
      <c r="B400">
        <v>7</v>
      </c>
      <c r="C400" t="s">
        <v>132</v>
      </c>
      <c r="D400" t="s">
        <v>54</v>
      </c>
      <c r="E400" s="22" t="s">
        <v>232</v>
      </c>
    </row>
    <row r="401" spans="2:5" x14ac:dyDescent="0.3">
      <c r="B401">
        <v>7</v>
      </c>
      <c r="C401" t="s">
        <v>51</v>
      </c>
      <c r="D401" t="s">
        <v>52</v>
      </c>
      <c r="E401" s="22" t="s">
        <v>232</v>
      </c>
    </row>
    <row r="402" spans="2:5" x14ac:dyDescent="0.3">
      <c r="B402">
        <v>7</v>
      </c>
      <c r="C402" t="s">
        <v>131</v>
      </c>
      <c r="D402" t="s">
        <v>116</v>
      </c>
      <c r="E402" s="22" t="s">
        <v>232</v>
      </c>
    </row>
    <row r="403" spans="2:5" x14ac:dyDescent="0.3">
      <c r="B403">
        <v>7</v>
      </c>
      <c r="C403" t="s">
        <v>78</v>
      </c>
      <c r="D403" t="s">
        <v>79</v>
      </c>
      <c r="E403" s="22" t="s">
        <v>241</v>
      </c>
    </row>
    <row r="404" spans="2:5" x14ac:dyDescent="0.3">
      <c r="B404">
        <v>7</v>
      </c>
      <c r="C404" t="s">
        <v>107</v>
      </c>
      <c r="D404" t="s">
        <v>148</v>
      </c>
      <c r="E404" s="22" t="s">
        <v>232</v>
      </c>
    </row>
    <row r="405" spans="2:5" x14ac:dyDescent="0.3">
      <c r="B405">
        <v>7</v>
      </c>
      <c r="C405" t="s">
        <v>87</v>
      </c>
      <c r="D405" t="s">
        <v>83</v>
      </c>
      <c r="E405" s="22" t="s">
        <v>232</v>
      </c>
    </row>
    <row r="406" spans="2:5" x14ac:dyDescent="0.3">
      <c r="B406">
        <v>7</v>
      </c>
      <c r="C406" t="s">
        <v>117</v>
      </c>
      <c r="D406" t="s">
        <v>118</v>
      </c>
      <c r="E406" s="22" t="s">
        <v>232</v>
      </c>
    </row>
    <row r="407" spans="2:5" x14ac:dyDescent="0.3">
      <c r="B407">
        <v>7</v>
      </c>
      <c r="C407" t="s">
        <v>98</v>
      </c>
      <c r="D407" t="s">
        <v>112</v>
      </c>
      <c r="E407" s="22" t="s">
        <v>232</v>
      </c>
    </row>
    <row r="408" spans="2:5" x14ac:dyDescent="0.3">
      <c r="B408">
        <v>7</v>
      </c>
      <c r="C408" t="s">
        <v>149</v>
      </c>
      <c r="D408" t="s">
        <v>69</v>
      </c>
      <c r="E408" s="22" t="s">
        <v>232</v>
      </c>
    </row>
    <row r="409" spans="2:5" x14ac:dyDescent="0.3">
      <c r="B409">
        <v>7</v>
      </c>
      <c r="C409" t="s">
        <v>150</v>
      </c>
      <c r="D409" t="s">
        <v>104</v>
      </c>
      <c r="E409" s="22" t="s">
        <v>232</v>
      </c>
    </row>
    <row r="410" spans="2:5" x14ac:dyDescent="0.3">
      <c r="B410">
        <v>8</v>
      </c>
      <c r="C410" t="s">
        <v>172</v>
      </c>
      <c r="D410" t="s">
        <v>40</v>
      </c>
      <c r="E410" s="22" t="s">
        <v>232</v>
      </c>
    </row>
    <row r="411" spans="2:5" x14ac:dyDescent="0.3">
      <c r="B411">
        <v>8</v>
      </c>
      <c r="C411" t="s">
        <v>173</v>
      </c>
      <c r="D411" t="s">
        <v>52</v>
      </c>
      <c r="E411" s="22" t="s">
        <v>232</v>
      </c>
    </row>
    <row r="412" spans="2:5" x14ac:dyDescent="0.3">
      <c r="B412">
        <v>8</v>
      </c>
      <c r="C412" t="s">
        <v>174</v>
      </c>
      <c r="D412" t="s">
        <v>77</v>
      </c>
      <c r="E412" s="22" t="s">
        <v>241</v>
      </c>
    </row>
    <row r="413" spans="2:5" x14ac:dyDescent="0.3">
      <c r="B413">
        <v>8</v>
      </c>
      <c r="C413" t="s">
        <v>175</v>
      </c>
      <c r="D413" t="s">
        <v>69</v>
      </c>
      <c r="E413" s="22" t="s">
        <v>232</v>
      </c>
    </row>
    <row r="414" spans="2:5" x14ac:dyDescent="0.3">
      <c r="B414">
        <v>8</v>
      </c>
      <c r="C414" t="s">
        <v>76</v>
      </c>
      <c r="D414" t="s">
        <v>40</v>
      </c>
      <c r="E414" s="20" t="s">
        <v>291</v>
      </c>
    </row>
    <row r="415" spans="2:5" x14ac:dyDescent="0.3">
      <c r="B415">
        <v>8</v>
      </c>
      <c r="C415" t="s">
        <v>15</v>
      </c>
      <c r="D415" t="s">
        <v>137</v>
      </c>
      <c r="E415" s="20" t="s">
        <v>291</v>
      </c>
    </row>
    <row r="416" spans="2:5" x14ac:dyDescent="0.3">
      <c r="B416">
        <v>8</v>
      </c>
      <c r="C416" t="s">
        <v>138</v>
      </c>
      <c r="D416" t="s">
        <v>50</v>
      </c>
      <c r="E416" s="22" t="s">
        <v>232</v>
      </c>
    </row>
    <row r="417" spans="2:5" x14ac:dyDescent="0.3">
      <c r="B417">
        <v>8</v>
      </c>
      <c r="C417" t="s">
        <v>139</v>
      </c>
      <c r="D417" t="s">
        <v>10</v>
      </c>
      <c r="E417" s="22" t="s">
        <v>241</v>
      </c>
    </row>
    <row r="418" spans="2:5" x14ac:dyDescent="0.3">
      <c r="B418">
        <v>8</v>
      </c>
      <c r="C418" t="s">
        <v>11</v>
      </c>
      <c r="D418" t="s">
        <v>12</v>
      </c>
      <c r="E418" s="22" t="s">
        <v>232</v>
      </c>
    </row>
    <row r="419" spans="2:5" x14ac:dyDescent="0.3">
      <c r="B419">
        <v>8</v>
      </c>
      <c r="C419" t="s">
        <v>80</v>
      </c>
      <c r="D419" t="s">
        <v>81</v>
      </c>
      <c r="E419" s="22" t="s">
        <v>232</v>
      </c>
    </row>
    <row r="420" spans="2:5" x14ac:dyDescent="0.3">
      <c r="B420">
        <v>8</v>
      </c>
      <c r="C420" t="s">
        <v>13</v>
      </c>
      <c r="D420" t="s">
        <v>14</v>
      </c>
      <c r="E420" s="22" t="s">
        <v>241</v>
      </c>
    </row>
    <row r="421" spans="2:5" x14ac:dyDescent="0.3">
      <c r="B421">
        <v>8</v>
      </c>
      <c r="C421" t="s">
        <v>120</v>
      </c>
      <c r="D421" t="s">
        <v>38</v>
      </c>
      <c r="E421" s="22" t="s">
        <v>232</v>
      </c>
    </row>
    <row r="422" spans="2:5" x14ac:dyDescent="0.3">
      <c r="B422">
        <v>8</v>
      </c>
      <c r="C422" t="s">
        <v>111</v>
      </c>
      <c r="D422" t="s">
        <v>63</v>
      </c>
      <c r="E422" s="22" t="s">
        <v>241</v>
      </c>
    </row>
    <row r="423" spans="2:5" x14ac:dyDescent="0.3">
      <c r="B423">
        <v>8</v>
      </c>
      <c r="C423" t="s">
        <v>111</v>
      </c>
      <c r="D423" t="s">
        <v>16</v>
      </c>
      <c r="E423" s="20" t="s">
        <v>232</v>
      </c>
    </row>
    <row r="424" spans="2:5" x14ac:dyDescent="0.3">
      <c r="B424">
        <v>8</v>
      </c>
      <c r="C424" t="s">
        <v>121</v>
      </c>
      <c r="D424" t="s">
        <v>122</v>
      </c>
      <c r="E424" s="39" t="s">
        <v>232</v>
      </c>
    </row>
    <row r="425" spans="2:5" x14ac:dyDescent="0.3">
      <c r="B425">
        <v>8</v>
      </c>
      <c r="C425" t="s">
        <v>17</v>
      </c>
      <c r="D425" t="s">
        <v>18</v>
      </c>
      <c r="E425" s="22" t="s">
        <v>232</v>
      </c>
    </row>
    <row r="426" spans="2:5" x14ac:dyDescent="0.3">
      <c r="B426">
        <v>8</v>
      </c>
      <c r="C426" t="s">
        <v>19</v>
      </c>
      <c r="D426" t="s">
        <v>20</v>
      </c>
      <c r="E426" s="22" t="s">
        <v>232</v>
      </c>
    </row>
    <row r="427" spans="2:5" x14ac:dyDescent="0.3">
      <c r="B427">
        <v>8</v>
      </c>
      <c r="C427" t="s">
        <v>128</v>
      </c>
      <c r="D427" t="s">
        <v>44</v>
      </c>
      <c r="E427" s="22" t="s">
        <v>232</v>
      </c>
    </row>
    <row r="428" spans="2:5" x14ac:dyDescent="0.3">
      <c r="B428">
        <v>8</v>
      </c>
      <c r="C428" t="s">
        <v>128</v>
      </c>
      <c r="D428" t="s">
        <v>155</v>
      </c>
      <c r="E428" s="22" t="s">
        <v>241</v>
      </c>
    </row>
    <row r="429" spans="2:5" x14ac:dyDescent="0.3">
      <c r="B429">
        <v>8</v>
      </c>
      <c r="C429" t="s">
        <v>21</v>
      </c>
      <c r="D429" t="s">
        <v>22</v>
      </c>
      <c r="E429" s="22" t="s">
        <v>232</v>
      </c>
    </row>
    <row r="430" spans="2:5" x14ac:dyDescent="0.3">
      <c r="B430">
        <v>8</v>
      </c>
      <c r="C430" t="s">
        <v>64</v>
      </c>
      <c r="D430" t="s">
        <v>140</v>
      </c>
      <c r="E430" s="22" t="s">
        <v>232</v>
      </c>
    </row>
    <row r="431" spans="2:5" x14ac:dyDescent="0.3">
      <c r="B431">
        <v>8</v>
      </c>
      <c r="C431" t="s">
        <v>90</v>
      </c>
      <c r="D431" t="s">
        <v>16</v>
      </c>
      <c r="E431" s="22" t="s">
        <v>232</v>
      </c>
    </row>
    <row r="432" spans="2:5" x14ac:dyDescent="0.3">
      <c r="B432">
        <v>8</v>
      </c>
      <c r="C432" t="s">
        <v>23</v>
      </c>
      <c r="D432" t="s">
        <v>24</v>
      </c>
      <c r="E432" s="22" t="s">
        <v>232</v>
      </c>
    </row>
    <row r="433" spans="2:5" x14ac:dyDescent="0.3">
      <c r="B433">
        <v>8</v>
      </c>
      <c r="C433" t="s">
        <v>23</v>
      </c>
      <c r="D433" t="s">
        <v>22</v>
      </c>
      <c r="E433" s="22" t="s">
        <v>232</v>
      </c>
    </row>
    <row r="434" spans="2:5" x14ac:dyDescent="0.3">
      <c r="B434">
        <v>8</v>
      </c>
      <c r="C434" t="s">
        <v>108</v>
      </c>
      <c r="D434" t="s">
        <v>75</v>
      </c>
      <c r="E434" s="22" t="s">
        <v>232</v>
      </c>
    </row>
    <row r="435" spans="2:5" x14ac:dyDescent="0.3">
      <c r="B435">
        <v>8</v>
      </c>
      <c r="C435" t="s">
        <v>85</v>
      </c>
      <c r="D435" t="s">
        <v>86</v>
      </c>
      <c r="E435" s="22" t="s">
        <v>232</v>
      </c>
    </row>
    <row r="436" spans="2:5" x14ac:dyDescent="0.3">
      <c r="B436">
        <v>8</v>
      </c>
      <c r="C436" t="s">
        <v>136</v>
      </c>
      <c r="D436" t="s">
        <v>56</v>
      </c>
      <c r="E436" s="22" t="s">
        <v>232</v>
      </c>
    </row>
    <row r="437" spans="2:5" x14ac:dyDescent="0.3">
      <c r="B437">
        <v>8</v>
      </c>
      <c r="C437" t="s">
        <v>25</v>
      </c>
      <c r="D437" t="s">
        <v>26</v>
      </c>
      <c r="E437" s="20" t="s">
        <v>291</v>
      </c>
    </row>
    <row r="438" spans="2:5" x14ac:dyDescent="0.3">
      <c r="B438">
        <v>8</v>
      </c>
      <c r="C438" t="s">
        <v>27</v>
      </c>
      <c r="D438" t="s">
        <v>137</v>
      </c>
      <c r="E438" s="22" t="s">
        <v>232</v>
      </c>
    </row>
    <row r="439" spans="2:5" x14ac:dyDescent="0.3">
      <c r="B439">
        <v>8</v>
      </c>
      <c r="C439" t="s">
        <v>9</v>
      </c>
      <c r="D439" t="s">
        <v>10</v>
      </c>
      <c r="E439" s="22" t="s">
        <v>241</v>
      </c>
    </row>
    <row r="440" spans="2:5" x14ac:dyDescent="0.3">
      <c r="B440">
        <v>8</v>
      </c>
      <c r="C440" t="s">
        <v>70</v>
      </c>
      <c r="D440" t="s">
        <v>71</v>
      </c>
      <c r="E440" s="22" t="s">
        <v>232</v>
      </c>
    </row>
    <row r="441" spans="2:5" x14ac:dyDescent="0.3">
      <c r="B441">
        <v>8</v>
      </c>
      <c r="C441" t="s">
        <v>29</v>
      </c>
      <c r="D441" t="s">
        <v>141</v>
      </c>
      <c r="E441" s="22" t="s">
        <v>232</v>
      </c>
    </row>
    <row r="442" spans="2:5" x14ac:dyDescent="0.3">
      <c r="B442">
        <v>8</v>
      </c>
      <c r="C442" t="s">
        <v>109</v>
      </c>
      <c r="D442" t="s">
        <v>142</v>
      </c>
      <c r="E442" s="22" t="s">
        <v>241</v>
      </c>
    </row>
    <row r="443" spans="2:5" x14ac:dyDescent="0.3">
      <c r="B443">
        <v>8</v>
      </c>
      <c r="C443" t="s">
        <v>72</v>
      </c>
      <c r="D443" t="s">
        <v>73</v>
      </c>
      <c r="E443" s="22" t="s">
        <v>232</v>
      </c>
    </row>
    <row r="444" spans="2:5" x14ac:dyDescent="0.3">
      <c r="B444">
        <v>8</v>
      </c>
      <c r="C444" t="s">
        <v>92</v>
      </c>
      <c r="D444" t="s">
        <v>30</v>
      </c>
      <c r="E444" s="22" t="s">
        <v>241</v>
      </c>
    </row>
    <row r="445" spans="2:5" x14ac:dyDescent="0.3">
      <c r="B445">
        <v>8</v>
      </c>
      <c r="C445" t="s">
        <v>105</v>
      </c>
      <c r="D445" t="s">
        <v>106</v>
      </c>
      <c r="E445" s="20" t="s">
        <v>232</v>
      </c>
    </row>
    <row r="446" spans="2:5" x14ac:dyDescent="0.3">
      <c r="B446">
        <v>8</v>
      </c>
      <c r="C446" t="s">
        <v>31</v>
      </c>
      <c r="D446" t="s">
        <v>143</v>
      </c>
      <c r="E446" s="39" t="s">
        <v>232</v>
      </c>
    </row>
    <row r="447" spans="2:5" x14ac:dyDescent="0.3">
      <c r="B447">
        <v>8</v>
      </c>
      <c r="C447" t="s">
        <v>91</v>
      </c>
      <c r="D447" t="s">
        <v>144</v>
      </c>
      <c r="E447" s="22" t="s">
        <v>232</v>
      </c>
    </row>
    <row r="448" spans="2:5" x14ac:dyDescent="0.3">
      <c r="B448">
        <v>8</v>
      </c>
      <c r="C448" t="s">
        <v>33</v>
      </c>
      <c r="D448" t="s">
        <v>67</v>
      </c>
      <c r="E448" s="22" t="s">
        <v>232</v>
      </c>
    </row>
    <row r="449" spans="2:5" x14ac:dyDescent="0.3">
      <c r="B449">
        <v>8</v>
      </c>
      <c r="C449" t="s">
        <v>35</v>
      </c>
      <c r="D449" t="s">
        <v>36</v>
      </c>
      <c r="E449" s="22" t="s">
        <v>232</v>
      </c>
    </row>
    <row r="450" spans="2:5" x14ac:dyDescent="0.3">
      <c r="B450">
        <v>8</v>
      </c>
      <c r="C450" t="s">
        <v>37</v>
      </c>
      <c r="D450" t="s">
        <v>24</v>
      </c>
      <c r="E450" s="22" t="s">
        <v>241</v>
      </c>
    </row>
    <row r="451" spans="2:5" x14ac:dyDescent="0.3">
      <c r="B451">
        <v>8</v>
      </c>
      <c r="C451" t="s">
        <v>114</v>
      </c>
      <c r="D451" t="s">
        <v>46</v>
      </c>
      <c r="E451" s="22" t="s">
        <v>232</v>
      </c>
    </row>
    <row r="452" spans="2:5" x14ac:dyDescent="0.3">
      <c r="B452">
        <v>8</v>
      </c>
      <c r="C452" t="s">
        <v>43</v>
      </c>
      <c r="D452" t="s">
        <v>145</v>
      </c>
      <c r="E452" s="22" t="s">
        <v>232</v>
      </c>
    </row>
    <row r="453" spans="2:5" x14ac:dyDescent="0.3">
      <c r="B453">
        <v>8</v>
      </c>
      <c r="C453" t="s">
        <v>84</v>
      </c>
      <c r="D453" t="s">
        <v>146</v>
      </c>
      <c r="E453" s="22" t="s">
        <v>232</v>
      </c>
    </row>
    <row r="454" spans="2:5" x14ac:dyDescent="0.3">
      <c r="B454">
        <v>8</v>
      </c>
      <c r="C454" t="s">
        <v>89</v>
      </c>
      <c r="D454" t="s">
        <v>4</v>
      </c>
      <c r="E454" s="22" t="s">
        <v>232</v>
      </c>
    </row>
    <row r="455" spans="2:5" x14ac:dyDescent="0.3">
      <c r="B455">
        <v>8</v>
      </c>
      <c r="C455" t="s">
        <v>123</v>
      </c>
      <c r="D455" t="s">
        <v>59</v>
      </c>
      <c r="E455" s="22" t="s">
        <v>232</v>
      </c>
    </row>
    <row r="456" spans="2:5" x14ac:dyDescent="0.3">
      <c r="B456">
        <v>8</v>
      </c>
      <c r="C456" t="s">
        <v>5</v>
      </c>
      <c r="D456" t="s">
        <v>6</v>
      </c>
      <c r="E456" s="22" t="s">
        <v>232</v>
      </c>
    </row>
    <row r="457" spans="2:5" x14ac:dyDescent="0.3">
      <c r="B457">
        <v>8</v>
      </c>
      <c r="C457" t="s">
        <v>5</v>
      </c>
      <c r="D457" t="s">
        <v>42</v>
      </c>
      <c r="E457" s="22" t="s">
        <v>232</v>
      </c>
    </row>
    <row r="458" spans="2:5" x14ac:dyDescent="0.3">
      <c r="B458">
        <v>8</v>
      </c>
      <c r="C458" t="s">
        <v>47</v>
      </c>
      <c r="D458" t="s">
        <v>147</v>
      </c>
      <c r="E458" s="22" t="s">
        <v>232</v>
      </c>
    </row>
    <row r="459" spans="2:5" x14ac:dyDescent="0.3">
      <c r="B459">
        <v>8</v>
      </c>
      <c r="C459" t="s">
        <v>49</v>
      </c>
      <c r="D459" t="s">
        <v>96</v>
      </c>
      <c r="E459" s="22" t="s">
        <v>232</v>
      </c>
    </row>
    <row r="460" spans="2:5" x14ac:dyDescent="0.3">
      <c r="B460">
        <v>8</v>
      </c>
      <c r="C460" t="s">
        <v>49</v>
      </c>
      <c r="D460" t="s">
        <v>104</v>
      </c>
      <c r="E460" s="22" t="s">
        <v>232</v>
      </c>
    </row>
    <row r="461" spans="2:5" x14ac:dyDescent="0.3">
      <c r="B461">
        <v>8</v>
      </c>
      <c r="C461" t="s">
        <v>115</v>
      </c>
      <c r="D461" t="s">
        <v>42</v>
      </c>
      <c r="E461" s="22" t="s">
        <v>232</v>
      </c>
    </row>
    <row r="462" spans="2:5" x14ac:dyDescent="0.3">
      <c r="B462">
        <v>8</v>
      </c>
      <c r="C462" t="s">
        <v>132</v>
      </c>
      <c r="D462" t="s">
        <v>54</v>
      </c>
      <c r="E462" s="22" t="s">
        <v>232</v>
      </c>
    </row>
    <row r="463" spans="2:5" x14ac:dyDescent="0.3">
      <c r="B463">
        <v>8</v>
      </c>
      <c r="C463" t="s">
        <v>51</v>
      </c>
      <c r="D463" t="s">
        <v>52</v>
      </c>
      <c r="E463" s="22" t="s">
        <v>232</v>
      </c>
    </row>
    <row r="464" spans="2:5" x14ac:dyDescent="0.3">
      <c r="B464">
        <v>8</v>
      </c>
      <c r="C464" t="s">
        <v>131</v>
      </c>
      <c r="D464" t="s">
        <v>116</v>
      </c>
      <c r="E464" s="22" t="s">
        <v>241</v>
      </c>
    </row>
    <row r="465" spans="2:5" x14ac:dyDescent="0.3">
      <c r="B465">
        <v>8</v>
      </c>
      <c r="C465" t="s">
        <v>78</v>
      </c>
      <c r="D465" t="s">
        <v>79</v>
      </c>
      <c r="E465" s="22" t="s">
        <v>232</v>
      </c>
    </row>
    <row r="466" spans="2:5" x14ac:dyDescent="0.3">
      <c r="B466">
        <v>8</v>
      </c>
      <c r="C466" t="s">
        <v>107</v>
      </c>
      <c r="D466" t="s">
        <v>148</v>
      </c>
      <c r="E466" s="20" t="s">
        <v>232</v>
      </c>
    </row>
    <row r="467" spans="2:5" x14ac:dyDescent="0.3">
      <c r="B467">
        <v>8</v>
      </c>
      <c r="C467" t="s">
        <v>87</v>
      </c>
      <c r="D467" t="s">
        <v>83</v>
      </c>
      <c r="E467" s="39" t="s">
        <v>232</v>
      </c>
    </row>
    <row r="468" spans="2:5" x14ac:dyDescent="0.3">
      <c r="B468">
        <v>8</v>
      </c>
      <c r="C468" t="s">
        <v>117</v>
      </c>
      <c r="D468" t="s">
        <v>118</v>
      </c>
      <c r="E468" s="22" t="s">
        <v>232</v>
      </c>
    </row>
    <row r="469" spans="2:5" x14ac:dyDescent="0.3">
      <c r="B469">
        <v>8</v>
      </c>
      <c r="C469" t="s">
        <v>98</v>
      </c>
      <c r="D469" t="s">
        <v>112</v>
      </c>
      <c r="E469" s="22" t="s">
        <v>232</v>
      </c>
    </row>
    <row r="470" spans="2:5" x14ac:dyDescent="0.3">
      <c r="B470">
        <v>8</v>
      </c>
      <c r="C470" t="s">
        <v>150</v>
      </c>
      <c r="D470" t="s">
        <v>104</v>
      </c>
      <c r="E470" s="22" t="s">
        <v>232</v>
      </c>
    </row>
    <row r="471" spans="2:5" x14ac:dyDescent="0.3">
      <c r="B471">
        <v>8</v>
      </c>
      <c r="C471" t="s">
        <v>134</v>
      </c>
      <c r="D471" t="s">
        <v>52</v>
      </c>
      <c r="E471" s="22" t="s">
        <v>241</v>
      </c>
    </row>
    <row r="472" spans="2:5" x14ac:dyDescent="0.3">
      <c r="B472">
        <v>8</v>
      </c>
      <c r="C472" t="s">
        <v>149</v>
      </c>
      <c r="D472" t="s">
        <v>71</v>
      </c>
      <c r="E472" s="22" t="s">
        <v>241</v>
      </c>
    </row>
    <row r="473" spans="2:5" x14ac:dyDescent="0.3">
      <c r="B473">
        <v>8</v>
      </c>
      <c r="C473" t="s">
        <v>176</v>
      </c>
      <c r="D473" t="s">
        <v>158</v>
      </c>
      <c r="E473" s="22" t="s">
        <v>232</v>
      </c>
    </row>
    <row r="474" spans="2:5" x14ac:dyDescent="0.3">
      <c r="B474">
        <v>8</v>
      </c>
      <c r="C474" t="s">
        <v>177</v>
      </c>
      <c r="D474" t="s">
        <v>40</v>
      </c>
      <c r="E474" s="22" t="s">
        <v>232</v>
      </c>
    </row>
    <row r="475" spans="2:5" x14ac:dyDescent="0.3">
      <c r="B475">
        <v>8</v>
      </c>
      <c r="C475" t="s">
        <v>178</v>
      </c>
      <c r="E475" s="22" t="s">
        <v>232</v>
      </c>
    </row>
    <row r="476" spans="2:5" x14ac:dyDescent="0.3">
      <c r="B476">
        <v>9</v>
      </c>
      <c r="C476" t="s">
        <v>186</v>
      </c>
      <c r="D476" t="s">
        <v>54</v>
      </c>
      <c r="E476" s="22" t="s">
        <v>232</v>
      </c>
    </row>
    <row r="477" spans="2:5" x14ac:dyDescent="0.3">
      <c r="B477">
        <v>9</v>
      </c>
      <c r="C477" t="s">
        <v>183</v>
      </c>
      <c r="D477" t="s">
        <v>40</v>
      </c>
      <c r="E477" s="22" t="s">
        <v>364</v>
      </c>
    </row>
    <row r="478" spans="2:5" x14ac:dyDescent="0.3">
      <c r="B478">
        <v>9</v>
      </c>
      <c r="C478" t="s">
        <v>187</v>
      </c>
      <c r="D478" t="s">
        <v>44</v>
      </c>
      <c r="E478" s="22" t="s">
        <v>232</v>
      </c>
    </row>
    <row r="479" spans="2:5" x14ac:dyDescent="0.3">
      <c r="B479">
        <v>9</v>
      </c>
      <c r="C479" t="s">
        <v>190</v>
      </c>
      <c r="D479" t="s">
        <v>50</v>
      </c>
      <c r="E479" s="22" t="s">
        <v>232</v>
      </c>
    </row>
    <row r="480" spans="2:5" x14ac:dyDescent="0.3">
      <c r="B480">
        <v>9</v>
      </c>
      <c r="C480" t="s">
        <v>190</v>
      </c>
      <c r="D480" t="s">
        <v>142</v>
      </c>
      <c r="E480" s="22" t="s">
        <v>232</v>
      </c>
    </row>
    <row r="481" spans="2:5" x14ac:dyDescent="0.3">
      <c r="B481">
        <v>9</v>
      </c>
      <c r="C481" t="s">
        <v>185</v>
      </c>
      <c r="D481" t="s">
        <v>34</v>
      </c>
      <c r="E481" s="20" t="s">
        <v>291</v>
      </c>
    </row>
    <row r="482" spans="2:5" x14ac:dyDescent="0.3">
      <c r="B482">
        <v>9</v>
      </c>
      <c r="C482" t="s">
        <v>189</v>
      </c>
      <c r="D482" t="s">
        <v>24</v>
      </c>
      <c r="E482" s="20" t="s">
        <v>364</v>
      </c>
    </row>
    <row r="483" spans="2:5" x14ac:dyDescent="0.3">
      <c r="B483">
        <v>9</v>
      </c>
      <c r="C483" t="s">
        <v>109</v>
      </c>
      <c r="D483" t="s">
        <v>142</v>
      </c>
      <c r="E483" s="22" t="s">
        <v>232</v>
      </c>
    </row>
    <row r="484" spans="2:5" x14ac:dyDescent="0.3">
      <c r="B484">
        <v>9</v>
      </c>
      <c r="C484" t="s">
        <v>37</v>
      </c>
      <c r="D484" t="s">
        <v>24</v>
      </c>
      <c r="E484" s="22" t="s">
        <v>232</v>
      </c>
    </row>
    <row r="485" spans="2:5" x14ac:dyDescent="0.3">
      <c r="B485">
        <v>9</v>
      </c>
      <c r="C485" t="s">
        <v>173</v>
      </c>
      <c r="D485" t="s">
        <v>52</v>
      </c>
      <c r="E485" s="22" t="s">
        <v>232</v>
      </c>
    </row>
    <row r="486" spans="2:5" x14ac:dyDescent="0.3">
      <c r="B486">
        <v>9</v>
      </c>
      <c r="C486" t="s">
        <v>174</v>
      </c>
      <c r="D486" t="s">
        <v>77</v>
      </c>
      <c r="E486" s="22" t="s">
        <v>232</v>
      </c>
    </row>
    <row r="487" spans="2:5" x14ac:dyDescent="0.3">
      <c r="B487">
        <v>9</v>
      </c>
      <c r="C487" t="s">
        <v>175</v>
      </c>
      <c r="D487" t="s">
        <v>69</v>
      </c>
      <c r="E487" s="22" t="s">
        <v>232</v>
      </c>
    </row>
    <row r="488" spans="2:5" x14ac:dyDescent="0.3">
      <c r="B488">
        <v>9</v>
      </c>
      <c r="C488" t="s">
        <v>76</v>
      </c>
      <c r="D488" t="s">
        <v>40</v>
      </c>
      <c r="E488" s="22" t="s">
        <v>241</v>
      </c>
    </row>
    <row r="489" spans="2:5" x14ac:dyDescent="0.3">
      <c r="B489">
        <v>9</v>
      </c>
      <c r="C489" t="s">
        <v>15</v>
      </c>
      <c r="D489" t="s">
        <v>137</v>
      </c>
      <c r="E489" s="22" t="s">
        <v>232</v>
      </c>
    </row>
    <row r="490" spans="2:5" x14ac:dyDescent="0.3">
      <c r="B490">
        <v>9</v>
      </c>
      <c r="C490" t="s">
        <v>139</v>
      </c>
      <c r="D490" t="s">
        <v>10</v>
      </c>
      <c r="E490" s="20" t="s">
        <v>232</v>
      </c>
    </row>
    <row r="491" spans="2:5" x14ac:dyDescent="0.3">
      <c r="B491">
        <v>9</v>
      </c>
      <c r="C491" t="s">
        <v>11</v>
      </c>
      <c r="D491" t="s">
        <v>12</v>
      </c>
      <c r="E491" s="39" t="s">
        <v>232</v>
      </c>
    </row>
    <row r="492" spans="2:5" x14ac:dyDescent="0.3">
      <c r="B492">
        <v>9</v>
      </c>
      <c r="C492" t="s">
        <v>80</v>
      </c>
      <c r="D492" t="s">
        <v>81</v>
      </c>
      <c r="E492" s="22" t="s">
        <v>232</v>
      </c>
    </row>
    <row r="493" spans="2:5" x14ac:dyDescent="0.3">
      <c r="B493">
        <v>9</v>
      </c>
      <c r="C493" t="s">
        <v>13</v>
      </c>
      <c r="D493" t="s">
        <v>14</v>
      </c>
      <c r="E493" s="22" t="s">
        <v>232</v>
      </c>
    </row>
    <row r="494" spans="2:5" x14ac:dyDescent="0.3">
      <c r="B494">
        <v>9</v>
      </c>
      <c r="C494" t="s">
        <v>120</v>
      </c>
      <c r="D494" t="s">
        <v>38</v>
      </c>
      <c r="E494" s="22" t="s">
        <v>232</v>
      </c>
    </row>
    <row r="495" spans="2:5" x14ac:dyDescent="0.3">
      <c r="B495">
        <v>9</v>
      </c>
      <c r="C495" t="s">
        <v>111</v>
      </c>
      <c r="D495" t="s">
        <v>63</v>
      </c>
      <c r="E495" s="22" t="s">
        <v>241</v>
      </c>
    </row>
    <row r="496" spans="2:5" x14ac:dyDescent="0.3">
      <c r="B496">
        <v>9</v>
      </c>
      <c r="C496" t="s">
        <v>111</v>
      </c>
      <c r="D496" t="s">
        <v>16</v>
      </c>
      <c r="E496" s="22" t="s">
        <v>241</v>
      </c>
    </row>
    <row r="497" spans="2:5" x14ac:dyDescent="0.3">
      <c r="B497">
        <v>9</v>
      </c>
      <c r="C497" t="s">
        <v>121</v>
      </c>
      <c r="D497" t="s">
        <v>122</v>
      </c>
      <c r="E497" s="22" t="s">
        <v>241</v>
      </c>
    </row>
    <row r="498" spans="2:5" x14ac:dyDescent="0.3">
      <c r="B498">
        <v>9</v>
      </c>
      <c r="C498" t="s">
        <v>17</v>
      </c>
      <c r="D498" t="s">
        <v>18</v>
      </c>
      <c r="E498" s="22" t="s">
        <v>232</v>
      </c>
    </row>
    <row r="499" spans="2:5" x14ac:dyDescent="0.3">
      <c r="B499">
        <v>9</v>
      </c>
      <c r="C499" t="s">
        <v>19</v>
      </c>
      <c r="D499" t="s">
        <v>20</v>
      </c>
      <c r="E499" s="22" t="s">
        <v>232</v>
      </c>
    </row>
    <row r="500" spans="2:5" x14ac:dyDescent="0.3">
      <c r="B500">
        <v>9</v>
      </c>
      <c r="C500" t="s">
        <v>128</v>
      </c>
      <c r="D500" t="s">
        <v>44</v>
      </c>
      <c r="E500" s="22" t="s">
        <v>232</v>
      </c>
    </row>
    <row r="501" spans="2:5" x14ac:dyDescent="0.3">
      <c r="B501">
        <v>9</v>
      </c>
      <c r="C501" t="s">
        <v>128</v>
      </c>
      <c r="D501" t="s">
        <v>155</v>
      </c>
      <c r="E501" s="22" t="s">
        <v>232</v>
      </c>
    </row>
    <row r="502" spans="2:5" x14ac:dyDescent="0.3">
      <c r="B502">
        <v>9</v>
      </c>
      <c r="C502" t="s">
        <v>21</v>
      </c>
      <c r="D502" t="s">
        <v>22</v>
      </c>
      <c r="E502" s="22" t="s">
        <v>364</v>
      </c>
    </row>
    <row r="503" spans="2:5" x14ac:dyDescent="0.3">
      <c r="B503">
        <v>9</v>
      </c>
      <c r="C503" t="s">
        <v>64</v>
      </c>
      <c r="D503" t="s">
        <v>140</v>
      </c>
      <c r="E503" s="22" t="s">
        <v>232</v>
      </c>
    </row>
    <row r="504" spans="2:5" x14ac:dyDescent="0.3">
      <c r="B504">
        <v>9</v>
      </c>
      <c r="C504" t="s">
        <v>90</v>
      </c>
      <c r="D504" t="s">
        <v>16</v>
      </c>
      <c r="E504" s="22" t="s">
        <v>232</v>
      </c>
    </row>
    <row r="505" spans="2:5" x14ac:dyDescent="0.3">
      <c r="B505">
        <v>9</v>
      </c>
      <c r="C505" t="s">
        <v>23</v>
      </c>
      <c r="D505" t="s">
        <v>24</v>
      </c>
      <c r="E505" s="22" t="s">
        <v>232</v>
      </c>
    </row>
    <row r="506" spans="2:5" x14ac:dyDescent="0.3">
      <c r="B506">
        <v>9</v>
      </c>
      <c r="C506" t="s">
        <v>23</v>
      </c>
      <c r="D506" t="s">
        <v>22</v>
      </c>
      <c r="E506" s="22" t="s">
        <v>232</v>
      </c>
    </row>
    <row r="507" spans="2:5" x14ac:dyDescent="0.3">
      <c r="B507">
        <v>9</v>
      </c>
      <c r="C507" t="s">
        <v>108</v>
      </c>
      <c r="D507" t="s">
        <v>75</v>
      </c>
      <c r="E507" s="20" t="s">
        <v>291</v>
      </c>
    </row>
    <row r="508" spans="2:5" x14ac:dyDescent="0.3">
      <c r="B508">
        <v>9</v>
      </c>
      <c r="C508" t="s">
        <v>85</v>
      </c>
      <c r="D508" t="s">
        <v>86</v>
      </c>
      <c r="E508" s="22" t="s">
        <v>232</v>
      </c>
    </row>
    <row r="509" spans="2:5" x14ac:dyDescent="0.3">
      <c r="B509">
        <v>9</v>
      </c>
      <c r="C509" t="s">
        <v>136</v>
      </c>
      <c r="D509" t="s">
        <v>56</v>
      </c>
      <c r="E509" s="22" t="s">
        <v>232</v>
      </c>
    </row>
    <row r="510" spans="2:5" x14ac:dyDescent="0.3">
      <c r="B510">
        <v>9</v>
      </c>
      <c r="C510" t="s">
        <v>25</v>
      </c>
      <c r="D510" t="s">
        <v>26</v>
      </c>
      <c r="E510" s="22" t="s">
        <v>232</v>
      </c>
    </row>
    <row r="511" spans="2:5" x14ac:dyDescent="0.3">
      <c r="B511">
        <v>9</v>
      </c>
      <c r="C511" t="s">
        <v>27</v>
      </c>
      <c r="D511" t="s">
        <v>137</v>
      </c>
      <c r="E511" s="22" t="s">
        <v>232</v>
      </c>
    </row>
    <row r="512" spans="2:5" x14ac:dyDescent="0.3">
      <c r="B512">
        <v>9</v>
      </c>
      <c r="C512" t="s">
        <v>9</v>
      </c>
      <c r="D512" t="s">
        <v>10</v>
      </c>
      <c r="E512" s="22" t="s">
        <v>241</v>
      </c>
    </row>
    <row r="513" spans="2:5" x14ac:dyDescent="0.3">
      <c r="B513">
        <v>9</v>
      </c>
      <c r="C513" t="s">
        <v>70</v>
      </c>
      <c r="D513" t="s">
        <v>71</v>
      </c>
      <c r="E513" s="22" t="s">
        <v>232</v>
      </c>
    </row>
    <row r="514" spans="2:5" x14ac:dyDescent="0.3">
      <c r="B514">
        <v>9</v>
      </c>
      <c r="C514" t="s">
        <v>29</v>
      </c>
      <c r="D514" t="s">
        <v>141</v>
      </c>
      <c r="E514" s="22" t="s">
        <v>232</v>
      </c>
    </row>
    <row r="515" spans="2:5" x14ac:dyDescent="0.3">
      <c r="B515">
        <v>9</v>
      </c>
      <c r="C515" t="s">
        <v>72</v>
      </c>
      <c r="D515" t="s">
        <v>73</v>
      </c>
      <c r="E515" s="20" t="s">
        <v>232</v>
      </c>
    </row>
    <row r="516" spans="2:5" x14ac:dyDescent="0.3">
      <c r="B516">
        <v>9</v>
      </c>
      <c r="C516" t="s">
        <v>92</v>
      </c>
      <c r="D516" t="s">
        <v>30</v>
      </c>
      <c r="E516" s="22" t="s">
        <v>232</v>
      </c>
    </row>
    <row r="517" spans="2:5" x14ac:dyDescent="0.3">
      <c r="B517">
        <v>9</v>
      </c>
      <c r="C517" t="s">
        <v>105</v>
      </c>
      <c r="D517" t="s">
        <v>106</v>
      </c>
      <c r="E517" s="22" t="s">
        <v>232</v>
      </c>
    </row>
    <row r="518" spans="2:5" x14ac:dyDescent="0.3">
      <c r="B518">
        <v>9</v>
      </c>
      <c r="C518" t="s">
        <v>31</v>
      </c>
      <c r="D518" t="s">
        <v>143</v>
      </c>
      <c r="E518" s="22" t="s">
        <v>232</v>
      </c>
    </row>
    <row r="519" spans="2:5" x14ac:dyDescent="0.3">
      <c r="B519">
        <v>9</v>
      </c>
      <c r="C519" t="s">
        <v>91</v>
      </c>
      <c r="D519" t="s">
        <v>144</v>
      </c>
      <c r="E519" s="22" t="s">
        <v>241</v>
      </c>
    </row>
    <row r="520" spans="2:5" x14ac:dyDescent="0.3">
      <c r="B520">
        <v>9</v>
      </c>
      <c r="C520" t="s">
        <v>33</v>
      </c>
      <c r="D520" t="s">
        <v>67</v>
      </c>
      <c r="E520" s="22" t="s">
        <v>232</v>
      </c>
    </row>
    <row r="521" spans="2:5" x14ac:dyDescent="0.3">
      <c r="B521">
        <v>9</v>
      </c>
      <c r="C521" t="s">
        <v>35</v>
      </c>
      <c r="D521" t="s">
        <v>36</v>
      </c>
      <c r="E521" s="22" t="s">
        <v>241</v>
      </c>
    </row>
    <row r="522" spans="2:5" x14ac:dyDescent="0.3">
      <c r="B522">
        <v>9</v>
      </c>
      <c r="C522" t="s">
        <v>114</v>
      </c>
      <c r="D522" t="s">
        <v>46</v>
      </c>
      <c r="E522" s="22" t="s">
        <v>232</v>
      </c>
    </row>
    <row r="523" spans="2:5" x14ac:dyDescent="0.3">
      <c r="B523">
        <v>9</v>
      </c>
      <c r="C523" t="s">
        <v>43</v>
      </c>
      <c r="D523" t="s">
        <v>145</v>
      </c>
      <c r="E523" s="22" t="s">
        <v>232</v>
      </c>
    </row>
    <row r="524" spans="2:5" x14ac:dyDescent="0.3">
      <c r="B524">
        <v>9</v>
      </c>
      <c r="C524" t="s">
        <v>84</v>
      </c>
      <c r="D524" t="s">
        <v>146</v>
      </c>
      <c r="E524" s="22" t="s">
        <v>232</v>
      </c>
    </row>
    <row r="525" spans="2:5" x14ac:dyDescent="0.3">
      <c r="B525">
        <v>9</v>
      </c>
      <c r="C525" t="s">
        <v>89</v>
      </c>
      <c r="D525" t="s">
        <v>4</v>
      </c>
      <c r="E525" s="22" t="s">
        <v>364</v>
      </c>
    </row>
    <row r="526" spans="2:5" x14ac:dyDescent="0.3">
      <c r="B526">
        <v>9</v>
      </c>
      <c r="C526" t="s">
        <v>123</v>
      </c>
      <c r="D526" t="s">
        <v>59</v>
      </c>
      <c r="E526" s="20" t="s">
        <v>364</v>
      </c>
    </row>
    <row r="527" spans="2:5" x14ac:dyDescent="0.3">
      <c r="B527">
        <v>9</v>
      </c>
      <c r="C527" t="s">
        <v>5</v>
      </c>
      <c r="D527" t="s">
        <v>6</v>
      </c>
      <c r="E527" s="22" t="s">
        <v>232</v>
      </c>
    </row>
    <row r="528" spans="2:5" x14ac:dyDescent="0.3">
      <c r="B528">
        <v>9</v>
      </c>
      <c r="C528" t="s">
        <v>5</v>
      </c>
      <c r="D528" t="s">
        <v>50</v>
      </c>
      <c r="E528" s="22" t="s">
        <v>232</v>
      </c>
    </row>
    <row r="529" spans="2:5" x14ac:dyDescent="0.3">
      <c r="B529">
        <v>9</v>
      </c>
      <c r="C529" t="s">
        <v>47</v>
      </c>
      <c r="D529" t="s">
        <v>147</v>
      </c>
      <c r="E529" s="22" t="s">
        <v>232</v>
      </c>
    </row>
    <row r="530" spans="2:5" x14ac:dyDescent="0.3">
      <c r="B530">
        <v>9</v>
      </c>
      <c r="C530" t="s">
        <v>49</v>
      </c>
      <c r="D530" t="s">
        <v>96</v>
      </c>
      <c r="E530" s="20" t="s">
        <v>291</v>
      </c>
    </row>
    <row r="531" spans="2:5" x14ac:dyDescent="0.3">
      <c r="B531">
        <v>9</v>
      </c>
      <c r="C531" t="s">
        <v>49</v>
      </c>
      <c r="D531" t="s">
        <v>12</v>
      </c>
      <c r="E531" s="22" t="s">
        <v>232</v>
      </c>
    </row>
    <row r="532" spans="2:5" x14ac:dyDescent="0.3">
      <c r="B532">
        <v>9</v>
      </c>
      <c r="C532" t="s">
        <v>49</v>
      </c>
      <c r="D532" t="s">
        <v>104</v>
      </c>
      <c r="E532" s="22" t="s">
        <v>232</v>
      </c>
    </row>
    <row r="533" spans="2:5" x14ac:dyDescent="0.3">
      <c r="B533">
        <v>9</v>
      </c>
      <c r="C533" t="s">
        <v>152</v>
      </c>
      <c r="D533" t="s">
        <v>42</v>
      </c>
      <c r="E533" s="22" t="s">
        <v>232</v>
      </c>
    </row>
    <row r="534" spans="2:5" x14ac:dyDescent="0.3">
      <c r="B534">
        <v>9</v>
      </c>
      <c r="C534" t="s">
        <v>51</v>
      </c>
      <c r="D534" t="s">
        <v>52</v>
      </c>
      <c r="E534" s="22" t="s">
        <v>232</v>
      </c>
    </row>
    <row r="535" spans="2:5" x14ac:dyDescent="0.3">
      <c r="B535">
        <v>9</v>
      </c>
      <c r="C535" t="s">
        <v>131</v>
      </c>
      <c r="D535" t="s">
        <v>116</v>
      </c>
      <c r="E535" s="22" t="s">
        <v>241</v>
      </c>
    </row>
    <row r="536" spans="2:5" x14ac:dyDescent="0.3">
      <c r="B536">
        <v>9</v>
      </c>
      <c r="C536" t="s">
        <v>78</v>
      </c>
      <c r="D536" t="s">
        <v>79</v>
      </c>
      <c r="E536" s="22" t="s">
        <v>232</v>
      </c>
    </row>
    <row r="537" spans="2:5" x14ac:dyDescent="0.3">
      <c r="B537">
        <v>9</v>
      </c>
      <c r="C537" t="s">
        <v>107</v>
      </c>
      <c r="D537" t="s">
        <v>148</v>
      </c>
      <c r="E537" s="22" t="s">
        <v>232</v>
      </c>
    </row>
    <row r="538" spans="2:5" x14ac:dyDescent="0.3">
      <c r="B538">
        <v>9</v>
      </c>
      <c r="C538" t="s">
        <v>87</v>
      </c>
      <c r="D538" t="s">
        <v>83</v>
      </c>
      <c r="E538" s="20" t="s">
        <v>232</v>
      </c>
    </row>
    <row r="539" spans="2:5" x14ac:dyDescent="0.3">
      <c r="B539">
        <v>9</v>
      </c>
      <c r="C539" t="s">
        <v>117</v>
      </c>
      <c r="D539" t="s">
        <v>118</v>
      </c>
      <c r="E539" s="20" t="s">
        <v>232</v>
      </c>
    </row>
    <row r="540" spans="2:5" x14ac:dyDescent="0.3">
      <c r="B540">
        <v>9</v>
      </c>
      <c r="C540" t="s">
        <v>98</v>
      </c>
      <c r="D540" t="s">
        <v>112</v>
      </c>
      <c r="E540" s="22" t="s">
        <v>232</v>
      </c>
    </row>
    <row r="541" spans="2:5" x14ac:dyDescent="0.3">
      <c r="B541">
        <v>9</v>
      </c>
      <c r="C541" t="s">
        <v>150</v>
      </c>
      <c r="D541" t="s">
        <v>104</v>
      </c>
      <c r="E541" s="22" t="s">
        <v>241</v>
      </c>
    </row>
    <row r="542" spans="2:5" x14ac:dyDescent="0.3">
      <c r="B542">
        <v>9</v>
      </c>
      <c r="C542" t="s">
        <v>178</v>
      </c>
      <c r="E542" s="22" t="s">
        <v>241</v>
      </c>
    </row>
    <row r="543" spans="2:5" x14ac:dyDescent="0.3">
      <c r="B543">
        <v>9</v>
      </c>
      <c r="C543" t="s">
        <v>119</v>
      </c>
      <c r="D543" t="s">
        <v>97</v>
      </c>
      <c r="E543" s="22" t="s">
        <v>232</v>
      </c>
    </row>
    <row r="544" spans="2:5" x14ac:dyDescent="0.3">
      <c r="B544">
        <v>9</v>
      </c>
      <c r="C544" t="s">
        <v>138</v>
      </c>
      <c r="D544" t="s">
        <v>50</v>
      </c>
      <c r="E544" s="22" t="s">
        <v>232</v>
      </c>
    </row>
    <row r="545" spans="2:5" x14ac:dyDescent="0.3">
      <c r="B545">
        <v>9</v>
      </c>
      <c r="C545" t="s">
        <v>184</v>
      </c>
      <c r="D545" t="s">
        <v>50</v>
      </c>
      <c r="E545" s="22" t="s">
        <v>232</v>
      </c>
    </row>
    <row r="546" spans="2:5" x14ac:dyDescent="0.3">
      <c r="B546">
        <v>9</v>
      </c>
      <c r="C546" t="s">
        <v>134</v>
      </c>
      <c r="D546" t="s">
        <v>52</v>
      </c>
      <c r="E546" s="22" t="s">
        <v>232</v>
      </c>
    </row>
    <row r="547" spans="2:5" x14ac:dyDescent="0.3">
      <c r="B547">
        <v>9</v>
      </c>
      <c r="C547" t="s">
        <v>176</v>
      </c>
      <c r="D547" t="s">
        <v>158</v>
      </c>
      <c r="E547" s="22" t="s">
        <v>232</v>
      </c>
    </row>
    <row r="548" spans="2:5" x14ac:dyDescent="0.3">
      <c r="B548">
        <v>9</v>
      </c>
      <c r="C548" t="s">
        <v>191</v>
      </c>
      <c r="E548" s="22" t="s">
        <v>364</v>
      </c>
    </row>
    <row r="549" spans="2:5" x14ac:dyDescent="0.3">
      <c r="B549">
        <v>10</v>
      </c>
      <c r="C549" t="s">
        <v>197</v>
      </c>
      <c r="D549" t="s">
        <v>79</v>
      </c>
      <c r="E549" s="20" t="s">
        <v>364</v>
      </c>
    </row>
    <row r="550" spans="2:5" x14ac:dyDescent="0.3">
      <c r="B550">
        <v>10</v>
      </c>
      <c r="C550" t="s">
        <v>150</v>
      </c>
      <c r="D550" t="s">
        <v>96</v>
      </c>
      <c r="E550" s="22" t="s">
        <v>232</v>
      </c>
    </row>
    <row r="551" spans="2:5" x14ac:dyDescent="0.3">
      <c r="B551">
        <v>10</v>
      </c>
      <c r="C551" t="s">
        <v>192</v>
      </c>
      <c r="D551" t="s">
        <v>79</v>
      </c>
      <c r="E551" s="22" t="s">
        <v>232</v>
      </c>
    </row>
    <row r="552" spans="2:5" x14ac:dyDescent="0.3">
      <c r="B552">
        <v>10</v>
      </c>
      <c r="C552" t="s">
        <v>186</v>
      </c>
      <c r="D552" t="s">
        <v>54</v>
      </c>
      <c r="E552" s="20" t="s">
        <v>291</v>
      </c>
    </row>
    <row r="553" spans="2:5" x14ac:dyDescent="0.3">
      <c r="B553">
        <v>10</v>
      </c>
      <c r="C553" t="s">
        <v>183</v>
      </c>
      <c r="D553" t="s">
        <v>40</v>
      </c>
      <c r="E553" s="22" t="s">
        <v>232</v>
      </c>
    </row>
    <row r="554" spans="2:5" x14ac:dyDescent="0.3">
      <c r="B554">
        <v>10</v>
      </c>
      <c r="C554" t="s">
        <v>187</v>
      </c>
      <c r="D554" t="s">
        <v>44</v>
      </c>
      <c r="E554" s="22" t="s">
        <v>232</v>
      </c>
    </row>
    <row r="555" spans="2:5" x14ac:dyDescent="0.3">
      <c r="B555">
        <v>10</v>
      </c>
      <c r="C555" t="s">
        <v>190</v>
      </c>
      <c r="D555" t="s">
        <v>142</v>
      </c>
      <c r="E555" s="22" t="s">
        <v>232</v>
      </c>
    </row>
    <row r="556" spans="2:5" x14ac:dyDescent="0.3">
      <c r="B556">
        <v>10</v>
      </c>
      <c r="C556" t="s">
        <v>185</v>
      </c>
      <c r="D556" t="s">
        <v>34</v>
      </c>
      <c r="E556" s="22" t="s">
        <v>241</v>
      </c>
    </row>
    <row r="557" spans="2:5" x14ac:dyDescent="0.3">
      <c r="B557">
        <v>10</v>
      </c>
      <c r="C557" t="s">
        <v>189</v>
      </c>
      <c r="D557" t="s">
        <v>24</v>
      </c>
      <c r="E557" s="22" t="s">
        <v>232</v>
      </c>
    </row>
    <row r="558" spans="2:5" x14ac:dyDescent="0.3">
      <c r="B558">
        <v>10</v>
      </c>
      <c r="C558" t="s">
        <v>173</v>
      </c>
      <c r="D558" t="s">
        <v>52</v>
      </c>
      <c r="E558" s="22" t="s">
        <v>232</v>
      </c>
    </row>
    <row r="559" spans="2:5" x14ac:dyDescent="0.3">
      <c r="B559">
        <v>10</v>
      </c>
      <c r="C559" t="s">
        <v>174</v>
      </c>
      <c r="D559" t="s">
        <v>77</v>
      </c>
      <c r="E559" s="20" t="s">
        <v>232</v>
      </c>
    </row>
    <row r="560" spans="2:5" x14ac:dyDescent="0.3">
      <c r="B560">
        <v>10</v>
      </c>
      <c r="C560" t="s">
        <v>175</v>
      </c>
      <c r="D560" t="s">
        <v>69</v>
      </c>
      <c r="E560" s="20" t="s">
        <v>232</v>
      </c>
    </row>
    <row r="561" spans="2:5" x14ac:dyDescent="0.3">
      <c r="B561">
        <v>10</v>
      </c>
      <c r="C561" t="s">
        <v>76</v>
      </c>
      <c r="D561" t="s">
        <v>40</v>
      </c>
      <c r="E561" s="22" t="s">
        <v>232</v>
      </c>
    </row>
    <row r="562" spans="2:5" x14ac:dyDescent="0.3">
      <c r="B562">
        <v>10</v>
      </c>
      <c r="C562" t="s">
        <v>15</v>
      </c>
      <c r="D562" t="s">
        <v>137</v>
      </c>
      <c r="E562" s="22" t="s">
        <v>232</v>
      </c>
    </row>
    <row r="563" spans="2:5" x14ac:dyDescent="0.3">
      <c r="B563">
        <v>10</v>
      </c>
      <c r="C563" t="s">
        <v>139</v>
      </c>
      <c r="D563" t="s">
        <v>10</v>
      </c>
      <c r="E563" s="22" t="s">
        <v>241</v>
      </c>
    </row>
    <row r="564" spans="2:5" x14ac:dyDescent="0.3">
      <c r="B564">
        <v>10</v>
      </c>
      <c r="C564" t="s">
        <v>80</v>
      </c>
      <c r="D564" t="s">
        <v>81</v>
      </c>
      <c r="E564" s="22" t="s">
        <v>241</v>
      </c>
    </row>
    <row r="565" spans="2:5" x14ac:dyDescent="0.3">
      <c r="B565">
        <v>10</v>
      </c>
      <c r="C565" t="s">
        <v>13</v>
      </c>
      <c r="D565" t="s">
        <v>14</v>
      </c>
      <c r="E565" s="22" t="s">
        <v>232</v>
      </c>
    </row>
    <row r="566" spans="2:5" x14ac:dyDescent="0.3">
      <c r="B566">
        <v>10</v>
      </c>
      <c r="C566" t="s">
        <v>120</v>
      </c>
      <c r="D566" t="s">
        <v>38</v>
      </c>
      <c r="E566" s="22" t="s">
        <v>232</v>
      </c>
    </row>
    <row r="567" spans="2:5" x14ac:dyDescent="0.3">
      <c r="B567">
        <v>10</v>
      </c>
      <c r="C567" t="s">
        <v>111</v>
      </c>
      <c r="D567" t="s">
        <v>63</v>
      </c>
      <c r="E567" s="22" t="s">
        <v>232</v>
      </c>
    </row>
    <row r="568" spans="2:5" x14ac:dyDescent="0.3">
      <c r="B568">
        <v>10</v>
      </c>
      <c r="C568" t="s">
        <v>121</v>
      </c>
      <c r="D568" t="s">
        <v>122</v>
      </c>
      <c r="E568" s="22" t="s">
        <v>232</v>
      </c>
    </row>
    <row r="569" spans="2:5" x14ac:dyDescent="0.3">
      <c r="B569">
        <v>10</v>
      </c>
      <c r="C569" t="s">
        <v>17</v>
      </c>
      <c r="D569" t="s">
        <v>18</v>
      </c>
      <c r="E569" s="22" t="s">
        <v>232</v>
      </c>
    </row>
    <row r="570" spans="2:5" x14ac:dyDescent="0.3">
      <c r="B570">
        <v>10</v>
      </c>
      <c r="C570" t="s">
        <v>19</v>
      </c>
      <c r="D570" t="s">
        <v>20</v>
      </c>
      <c r="E570" s="22" t="s">
        <v>232</v>
      </c>
    </row>
    <row r="571" spans="2:5" x14ac:dyDescent="0.3">
      <c r="B571">
        <v>10</v>
      </c>
      <c r="C571" t="s">
        <v>128</v>
      </c>
      <c r="D571" t="s">
        <v>155</v>
      </c>
      <c r="E571" s="20" t="s">
        <v>364</v>
      </c>
    </row>
    <row r="572" spans="2:5" x14ac:dyDescent="0.3">
      <c r="B572">
        <v>10</v>
      </c>
      <c r="C572" t="s">
        <v>21</v>
      </c>
      <c r="D572" t="s">
        <v>22</v>
      </c>
      <c r="E572" s="22" t="s">
        <v>232</v>
      </c>
    </row>
    <row r="573" spans="2:5" x14ac:dyDescent="0.3">
      <c r="B573">
        <v>10</v>
      </c>
      <c r="C573" t="s">
        <v>64</v>
      </c>
      <c r="D573" t="s">
        <v>140</v>
      </c>
      <c r="E573" s="22" t="s">
        <v>232</v>
      </c>
    </row>
    <row r="574" spans="2:5" x14ac:dyDescent="0.3">
      <c r="B574">
        <v>10</v>
      </c>
      <c r="C574" t="s">
        <v>90</v>
      </c>
      <c r="D574" t="s">
        <v>16</v>
      </c>
      <c r="E574" s="20" t="s">
        <v>291</v>
      </c>
    </row>
    <row r="575" spans="2:5" x14ac:dyDescent="0.3">
      <c r="B575">
        <v>10</v>
      </c>
      <c r="C575" t="s">
        <v>23</v>
      </c>
      <c r="D575" t="s">
        <v>24</v>
      </c>
      <c r="E575" s="22" t="s">
        <v>232</v>
      </c>
    </row>
    <row r="576" spans="2:5" x14ac:dyDescent="0.3">
      <c r="B576">
        <v>10</v>
      </c>
      <c r="C576" t="s">
        <v>23</v>
      </c>
      <c r="D576" t="s">
        <v>22</v>
      </c>
      <c r="E576" s="22" t="s">
        <v>232</v>
      </c>
    </row>
    <row r="577" spans="2:5" x14ac:dyDescent="0.3">
      <c r="B577">
        <v>10</v>
      </c>
      <c r="C577" t="s">
        <v>108</v>
      </c>
      <c r="D577" t="s">
        <v>75</v>
      </c>
      <c r="E577" s="22" t="s">
        <v>232</v>
      </c>
    </row>
    <row r="578" spans="2:5" x14ac:dyDescent="0.3">
      <c r="B578">
        <v>10</v>
      </c>
      <c r="C578" t="s">
        <v>85</v>
      </c>
      <c r="D578" t="s">
        <v>86</v>
      </c>
      <c r="E578" s="22" t="s">
        <v>241</v>
      </c>
    </row>
    <row r="579" spans="2:5" x14ac:dyDescent="0.3">
      <c r="B579">
        <v>10</v>
      </c>
      <c r="C579" t="s">
        <v>136</v>
      </c>
      <c r="D579" t="s">
        <v>56</v>
      </c>
      <c r="E579" s="22" t="s">
        <v>232</v>
      </c>
    </row>
    <row r="580" spans="2:5" x14ac:dyDescent="0.3">
      <c r="B580">
        <v>10</v>
      </c>
      <c r="C580" t="s">
        <v>25</v>
      </c>
      <c r="D580" t="s">
        <v>26</v>
      </c>
      <c r="E580" s="22" t="s">
        <v>232</v>
      </c>
    </row>
    <row r="581" spans="2:5" x14ac:dyDescent="0.3">
      <c r="B581">
        <v>10</v>
      </c>
      <c r="C581" t="s">
        <v>9</v>
      </c>
      <c r="D581" t="s">
        <v>10</v>
      </c>
      <c r="E581" s="20" t="s">
        <v>232</v>
      </c>
    </row>
    <row r="582" spans="2:5" x14ac:dyDescent="0.3">
      <c r="B582">
        <v>10</v>
      </c>
      <c r="C582" t="s">
        <v>70</v>
      </c>
      <c r="D582" t="s">
        <v>71</v>
      </c>
      <c r="E582" s="20" t="s">
        <v>232</v>
      </c>
    </row>
    <row r="583" spans="2:5" x14ac:dyDescent="0.3">
      <c r="B583">
        <v>10</v>
      </c>
      <c r="C583" t="s">
        <v>29</v>
      </c>
      <c r="D583" t="s">
        <v>141</v>
      </c>
      <c r="E583" s="22" t="s">
        <v>232</v>
      </c>
    </row>
    <row r="584" spans="2:5" x14ac:dyDescent="0.3">
      <c r="B584">
        <v>10</v>
      </c>
      <c r="C584" t="s">
        <v>72</v>
      </c>
      <c r="D584" t="s">
        <v>73</v>
      </c>
      <c r="E584" s="22" t="s">
        <v>232</v>
      </c>
    </row>
    <row r="585" spans="2:5" x14ac:dyDescent="0.3">
      <c r="B585">
        <v>10</v>
      </c>
      <c r="C585" t="s">
        <v>92</v>
      </c>
      <c r="D585" t="s">
        <v>30</v>
      </c>
      <c r="E585" s="22" t="s">
        <v>241</v>
      </c>
    </row>
    <row r="586" spans="2:5" x14ac:dyDescent="0.3">
      <c r="B586">
        <v>10</v>
      </c>
      <c r="C586" t="s">
        <v>105</v>
      </c>
      <c r="D586" t="s">
        <v>106</v>
      </c>
      <c r="E586" s="22" t="s">
        <v>241</v>
      </c>
    </row>
    <row r="587" spans="2:5" x14ac:dyDescent="0.3">
      <c r="B587">
        <v>10</v>
      </c>
      <c r="C587" t="s">
        <v>31</v>
      </c>
      <c r="D587" t="s">
        <v>143</v>
      </c>
      <c r="E587" s="22" t="s">
        <v>232</v>
      </c>
    </row>
    <row r="588" spans="2:5" x14ac:dyDescent="0.3">
      <c r="B588">
        <v>10</v>
      </c>
      <c r="C588" t="s">
        <v>91</v>
      </c>
      <c r="D588" t="s">
        <v>144</v>
      </c>
      <c r="E588" s="22" t="s">
        <v>232</v>
      </c>
    </row>
    <row r="589" spans="2:5" x14ac:dyDescent="0.3">
      <c r="B589">
        <v>10</v>
      </c>
      <c r="C589" t="s">
        <v>33</v>
      </c>
      <c r="D589" t="s">
        <v>67</v>
      </c>
      <c r="E589" s="22" t="s">
        <v>232</v>
      </c>
    </row>
    <row r="590" spans="2:5" x14ac:dyDescent="0.3">
      <c r="B590">
        <v>10</v>
      </c>
      <c r="C590" t="s">
        <v>35</v>
      </c>
      <c r="D590" t="s">
        <v>36</v>
      </c>
      <c r="E590" s="22" t="s">
        <v>232</v>
      </c>
    </row>
    <row r="591" spans="2:5" x14ac:dyDescent="0.3">
      <c r="B591">
        <v>10</v>
      </c>
      <c r="C591" t="s">
        <v>114</v>
      </c>
      <c r="D591" t="s">
        <v>46</v>
      </c>
      <c r="E591" s="22" t="s">
        <v>232</v>
      </c>
    </row>
    <row r="592" spans="2:5" x14ac:dyDescent="0.3">
      <c r="B592">
        <v>10</v>
      </c>
      <c r="C592" t="s">
        <v>43</v>
      </c>
      <c r="D592" t="s">
        <v>145</v>
      </c>
      <c r="E592" s="22" t="s">
        <v>232</v>
      </c>
    </row>
    <row r="593" spans="2:5" x14ac:dyDescent="0.3">
      <c r="B593">
        <v>10</v>
      </c>
      <c r="C593" t="s">
        <v>84</v>
      </c>
      <c r="D593" t="s">
        <v>146</v>
      </c>
      <c r="E593" s="22" t="s">
        <v>364</v>
      </c>
    </row>
    <row r="594" spans="2:5" x14ac:dyDescent="0.3">
      <c r="B594">
        <v>10</v>
      </c>
      <c r="C594" t="s">
        <v>89</v>
      </c>
      <c r="D594" t="s">
        <v>4</v>
      </c>
      <c r="E594" s="22" t="s">
        <v>364</v>
      </c>
    </row>
    <row r="595" spans="2:5" x14ac:dyDescent="0.3">
      <c r="B595">
        <v>10</v>
      </c>
      <c r="C595" t="s">
        <v>123</v>
      </c>
      <c r="D595" t="s">
        <v>59</v>
      </c>
      <c r="E595" s="20" t="s">
        <v>364</v>
      </c>
    </row>
    <row r="596" spans="2:5" x14ac:dyDescent="0.3">
      <c r="B596">
        <v>10</v>
      </c>
      <c r="C596" t="s">
        <v>123</v>
      </c>
      <c r="D596" t="s">
        <v>71</v>
      </c>
      <c r="E596" s="22" t="s">
        <v>232</v>
      </c>
    </row>
    <row r="597" spans="2:5" x14ac:dyDescent="0.3">
      <c r="B597">
        <v>10</v>
      </c>
      <c r="C597" t="s">
        <v>5</v>
      </c>
      <c r="D597" t="s">
        <v>6</v>
      </c>
      <c r="E597" s="22" t="s">
        <v>232</v>
      </c>
    </row>
    <row r="598" spans="2:5" x14ac:dyDescent="0.3">
      <c r="B598">
        <v>10</v>
      </c>
      <c r="C598" t="s">
        <v>5</v>
      </c>
      <c r="D598" t="s">
        <v>50</v>
      </c>
      <c r="E598" s="20" t="s">
        <v>291</v>
      </c>
    </row>
    <row r="599" spans="2:5" x14ac:dyDescent="0.3">
      <c r="B599">
        <v>10</v>
      </c>
      <c r="C599" t="s">
        <v>47</v>
      </c>
      <c r="D599" t="s">
        <v>147</v>
      </c>
      <c r="E599" s="22" t="s">
        <v>232</v>
      </c>
    </row>
    <row r="600" spans="2:5" x14ac:dyDescent="0.3">
      <c r="B600">
        <v>10</v>
      </c>
      <c r="C600" t="s">
        <v>49</v>
      </c>
      <c r="D600" t="s">
        <v>12</v>
      </c>
      <c r="E600" s="22" t="s">
        <v>241</v>
      </c>
    </row>
    <row r="601" spans="2:5" x14ac:dyDescent="0.3">
      <c r="B601">
        <v>10</v>
      </c>
      <c r="C601" t="s">
        <v>49</v>
      </c>
      <c r="D601" t="s">
        <v>104</v>
      </c>
      <c r="E601" s="22" t="s">
        <v>232</v>
      </c>
    </row>
    <row r="602" spans="2:5" x14ac:dyDescent="0.3">
      <c r="B602">
        <v>10</v>
      </c>
      <c r="C602" t="s">
        <v>152</v>
      </c>
      <c r="D602" t="s">
        <v>42</v>
      </c>
      <c r="E602" s="22" t="s">
        <v>232</v>
      </c>
    </row>
    <row r="603" spans="2:5" x14ac:dyDescent="0.3">
      <c r="B603">
        <v>10</v>
      </c>
      <c r="C603" t="s">
        <v>51</v>
      </c>
      <c r="D603" t="s">
        <v>52</v>
      </c>
      <c r="E603" s="22" t="s">
        <v>232</v>
      </c>
    </row>
    <row r="604" spans="2:5" x14ac:dyDescent="0.3">
      <c r="B604">
        <v>10</v>
      </c>
      <c r="C604" t="s">
        <v>131</v>
      </c>
      <c r="D604" t="s">
        <v>116</v>
      </c>
      <c r="E604" s="22" t="s">
        <v>241</v>
      </c>
    </row>
    <row r="605" spans="2:5" x14ac:dyDescent="0.3">
      <c r="B605">
        <v>10</v>
      </c>
      <c r="C605" t="s">
        <v>107</v>
      </c>
      <c r="D605" t="s">
        <v>148</v>
      </c>
      <c r="E605" s="22" t="s">
        <v>232</v>
      </c>
    </row>
    <row r="606" spans="2:5" x14ac:dyDescent="0.3">
      <c r="B606">
        <v>10</v>
      </c>
      <c r="C606" t="s">
        <v>87</v>
      </c>
      <c r="D606" t="s">
        <v>83</v>
      </c>
      <c r="E606" s="22" t="s">
        <v>232</v>
      </c>
    </row>
    <row r="607" spans="2:5" x14ac:dyDescent="0.3">
      <c r="B607">
        <v>10</v>
      </c>
      <c r="C607" t="s">
        <v>117</v>
      </c>
      <c r="D607" t="s">
        <v>118</v>
      </c>
      <c r="E607" s="20" t="s">
        <v>232</v>
      </c>
    </row>
    <row r="608" spans="2:5" x14ac:dyDescent="0.3">
      <c r="B608">
        <v>10</v>
      </c>
      <c r="C608" t="s">
        <v>98</v>
      </c>
      <c r="D608" t="s">
        <v>112</v>
      </c>
      <c r="E608" s="20" t="s">
        <v>232</v>
      </c>
    </row>
    <row r="609" spans="2:5" x14ac:dyDescent="0.3">
      <c r="B609">
        <v>10</v>
      </c>
      <c r="C609" t="s">
        <v>119</v>
      </c>
      <c r="D609" t="s">
        <v>97</v>
      </c>
      <c r="E609" s="22" t="s">
        <v>232</v>
      </c>
    </row>
    <row r="610" spans="2:5" x14ac:dyDescent="0.3">
      <c r="B610">
        <v>10</v>
      </c>
      <c r="C610" t="s">
        <v>184</v>
      </c>
      <c r="D610" t="s">
        <v>50</v>
      </c>
      <c r="E610" s="22" t="s">
        <v>232</v>
      </c>
    </row>
    <row r="611" spans="2:5" x14ac:dyDescent="0.3">
      <c r="B611">
        <v>10</v>
      </c>
      <c r="C611" t="s">
        <v>176</v>
      </c>
      <c r="D611" t="s">
        <v>158</v>
      </c>
      <c r="E611" s="22" t="s">
        <v>241</v>
      </c>
    </row>
    <row r="612" spans="2:5" x14ac:dyDescent="0.3">
      <c r="B612">
        <v>10</v>
      </c>
      <c r="C612" t="s">
        <v>191</v>
      </c>
      <c r="D612" t="s">
        <v>79</v>
      </c>
      <c r="E612" s="22" t="s">
        <v>241</v>
      </c>
    </row>
    <row r="613" spans="2:5" x14ac:dyDescent="0.3">
      <c r="B613">
        <v>10</v>
      </c>
      <c r="C613" t="s">
        <v>177</v>
      </c>
      <c r="D613" t="s">
        <v>157</v>
      </c>
      <c r="E613" s="22" t="s">
        <v>232</v>
      </c>
    </row>
    <row r="614" spans="2:5" x14ac:dyDescent="0.3">
      <c r="B614">
        <v>10</v>
      </c>
      <c r="C614" t="s">
        <v>27</v>
      </c>
      <c r="D614" t="s">
        <v>137</v>
      </c>
      <c r="E614" s="22" t="s">
        <v>232</v>
      </c>
    </row>
    <row r="615" spans="2:5" x14ac:dyDescent="0.3">
      <c r="B615">
        <v>11</v>
      </c>
      <c r="C615" t="s">
        <v>138</v>
      </c>
      <c r="D615" t="s">
        <v>50</v>
      </c>
      <c r="E615" s="22" t="s">
        <v>232</v>
      </c>
    </row>
    <row r="616" spans="2:5" x14ac:dyDescent="0.3">
      <c r="B616">
        <v>11</v>
      </c>
      <c r="C616" t="s">
        <v>198</v>
      </c>
      <c r="D616" t="s">
        <v>28</v>
      </c>
      <c r="E616" s="22" t="s">
        <v>232</v>
      </c>
    </row>
    <row r="617" spans="2:5" x14ac:dyDescent="0.3">
      <c r="B617">
        <v>11</v>
      </c>
      <c r="C617" t="s">
        <v>70</v>
      </c>
      <c r="D617" t="s">
        <v>26</v>
      </c>
      <c r="E617" s="22" t="s">
        <v>232</v>
      </c>
    </row>
    <row r="618" spans="2:5" x14ac:dyDescent="0.3">
      <c r="B618">
        <v>11</v>
      </c>
      <c r="C618" t="s">
        <v>150</v>
      </c>
      <c r="D618" t="s">
        <v>96</v>
      </c>
      <c r="E618" s="22" t="s">
        <v>232</v>
      </c>
    </row>
    <row r="619" spans="2:5" x14ac:dyDescent="0.3">
      <c r="B619">
        <v>11</v>
      </c>
      <c r="C619" t="s">
        <v>192</v>
      </c>
      <c r="D619" t="s">
        <v>79</v>
      </c>
      <c r="E619" s="22" t="s">
        <v>364</v>
      </c>
    </row>
    <row r="620" spans="2:5" x14ac:dyDescent="0.3">
      <c r="B620">
        <v>11</v>
      </c>
      <c r="C620" t="s">
        <v>186</v>
      </c>
      <c r="D620" t="s">
        <v>54</v>
      </c>
      <c r="E620" s="20" t="s">
        <v>364</v>
      </c>
    </row>
    <row r="621" spans="2:5" x14ac:dyDescent="0.3">
      <c r="B621">
        <v>11</v>
      </c>
      <c r="C621" t="s">
        <v>183</v>
      </c>
      <c r="D621" t="s">
        <v>40</v>
      </c>
      <c r="E621" s="20" t="s">
        <v>364</v>
      </c>
    </row>
    <row r="622" spans="2:5" x14ac:dyDescent="0.3">
      <c r="B622">
        <v>11</v>
      </c>
      <c r="C622" t="s">
        <v>187</v>
      </c>
      <c r="D622" t="e">
        <v>#N/A</v>
      </c>
      <c r="E622" s="22" t="s">
        <v>232</v>
      </c>
    </row>
    <row r="623" spans="2:5" x14ac:dyDescent="0.3">
      <c r="B623">
        <v>11</v>
      </c>
      <c r="C623" t="s">
        <v>190</v>
      </c>
      <c r="D623" t="s">
        <v>142</v>
      </c>
      <c r="E623" s="20" t="s">
        <v>232</v>
      </c>
    </row>
    <row r="624" spans="2:5" x14ac:dyDescent="0.3">
      <c r="B624">
        <v>11</v>
      </c>
      <c r="C624" t="s">
        <v>185</v>
      </c>
      <c r="D624" t="s">
        <v>34</v>
      </c>
      <c r="E624" s="20" t="s">
        <v>291</v>
      </c>
    </row>
    <row r="625" spans="2:5" x14ac:dyDescent="0.3">
      <c r="B625">
        <v>11</v>
      </c>
      <c r="C625" t="s">
        <v>189</v>
      </c>
      <c r="D625" t="s">
        <v>24</v>
      </c>
      <c r="E625" s="22" t="s">
        <v>232</v>
      </c>
    </row>
    <row r="626" spans="2:5" x14ac:dyDescent="0.3">
      <c r="B626">
        <v>11</v>
      </c>
      <c r="C626" t="s">
        <v>173</v>
      </c>
      <c r="D626" t="s">
        <v>52</v>
      </c>
      <c r="E626" s="22" t="s">
        <v>241</v>
      </c>
    </row>
    <row r="627" spans="2:5" x14ac:dyDescent="0.3">
      <c r="B627">
        <v>11</v>
      </c>
      <c r="C627" t="s">
        <v>174</v>
      </c>
      <c r="D627" t="s">
        <v>77</v>
      </c>
      <c r="E627" s="22" t="s">
        <v>232</v>
      </c>
    </row>
    <row r="628" spans="2:5" x14ac:dyDescent="0.3">
      <c r="B628">
        <v>11</v>
      </c>
      <c r="C628" t="s">
        <v>175</v>
      </c>
      <c r="D628" t="s">
        <v>69</v>
      </c>
      <c r="E628" s="22" t="s">
        <v>232</v>
      </c>
    </row>
    <row r="629" spans="2:5" x14ac:dyDescent="0.3">
      <c r="B629">
        <v>11</v>
      </c>
      <c r="C629" t="s">
        <v>76</v>
      </c>
      <c r="D629" t="s">
        <v>40</v>
      </c>
      <c r="E629" s="22" t="s">
        <v>232</v>
      </c>
    </row>
    <row r="630" spans="2:5" x14ac:dyDescent="0.3">
      <c r="B630">
        <v>11</v>
      </c>
      <c r="C630" t="s">
        <v>15</v>
      </c>
      <c r="D630" t="s">
        <v>137</v>
      </c>
      <c r="E630" s="22" t="s">
        <v>241</v>
      </c>
    </row>
    <row r="631" spans="2:5" x14ac:dyDescent="0.3">
      <c r="B631">
        <v>11</v>
      </c>
      <c r="C631" t="s">
        <v>139</v>
      </c>
      <c r="D631" t="s">
        <v>10</v>
      </c>
      <c r="E631" s="22" t="s">
        <v>232</v>
      </c>
    </row>
    <row r="632" spans="2:5" x14ac:dyDescent="0.3">
      <c r="B632">
        <v>11</v>
      </c>
      <c r="C632" t="s">
        <v>80</v>
      </c>
      <c r="D632" t="s">
        <v>81</v>
      </c>
      <c r="E632" s="20" t="s">
        <v>232</v>
      </c>
    </row>
    <row r="633" spans="2:5" x14ac:dyDescent="0.3">
      <c r="B633">
        <v>11</v>
      </c>
      <c r="C633" t="s">
        <v>13</v>
      </c>
      <c r="D633" t="s">
        <v>14</v>
      </c>
      <c r="E633" s="20" t="s">
        <v>232</v>
      </c>
    </row>
    <row r="634" spans="2:5" x14ac:dyDescent="0.3">
      <c r="B634">
        <v>11</v>
      </c>
      <c r="C634" t="s">
        <v>120</v>
      </c>
      <c r="D634" t="s">
        <v>38</v>
      </c>
      <c r="E634" s="22" t="s">
        <v>232</v>
      </c>
    </row>
    <row r="635" spans="2:5" x14ac:dyDescent="0.3">
      <c r="B635">
        <v>11</v>
      </c>
      <c r="C635" t="s">
        <v>111</v>
      </c>
      <c r="D635" t="s">
        <v>63</v>
      </c>
      <c r="E635" s="22" t="s">
        <v>232</v>
      </c>
    </row>
    <row r="636" spans="2:5" x14ac:dyDescent="0.3">
      <c r="B636">
        <v>11</v>
      </c>
      <c r="C636" t="s">
        <v>121</v>
      </c>
      <c r="D636" t="s">
        <v>122</v>
      </c>
      <c r="E636" s="22" t="s">
        <v>241</v>
      </c>
    </row>
    <row r="637" spans="2:5" x14ac:dyDescent="0.3">
      <c r="B637">
        <v>11</v>
      </c>
      <c r="C637" t="s">
        <v>17</v>
      </c>
      <c r="D637" t="s">
        <v>18</v>
      </c>
      <c r="E637" s="22" t="s">
        <v>241</v>
      </c>
    </row>
    <row r="638" spans="2:5" x14ac:dyDescent="0.3">
      <c r="B638">
        <v>11</v>
      </c>
      <c r="C638" t="s">
        <v>19</v>
      </c>
      <c r="D638" t="s">
        <v>20</v>
      </c>
      <c r="E638" s="22" t="s">
        <v>232</v>
      </c>
    </row>
    <row r="639" spans="2:5" x14ac:dyDescent="0.3">
      <c r="B639">
        <v>11</v>
      </c>
      <c r="C639" t="s">
        <v>128</v>
      </c>
      <c r="D639" t="s">
        <v>155</v>
      </c>
      <c r="E639" s="22" t="s">
        <v>232</v>
      </c>
    </row>
    <row r="640" spans="2:5" x14ac:dyDescent="0.3">
      <c r="B640">
        <v>11</v>
      </c>
      <c r="C640" t="s">
        <v>21</v>
      </c>
      <c r="D640" t="s">
        <v>22</v>
      </c>
      <c r="E640" s="22" t="s">
        <v>232</v>
      </c>
    </row>
    <row r="641" spans="2:5" x14ac:dyDescent="0.3">
      <c r="B641">
        <v>11</v>
      </c>
      <c r="C641" t="s">
        <v>64</v>
      </c>
      <c r="D641" t="s">
        <v>140</v>
      </c>
      <c r="E641" s="22" t="s">
        <v>232</v>
      </c>
    </row>
    <row r="642" spans="2:5" x14ac:dyDescent="0.3">
      <c r="B642">
        <v>11</v>
      </c>
      <c r="C642" t="s">
        <v>90</v>
      </c>
      <c r="D642" t="s">
        <v>16</v>
      </c>
      <c r="E642" s="22" t="s">
        <v>364</v>
      </c>
    </row>
    <row r="643" spans="2:5" x14ac:dyDescent="0.3">
      <c r="B643">
        <v>11</v>
      </c>
      <c r="C643" t="s">
        <v>23</v>
      </c>
      <c r="D643" t="s">
        <v>24</v>
      </c>
      <c r="E643" s="20" t="s">
        <v>364</v>
      </c>
    </row>
    <row r="644" spans="2:5" x14ac:dyDescent="0.3">
      <c r="B644">
        <v>11</v>
      </c>
      <c r="C644" t="s">
        <v>23</v>
      </c>
      <c r="D644" t="s">
        <v>22</v>
      </c>
      <c r="E644" s="20" t="s">
        <v>364</v>
      </c>
    </row>
    <row r="645" spans="2:5" x14ac:dyDescent="0.3">
      <c r="B645">
        <v>11</v>
      </c>
      <c r="C645" t="s">
        <v>108</v>
      </c>
      <c r="D645" t="s">
        <v>75</v>
      </c>
      <c r="E645" s="22" t="s">
        <v>232</v>
      </c>
    </row>
    <row r="646" spans="2:5" x14ac:dyDescent="0.3">
      <c r="B646">
        <v>11</v>
      </c>
      <c r="C646" t="s">
        <v>85</v>
      </c>
      <c r="D646" t="s">
        <v>86</v>
      </c>
      <c r="E646" s="22" t="s">
        <v>232</v>
      </c>
    </row>
    <row r="647" spans="2:5" x14ac:dyDescent="0.3">
      <c r="B647">
        <v>11</v>
      </c>
      <c r="C647" t="s">
        <v>136</v>
      </c>
      <c r="D647" t="s">
        <v>56</v>
      </c>
      <c r="E647" s="20" t="s">
        <v>232</v>
      </c>
    </row>
    <row r="648" spans="2:5" x14ac:dyDescent="0.3">
      <c r="B648">
        <v>11</v>
      </c>
      <c r="C648" t="s">
        <v>25</v>
      </c>
      <c r="D648" t="s">
        <v>26</v>
      </c>
      <c r="E648" s="20" t="s">
        <v>291</v>
      </c>
    </row>
    <row r="649" spans="2:5" x14ac:dyDescent="0.3">
      <c r="B649">
        <v>11</v>
      </c>
      <c r="C649" t="s">
        <v>9</v>
      </c>
      <c r="D649" t="s">
        <v>10</v>
      </c>
      <c r="E649" s="22" t="s">
        <v>232</v>
      </c>
    </row>
    <row r="650" spans="2:5" x14ac:dyDescent="0.3">
      <c r="B650">
        <v>11</v>
      </c>
      <c r="C650" t="s">
        <v>29</v>
      </c>
      <c r="D650" t="s">
        <v>141</v>
      </c>
      <c r="E650" s="22" t="s">
        <v>232</v>
      </c>
    </row>
    <row r="651" spans="2:5" x14ac:dyDescent="0.3">
      <c r="B651">
        <v>11</v>
      </c>
      <c r="C651" t="s">
        <v>72</v>
      </c>
      <c r="D651" t="s">
        <v>73</v>
      </c>
      <c r="E651" s="22" t="s">
        <v>241</v>
      </c>
    </row>
    <row r="652" spans="2:5" x14ac:dyDescent="0.3">
      <c r="B652">
        <v>11</v>
      </c>
      <c r="C652" t="s">
        <v>92</v>
      </c>
      <c r="D652" t="s">
        <v>30</v>
      </c>
      <c r="E652" s="22" t="s">
        <v>232</v>
      </c>
    </row>
    <row r="653" spans="2:5" x14ac:dyDescent="0.3">
      <c r="B653">
        <v>11</v>
      </c>
      <c r="C653" t="s">
        <v>105</v>
      </c>
      <c r="D653" t="s">
        <v>106</v>
      </c>
      <c r="E653" s="22" t="s">
        <v>232</v>
      </c>
    </row>
    <row r="654" spans="2:5" x14ac:dyDescent="0.3">
      <c r="B654">
        <v>11</v>
      </c>
      <c r="C654" t="s">
        <v>31</v>
      </c>
      <c r="D654" t="s">
        <v>143</v>
      </c>
      <c r="E654" s="22" t="s">
        <v>232</v>
      </c>
    </row>
    <row r="655" spans="2:5" x14ac:dyDescent="0.3">
      <c r="B655">
        <v>11</v>
      </c>
      <c r="C655" t="s">
        <v>91</v>
      </c>
      <c r="D655" t="s">
        <v>144</v>
      </c>
      <c r="E655" s="22" t="s">
        <v>241</v>
      </c>
    </row>
    <row r="656" spans="2:5" x14ac:dyDescent="0.3">
      <c r="B656">
        <v>11</v>
      </c>
      <c r="C656" t="s">
        <v>33</v>
      </c>
      <c r="D656" t="s">
        <v>67</v>
      </c>
      <c r="E656" s="22" t="s">
        <v>232</v>
      </c>
    </row>
    <row r="657" spans="2:5" x14ac:dyDescent="0.3">
      <c r="B657">
        <v>11</v>
      </c>
      <c r="C657" t="s">
        <v>35</v>
      </c>
      <c r="D657" t="s">
        <v>36</v>
      </c>
      <c r="E657" s="20" t="s">
        <v>232</v>
      </c>
    </row>
    <row r="658" spans="2:5" x14ac:dyDescent="0.3">
      <c r="B658">
        <v>11</v>
      </c>
      <c r="C658" t="s">
        <v>114</v>
      </c>
      <c r="D658" t="s">
        <v>46</v>
      </c>
      <c r="E658" s="20" t="s">
        <v>232</v>
      </c>
    </row>
    <row r="659" spans="2:5" x14ac:dyDescent="0.3">
      <c r="B659">
        <v>11</v>
      </c>
      <c r="C659" t="s">
        <v>43</v>
      </c>
      <c r="D659" t="s">
        <v>145</v>
      </c>
      <c r="E659" s="22" t="s">
        <v>232</v>
      </c>
    </row>
    <row r="660" spans="2:5" x14ac:dyDescent="0.3">
      <c r="B660">
        <v>11</v>
      </c>
      <c r="C660" t="s">
        <v>84</v>
      </c>
      <c r="D660" t="s">
        <v>146</v>
      </c>
      <c r="E660" s="22" t="s">
        <v>232</v>
      </c>
    </row>
    <row r="661" spans="2:5" x14ac:dyDescent="0.3">
      <c r="B661">
        <v>11</v>
      </c>
      <c r="C661" t="s">
        <v>89</v>
      </c>
      <c r="D661" t="s">
        <v>4</v>
      </c>
      <c r="E661" s="22" t="s">
        <v>232</v>
      </c>
    </row>
    <row r="662" spans="2:5" x14ac:dyDescent="0.3">
      <c r="B662">
        <v>11</v>
      </c>
      <c r="C662" t="s">
        <v>123</v>
      </c>
      <c r="D662" t="s">
        <v>59</v>
      </c>
      <c r="E662" s="22" t="s">
        <v>241</v>
      </c>
    </row>
    <row r="663" spans="2:5" x14ac:dyDescent="0.3">
      <c r="B663">
        <v>11</v>
      </c>
      <c r="C663" t="s">
        <v>123</v>
      </c>
      <c r="D663" t="s">
        <v>71</v>
      </c>
      <c r="E663" s="22" t="s">
        <v>241</v>
      </c>
    </row>
    <row r="664" spans="2:5" x14ac:dyDescent="0.3">
      <c r="B664">
        <v>11</v>
      </c>
      <c r="C664" t="s">
        <v>5</v>
      </c>
      <c r="D664" t="s">
        <v>6</v>
      </c>
      <c r="E664" s="22" t="s">
        <v>232</v>
      </c>
    </row>
    <row r="665" spans="2:5" x14ac:dyDescent="0.3">
      <c r="B665">
        <v>11</v>
      </c>
      <c r="C665" t="s">
        <v>5</v>
      </c>
      <c r="D665" t="s">
        <v>50</v>
      </c>
      <c r="E665" s="22" t="s">
        <v>232</v>
      </c>
    </row>
    <row r="666" spans="2:5" x14ac:dyDescent="0.3">
      <c r="B666">
        <v>11</v>
      </c>
      <c r="C666" t="s">
        <v>47</v>
      </c>
      <c r="D666" t="s">
        <v>147</v>
      </c>
      <c r="E666" s="22" t="s">
        <v>232</v>
      </c>
    </row>
    <row r="667" spans="2:5" x14ac:dyDescent="0.3">
      <c r="B667">
        <v>11</v>
      </c>
      <c r="C667" t="s">
        <v>49</v>
      </c>
      <c r="D667" t="s">
        <v>12</v>
      </c>
      <c r="E667" s="22" t="s">
        <v>232</v>
      </c>
    </row>
    <row r="668" spans="2:5" x14ac:dyDescent="0.3">
      <c r="B668">
        <v>11</v>
      </c>
      <c r="C668" t="s">
        <v>49</v>
      </c>
      <c r="D668" t="s">
        <v>104</v>
      </c>
      <c r="E668" s="20" t="s">
        <v>232</v>
      </c>
    </row>
    <row r="669" spans="2:5" x14ac:dyDescent="0.3">
      <c r="B669">
        <v>11</v>
      </c>
      <c r="C669" t="s">
        <v>152</v>
      </c>
      <c r="D669" t="s">
        <v>42</v>
      </c>
      <c r="E669" s="20" t="s">
        <v>364</v>
      </c>
    </row>
    <row r="670" spans="2:5" x14ac:dyDescent="0.3">
      <c r="B670">
        <v>11</v>
      </c>
      <c r="C670" t="s">
        <v>51</v>
      </c>
      <c r="D670" t="s">
        <v>52</v>
      </c>
      <c r="E670" s="20" t="s">
        <v>364</v>
      </c>
    </row>
    <row r="671" spans="2:5" x14ac:dyDescent="0.3">
      <c r="B671">
        <v>11</v>
      </c>
      <c r="C671" t="s">
        <v>131</v>
      </c>
      <c r="D671" t="s">
        <v>116</v>
      </c>
      <c r="E671" s="22" t="s">
        <v>232</v>
      </c>
    </row>
    <row r="672" spans="2:5" x14ac:dyDescent="0.3">
      <c r="B672">
        <v>11</v>
      </c>
      <c r="C672" t="s">
        <v>107</v>
      </c>
      <c r="D672" t="s">
        <v>148</v>
      </c>
      <c r="E672" s="20" t="s">
        <v>232</v>
      </c>
    </row>
    <row r="673" spans="2:5" x14ac:dyDescent="0.3">
      <c r="B673">
        <v>11</v>
      </c>
      <c r="C673" t="s">
        <v>87</v>
      </c>
      <c r="D673" t="s">
        <v>83</v>
      </c>
      <c r="E673" s="20" t="s">
        <v>232</v>
      </c>
    </row>
    <row r="674" spans="2:5" x14ac:dyDescent="0.3">
      <c r="B674">
        <v>11</v>
      </c>
      <c r="C674" t="s">
        <v>117</v>
      </c>
      <c r="D674" t="s">
        <v>118</v>
      </c>
      <c r="E674" s="20" t="s">
        <v>291</v>
      </c>
    </row>
    <row r="675" spans="2:5" x14ac:dyDescent="0.3">
      <c r="B675">
        <v>11</v>
      </c>
      <c r="C675" t="s">
        <v>98</v>
      </c>
      <c r="D675" t="s">
        <v>112</v>
      </c>
      <c r="E675" s="20" t="s">
        <v>291</v>
      </c>
    </row>
    <row r="676" spans="2:5" x14ac:dyDescent="0.3">
      <c r="B676">
        <v>11</v>
      </c>
      <c r="C676" t="s">
        <v>119</v>
      </c>
      <c r="D676" t="s">
        <v>97</v>
      </c>
      <c r="E676" s="20" t="s">
        <v>232</v>
      </c>
    </row>
    <row r="677" spans="2:5" x14ac:dyDescent="0.3">
      <c r="B677">
        <v>11</v>
      </c>
      <c r="C677" t="s">
        <v>184</v>
      </c>
      <c r="D677" t="s">
        <v>50</v>
      </c>
      <c r="E677" s="20" t="s">
        <v>232</v>
      </c>
    </row>
    <row r="678" spans="2:5" x14ac:dyDescent="0.3">
      <c r="B678">
        <v>11</v>
      </c>
      <c r="C678" t="s">
        <v>176</v>
      </c>
      <c r="D678" t="s">
        <v>158</v>
      </c>
      <c r="E678" s="22" t="s">
        <v>241</v>
      </c>
    </row>
    <row r="679" spans="2:5" x14ac:dyDescent="0.3">
      <c r="B679">
        <v>11</v>
      </c>
      <c r="C679" t="s">
        <v>187</v>
      </c>
      <c r="D679" t="s">
        <v>204</v>
      </c>
      <c r="E679" s="20" t="s">
        <v>232</v>
      </c>
    </row>
    <row r="680" spans="2:5" x14ac:dyDescent="0.3">
      <c r="B680">
        <v>11</v>
      </c>
      <c r="C680" t="s">
        <v>177</v>
      </c>
      <c r="D680" t="s">
        <v>157</v>
      </c>
      <c r="E680" s="20" t="s">
        <v>232</v>
      </c>
    </row>
    <row r="681" spans="2:5" x14ac:dyDescent="0.3">
      <c r="B681">
        <v>11</v>
      </c>
      <c r="C681" t="s">
        <v>27</v>
      </c>
      <c r="D681" t="s">
        <v>137</v>
      </c>
      <c r="E681" s="22" t="s">
        <v>232</v>
      </c>
    </row>
    <row r="682" spans="2:5" x14ac:dyDescent="0.3">
      <c r="B682">
        <v>11</v>
      </c>
      <c r="C682" t="s">
        <v>197</v>
      </c>
      <c r="D682" t="s">
        <v>79</v>
      </c>
      <c r="E682" s="20" t="s">
        <v>232</v>
      </c>
    </row>
    <row r="683" spans="2:5" x14ac:dyDescent="0.3">
      <c r="E683" s="20" t="s">
        <v>232</v>
      </c>
    </row>
    <row r="684" spans="2:5" x14ac:dyDescent="0.3">
      <c r="E684" s="22" t="s">
        <v>241</v>
      </c>
    </row>
    <row r="685" spans="2:5" x14ac:dyDescent="0.3">
      <c r="E685" s="20" t="s">
        <v>232</v>
      </c>
    </row>
    <row r="686" spans="2:5" x14ac:dyDescent="0.3">
      <c r="E686" s="22" t="s">
        <v>364</v>
      </c>
    </row>
    <row r="687" spans="2:5" x14ac:dyDescent="0.3">
      <c r="E687" s="20" t="s">
        <v>232</v>
      </c>
    </row>
    <row r="688" spans="2:5" x14ac:dyDescent="0.3">
      <c r="E688" s="20" t="s">
        <v>232</v>
      </c>
    </row>
    <row r="689" spans="5:5" x14ac:dyDescent="0.3">
      <c r="E689" s="20" t="s">
        <v>232</v>
      </c>
    </row>
    <row r="690" spans="5:5" x14ac:dyDescent="0.3">
      <c r="E690" s="22" t="s">
        <v>232</v>
      </c>
    </row>
    <row r="691" spans="5:5" x14ac:dyDescent="0.3">
      <c r="E691" s="22" t="s">
        <v>241</v>
      </c>
    </row>
    <row r="692" spans="5:5" x14ac:dyDescent="0.3">
      <c r="E692" s="22" t="s">
        <v>241</v>
      </c>
    </row>
    <row r="693" spans="5:5" x14ac:dyDescent="0.3">
      <c r="E693" s="20" t="s">
        <v>232</v>
      </c>
    </row>
    <row r="694" spans="5:5" x14ac:dyDescent="0.3">
      <c r="E694" s="22" t="s">
        <v>364</v>
      </c>
    </row>
    <row r="695" spans="5:5" x14ac:dyDescent="0.3">
      <c r="E695" s="20" t="s">
        <v>232</v>
      </c>
    </row>
    <row r="696" spans="5:5" x14ac:dyDescent="0.3">
      <c r="E696" s="20" t="s">
        <v>232</v>
      </c>
    </row>
    <row r="697" spans="5:5" x14ac:dyDescent="0.3">
      <c r="E697" s="20" t="s">
        <v>232</v>
      </c>
    </row>
    <row r="698" spans="5:5" x14ac:dyDescent="0.3">
      <c r="E698" s="20" t="s">
        <v>232</v>
      </c>
    </row>
    <row r="699" spans="5:5" x14ac:dyDescent="0.3">
      <c r="E699" s="20" t="s">
        <v>364</v>
      </c>
    </row>
    <row r="700" spans="5:5" x14ac:dyDescent="0.3">
      <c r="E700" s="22" t="s">
        <v>232</v>
      </c>
    </row>
    <row r="701" spans="5:5" x14ac:dyDescent="0.3">
      <c r="E701" s="20" t="s">
        <v>364</v>
      </c>
    </row>
    <row r="702" spans="5:5" x14ac:dyDescent="0.3">
      <c r="E702" s="20" t="s">
        <v>291</v>
      </c>
    </row>
    <row r="703" spans="5:5" x14ac:dyDescent="0.3">
      <c r="E703" s="20" t="s">
        <v>232</v>
      </c>
    </row>
    <row r="704" spans="5:5" x14ac:dyDescent="0.3">
      <c r="E704" s="20" t="s">
        <v>232</v>
      </c>
    </row>
    <row r="705" spans="5:5" x14ac:dyDescent="0.3">
      <c r="E705" s="20" t="s">
        <v>291</v>
      </c>
    </row>
    <row r="706" spans="5:5" x14ac:dyDescent="0.3">
      <c r="E706" s="20" t="s">
        <v>232</v>
      </c>
    </row>
    <row r="707" spans="5:5" x14ac:dyDescent="0.3">
      <c r="E707" s="20" t="s">
        <v>232</v>
      </c>
    </row>
    <row r="708" spans="5:5" x14ac:dyDescent="0.3">
      <c r="E708" s="22" t="s">
        <v>241</v>
      </c>
    </row>
    <row r="709" spans="5:5" x14ac:dyDescent="0.3">
      <c r="E709" s="20" t="s">
        <v>232</v>
      </c>
    </row>
    <row r="710" spans="5:5" x14ac:dyDescent="0.3">
      <c r="E710" s="20" t="s">
        <v>232</v>
      </c>
    </row>
    <row r="711" spans="5:5" x14ac:dyDescent="0.3">
      <c r="E711" s="20" t="s">
        <v>232</v>
      </c>
    </row>
    <row r="712" spans="5:5" x14ac:dyDescent="0.3">
      <c r="E712" s="20" t="s">
        <v>232</v>
      </c>
    </row>
    <row r="713" spans="5:5" x14ac:dyDescent="0.3">
      <c r="E713" s="22" t="s">
        <v>364</v>
      </c>
    </row>
    <row r="714" spans="5:5" x14ac:dyDescent="0.3">
      <c r="E714" s="22" t="s">
        <v>241</v>
      </c>
    </row>
    <row r="715" spans="5:5" x14ac:dyDescent="0.3">
      <c r="E715" s="20" t="s">
        <v>232</v>
      </c>
    </row>
    <row r="716" spans="5:5" x14ac:dyDescent="0.3">
      <c r="E716" s="22" t="s">
        <v>364</v>
      </c>
    </row>
    <row r="717" spans="5:5" x14ac:dyDescent="0.3">
      <c r="E717" s="20" t="s">
        <v>232</v>
      </c>
    </row>
    <row r="718" spans="5:5" x14ac:dyDescent="0.3">
      <c r="E718" s="20" t="s">
        <v>232</v>
      </c>
    </row>
    <row r="719" spans="5:5" x14ac:dyDescent="0.3">
      <c r="E719" s="20" t="s">
        <v>232</v>
      </c>
    </row>
    <row r="720" spans="5:5" x14ac:dyDescent="0.3">
      <c r="E720" s="22" t="s">
        <v>232</v>
      </c>
    </row>
    <row r="721" spans="5:5" x14ac:dyDescent="0.3">
      <c r="E721" s="22" t="s">
        <v>241</v>
      </c>
    </row>
    <row r="722" spans="5:5" x14ac:dyDescent="0.3">
      <c r="E722" s="22" t="s">
        <v>241</v>
      </c>
    </row>
    <row r="723" spans="5:5" x14ac:dyDescent="0.3">
      <c r="E723" s="22" t="s">
        <v>364</v>
      </c>
    </row>
    <row r="724" spans="5:5" x14ac:dyDescent="0.3">
      <c r="E724" s="20" t="s">
        <v>232</v>
      </c>
    </row>
    <row r="725" spans="5:5" x14ac:dyDescent="0.3">
      <c r="E725" s="20" t="s">
        <v>232</v>
      </c>
    </row>
    <row r="726" spans="5:5" x14ac:dyDescent="0.3">
      <c r="E726" s="20" t="s">
        <v>232</v>
      </c>
    </row>
    <row r="727" spans="5:5" x14ac:dyDescent="0.3">
      <c r="E727" s="20" t="s">
        <v>232</v>
      </c>
    </row>
    <row r="728" spans="5:5" x14ac:dyDescent="0.3">
      <c r="E728" s="22" t="s">
        <v>232</v>
      </c>
    </row>
    <row r="729" spans="5:5" x14ac:dyDescent="0.3">
      <c r="E729" s="20" t="s">
        <v>364</v>
      </c>
    </row>
    <row r="730" spans="5:5" x14ac:dyDescent="0.3">
      <c r="E730" s="20" t="s">
        <v>291</v>
      </c>
    </row>
    <row r="731" spans="5:5" x14ac:dyDescent="0.3">
      <c r="E731" s="20" t="s">
        <v>232</v>
      </c>
    </row>
    <row r="732" spans="5:5" x14ac:dyDescent="0.3">
      <c r="E732" s="20" t="s">
        <v>232</v>
      </c>
    </row>
    <row r="733" spans="5:5" x14ac:dyDescent="0.3">
      <c r="E733" s="20" t="s">
        <v>232</v>
      </c>
    </row>
    <row r="734" spans="5:5" x14ac:dyDescent="0.3">
      <c r="E734" s="20" t="s">
        <v>291</v>
      </c>
    </row>
    <row r="735" spans="5:5" x14ac:dyDescent="0.3">
      <c r="E735" s="20" t="s">
        <v>232</v>
      </c>
    </row>
    <row r="736" spans="5:5" x14ac:dyDescent="0.3">
      <c r="E736" s="20" t="s">
        <v>232</v>
      </c>
    </row>
    <row r="737" spans="5:5" x14ac:dyDescent="0.3">
      <c r="E737" s="22" t="s">
        <v>241</v>
      </c>
    </row>
    <row r="738" spans="5:5" x14ac:dyDescent="0.3">
      <c r="E738" s="20" t="s">
        <v>232</v>
      </c>
    </row>
    <row r="739" spans="5:5" x14ac:dyDescent="0.3">
      <c r="E739" s="20" t="s">
        <v>232</v>
      </c>
    </row>
    <row r="740" spans="5:5" x14ac:dyDescent="0.3">
      <c r="E740" s="20" t="s">
        <v>232</v>
      </c>
    </row>
    <row r="741" spans="5:5" x14ac:dyDescent="0.3">
      <c r="E741" s="22" t="s">
        <v>232</v>
      </c>
    </row>
    <row r="742" spans="5:5" x14ac:dyDescent="0.3">
      <c r="E742" s="22" t="s">
        <v>364</v>
      </c>
    </row>
    <row r="743" spans="5:5" x14ac:dyDescent="0.3">
      <c r="E743" s="22" t="s">
        <v>241</v>
      </c>
    </row>
    <row r="744" spans="5:5" x14ac:dyDescent="0.3">
      <c r="E744" s="20" t="s">
        <v>232</v>
      </c>
    </row>
    <row r="745" spans="5:5" x14ac:dyDescent="0.3">
      <c r="E745" s="20" t="s">
        <v>232</v>
      </c>
    </row>
    <row r="746" spans="5:5" x14ac:dyDescent="0.3">
      <c r="E746" s="22" t="s">
        <v>364</v>
      </c>
    </row>
    <row r="747" spans="5:5" x14ac:dyDescent="0.3">
      <c r="E747" s="20" t="s">
        <v>232</v>
      </c>
    </row>
    <row r="748" spans="5:5" x14ac:dyDescent="0.3">
      <c r="E748" s="20" t="s">
        <v>232</v>
      </c>
    </row>
    <row r="749" spans="5:5" x14ac:dyDescent="0.3">
      <c r="E749" s="20" t="s">
        <v>232</v>
      </c>
    </row>
    <row r="750" spans="5:5" x14ac:dyDescent="0.3">
      <c r="E750" s="22" t="s">
        <v>232</v>
      </c>
    </row>
    <row r="751" spans="5:5" x14ac:dyDescent="0.3">
      <c r="E751" s="20" t="s">
        <v>232</v>
      </c>
    </row>
    <row r="752" spans="5:5" x14ac:dyDescent="0.3">
      <c r="E752" s="22" t="s">
        <v>241</v>
      </c>
    </row>
    <row r="753" spans="5:5" x14ac:dyDescent="0.3">
      <c r="E753" s="22" t="s">
        <v>241</v>
      </c>
    </row>
    <row r="754" spans="5:5" x14ac:dyDescent="0.3">
      <c r="E754" s="20" t="s">
        <v>291</v>
      </c>
    </row>
    <row r="755" spans="5:5" x14ac:dyDescent="0.3">
      <c r="E755" s="22" t="s">
        <v>364</v>
      </c>
    </row>
    <row r="756" spans="5:5" x14ac:dyDescent="0.3">
      <c r="E756" s="20" t="s">
        <v>232</v>
      </c>
    </row>
    <row r="757" spans="5:5" x14ac:dyDescent="0.3">
      <c r="E757" s="20" t="s">
        <v>232</v>
      </c>
    </row>
    <row r="758" spans="5:5" x14ac:dyDescent="0.3">
      <c r="E758" s="20" t="s">
        <v>232</v>
      </c>
    </row>
    <row r="759" spans="5:5" x14ac:dyDescent="0.3">
      <c r="E759" s="20" t="s">
        <v>232</v>
      </c>
    </row>
    <row r="760" spans="5:5" x14ac:dyDescent="0.3">
      <c r="E760" s="22" t="s">
        <v>232</v>
      </c>
    </row>
    <row r="761" spans="5:5" x14ac:dyDescent="0.3">
      <c r="E761" s="22" t="s">
        <v>232</v>
      </c>
    </row>
    <row r="762" spans="5:5" x14ac:dyDescent="0.3">
      <c r="E762" s="22" t="s">
        <v>364</v>
      </c>
    </row>
    <row r="763" spans="5:5" x14ac:dyDescent="0.3">
      <c r="E763" s="20" t="s">
        <v>232</v>
      </c>
    </row>
    <row r="764" spans="5:5" x14ac:dyDescent="0.3">
      <c r="E764" s="20" t="s">
        <v>232</v>
      </c>
    </row>
    <row r="765" spans="5:5" x14ac:dyDescent="0.3">
      <c r="E765" s="20" t="s">
        <v>232</v>
      </c>
    </row>
    <row r="766" spans="5:5" x14ac:dyDescent="0.3">
      <c r="E766" s="20" t="s">
        <v>232</v>
      </c>
    </row>
    <row r="767" spans="5:5" x14ac:dyDescent="0.3">
      <c r="E767" s="20" t="s">
        <v>291</v>
      </c>
    </row>
    <row r="768" spans="5:5" x14ac:dyDescent="0.3">
      <c r="E768" s="20" t="s">
        <v>232</v>
      </c>
    </row>
    <row r="769" spans="5:5" x14ac:dyDescent="0.3">
      <c r="E769" s="20" t="s">
        <v>232</v>
      </c>
    </row>
    <row r="770" spans="5:5" x14ac:dyDescent="0.3">
      <c r="E770" s="22" t="s">
        <v>241</v>
      </c>
    </row>
    <row r="771" spans="5:5" x14ac:dyDescent="0.3">
      <c r="E771" s="20" t="s">
        <v>232</v>
      </c>
    </row>
    <row r="772" spans="5:5" x14ac:dyDescent="0.3">
      <c r="E772" s="22" t="s">
        <v>232</v>
      </c>
    </row>
    <row r="773" spans="5:5" x14ac:dyDescent="0.3">
      <c r="E773" s="22" t="s">
        <v>364</v>
      </c>
    </row>
    <row r="774" spans="5:5" x14ac:dyDescent="0.3">
      <c r="E774" s="20" t="s">
        <v>232</v>
      </c>
    </row>
    <row r="775" spans="5:5" x14ac:dyDescent="0.3">
      <c r="E775" s="22" t="s">
        <v>364</v>
      </c>
    </row>
    <row r="776" spans="5:5" x14ac:dyDescent="0.3">
      <c r="E776" s="20" t="s">
        <v>232</v>
      </c>
    </row>
    <row r="777" spans="5:5" x14ac:dyDescent="0.3">
      <c r="E777" s="22" t="s">
        <v>364</v>
      </c>
    </row>
    <row r="778" spans="5:5" x14ac:dyDescent="0.3">
      <c r="E778" s="22" t="s">
        <v>232</v>
      </c>
    </row>
    <row r="779" spans="5:5" x14ac:dyDescent="0.3">
      <c r="E779" s="22" t="s">
        <v>241</v>
      </c>
    </row>
    <row r="780" spans="5:5" x14ac:dyDescent="0.3">
      <c r="E780" s="20" t="s">
        <v>232</v>
      </c>
    </row>
    <row r="781" spans="5:5" x14ac:dyDescent="0.3">
      <c r="E781" s="22" t="s">
        <v>364</v>
      </c>
    </row>
    <row r="782" spans="5:5" x14ac:dyDescent="0.3">
      <c r="E782" s="20" t="s">
        <v>232</v>
      </c>
    </row>
    <row r="783" spans="5:5" x14ac:dyDescent="0.3">
      <c r="E783" s="20" t="s">
        <v>232</v>
      </c>
    </row>
    <row r="784" spans="5:5" x14ac:dyDescent="0.3">
      <c r="E784" s="20" t="s">
        <v>232</v>
      </c>
    </row>
    <row r="785" spans="5:5" x14ac:dyDescent="0.3">
      <c r="E785" s="20" t="s">
        <v>232</v>
      </c>
    </row>
    <row r="786" spans="5:5" x14ac:dyDescent="0.3">
      <c r="E786" s="22" t="s">
        <v>232</v>
      </c>
    </row>
    <row r="787" spans="5:5" x14ac:dyDescent="0.3">
      <c r="E787" s="20" t="s">
        <v>232</v>
      </c>
    </row>
    <row r="788" spans="5:5" x14ac:dyDescent="0.3">
      <c r="E788" s="22" t="s">
        <v>241</v>
      </c>
    </row>
    <row r="789" spans="5:5" x14ac:dyDescent="0.3">
      <c r="E789" s="20" t="s">
        <v>291</v>
      </c>
    </row>
    <row r="790" spans="5:5" x14ac:dyDescent="0.3">
      <c r="E790" s="22" t="s">
        <v>364</v>
      </c>
    </row>
    <row r="791" spans="5:5" x14ac:dyDescent="0.3">
      <c r="E791" s="20" t="s">
        <v>232</v>
      </c>
    </row>
    <row r="792" spans="5:5" x14ac:dyDescent="0.3">
      <c r="E792" s="20" t="s">
        <v>232</v>
      </c>
    </row>
    <row r="793" spans="5:5" x14ac:dyDescent="0.3">
      <c r="E793" s="20" t="s">
        <v>232</v>
      </c>
    </row>
    <row r="794" spans="5:5" x14ac:dyDescent="0.3">
      <c r="E794" s="22" t="s">
        <v>232</v>
      </c>
    </row>
    <row r="795" spans="5:5" x14ac:dyDescent="0.3">
      <c r="E795" s="22" t="s">
        <v>232</v>
      </c>
    </row>
    <row r="796" spans="5:5" x14ac:dyDescent="0.3">
      <c r="E796" s="22" t="s">
        <v>364</v>
      </c>
    </row>
    <row r="797" spans="5:5" x14ac:dyDescent="0.3">
      <c r="E797" s="20" t="s">
        <v>232</v>
      </c>
    </row>
    <row r="798" spans="5:5" x14ac:dyDescent="0.3">
      <c r="E798" s="20" t="s">
        <v>232</v>
      </c>
    </row>
    <row r="799" spans="5:5" x14ac:dyDescent="0.3">
      <c r="E799" s="20" t="s">
        <v>232</v>
      </c>
    </row>
    <row r="800" spans="5:5" x14ac:dyDescent="0.3">
      <c r="E800" s="20" t="s">
        <v>232</v>
      </c>
    </row>
    <row r="801" spans="5:5" x14ac:dyDescent="0.3">
      <c r="E801" s="20" t="s">
        <v>291</v>
      </c>
    </row>
    <row r="802" spans="5:5" x14ac:dyDescent="0.3">
      <c r="E802" s="22" t="s">
        <v>241</v>
      </c>
    </row>
    <row r="803" spans="5:5" x14ac:dyDescent="0.3">
      <c r="E803" s="20" t="s">
        <v>232</v>
      </c>
    </row>
    <row r="804" spans="5:5" x14ac:dyDescent="0.3">
      <c r="E804" s="22" t="s">
        <v>241</v>
      </c>
    </row>
    <row r="805" spans="5:5" x14ac:dyDescent="0.3">
      <c r="E805" s="20" t="s">
        <v>232</v>
      </c>
    </row>
    <row r="806" spans="5:5" x14ac:dyDescent="0.3">
      <c r="E806" s="20" t="s">
        <v>232</v>
      </c>
    </row>
    <row r="807" spans="5:5" x14ac:dyDescent="0.3">
      <c r="E807" s="20" t="s">
        <v>232</v>
      </c>
    </row>
    <row r="808" spans="5:5" x14ac:dyDescent="0.3">
      <c r="E808" s="22" t="s">
        <v>364</v>
      </c>
    </row>
    <row r="809" spans="5:5" x14ac:dyDescent="0.3">
      <c r="E809" s="20" t="s">
        <v>232</v>
      </c>
    </row>
    <row r="810" spans="5:5" x14ac:dyDescent="0.3">
      <c r="E810" s="22" t="s">
        <v>364</v>
      </c>
    </row>
    <row r="811" spans="5:5" x14ac:dyDescent="0.3">
      <c r="E811" s="22" t="s">
        <v>232</v>
      </c>
    </row>
    <row r="812" spans="5:5" x14ac:dyDescent="0.3">
      <c r="E812" s="22" t="s">
        <v>241</v>
      </c>
    </row>
    <row r="813" spans="5:5" x14ac:dyDescent="0.3">
      <c r="E813" s="20" t="s">
        <v>232</v>
      </c>
    </row>
    <row r="814" spans="5:5" x14ac:dyDescent="0.3">
      <c r="E814" s="22" t="s">
        <v>364</v>
      </c>
    </row>
    <row r="815" spans="5:5" x14ac:dyDescent="0.3">
      <c r="E815" s="20" t="s">
        <v>232</v>
      </c>
    </row>
    <row r="816" spans="5:5" x14ac:dyDescent="0.3">
      <c r="E816" s="20" t="s">
        <v>232</v>
      </c>
    </row>
    <row r="817" spans="5:5" x14ac:dyDescent="0.3">
      <c r="E817" s="20" t="s">
        <v>232</v>
      </c>
    </row>
    <row r="818" spans="5:5" x14ac:dyDescent="0.3">
      <c r="E818" s="22" t="s">
        <v>232</v>
      </c>
    </row>
    <row r="819" spans="5:5" x14ac:dyDescent="0.3">
      <c r="E819" s="22" t="s">
        <v>232</v>
      </c>
    </row>
    <row r="820" spans="5:5" x14ac:dyDescent="0.3">
      <c r="E820" s="20" t="s">
        <v>232</v>
      </c>
    </row>
    <row r="821" spans="5:5" x14ac:dyDescent="0.3">
      <c r="E821" s="22" t="s">
        <v>241</v>
      </c>
    </row>
    <row r="822" spans="5:5" x14ac:dyDescent="0.3">
      <c r="E822" s="20" t="s">
        <v>291</v>
      </c>
    </row>
    <row r="823" spans="5:5" x14ac:dyDescent="0.3">
      <c r="E823" s="41" t="s">
        <v>232</v>
      </c>
    </row>
    <row r="824" spans="5:5" x14ac:dyDescent="0.3">
      <c r="E824" s="22" t="s">
        <v>364</v>
      </c>
    </row>
    <row r="825" spans="5:5" x14ac:dyDescent="0.3">
      <c r="E825" s="20" t="s">
        <v>232</v>
      </c>
    </row>
    <row r="826" spans="5:5" x14ac:dyDescent="0.3">
      <c r="E826" s="20" t="s">
        <v>232</v>
      </c>
    </row>
    <row r="827" spans="5:5" x14ac:dyDescent="0.3">
      <c r="E827" s="20" t="s">
        <v>364</v>
      </c>
    </row>
    <row r="828" spans="5:5" x14ac:dyDescent="0.3">
      <c r="E828" s="20" t="s">
        <v>232</v>
      </c>
    </row>
    <row r="829" spans="5:5" x14ac:dyDescent="0.3">
      <c r="E829" s="22" t="s">
        <v>232</v>
      </c>
    </row>
    <row r="830" spans="5:5" x14ac:dyDescent="0.3">
      <c r="E830" s="22" t="s">
        <v>364</v>
      </c>
    </row>
    <row r="831" spans="5:5" x14ac:dyDescent="0.3">
      <c r="E831" s="22" t="s">
        <v>232</v>
      </c>
    </row>
    <row r="832" spans="5:5" x14ac:dyDescent="0.3">
      <c r="E832" s="22" t="s">
        <v>364</v>
      </c>
    </row>
    <row r="833" spans="5:5" x14ac:dyDescent="0.3">
      <c r="E833" s="20" t="s">
        <v>291</v>
      </c>
    </row>
    <row r="834" spans="5:5" x14ac:dyDescent="0.3">
      <c r="E834" s="20" t="s">
        <v>232</v>
      </c>
    </row>
    <row r="835" spans="5:5" x14ac:dyDescent="0.3">
      <c r="E835" s="20" t="s">
        <v>232</v>
      </c>
    </row>
    <row r="836" spans="5:5" x14ac:dyDescent="0.3">
      <c r="E836" s="20" t="s">
        <v>291</v>
      </c>
    </row>
    <row r="837" spans="5:5" x14ac:dyDescent="0.3">
      <c r="E837" s="20" t="s">
        <v>232</v>
      </c>
    </row>
    <row r="838" spans="5:5" x14ac:dyDescent="0.3">
      <c r="E838" s="20" t="s">
        <v>232</v>
      </c>
    </row>
    <row r="839" spans="5:5" x14ac:dyDescent="0.3">
      <c r="E839" s="20" t="s">
        <v>291</v>
      </c>
    </row>
    <row r="840" spans="5:5" x14ac:dyDescent="0.3">
      <c r="E840" s="22" t="s">
        <v>241</v>
      </c>
    </row>
    <row r="841" spans="5:5" x14ac:dyDescent="0.3">
      <c r="E841" s="20" t="s">
        <v>232</v>
      </c>
    </row>
    <row r="842" spans="5:5" x14ac:dyDescent="0.3">
      <c r="E842" s="20" t="s">
        <v>232</v>
      </c>
    </row>
    <row r="843" spans="5:5" x14ac:dyDescent="0.3">
      <c r="E843" s="22" t="s">
        <v>232</v>
      </c>
    </row>
    <row r="844" spans="5:5" x14ac:dyDescent="0.3">
      <c r="E844" s="20" t="s">
        <v>232</v>
      </c>
    </row>
    <row r="845" spans="5:5" x14ac:dyDescent="0.3">
      <c r="E845" s="20" t="s">
        <v>232</v>
      </c>
    </row>
    <row r="846" spans="5:5" x14ac:dyDescent="0.3">
      <c r="E846" s="22" t="s">
        <v>364</v>
      </c>
    </row>
    <row r="847" spans="5:5" x14ac:dyDescent="0.3">
      <c r="E847" s="20" t="s">
        <v>232</v>
      </c>
    </row>
    <row r="848" spans="5:5" x14ac:dyDescent="0.3">
      <c r="E848" s="22" t="s">
        <v>232</v>
      </c>
    </row>
    <row r="849" spans="5:5" x14ac:dyDescent="0.3">
      <c r="E849" s="22" t="s">
        <v>364</v>
      </c>
    </row>
    <row r="850" spans="5:5" x14ac:dyDescent="0.3">
      <c r="E850" s="22" t="s">
        <v>232</v>
      </c>
    </row>
    <row r="851" spans="5:5" x14ac:dyDescent="0.3">
      <c r="E851" s="22" t="s">
        <v>241</v>
      </c>
    </row>
    <row r="852" spans="5:5" x14ac:dyDescent="0.3">
      <c r="E852" s="20" t="s">
        <v>232</v>
      </c>
    </row>
    <row r="853" spans="5:5" x14ac:dyDescent="0.3">
      <c r="E853" s="22" t="s">
        <v>364</v>
      </c>
    </row>
    <row r="854" spans="5:5" x14ac:dyDescent="0.3">
      <c r="E854" s="20" t="s">
        <v>232</v>
      </c>
    </row>
    <row r="855" spans="5:5" x14ac:dyDescent="0.3">
      <c r="E855" s="20" t="s">
        <v>232</v>
      </c>
    </row>
    <row r="856" spans="5:5" x14ac:dyDescent="0.3">
      <c r="E856" s="20" t="s">
        <v>232</v>
      </c>
    </row>
    <row r="857" spans="5:5" x14ac:dyDescent="0.3">
      <c r="E857" s="22" t="s">
        <v>232</v>
      </c>
    </row>
    <row r="858" spans="5:5" x14ac:dyDescent="0.3">
      <c r="E858" s="20" t="s">
        <v>232</v>
      </c>
    </row>
    <row r="859" spans="5:5" x14ac:dyDescent="0.3">
      <c r="E859" s="22" t="s">
        <v>241</v>
      </c>
    </row>
    <row r="860" spans="5:5" x14ac:dyDescent="0.3">
      <c r="E860" s="22" t="s">
        <v>364</v>
      </c>
    </row>
    <row r="861" spans="5:5" x14ac:dyDescent="0.3">
      <c r="E861" s="20" t="s">
        <v>232</v>
      </c>
    </row>
    <row r="862" spans="5:5" x14ac:dyDescent="0.3">
      <c r="E862" s="20" t="s">
        <v>232</v>
      </c>
    </row>
    <row r="863" spans="5:5" x14ac:dyDescent="0.3">
      <c r="E863" s="20" t="s">
        <v>364</v>
      </c>
    </row>
    <row r="864" spans="5:5" x14ac:dyDescent="0.3">
      <c r="E864" s="20" t="s">
        <v>232</v>
      </c>
    </row>
    <row r="865" spans="5:5" x14ac:dyDescent="0.3">
      <c r="E865" s="22" t="s">
        <v>232</v>
      </c>
    </row>
    <row r="866" spans="5:5" x14ac:dyDescent="0.3">
      <c r="E866" s="22" t="s">
        <v>364</v>
      </c>
    </row>
    <row r="867" spans="5:5" x14ac:dyDescent="0.3">
      <c r="E867" s="22" t="s">
        <v>232</v>
      </c>
    </row>
    <row r="868" spans="5:5" x14ac:dyDescent="0.3">
      <c r="E868" s="22" t="s">
        <v>364</v>
      </c>
    </row>
    <row r="869" spans="5:5" x14ac:dyDescent="0.3">
      <c r="E869" s="20" t="s">
        <v>291</v>
      </c>
    </row>
    <row r="870" spans="5:5" x14ac:dyDescent="0.3">
      <c r="E870" s="20" t="s">
        <v>232</v>
      </c>
    </row>
    <row r="871" spans="5:5" x14ac:dyDescent="0.3">
      <c r="E871" s="20" t="s">
        <v>291</v>
      </c>
    </row>
    <row r="872" spans="5:5" x14ac:dyDescent="0.3">
      <c r="E872" s="20" t="s">
        <v>232</v>
      </c>
    </row>
    <row r="873" spans="5:5" x14ac:dyDescent="0.3">
      <c r="E873" s="20" t="s">
        <v>232</v>
      </c>
    </row>
    <row r="874" spans="5:5" x14ac:dyDescent="0.3">
      <c r="E874" s="20" t="s">
        <v>291</v>
      </c>
    </row>
    <row r="875" spans="5:5" x14ac:dyDescent="0.3">
      <c r="E875" s="22" t="s">
        <v>241</v>
      </c>
    </row>
    <row r="876" spans="5:5" x14ac:dyDescent="0.3">
      <c r="E876" s="20" t="s">
        <v>232</v>
      </c>
    </row>
    <row r="877" spans="5:5" x14ac:dyDescent="0.3">
      <c r="E877" s="22" t="s">
        <v>232</v>
      </c>
    </row>
    <row r="878" spans="5:5" x14ac:dyDescent="0.3">
      <c r="E878" s="20" t="s">
        <v>232</v>
      </c>
    </row>
    <row r="879" spans="5:5" x14ac:dyDescent="0.3">
      <c r="E879" s="20" t="s">
        <v>232</v>
      </c>
    </row>
    <row r="880" spans="5:5" x14ac:dyDescent="0.3">
      <c r="E880" s="22" t="s">
        <v>364</v>
      </c>
    </row>
    <row r="881" spans="5:5" x14ac:dyDescent="0.3">
      <c r="E881" s="20" t="s">
        <v>232</v>
      </c>
    </row>
    <row r="882" spans="5:5" x14ac:dyDescent="0.3">
      <c r="E882" s="22" t="s">
        <v>232</v>
      </c>
    </row>
    <row r="883" spans="5:5" x14ac:dyDescent="0.3">
      <c r="E883" s="22" t="s">
        <v>364</v>
      </c>
    </row>
    <row r="884" spans="5:5" x14ac:dyDescent="0.3">
      <c r="E884" s="22" t="s">
        <v>232</v>
      </c>
    </row>
    <row r="885" spans="5:5" x14ac:dyDescent="0.3">
      <c r="E885" s="22" t="s">
        <v>241</v>
      </c>
    </row>
    <row r="886" spans="5:5" x14ac:dyDescent="0.3">
      <c r="E886" s="20" t="s">
        <v>232</v>
      </c>
    </row>
    <row r="887" spans="5:5" x14ac:dyDescent="0.3">
      <c r="E887" s="22" t="s">
        <v>364</v>
      </c>
    </row>
    <row r="888" spans="5:5" x14ac:dyDescent="0.3">
      <c r="E888" s="20" t="s">
        <v>232</v>
      </c>
    </row>
    <row r="889" spans="5:5" x14ac:dyDescent="0.3">
      <c r="E889" s="20" t="s">
        <v>232</v>
      </c>
    </row>
    <row r="890" spans="5:5" x14ac:dyDescent="0.3">
      <c r="E890" s="20" t="s">
        <v>232</v>
      </c>
    </row>
    <row r="891" spans="5:5" x14ac:dyDescent="0.3">
      <c r="E891" s="22" t="s">
        <v>232</v>
      </c>
    </row>
    <row r="892" spans="5:5" x14ac:dyDescent="0.3">
      <c r="E892" s="20" t="s">
        <v>232</v>
      </c>
    </row>
    <row r="893" spans="5:5" x14ac:dyDescent="0.3">
      <c r="E893" s="22" t="s">
        <v>241</v>
      </c>
    </row>
    <row r="894" spans="5:5" x14ac:dyDescent="0.3">
      <c r="E894" s="22" t="s">
        <v>364</v>
      </c>
    </row>
    <row r="895" spans="5:5" x14ac:dyDescent="0.3">
      <c r="E895" s="20" t="s">
        <v>232</v>
      </c>
    </row>
    <row r="896" spans="5:5" x14ac:dyDescent="0.3">
      <c r="E896" s="20" t="s">
        <v>232</v>
      </c>
    </row>
    <row r="897" spans="5:5" x14ac:dyDescent="0.3">
      <c r="E897" s="20" t="s">
        <v>364</v>
      </c>
    </row>
    <row r="898" spans="5:5" x14ac:dyDescent="0.3">
      <c r="E898" s="20" t="s">
        <v>232</v>
      </c>
    </row>
    <row r="899" spans="5:5" x14ac:dyDescent="0.3">
      <c r="E899" s="22" t="s">
        <v>232</v>
      </c>
    </row>
    <row r="900" spans="5:5" x14ac:dyDescent="0.3">
      <c r="E900" s="22" t="s">
        <v>232</v>
      </c>
    </row>
    <row r="901" spans="5:5" x14ac:dyDescent="0.3">
      <c r="E901" s="20" t="s">
        <v>232</v>
      </c>
    </row>
    <row r="902" spans="5:5" x14ac:dyDescent="0.3">
      <c r="E902" s="20" t="s">
        <v>232</v>
      </c>
    </row>
    <row r="903" spans="5:5" x14ac:dyDescent="0.3">
      <c r="E903" s="20" t="s">
        <v>291</v>
      </c>
    </row>
    <row r="904" spans="5:5" x14ac:dyDescent="0.3">
      <c r="E904" s="20" t="s">
        <v>364</v>
      </c>
    </row>
    <row r="905" spans="5:5" x14ac:dyDescent="0.3">
      <c r="E905" s="22" t="s">
        <v>241</v>
      </c>
    </row>
    <row r="906" spans="5:5" x14ac:dyDescent="0.3">
      <c r="E906" s="20" t="s">
        <v>232</v>
      </c>
    </row>
    <row r="907" spans="5:5" x14ac:dyDescent="0.3">
      <c r="E907" s="20" t="s">
        <v>232</v>
      </c>
    </row>
    <row r="908" spans="5:5" x14ac:dyDescent="0.3">
      <c r="E908" s="20" t="s">
        <v>291</v>
      </c>
    </row>
    <row r="909" spans="5:5" x14ac:dyDescent="0.3">
      <c r="E909" s="22" t="s">
        <v>241</v>
      </c>
    </row>
    <row r="910" spans="5:5" x14ac:dyDescent="0.3">
      <c r="E910" s="20" t="s">
        <v>232</v>
      </c>
    </row>
    <row r="911" spans="5:5" x14ac:dyDescent="0.3">
      <c r="E911" s="22" t="s">
        <v>232</v>
      </c>
    </row>
    <row r="912" spans="5:5" x14ac:dyDescent="0.3">
      <c r="E912" s="20" t="s">
        <v>232</v>
      </c>
    </row>
    <row r="913" spans="5:5" x14ac:dyDescent="0.3">
      <c r="E913" s="20" t="s">
        <v>232</v>
      </c>
    </row>
    <row r="914" spans="5:5" x14ac:dyDescent="0.3">
      <c r="E914" s="22" t="s">
        <v>364</v>
      </c>
    </row>
    <row r="915" spans="5:5" x14ac:dyDescent="0.3">
      <c r="E915" s="20" t="s">
        <v>232</v>
      </c>
    </row>
    <row r="916" spans="5:5" x14ac:dyDescent="0.3">
      <c r="E916" s="22" t="s">
        <v>232</v>
      </c>
    </row>
    <row r="917" spans="5:5" x14ac:dyDescent="0.3">
      <c r="E917" s="22" t="s">
        <v>364</v>
      </c>
    </row>
    <row r="918" spans="5:5" x14ac:dyDescent="0.3">
      <c r="E918" s="22" t="s">
        <v>232</v>
      </c>
    </row>
    <row r="919" spans="5:5" x14ac:dyDescent="0.3">
      <c r="E919" s="22" t="s">
        <v>241</v>
      </c>
    </row>
    <row r="920" spans="5:5" x14ac:dyDescent="0.3">
      <c r="E920" s="20" t="s">
        <v>232</v>
      </c>
    </row>
    <row r="921" spans="5:5" x14ac:dyDescent="0.3">
      <c r="E921" s="22" t="s">
        <v>364</v>
      </c>
    </row>
    <row r="922" spans="5:5" x14ac:dyDescent="0.3">
      <c r="E922" s="20" t="s">
        <v>232</v>
      </c>
    </row>
    <row r="923" spans="5:5" x14ac:dyDescent="0.3">
      <c r="E923" s="20" t="s">
        <v>232</v>
      </c>
    </row>
    <row r="924" spans="5:5" x14ac:dyDescent="0.3">
      <c r="E924" s="20" t="s">
        <v>232</v>
      </c>
    </row>
    <row r="925" spans="5:5" x14ac:dyDescent="0.3">
      <c r="E925" s="20" t="s">
        <v>232</v>
      </c>
    </row>
    <row r="926" spans="5:5" x14ac:dyDescent="0.3">
      <c r="E926" s="22" t="s">
        <v>364</v>
      </c>
    </row>
    <row r="927" spans="5:5" x14ac:dyDescent="0.3">
      <c r="E927" s="20" t="s">
        <v>232</v>
      </c>
    </row>
    <row r="928" spans="5:5" x14ac:dyDescent="0.3">
      <c r="E928" s="20" t="s">
        <v>232</v>
      </c>
    </row>
    <row r="929" spans="5:5" x14ac:dyDescent="0.3">
      <c r="E929" s="20" t="s">
        <v>364</v>
      </c>
    </row>
    <row r="930" spans="5:5" x14ac:dyDescent="0.3">
      <c r="E930" s="20" t="s">
        <v>232</v>
      </c>
    </row>
    <row r="931" spans="5:5" x14ac:dyDescent="0.3">
      <c r="E931" s="22" t="s">
        <v>232</v>
      </c>
    </row>
    <row r="932" spans="5:5" x14ac:dyDescent="0.3">
      <c r="E932" s="22" t="s">
        <v>232</v>
      </c>
    </row>
    <row r="933" spans="5:5" x14ac:dyDescent="0.3">
      <c r="E933" s="20" t="s">
        <v>232</v>
      </c>
    </row>
    <row r="934" spans="5:5" x14ac:dyDescent="0.3">
      <c r="E934" s="20" t="s">
        <v>232</v>
      </c>
    </row>
    <row r="935" spans="5:5" x14ac:dyDescent="0.3">
      <c r="E935" s="20" t="s">
        <v>291</v>
      </c>
    </row>
    <row r="936" spans="5:5" x14ac:dyDescent="0.3">
      <c r="E936" s="20" t="s">
        <v>364</v>
      </c>
    </row>
    <row r="937" spans="5:5" x14ac:dyDescent="0.3">
      <c r="E937" s="20" t="s">
        <v>232</v>
      </c>
    </row>
    <row r="938" spans="5:5" x14ac:dyDescent="0.3">
      <c r="E938" s="20" t="s">
        <v>232</v>
      </c>
    </row>
    <row r="939" spans="5:5" x14ac:dyDescent="0.3">
      <c r="E939" s="20" t="s">
        <v>232</v>
      </c>
    </row>
    <row r="940" spans="5:5" x14ac:dyDescent="0.3">
      <c r="E940" s="22" t="s">
        <v>241</v>
      </c>
    </row>
    <row r="941" spans="5:5" x14ac:dyDescent="0.3">
      <c r="E941" s="22" t="s">
        <v>241</v>
      </c>
    </row>
    <row r="942" spans="5:5" x14ac:dyDescent="0.3">
      <c r="E942" s="20" t="s">
        <v>232</v>
      </c>
    </row>
    <row r="943" spans="5:5" x14ac:dyDescent="0.3">
      <c r="E943" s="20" t="s">
        <v>232</v>
      </c>
    </row>
    <row r="944" spans="5:5" x14ac:dyDescent="0.3">
      <c r="E944" s="20" t="s">
        <v>232</v>
      </c>
    </row>
    <row r="945" spans="5:5" x14ac:dyDescent="0.3">
      <c r="E945" s="20" t="s">
        <v>291</v>
      </c>
    </row>
    <row r="946" spans="5:5" x14ac:dyDescent="0.3">
      <c r="E946" s="22" t="s">
        <v>241</v>
      </c>
    </row>
    <row r="947" spans="5:5" x14ac:dyDescent="0.3">
      <c r="E947" s="20" t="s">
        <v>232</v>
      </c>
    </row>
    <row r="948" spans="5:5" x14ac:dyDescent="0.3">
      <c r="E948" s="22" t="s">
        <v>232</v>
      </c>
    </row>
    <row r="949" spans="5:5" x14ac:dyDescent="0.3">
      <c r="E949" s="20" t="s">
        <v>232</v>
      </c>
    </row>
    <row r="950" spans="5:5" x14ac:dyDescent="0.3">
      <c r="E950" s="20" t="s">
        <v>232</v>
      </c>
    </row>
    <row r="951" spans="5:5" x14ac:dyDescent="0.3">
      <c r="E951" s="22" t="s">
        <v>364</v>
      </c>
    </row>
    <row r="952" spans="5:5" x14ac:dyDescent="0.3">
      <c r="E952" s="20" t="s">
        <v>232</v>
      </c>
    </row>
    <row r="953" spans="5:5" x14ac:dyDescent="0.3">
      <c r="E953" s="22" t="s">
        <v>364</v>
      </c>
    </row>
    <row r="954" spans="5:5" x14ac:dyDescent="0.3">
      <c r="E954" s="22" t="s">
        <v>241</v>
      </c>
    </row>
    <row r="955" spans="5:5" x14ac:dyDescent="0.3">
      <c r="E955" s="20" t="s">
        <v>232</v>
      </c>
    </row>
    <row r="956" spans="5:5" x14ac:dyDescent="0.3">
      <c r="E956" s="20" t="s">
        <v>232</v>
      </c>
    </row>
    <row r="957" spans="5:5" x14ac:dyDescent="0.3">
      <c r="E957" s="20" t="s">
        <v>232</v>
      </c>
    </row>
    <row r="958" spans="5:5" x14ac:dyDescent="0.3">
      <c r="E958" s="20" t="s">
        <v>232</v>
      </c>
    </row>
    <row r="959" spans="5:5" x14ac:dyDescent="0.3">
      <c r="E959" s="22" t="s">
        <v>364</v>
      </c>
    </row>
    <row r="960" spans="5:5" x14ac:dyDescent="0.3">
      <c r="E960" s="20" t="s">
        <v>232</v>
      </c>
    </row>
    <row r="961" spans="5:5" x14ac:dyDescent="0.3">
      <c r="E961" s="20" t="s">
        <v>232</v>
      </c>
    </row>
    <row r="962" spans="5:5" x14ac:dyDescent="0.3">
      <c r="E962" s="20" t="s">
        <v>232</v>
      </c>
    </row>
    <row r="963" spans="5:5" x14ac:dyDescent="0.3">
      <c r="E963" s="22" t="s">
        <v>232</v>
      </c>
    </row>
    <row r="964" spans="5:5" x14ac:dyDescent="0.3">
      <c r="E964" s="22" t="s">
        <v>232</v>
      </c>
    </row>
    <row r="965" spans="5:5" x14ac:dyDescent="0.3">
      <c r="E965" s="20" t="s">
        <v>232</v>
      </c>
    </row>
    <row r="966" spans="5:5" x14ac:dyDescent="0.3">
      <c r="E966" s="20" t="s">
        <v>232</v>
      </c>
    </row>
    <row r="967" spans="5:5" x14ac:dyDescent="0.3">
      <c r="E967" s="20" t="s">
        <v>291</v>
      </c>
    </row>
    <row r="968" spans="5:5" x14ac:dyDescent="0.3">
      <c r="E968" s="20" t="s">
        <v>364</v>
      </c>
    </row>
    <row r="969" spans="5:5" x14ac:dyDescent="0.3">
      <c r="E969" s="20" t="s">
        <v>232</v>
      </c>
    </row>
    <row r="970" spans="5:5" x14ac:dyDescent="0.3">
      <c r="E970" s="20" t="s">
        <v>232</v>
      </c>
    </row>
    <row r="971" spans="5:5" x14ac:dyDescent="0.3">
      <c r="E971" s="20" t="s">
        <v>232</v>
      </c>
    </row>
    <row r="972" spans="5:5" x14ac:dyDescent="0.3">
      <c r="E972" s="22" t="s">
        <v>241</v>
      </c>
    </row>
    <row r="973" spans="5:5" x14ac:dyDescent="0.3">
      <c r="E973" s="22" t="s">
        <v>241</v>
      </c>
    </row>
    <row r="974" spans="5:5" x14ac:dyDescent="0.3">
      <c r="E974" s="22" t="s">
        <v>241</v>
      </c>
    </row>
    <row r="975" spans="5:5" x14ac:dyDescent="0.3">
      <c r="E975" s="20" t="s">
        <v>232</v>
      </c>
    </row>
    <row r="976" spans="5:5" x14ac:dyDescent="0.3">
      <c r="E976" s="20" t="s">
        <v>232</v>
      </c>
    </row>
    <row r="977" spans="5:5" x14ac:dyDescent="0.3">
      <c r="E977" s="20" t="s">
        <v>232</v>
      </c>
    </row>
    <row r="978" spans="5:5" x14ac:dyDescent="0.3">
      <c r="E978" s="20" t="s">
        <v>232</v>
      </c>
    </row>
    <row r="979" spans="5:5" x14ac:dyDescent="0.3">
      <c r="E979" s="20" t="s">
        <v>232</v>
      </c>
    </row>
    <row r="980" spans="5:5" x14ac:dyDescent="0.3">
      <c r="E980" s="20" t="s">
        <v>232</v>
      </c>
    </row>
    <row r="981" spans="5:5" x14ac:dyDescent="0.3">
      <c r="E981" s="20" t="s">
        <v>232</v>
      </c>
    </row>
    <row r="982" spans="5:5" x14ac:dyDescent="0.3">
      <c r="E982" s="20" t="s">
        <v>232</v>
      </c>
    </row>
    <row r="983" spans="5:5" x14ac:dyDescent="0.3">
      <c r="E983" s="20" t="s">
        <v>232</v>
      </c>
    </row>
    <row r="984" spans="5:5" x14ac:dyDescent="0.3">
      <c r="E984" s="20" t="s">
        <v>232</v>
      </c>
    </row>
    <row r="985" spans="5:5" x14ac:dyDescent="0.3">
      <c r="E985" s="20" t="s">
        <v>232</v>
      </c>
    </row>
    <row r="986" spans="5:5" x14ac:dyDescent="0.3">
      <c r="E986" s="20" t="s">
        <v>232</v>
      </c>
    </row>
    <row r="987" spans="5:5" x14ac:dyDescent="0.3">
      <c r="E987" s="20" t="s">
        <v>232</v>
      </c>
    </row>
    <row r="988" spans="5:5" x14ac:dyDescent="0.3">
      <c r="E988" s="20" t="s">
        <v>232</v>
      </c>
    </row>
    <row r="989" spans="5:5" x14ac:dyDescent="0.3">
      <c r="E989" s="20" t="s">
        <v>232</v>
      </c>
    </row>
    <row r="990" spans="5:5" x14ac:dyDescent="0.3">
      <c r="E990" s="20" t="s">
        <v>232</v>
      </c>
    </row>
    <row r="991" spans="5:5" x14ac:dyDescent="0.3">
      <c r="E991" s="20" t="s">
        <v>232</v>
      </c>
    </row>
    <row r="992" spans="5:5" x14ac:dyDescent="0.3">
      <c r="E992" s="20" t="s">
        <v>232</v>
      </c>
    </row>
    <row r="993" spans="5:5" x14ac:dyDescent="0.3">
      <c r="E993" s="20" t="s">
        <v>232</v>
      </c>
    </row>
    <row r="994" spans="5:5" x14ac:dyDescent="0.3">
      <c r="E994" s="20" t="s">
        <v>232</v>
      </c>
    </row>
    <row r="995" spans="5:5" x14ac:dyDescent="0.3">
      <c r="E995" s="20" t="s">
        <v>232</v>
      </c>
    </row>
    <row r="996" spans="5:5" x14ac:dyDescent="0.3">
      <c r="E996" s="20" t="s">
        <v>232</v>
      </c>
    </row>
    <row r="997" spans="5:5" x14ac:dyDescent="0.3">
      <c r="E997" s="22" t="s">
        <v>241</v>
      </c>
    </row>
    <row r="998" spans="5:5" x14ac:dyDescent="0.3">
      <c r="E998" s="20" t="s">
        <v>291</v>
      </c>
    </row>
    <row r="999" spans="5:5" x14ac:dyDescent="0.3">
      <c r="E999" s="22" t="s">
        <v>241</v>
      </c>
    </row>
    <row r="1000" spans="5:5" x14ac:dyDescent="0.3">
      <c r="E1000" s="22" t="s">
        <v>241</v>
      </c>
    </row>
    <row r="1001" spans="5:5" x14ac:dyDescent="0.3">
      <c r="E1001" s="22" t="s">
        <v>232</v>
      </c>
    </row>
    <row r="1002" spans="5:5" x14ac:dyDescent="0.3">
      <c r="E1002" s="20" t="s">
        <v>232</v>
      </c>
    </row>
    <row r="1003" spans="5:5" x14ac:dyDescent="0.3">
      <c r="E1003" s="22" t="s">
        <v>241</v>
      </c>
    </row>
    <row r="1004" spans="5:5" x14ac:dyDescent="0.3">
      <c r="E1004" s="20" t="s">
        <v>232</v>
      </c>
    </row>
    <row r="1005" spans="5:5" x14ac:dyDescent="0.3">
      <c r="E1005" s="22" t="s">
        <v>241</v>
      </c>
    </row>
    <row r="1006" spans="5:5" x14ac:dyDescent="0.3">
      <c r="E1006" s="22" t="s">
        <v>241</v>
      </c>
    </row>
    <row r="1007" spans="5:5" x14ac:dyDescent="0.3">
      <c r="E1007" s="22" t="s">
        <v>232</v>
      </c>
    </row>
    <row r="1008" spans="5:5" x14ac:dyDescent="0.3">
      <c r="E1008" s="22" t="s">
        <v>232</v>
      </c>
    </row>
    <row r="1009" spans="5:5" x14ac:dyDescent="0.3">
      <c r="E1009" s="20" t="s">
        <v>291</v>
      </c>
    </row>
    <row r="1010" spans="5:5" x14ac:dyDescent="0.3">
      <c r="E1010" s="20" t="s">
        <v>232</v>
      </c>
    </row>
    <row r="1011" spans="5:5" x14ac:dyDescent="0.3">
      <c r="E1011" s="20" t="s">
        <v>232</v>
      </c>
    </row>
    <row r="1012" spans="5:5" x14ac:dyDescent="0.3">
      <c r="E1012" s="20" t="s">
        <v>232</v>
      </c>
    </row>
    <row r="1013" spans="5:5" x14ac:dyDescent="0.3">
      <c r="E1013" s="20" t="s">
        <v>232</v>
      </c>
    </row>
    <row r="1014" spans="5:5" x14ac:dyDescent="0.3">
      <c r="E1014" s="20" t="s">
        <v>232</v>
      </c>
    </row>
    <row r="1015" spans="5:5" x14ac:dyDescent="0.3">
      <c r="E1015" s="20" t="s">
        <v>232</v>
      </c>
    </row>
    <row r="1016" spans="5:5" x14ac:dyDescent="0.3">
      <c r="E1016" s="20" t="s">
        <v>232</v>
      </c>
    </row>
    <row r="1017" spans="5:5" x14ac:dyDescent="0.3">
      <c r="E1017" s="20" t="s">
        <v>232</v>
      </c>
    </row>
    <row r="1018" spans="5:5" x14ac:dyDescent="0.3">
      <c r="E1018" s="20" t="s">
        <v>232</v>
      </c>
    </row>
    <row r="1019" spans="5:5" x14ac:dyDescent="0.3">
      <c r="E1019" s="20" t="s">
        <v>232</v>
      </c>
    </row>
    <row r="1020" spans="5:5" x14ac:dyDescent="0.3">
      <c r="E1020" s="20" t="s">
        <v>232</v>
      </c>
    </row>
    <row r="1021" spans="5:5" x14ac:dyDescent="0.3">
      <c r="E1021" s="20" t="s">
        <v>232</v>
      </c>
    </row>
    <row r="1022" spans="5:5" x14ac:dyDescent="0.3">
      <c r="E1022" s="20" t="s">
        <v>232</v>
      </c>
    </row>
    <row r="1023" spans="5:5" x14ac:dyDescent="0.3">
      <c r="E1023" s="20" t="s">
        <v>232</v>
      </c>
    </row>
    <row r="1024" spans="5:5" x14ac:dyDescent="0.3">
      <c r="E1024" s="20" t="s">
        <v>232</v>
      </c>
    </row>
    <row r="1025" spans="5:5" x14ac:dyDescent="0.3">
      <c r="E1025" s="20" t="s">
        <v>232</v>
      </c>
    </row>
    <row r="1026" spans="5:5" x14ac:dyDescent="0.3">
      <c r="E1026" s="20" t="s">
        <v>232</v>
      </c>
    </row>
    <row r="1027" spans="5:5" x14ac:dyDescent="0.3">
      <c r="E1027" s="20" t="s">
        <v>232</v>
      </c>
    </row>
    <row r="1028" spans="5:5" x14ac:dyDescent="0.3">
      <c r="E1028" s="20" t="s">
        <v>232</v>
      </c>
    </row>
    <row r="1029" spans="5:5" x14ac:dyDescent="0.3">
      <c r="E1029" s="20" t="s">
        <v>232</v>
      </c>
    </row>
    <row r="1030" spans="5:5" x14ac:dyDescent="0.3">
      <c r="E1030" s="20" t="s">
        <v>232</v>
      </c>
    </row>
    <row r="1031" spans="5:5" x14ac:dyDescent="0.3">
      <c r="E1031" s="22" t="s">
        <v>232</v>
      </c>
    </row>
    <row r="1032" spans="5:5" x14ac:dyDescent="0.3">
      <c r="E1032" s="22" t="s">
        <v>232</v>
      </c>
    </row>
    <row r="1033" spans="5:5" x14ac:dyDescent="0.3">
      <c r="E1033" s="22" t="s">
        <v>232</v>
      </c>
    </row>
    <row r="1034" spans="5:5" x14ac:dyDescent="0.3">
      <c r="E1034" s="20" t="s">
        <v>291</v>
      </c>
    </row>
    <row r="1035" spans="5:5" x14ac:dyDescent="0.3">
      <c r="E1035" s="20" t="s">
        <v>291</v>
      </c>
    </row>
    <row r="1036" spans="5:5" x14ac:dyDescent="0.3">
      <c r="E1036" s="22" t="s">
        <v>241</v>
      </c>
    </row>
    <row r="1037" spans="5:5" x14ac:dyDescent="0.3">
      <c r="E1037" s="22" t="s">
        <v>241</v>
      </c>
    </row>
    <row r="1038" spans="5:5" x14ac:dyDescent="0.3">
      <c r="E1038" s="22" t="s">
        <v>241</v>
      </c>
    </row>
    <row r="1039" spans="5:5" x14ac:dyDescent="0.3">
      <c r="E1039" s="22" t="s">
        <v>241</v>
      </c>
    </row>
    <row r="1040" spans="5:5" x14ac:dyDescent="0.3">
      <c r="E1040" s="22" t="s">
        <v>241</v>
      </c>
    </row>
    <row r="1041" spans="5:5" x14ac:dyDescent="0.3">
      <c r="E1041" s="20" t="s">
        <v>364</v>
      </c>
    </row>
    <row r="1042" spans="5:5" x14ac:dyDescent="0.3">
      <c r="E1042" s="20" t="s">
        <v>364</v>
      </c>
    </row>
    <row r="1043" spans="5:5" x14ac:dyDescent="0.3">
      <c r="E1043" s="20" t="s">
        <v>364</v>
      </c>
    </row>
    <row r="1044" spans="5:5" x14ac:dyDescent="0.3">
      <c r="E1044" s="20" t="s">
        <v>364</v>
      </c>
    </row>
    <row r="1045" spans="5:5" x14ac:dyDescent="0.3">
      <c r="E1045" s="20" t="s">
        <v>232</v>
      </c>
    </row>
    <row r="1046" spans="5:5" x14ac:dyDescent="0.3">
      <c r="E1046" s="20" t="s">
        <v>232</v>
      </c>
    </row>
    <row r="1047" spans="5:5" x14ac:dyDescent="0.3">
      <c r="E1047" s="20" t="s">
        <v>232</v>
      </c>
    </row>
    <row r="1048" spans="5:5" x14ac:dyDescent="0.3">
      <c r="E1048" s="20" t="s">
        <v>232</v>
      </c>
    </row>
    <row r="1049" spans="5:5" x14ac:dyDescent="0.3">
      <c r="E1049" s="22" t="s">
        <v>232</v>
      </c>
    </row>
    <row r="1050" spans="5:5" x14ac:dyDescent="0.3">
      <c r="E1050" s="22" t="s">
        <v>232</v>
      </c>
    </row>
    <row r="1051" spans="5:5" x14ac:dyDescent="0.3">
      <c r="E1051" s="20" t="s">
        <v>291</v>
      </c>
    </row>
    <row r="1052" spans="5:5" x14ac:dyDescent="0.3">
      <c r="E1052" s="20" t="s">
        <v>291</v>
      </c>
    </row>
    <row r="1053" spans="5:5" x14ac:dyDescent="0.3">
      <c r="E1053" s="22" t="s">
        <v>241</v>
      </c>
    </row>
    <row r="1054" spans="5:5" x14ac:dyDescent="0.3">
      <c r="E1054" s="22" t="s">
        <v>241</v>
      </c>
    </row>
    <row r="1055" spans="5:5" x14ac:dyDescent="0.3">
      <c r="E1055" s="22" t="s">
        <v>241</v>
      </c>
    </row>
    <row r="1056" spans="5:5" x14ac:dyDescent="0.3">
      <c r="E1056" s="22" t="s">
        <v>241</v>
      </c>
    </row>
    <row r="1057" spans="5:5" x14ac:dyDescent="0.3">
      <c r="E1057" s="22" t="s">
        <v>241</v>
      </c>
    </row>
    <row r="1058" spans="5:5" x14ac:dyDescent="0.3">
      <c r="E1058" s="20" t="s">
        <v>232</v>
      </c>
    </row>
    <row r="1059" spans="5:5" x14ac:dyDescent="0.3">
      <c r="E1059" s="20" t="s">
        <v>232</v>
      </c>
    </row>
    <row r="1060" spans="5:5" x14ac:dyDescent="0.3">
      <c r="E1060" s="20" t="s">
        <v>232</v>
      </c>
    </row>
    <row r="1061" spans="5:5" x14ac:dyDescent="0.3">
      <c r="E1061" s="20" t="s">
        <v>232</v>
      </c>
    </row>
    <row r="1062" spans="5:5" x14ac:dyDescent="0.3">
      <c r="E1062" s="20" t="s">
        <v>232</v>
      </c>
    </row>
    <row r="1063" spans="5:5" x14ac:dyDescent="0.3">
      <c r="E1063" s="20" t="s">
        <v>232</v>
      </c>
    </row>
    <row r="1064" spans="5:5" x14ac:dyDescent="0.3">
      <c r="E1064" s="20" t="s">
        <v>232</v>
      </c>
    </row>
    <row r="1065" spans="5:5" x14ac:dyDescent="0.3">
      <c r="E1065" s="20" t="s">
        <v>232</v>
      </c>
    </row>
    <row r="1066" spans="5:5" x14ac:dyDescent="0.3">
      <c r="E1066" s="20" t="s">
        <v>232</v>
      </c>
    </row>
    <row r="1067" spans="5:5" x14ac:dyDescent="0.3">
      <c r="E1067" s="20" t="s">
        <v>232</v>
      </c>
    </row>
    <row r="1068" spans="5:5" x14ac:dyDescent="0.3">
      <c r="E1068" s="20" t="s">
        <v>232</v>
      </c>
    </row>
    <row r="1069" spans="5:5" x14ac:dyDescent="0.3">
      <c r="E1069" s="20" t="s">
        <v>232</v>
      </c>
    </row>
    <row r="1070" spans="5:5" x14ac:dyDescent="0.3">
      <c r="E1070" s="20" t="s">
        <v>232</v>
      </c>
    </row>
    <row r="1071" spans="5:5" x14ac:dyDescent="0.3">
      <c r="E1071" s="20" t="s">
        <v>232</v>
      </c>
    </row>
    <row r="1072" spans="5:5" x14ac:dyDescent="0.3">
      <c r="E1072" s="20" t="s">
        <v>232</v>
      </c>
    </row>
    <row r="1073" spans="5:5" x14ac:dyDescent="0.3">
      <c r="E1073" s="20" t="s">
        <v>232</v>
      </c>
    </row>
    <row r="1074" spans="5:5" x14ac:dyDescent="0.3">
      <c r="E1074" s="20" t="s">
        <v>232</v>
      </c>
    </row>
    <row r="1075" spans="5:5" x14ac:dyDescent="0.3">
      <c r="E1075" s="20" t="s">
        <v>232</v>
      </c>
    </row>
    <row r="1076" spans="5:5" x14ac:dyDescent="0.3">
      <c r="E1076" s="20" t="s">
        <v>364</v>
      </c>
    </row>
    <row r="1077" spans="5:5" x14ac:dyDescent="0.3">
      <c r="E1077" s="20" t="s">
        <v>364</v>
      </c>
    </row>
    <row r="1078" spans="5:5" x14ac:dyDescent="0.3">
      <c r="E1078" s="20" t="s">
        <v>364</v>
      </c>
    </row>
    <row r="1079" spans="5:5" x14ac:dyDescent="0.3">
      <c r="E1079" s="20" t="s">
        <v>364</v>
      </c>
    </row>
    <row r="1080" spans="5:5" x14ac:dyDescent="0.3">
      <c r="E1080" s="20" t="s">
        <v>232</v>
      </c>
    </row>
    <row r="1081" spans="5:5" x14ac:dyDescent="0.3">
      <c r="E1081" s="20" t="s">
        <v>232</v>
      </c>
    </row>
    <row r="1082" spans="5:5" x14ac:dyDescent="0.3">
      <c r="E1082" s="20" t="s">
        <v>232</v>
      </c>
    </row>
    <row r="1083" spans="5:5" x14ac:dyDescent="0.3">
      <c r="E1083" s="20" t="s">
        <v>232</v>
      </c>
    </row>
    <row r="1084" spans="5:5" x14ac:dyDescent="0.3">
      <c r="E1084" s="20" t="s">
        <v>232</v>
      </c>
    </row>
    <row r="1085" spans="5:5" x14ac:dyDescent="0.3">
      <c r="E1085" s="22" t="s">
        <v>232</v>
      </c>
    </row>
    <row r="1086" spans="5:5" x14ac:dyDescent="0.3">
      <c r="E1086" s="22" t="s">
        <v>241</v>
      </c>
    </row>
    <row r="1087" spans="5:5" x14ac:dyDescent="0.3">
      <c r="E1087" s="20" t="s">
        <v>291</v>
      </c>
    </row>
    <row r="1088" spans="5:5" x14ac:dyDescent="0.3">
      <c r="E1088" s="20" t="s">
        <v>291</v>
      </c>
    </row>
    <row r="1089" spans="5:5" x14ac:dyDescent="0.3">
      <c r="E1089" s="22" t="s">
        <v>241</v>
      </c>
    </row>
    <row r="1090" spans="5:5" x14ac:dyDescent="0.3">
      <c r="E1090" s="22" t="s">
        <v>241</v>
      </c>
    </row>
    <row r="1091" spans="5:5" x14ac:dyDescent="0.3">
      <c r="E1091" s="22" t="s">
        <v>241</v>
      </c>
    </row>
    <row r="1092" spans="5:5" x14ac:dyDescent="0.3">
      <c r="E1092" s="22" t="s">
        <v>241</v>
      </c>
    </row>
    <row r="1093" spans="5:5" x14ac:dyDescent="0.3">
      <c r="E1093" s="22" t="s">
        <v>241</v>
      </c>
    </row>
    <row r="1094" spans="5:5" x14ac:dyDescent="0.3">
      <c r="E1094" s="20" t="s">
        <v>232</v>
      </c>
    </row>
    <row r="1095" spans="5:5" x14ac:dyDescent="0.3">
      <c r="E1095" s="20" t="s">
        <v>232</v>
      </c>
    </row>
    <row r="1096" spans="5:5" x14ac:dyDescent="0.3">
      <c r="E1096" s="20" t="s">
        <v>232</v>
      </c>
    </row>
    <row r="1097" spans="5:5" x14ac:dyDescent="0.3">
      <c r="E1097" s="20" t="s">
        <v>232</v>
      </c>
    </row>
    <row r="1098" spans="5:5" x14ac:dyDescent="0.3">
      <c r="E1098" s="20" t="s">
        <v>232</v>
      </c>
    </row>
    <row r="1099" spans="5:5" x14ac:dyDescent="0.3">
      <c r="E1099" s="20" t="s">
        <v>232</v>
      </c>
    </row>
    <row r="1100" spans="5:5" x14ac:dyDescent="0.3">
      <c r="E1100" s="20" t="s">
        <v>232</v>
      </c>
    </row>
    <row r="1101" spans="5:5" x14ac:dyDescent="0.3">
      <c r="E1101" s="20" t="s">
        <v>232</v>
      </c>
    </row>
    <row r="1102" spans="5:5" x14ac:dyDescent="0.3">
      <c r="E1102" s="20" t="s">
        <v>232</v>
      </c>
    </row>
    <row r="1103" spans="5:5" x14ac:dyDescent="0.3">
      <c r="E1103" s="20" t="s">
        <v>232</v>
      </c>
    </row>
    <row r="1104" spans="5:5" x14ac:dyDescent="0.3">
      <c r="E1104" s="20" t="s">
        <v>232</v>
      </c>
    </row>
    <row r="1105" spans="5:5" x14ac:dyDescent="0.3">
      <c r="E1105" s="20" t="s">
        <v>232</v>
      </c>
    </row>
    <row r="1106" spans="5:5" x14ac:dyDescent="0.3">
      <c r="E1106" s="20" t="s">
        <v>232</v>
      </c>
    </row>
    <row r="1107" spans="5:5" x14ac:dyDescent="0.3">
      <c r="E1107" s="20" t="s">
        <v>232</v>
      </c>
    </row>
    <row r="1108" spans="5:5" x14ac:dyDescent="0.3">
      <c r="E1108" s="20" t="s">
        <v>232</v>
      </c>
    </row>
    <row r="1109" spans="5:5" x14ac:dyDescent="0.3">
      <c r="E1109" s="20" t="s">
        <v>232</v>
      </c>
    </row>
    <row r="1110" spans="5:5" x14ac:dyDescent="0.3">
      <c r="E1110" s="20" t="s">
        <v>232</v>
      </c>
    </row>
    <row r="1111" spans="5:5" x14ac:dyDescent="0.3">
      <c r="E1111" s="20" t="s">
        <v>364</v>
      </c>
    </row>
    <row r="1112" spans="5:5" x14ac:dyDescent="0.3">
      <c r="E1112" s="20" t="s">
        <v>364</v>
      </c>
    </row>
    <row r="1113" spans="5:5" x14ac:dyDescent="0.3">
      <c r="E1113" s="20" t="s">
        <v>364</v>
      </c>
    </row>
    <row r="1114" spans="5:5" x14ac:dyDescent="0.3">
      <c r="E1114" s="20" t="s">
        <v>232</v>
      </c>
    </row>
    <row r="1115" spans="5:5" x14ac:dyDescent="0.3">
      <c r="E1115" s="20" t="s">
        <v>232</v>
      </c>
    </row>
    <row r="1116" spans="5:5" x14ac:dyDescent="0.3">
      <c r="E1116" s="20" t="s">
        <v>232</v>
      </c>
    </row>
    <row r="1117" spans="5:5" x14ac:dyDescent="0.3">
      <c r="E1117" s="20" t="s">
        <v>232</v>
      </c>
    </row>
    <row r="1118" spans="5:5" x14ac:dyDescent="0.3">
      <c r="E1118" s="20" t="s">
        <v>232</v>
      </c>
    </row>
    <row r="1119" spans="5:5" x14ac:dyDescent="0.3">
      <c r="E1119" s="20" t="s">
        <v>232</v>
      </c>
    </row>
    <row r="1120" spans="5:5" x14ac:dyDescent="0.3">
      <c r="E1120" s="20" t="s">
        <v>232</v>
      </c>
    </row>
    <row r="1121" spans="5:5" x14ac:dyDescent="0.3">
      <c r="E1121" s="20" t="s">
        <v>232</v>
      </c>
    </row>
    <row r="1122" spans="5:5" x14ac:dyDescent="0.3">
      <c r="E1122" s="20" t="s">
        <v>364</v>
      </c>
    </row>
    <row r="1123" spans="5:5" x14ac:dyDescent="0.3">
      <c r="E1123" s="20" t="s">
        <v>232</v>
      </c>
    </row>
    <row r="1124" spans="5:5" x14ac:dyDescent="0.3">
      <c r="E1124" s="20" t="s">
        <v>232</v>
      </c>
    </row>
    <row r="1125" spans="5:5" x14ac:dyDescent="0.3">
      <c r="E1125" s="20" t="s">
        <v>232</v>
      </c>
    </row>
    <row r="1126" spans="5:5" x14ac:dyDescent="0.3">
      <c r="E1126" s="20" t="s">
        <v>232</v>
      </c>
    </row>
    <row r="1127" spans="5:5" x14ac:dyDescent="0.3">
      <c r="E1127" s="20" t="s">
        <v>232</v>
      </c>
    </row>
    <row r="1128" spans="5:5" x14ac:dyDescent="0.3">
      <c r="E1128" s="22" t="s">
        <v>241</v>
      </c>
    </row>
    <row r="1129" spans="5:5" x14ac:dyDescent="0.3">
      <c r="E1129" s="20" t="s">
        <v>232</v>
      </c>
    </row>
    <row r="1130" spans="5:5" x14ac:dyDescent="0.3">
      <c r="E1130" s="20" t="s">
        <v>232</v>
      </c>
    </row>
    <row r="1131" spans="5:5" x14ac:dyDescent="0.3">
      <c r="E1131" s="20" t="s">
        <v>232</v>
      </c>
    </row>
    <row r="1132" spans="5:5" x14ac:dyDescent="0.3">
      <c r="E1132" s="20" t="s">
        <v>232</v>
      </c>
    </row>
    <row r="1133" spans="5:5" x14ac:dyDescent="0.3">
      <c r="E1133" s="20" t="s">
        <v>232</v>
      </c>
    </row>
    <row r="1134" spans="5:5" x14ac:dyDescent="0.3">
      <c r="E1134" s="20" t="s">
        <v>232</v>
      </c>
    </row>
    <row r="1135" spans="5:5" x14ac:dyDescent="0.3">
      <c r="E1135" s="20" t="s">
        <v>232</v>
      </c>
    </row>
    <row r="1136" spans="5:5" x14ac:dyDescent="0.3">
      <c r="E1136" s="20" t="s">
        <v>232</v>
      </c>
    </row>
    <row r="1137" spans="5:5" x14ac:dyDescent="0.3">
      <c r="E1137" s="20" t="s">
        <v>232</v>
      </c>
    </row>
    <row r="1138" spans="5:5" x14ac:dyDescent="0.3">
      <c r="E1138" s="20" t="s">
        <v>232</v>
      </c>
    </row>
    <row r="1139" spans="5:5" x14ac:dyDescent="0.3">
      <c r="E1139" s="20" t="s">
        <v>232</v>
      </c>
    </row>
    <row r="1140" spans="5:5" x14ac:dyDescent="0.3">
      <c r="E1140" s="20" t="s">
        <v>232</v>
      </c>
    </row>
    <row r="1141" spans="5:5" x14ac:dyDescent="0.3">
      <c r="E1141" s="20" t="s">
        <v>232</v>
      </c>
    </row>
    <row r="1142" spans="5:5" x14ac:dyDescent="0.3">
      <c r="E1142" s="20" t="s">
        <v>232</v>
      </c>
    </row>
    <row r="1143" spans="5:5" x14ac:dyDescent="0.3">
      <c r="E1143" s="20" t="s">
        <v>232</v>
      </c>
    </row>
    <row r="1144" spans="5:5" x14ac:dyDescent="0.3">
      <c r="E1144" s="20" t="s">
        <v>232</v>
      </c>
    </row>
    <row r="1145" spans="5:5" x14ac:dyDescent="0.3">
      <c r="E1145" s="20" t="s">
        <v>232</v>
      </c>
    </row>
    <row r="1146" spans="5:5" x14ac:dyDescent="0.3">
      <c r="E1146" s="20" t="s">
        <v>364</v>
      </c>
    </row>
    <row r="1147" spans="5:5" x14ac:dyDescent="0.3">
      <c r="E1147" s="20" t="s">
        <v>364</v>
      </c>
    </row>
    <row r="1148" spans="5:5" x14ac:dyDescent="0.3">
      <c r="E1148" s="20" t="s">
        <v>364</v>
      </c>
    </row>
    <row r="1149" spans="5:5" x14ac:dyDescent="0.3">
      <c r="E1149" s="20" t="s">
        <v>232</v>
      </c>
    </row>
    <row r="1150" spans="5:5" x14ac:dyDescent="0.3">
      <c r="E1150" s="20" t="s">
        <v>232</v>
      </c>
    </row>
    <row r="1151" spans="5:5" x14ac:dyDescent="0.3">
      <c r="E1151" s="20" t="s">
        <v>232</v>
      </c>
    </row>
    <row r="1152" spans="5:5" x14ac:dyDescent="0.3">
      <c r="E1152" s="20" t="s">
        <v>232</v>
      </c>
    </row>
    <row r="1153" spans="5:5" x14ac:dyDescent="0.3">
      <c r="E1153" s="20" t="s">
        <v>232</v>
      </c>
    </row>
    <row r="1154" spans="5:5" x14ac:dyDescent="0.3">
      <c r="E1154" s="20" t="s">
        <v>232</v>
      </c>
    </row>
    <row r="1155" spans="5:5" x14ac:dyDescent="0.3">
      <c r="E1155" s="20" t="s">
        <v>232</v>
      </c>
    </row>
    <row r="1156" spans="5:5" x14ac:dyDescent="0.3">
      <c r="E1156" s="20" t="s">
        <v>232</v>
      </c>
    </row>
    <row r="1157" spans="5:5" x14ac:dyDescent="0.3">
      <c r="E1157" s="22" t="s">
        <v>241</v>
      </c>
    </row>
    <row r="1158" spans="5:5" x14ac:dyDescent="0.3">
      <c r="E1158" s="22" t="s">
        <v>241</v>
      </c>
    </row>
    <row r="1159" spans="5:5" x14ac:dyDescent="0.3">
      <c r="E1159" s="22" t="s">
        <v>241</v>
      </c>
    </row>
    <row r="1160" spans="5:5" x14ac:dyDescent="0.3">
      <c r="E1160" s="20" t="s">
        <v>291</v>
      </c>
    </row>
    <row r="1161" spans="5:5" x14ac:dyDescent="0.3">
      <c r="E1161" s="20" t="s">
        <v>291</v>
      </c>
    </row>
    <row r="1162" spans="5:5" x14ac:dyDescent="0.3">
      <c r="E1162" s="22" t="s">
        <v>241</v>
      </c>
    </row>
    <row r="1163" spans="5:5" x14ac:dyDescent="0.3">
      <c r="E1163" s="22" t="s">
        <v>241</v>
      </c>
    </row>
    <row r="1164" spans="5:5" x14ac:dyDescent="0.3">
      <c r="E1164" s="20" t="s">
        <v>232</v>
      </c>
    </row>
    <row r="1165" spans="5:5" x14ac:dyDescent="0.3">
      <c r="E1165" s="20" t="s">
        <v>232</v>
      </c>
    </row>
    <row r="1166" spans="5:5" x14ac:dyDescent="0.3">
      <c r="E1166" s="20" t="s">
        <v>232</v>
      </c>
    </row>
    <row r="1167" spans="5:5" x14ac:dyDescent="0.3">
      <c r="E1167" s="20" t="s">
        <v>232</v>
      </c>
    </row>
    <row r="1168" spans="5:5" x14ac:dyDescent="0.3">
      <c r="E1168" s="20" t="s">
        <v>232</v>
      </c>
    </row>
    <row r="1169" spans="5:5" x14ac:dyDescent="0.3">
      <c r="E1169" s="20" t="s">
        <v>232</v>
      </c>
    </row>
    <row r="1170" spans="5:5" x14ac:dyDescent="0.3">
      <c r="E1170" s="22" t="s">
        <v>241</v>
      </c>
    </row>
    <row r="1171" spans="5:5" x14ac:dyDescent="0.3">
      <c r="E1171" s="20" t="s">
        <v>232</v>
      </c>
    </row>
    <row r="1172" spans="5:5" x14ac:dyDescent="0.3">
      <c r="E1172" s="20" t="s">
        <v>232</v>
      </c>
    </row>
    <row r="1173" spans="5:5" x14ac:dyDescent="0.3">
      <c r="E1173" s="20" t="s">
        <v>232</v>
      </c>
    </row>
    <row r="1174" spans="5:5" x14ac:dyDescent="0.3">
      <c r="E1174" s="20" t="s">
        <v>232</v>
      </c>
    </row>
    <row r="1175" spans="5:5" x14ac:dyDescent="0.3">
      <c r="E1175" s="20" t="s">
        <v>232</v>
      </c>
    </row>
    <row r="1176" spans="5:5" x14ac:dyDescent="0.3">
      <c r="E1176" s="20" t="s">
        <v>232</v>
      </c>
    </row>
    <row r="1177" spans="5:5" x14ac:dyDescent="0.3">
      <c r="E1177" s="20" t="s">
        <v>232</v>
      </c>
    </row>
    <row r="1178" spans="5:5" x14ac:dyDescent="0.3">
      <c r="E1178" s="20" t="s">
        <v>232</v>
      </c>
    </row>
    <row r="1179" spans="5:5" x14ac:dyDescent="0.3">
      <c r="E1179" s="20" t="s">
        <v>232</v>
      </c>
    </row>
    <row r="1180" spans="5:5" x14ac:dyDescent="0.3">
      <c r="E1180" s="20" t="s">
        <v>232</v>
      </c>
    </row>
    <row r="1181" spans="5:5" x14ac:dyDescent="0.3">
      <c r="E1181" s="20" t="s">
        <v>232</v>
      </c>
    </row>
    <row r="1182" spans="5:5" x14ac:dyDescent="0.3">
      <c r="E1182" s="20" t="s">
        <v>232</v>
      </c>
    </row>
    <row r="1183" spans="5:5" x14ac:dyDescent="0.3">
      <c r="E1183" s="20" t="s">
        <v>232</v>
      </c>
    </row>
    <row r="1184" spans="5:5" x14ac:dyDescent="0.3">
      <c r="E1184" s="20" t="s">
        <v>232</v>
      </c>
    </row>
    <row r="1185" spans="5:5" x14ac:dyDescent="0.3">
      <c r="E1185" s="20" t="s">
        <v>232</v>
      </c>
    </row>
    <row r="1186" spans="5:5" x14ac:dyDescent="0.3">
      <c r="E1186" s="20" t="s">
        <v>232</v>
      </c>
    </row>
    <row r="1187" spans="5:5" x14ac:dyDescent="0.3">
      <c r="E1187" s="20" t="s">
        <v>364</v>
      </c>
    </row>
    <row r="1188" spans="5:5" x14ac:dyDescent="0.3">
      <c r="E1188" s="20" t="s">
        <v>364</v>
      </c>
    </row>
    <row r="1189" spans="5:5" x14ac:dyDescent="0.3">
      <c r="E1189" s="20" t="s">
        <v>364</v>
      </c>
    </row>
    <row r="1190" spans="5:5" x14ac:dyDescent="0.3">
      <c r="E1190" s="20" t="s">
        <v>232</v>
      </c>
    </row>
    <row r="1191" spans="5:5" x14ac:dyDescent="0.3">
      <c r="E1191" s="20" t="s">
        <v>232</v>
      </c>
    </row>
    <row r="1192" spans="5:5" x14ac:dyDescent="0.3">
      <c r="E1192" s="20" t="s">
        <v>232</v>
      </c>
    </row>
    <row r="1193" spans="5:5" x14ac:dyDescent="0.3">
      <c r="E1193" s="20" t="s">
        <v>232</v>
      </c>
    </row>
    <row r="1194" spans="5:5" x14ac:dyDescent="0.3">
      <c r="E1194" s="20" t="s">
        <v>232</v>
      </c>
    </row>
    <row r="1195" spans="5:5" x14ac:dyDescent="0.3">
      <c r="E1195" s="20" t="s">
        <v>232</v>
      </c>
    </row>
    <row r="1196" spans="5:5" x14ac:dyDescent="0.3">
      <c r="E1196" s="20" t="s">
        <v>232</v>
      </c>
    </row>
    <row r="1197" spans="5:5" x14ac:dyDescent="0.3">
      <c r="E1197" s="20" t="s">
        <v>232</v>
      </c>
    </row>
    <row r="1198" spans="5:5" x14ac:dyDescent="0.3">
      <c r="E1198" s="20" t="s">
        <v>232</v>
      </c>
    </row>
    <row r="1199" spans="5:5" x14ac:dyDescent="0.3">
      <c r="E1199" s="22" t="s">
        <v>232</v>
      </c>
    </row>
    <row r="1200" spans="5:5" x14ac:dyDescent="0.3">
      <c r="E1200" s="20" t="s">
        <v>232</v>
      </c>
    </row>
    <row r="1201" spans="5:5" x14ac:dyDescent="0.3">
      <c r="E1201" s="20" t="s">
        <v>232</v>
      </c>
    </row>
    <row r="1202" spans="5:5" x14ac:dyDescent="0.3">
      <c r="E1202" s="22" t="s">
        <v>241</v>
      </c>
    </row>
    <row r="1203" spans="5:5" x14ac:dyDescent="0.3">
      <c r="E1203" s="22" t="s">
        <v>241</v>
      </c>
    </row>
    <row r="1204" spans="5:5" x14ac:dyDescent="0.3">
      <c r="E1204" s="20" t="s">
        <v>291</v>
      </c>
    </row>
    <row r="1205" spans="5:5" x14ac:dyDescent="0.3">
      <c r="E1205" s="20" t="s">
        <v>291</v>
      </c>
    </row>
    <row r="1206" spans="5:5" x14ac:dyDescent="0.3">
      <c r="E1206" s="22" t="s">
        <v>241</v>
      </c>
    </row>
    <row r="1207" spans="5:5" x14ac:dyDescent="0.3">
      <c r="E1207" s="22" t="s">
        <v>241</v>
      </c>
    </row>
    <row r="1208" spans="5:5" x14ac:dyDescent="0.3">
      <c r="E1208" s="20" t="s">
        <v>232</v>
      </c>
    </row>
    <row r="1209" spans="5:5" x14ac:dyDescent="0.3">
      <c r="E1209" s="22" t="s">
        <v>232</v>
      </c>
    </row>
    <row r="1210" spans="5:5" x14ac:dyDescent="0.3">
      <c r="E1210" s="20" t="s">
        <v>232</v>
      </c>
    </row>
    <row r="1211" spans="5:5" x14ac:dyDescent="0.3">
      <c r="E1211" s="20" t="s">
        <v>232</v>
      </c>
    </row>
    <row r="1212" spans="5:5" x14ac:dyDescent="0.3">
      <c r="E1212" s="20" t="s">
        <v>232</v>
      </c>
    </row>
    <row r="1213" spans="5:5" x14ac:dyDescent="0.3">
      <c r="E1213" s="20" t="s">
        <v>232</v>
      </c>
    </row>
    <row r="1214" spans="5:5" x14ac:dyDescent="0.3">
      <c r="E1214" s="20" t="s">
        <v>232</v>
      </c>
    </row>
    <row r="1215" spans="5:5" x14ac:dyDescent="0.3">
      <c r="E1215" s="20" t="s">
        <v>232</v>
      </c>
    </row>
    <row r="1216" spans="5:5" x14ac:dyDescent="0.3">
      <c r="E1216" s="20" t="s">
        <v>232</v>
      </c>
    </row>
    <row r="1217" spans="5:5" x14ac:dyDescent="0.3">
      <c r="E1217" s="20" t="s">
        <v>232</v>
      </c>
    </row>
    <row r="1218" spans="5:5" x14ac:dyDescent="0.3">
      <c r="E1218" s="20" t="s">
        <v>232</v>
      </c>
    </row>
    <row r="1219" spans="5:5" x14ac:dyDescent="0.3">
      <c r="E1219" s="20" t="s">
        <v>232</v>
      </c>
    </row>
    <row r="1220" spans="5:5" x14ac:dyDescent="0.3">
      <c r="E1220" s="20" t="s">
        <v>232</v>
      </c>
    </row>
    <row r="1221" spans="5:5" x14ac:dyDescent="0.3">
      <c r="E1221" s="20" t="s">
        <v>232</v>
      </c>
    </row>
    <row r="1222" spans="5:5" x14ac:dyDescent="0.3">
      <c r="E1222" s="20" t="s">
        <v>364</v>
      </c>
    </row>
    <row r="1223" spans="5:5" x14ac:dyDescent="0.3">
      <c r="E1223" s="20" t="s">
        <v>232</v>
      </c>
    </row>
    <row r="1224" spans="5:5" x14ac:dyDescent="0.3">
      <c r="E1224" s="20" t="s">
        <v>232</v>
      </c>
    </row>
    <row r="1225" spans="5:5" x14ac:dyDescent="0.3">
      <c r="E1225" s="20" t="s">
        <v>232</v>
      </c>
    </row>
    <row r="1226" spans="5:5" x14ac:dyDescent="0.3">
      <c r="E1226" s="20" t="s">
        <v>232</v>
      </c>
    </row>
    <row r="1227" spans="5:5" x14ac:dyDescent="0.3">
      <c r="E1227" s="20" t="s">
        <v>232</v>
      </c>
    </row>
    <row r="1228" spans="5:5" x14ac:dyDescent="0.3">
      <c r="E1228" s="20" t="s">
        <v>232</v>
      </c>
    </row>
    <row r="1229" spans="5:5" x14ac:dyDescent="0.3">
      <c r="E1229" s="20" t="s">
        <v>232</v>
      </c>
    </row>
    <row r="1230" spans="5:5" x14ac:dyDescent="0.3">
      <c r="E1230" s="20" t="s">
        <v>232</v>
      </c>
    </row>
    <row r="1231" spans="5:5" x14ac:dyDescent="0.3">
      <c r="E1231" s="20" t="s">
        <v>232</v>
      </c>
    </row>
    <row r="1232" spans="5:5" x14ac:dyDescent="0.3">
      <c r="E1232" s="20" t="s">
        <v>232</v>
      </c>
    </row>
    <row r="1233" spans="5:5" x14ac:dyDescent="0.3">
      <c r="E1233" s="20" t="s">
        <v>232</v>
      </c>
    </row>
    <row r="1234" spans="5:5" x14ac:dyDescent="0.3">
      <c r="E1234" s="20" t="s">
        <v>364</v>
      </c>
    </row>
    <row r="1235" spans="5:5" x14ac:dyDescent="0.3">
      <c r="E1235" s="20" t="s">
        <v>364</v>
      </c>
    </row>
    <row r="1236" spans="5:5" x14ac:dyDescent="0.3">
      <c r="E1236" s="20" t="s">
        <v>364</v>
      </c>
    </row>
    <row r="1237" spans="5:5" x14ac:dyDescent="0.3">
      <c r="E1237" s="20" t="s">
        <v>232</v>
      </c>
    </row>
    <row r="1238" spans="5:5" x14ac:dyDescent="0.3">
      <c r="E1238" s="20" t="s">
        <v>232</v>
      </c>
    </row>
    <row r="1239" spans="5:5" x14ac:dyDescent="0.3">
      <c r="E1239" s="20" t="s">
        <v>232</v>
      </c>
    </row>
    <row r="1240" spans="5:5" x14ac:dyDescent="0.3">
      <c r="E1240" s="20" t="s">
        <v>232</v>
      </c>
    </row>
    <row r="1241" spans="5:5" x14ac:dyDescent="0.3">
      <c r="E1241" s="20" t="s">
        <v>232</v>
      </c>
    </row>
    <row r="1242" spans="5:5" x14ac:dyDescent="0.3">
      <c r="E1242" s="20" t="s">
        <v>232</v>
      </c>
    </row>
    <row r="1243" spans="5:5" x14ac:dyDescent="0.3">
      <c r="E1243" s="20" t="s">
        <v>232</v>
      </c>
    </row>
    <row r="1244" spans="5:5" x14ac:dyDescent="0.3">
      <c r="E1244" s="20" t="s">
        <v>232</v>
      </c>
    </row>
    <row r="1245" spans="5:5" x14ac:dyDescent="0.3">
      <c r="E1245" s="20" t="s">
        <v>232</v>
      </c>
    </row>
    <row r="1246" spans="5:5" x14ac:dyDescent="0.3">
      <c r="E1246" s="20" t="s">
        <v>232</v>
      </c>
    </row>
    <row r="1247" spans="5:5" x14ac:dyDescent="0.3">
      <c r="E1247" s="20" t="s">
        <v>232</v>
      </c>
    </row>
    <row r="1248" spans="5:5" x14ac:dyDescent="0.3">
      <c r="E1248" s="22" t="s">
        <v>241</v>
      </c>
    </row>
    <row r="1249" spans="5:5" x14ac:dyDescent="0.3">
      <c r="E1249" s="20" t="s">
        <v>291</v>
      </c>
    </row>
    <row r="1250" spans="5:5" x14ac:dyDescent="0.3">
      <c r="E1250" s="20" t="s">
        <v>291</v>
      </c>
    </row>
    <row r="1251" spans="5:5" x14ac:dyDescent="0.3">
      <c r="E1251" s="22" t="s">
        <v>241</v>
      </c>
    </row>
    <row r="1252" spans="5:5" x14ac:dyDescent="0.3">
      <c r="E1252" s="22" t="s">
        <v>241</v>
      </c>
    </row>
    <row r="1253" spans="5:5" x14ac:dyDescent="0.3">
      <c r="E1253" s="20" t="s">
        <v>232</v>
      </c>
    </row>
    <row r="1254" spans="5:5" x14ac:dyDescent="0.3">
      <c r="E1254" s="22" t="s">
        <v>232</v>
      </c>
    </row>
    <row r="1255" spans="5:5" x14ac:dyDescent="0.3">
      <c r="E1255" s="20" t="s">
        <v>232</v>
      </c>
    </row>
    <row r="1256" spans="5:5" x14ac:dyDescent="0.3">
      <c r="E1256" s="22" t="s">
        <v>232</v>
      </c>
    </row>
    <row r="1257" spans="5:5" x14ac:dyDescent="0.3">
      <c r="E1257" s="22" t="s">
        <v>241</v>
      </c>
    </row>
    <row r="1258" spans="5:5" x14ac:dyDescent="0.3">
      <c r="E1258" s="20" t="s">
        <v>232</v>
      </c>
    </row>
    <row r="1259" spans="5:5" x14ac:dyDescent="0.3">
      <c r="E1259" s="20" t="s">
        <v>232</v>
      </c>
    </row>
    <row r="1260" spans="5:5" x14ac:dyDescent="0.3">
      <c r="E1260" s="20" t="s">
        <v>232</v>
      </c>
    </row>
    <row r="1261" spans="5:5" x14ac:dyDescent="0.3">
      <c r="E1261" s="20" t="s">
        <v>232</v>
      </c>
    </row>
    <row r="1262" spans="5:5" x14ac:dyDescent="0.3">
      <c r="E1262" s="20" t="s">
        <v>232</v>
      </c>
    </row>
    <row r="1263" spans="5:5" x14ac:dyDescent="0.3">
      <c r="E1263" s="22" t="s">
        <v>241</v>
      </c>
    </row>
    <row r="1264" spans="5:5" x14ac:dyDescent="0.3">
      <c r="E1264" s="20" t="s">
        <v>232</v>
      </c>
    </row>
    <row r="1265" spans="5:5" x14ac:dyDescent="0.3">
      <c r="E1265" s="20" t="s">
        <v>232</v>
      </c>
    </row>
    <row r="1266" spans="5:5" x14ac:dyDescent="0.3">
      <c r="E1266" s="20" t="s">
        <v>547</v>
      </c>
    </row>
    <row r="1267" spans="5:5" x14ac:dyDescent="0.3">
      <c r="E1267" s="22" t="s">
        <v>241</v>
      </c>
    </row>
    <row r="1268" spans="5:5" x14ac:dyDescent="0.3">
      <c r="E1268" s="20" t="s">
        <v>232</v>
      </c>
    </row>
    <row r="1269" spans="5:5" x14ac:dyDescent="0.3">
      <c r="E1269" s="22" t="s">
        <v>241</v>
      </c>
    </row>
    <row r="1270" spans="5:5" x14ac:dyDescent="0.3">
      <c r="E1270" s="20" t="s">
        <v>232</v>
      </c>
    </row>
    <row r="1271" spans="5:5" x14ac:dyDescent="0.3">
      <c r="E1271" s="20" t="s">
        <v>232</v>
      </c>
    </row>
    <row r="1272" spans="5:5" x14ac:dyDescent="0.3">
      <c r="E1272" s="20" t="s">
        <v>232</v>
      </c>
    </row>
    <row r="1273" spans="5:5" x14ac:dyDescent="0.3">
      <c r="E1273" s="20" t="s">
        <v>232</v>
      </c>
    </row>
    <row r="1274" spans="5:5" x14ac:dyDescent="0.3">
      <c r="E1274" s="20" t="s">
        <v>232</v>
      </c>
    </row>
    <row r="1275" spans="5:5" x14ac:dyDescent="0.3">
      <c r="E1275" s="20" t="s">
        <v>232</v>
      </c>
    </row>
    <row r="1276" spans="5:5" x14ac:dyDescent="0.3">
      <c r="E1276" s="20" t="s">
        <v>232</v>
      </c>
    </row>
    <row r="1277" spans="5:5" x14ac:dyDescent="0.3">
      <c r="E1277" s="20" t="s">
        <v>547</v>
      </c>
    </row>
    <row r="1278" spans="5:5" x14ac:dyDescent="0.3">
      <c r="E1278" s="20" t="s">
        <v>232</v>
      </c>
    </row>
    <row r="1279" spans="5:5" x14ac:dyDescent="0.3">
      <c r="E1279" s="20" t="s">
        <v>291</v>
      </c>
    </row>
    <row r="1280" spans="5:5" x14ac:dyDescent="0.3">
      <c r="E1280" s="20" t="s">
        <v>232</v>
      </c>
    </row>
    <row r="1281" spans="5:5" x14ac:dyDescent="0.3">
      <c r="E1281" s="20" t="s">
        <v>232</v>
      </c>
    </row>
    <row r="1282" spans="5:5" x14ac:dyDescent="0.3">
      <c r="E1282" s="20" t="s">
        <v>232</v>
      </c>
    </row>
    <row r="1283" spans="5:5" x14ac:dyDescent="0.3">
      <c r="E1283" s="22" t="s">
        <v>241</v>
      </c>
    </row>
    <row r="1284" spans="5:5" x14ac:dyDescent="0.3">
      <c r="E1284" s="22" t="s">
        <v>232</v>
      </c>
    </row>
    <row r="1285" spans="5:5" x14ac:dyDescent="0.3">
      <c r="E1285" s="20" t="s">
        <v>291</v>
      </c>
    </row>
    <row r="1286" spans="5:5" x14ac:dyDescent="0.3">
      <c r="E1286" s="20" t="s">
        <v>232</v>
      </c>
    </row>
    <row r="1287" spans="5:5" x14ac:dyDescent="0.3">
      <c r="E1287" s="20" t="s">
        <v>364</v>
      </c>
    </row>
    <row r="1288" spans="5:5" x14ac:dyDescent="0.3">
      <c r="E1288" s="20" t="s">
        <v>364</v>
      </c>
    </row>
    <row r="1289" spans="5:5" x14ac:dyDescent="0.3">
      <c r="E1289" s="20" t="s">
        <v>364</v>
      </c>
    </row>
    <row r="1290" spans="5:5" x14ac:dyDescent="0.3">
      <c r="E1290" s="20" t="s">
        <v>232</v>
      </c>
    </row>
    <row r="1291" spans="5:5" x14ac:dyDescent="0.3">
      <c r="E1291" s="20" t="s">
        <v>232</v>
      </c>
    </row>
    <row r="1292" spans="5:5" x14ac:dyDescent="0.3">
      <c r="E1292" s="20" t="s">
        <v>232</v>
      </c>
    </row>
    <row r="1293" spans="5:5" x14ac:dyDescent="0.3">
      <c r="E1293" s="20" t="s">
        <v>232</v>
      </c>
    </row>
    <row r="1294" spans="5:5" x14ac:dyDescent="0.3">
      <c r="E1294" s="20" t="s">
        <v>232</v>
      </c>
    </row>
    <row r="1295" spans="5:5" x14ac:dyDescent="0.3">
      <c r="E1295" s="20" t="s">
        <v>232</v>
      </c>
    </row>
    <row r="1296" spans="5:5" x14ac:dyDescent="0.3">
      <c r="E1296" s="20" t="s">
        <v>232</v>
      </c>
    </row>
    <row r="1297" spans="5:5" x14ac:dyDescent="0.3">
      <c r="E1297" s="20" t="s">
        <v>232</v>
      </c>
    </row>
    <row r="1298" spans="5:5" x14ac:dyDescent="0.3">
      <c r="E1298" s="20" t="s">
        <v>232</v>
      </c>
    </row>
    <row r="1299" spans="5:5" x14ac:dyDescent="0.3">
      <c r="E1299" s="20" t="s">
        <v>232</v>
      </c>
    </row>
    <row r="1300" spans="5:5" x14ac:dyDescent="0.3">
      <c r="E1300" s="20" t="s">
        <v>232</v>
      </c>
    </row>
    <row r="1301" spans="5:5" x14ac:dyDescent="0.3">
      <c r="E1301" s="20" t="s">
        <v>232</v>
      </c>
    </row>
    <row r="1302" spans="5:5" x14ac:dyDescent="0.3">
      <c r="E1302" s="20" t="s">
        <v>232</v>
      </c>
    </row>
    <row r="1303" spans="5:5" x14ac:dyDescent="0.3">
      <c r="E1303" s="20" t="s">
        <v>232</v>
      </c>
    </row>
    <row r="1304" spans="5:5" x14ac:dyDescent="0.3">
      <c r="E1304" s="20" t="s">
        <v>547</v>
      </c>
    </row>
    <row r="1305" spans="5:5" x14ac:dyDescent="0.3">
      <c r="E1305" s="20" t="s">
        <v>547</v>
      </c>
    </row>
    <row r="1306" spans="5:5" x14ac:dyDescent="0.3">
      <c r="E1306" s="20" t="s">
        <v>232</v>
      </c>
    </row>
    <row r="1307" spans="5:5" x14ac:dyDescent="0.3">
      <c r="E1307" s="20" t="s">
        <v>232</v>
      </c>
    </row>
    <row r="1308" spans="5:5" x14ac:dyDescent="0.3">
      <c r="E1308" s="22" t="s">
        <v>232</v>
      </c>
    </row>
    <row r="1309" spans="5:5" x14ac:dyDescent="0.3">
      <c r="E1309" s="20" t="s">
        <v>232</v>
      </c>
    </row>
    <row r="1310" spans="5:5" x14ac:dyDescent="0.3">
      <c r="E1310" s="50" t="s">
        <v>232</v>
      </c>
    </row>
    <row r="1311" spans="5:5" x14ac:dyDescent="0.3">
      <c r="E1311" s="50" t="s">
        <v>232</v>
      </c>
    </row>
    <row r="1312" spans="5:5" x14ac:dyDescent="0.3">
      <c r="E1312" s="20" t="s">
        <v>364</v>
      </c>
    </row>
    <row r="1313" spans="5:5" x14ac:dyDescent="0.3">
      <c r="E1313" s="50" t="s">
        <v>232</v>
      </c>
    </row>
    <row r="1314" spans="5:5" x14ac:dyDescent="0.3">
      <c r="E1314" s="50" t="s">
        <v>232</v>
      </c>
    </row>
    <row r="1315" spans="5:5" x14ac:dyDescent="0.3">
      <c r="E1315" s="50" t="s">
        <v>232</v>
      </c>
    </row>
    <row r="1316" spans="5:5" x14ac:dyDescent="0.3">
      <c r="E1316" s="50" t="s">
        <v>232</v>
      </c>
    </row>
    <row r="1317" spans="5:5" x14ac:dyDescent="0.3">
      <c r="E1317" s="50" t="s">
        <v>232</v>
      </c>
    </row>
    <row r="1318" spans="5:5" x14ac:dyDescent="0.3">
      <c r="E1318" s="50" t="s">
        <v>232</v>
      </c>
    </row>
    <row r="1319" spans="5:5" x14ac:dyDescent="0.3">
      <c r="E1319" s="50" t="s">
        <v>232</v>
      </c>
    </row>
    <row r="1320" spans="5:5" x14ac:dyDescent="0.3">
      <c r="E1320" s="50" t="s">
        <v>232</v>
      </c>
    </row>
    <row r="1321" spans="5:5" x14ac:dyDescent="0.3">
      <c r="E1321" s="50" t="s">
        <v>232</v>
      </c>
    </row>
    <row r="1322" spans="5:5" x14ac:dyDescent="0.3">
      <c r="E1322" s="50" t="s">
        <v>232</v>
      </c>
    </row>
    <row r="1323" spans="5:5" x14ac:dyDescent="0.3">
      <c r="E1323" s="50" t="s">
        <v>232</v>
      </c>
    </row>
    <row r="1324" spans="5:5" x14ac:dyDescent="0.3">
      <c r="E1324" s="50" t="s">
        <v>232</v>
      </c>
    </row>
    <row r="1325" spans="5:5" x14ac:dyDescent="0.3">
      <c r="E1325" s="50" t="s">
        <v>232</v>
      </c>
    </row>
    <row r="1326" spans="5:5" x14ac:dyDescent="0.3">
      <c r="E1326" s="50" t="s">
        <v>232</v>
      </c>
    </row>
    <row r="1327" spans="5:5" x14ac:dyDescent="0.3">
      <c r="E1327" s="50" t="s">
        <v>232</v>
      </c>
    </row>
    <row r="1328" spans="5:5" x14ac:dyDescent="0.3">
      <c r="E1328" s="50" t="s">
        <v>232</v>
      </c>
    </row>
    <row r="1329" spans="5:5" x14ac:dyDescent="0.3">
      <c r="E1329" s="50" t="s">
        <v>232</v>
      </c>
    </row>
    <row r="1330" spans="5:5" x14ac:dyDescent="0.3">
      <c r="E1330" s="22" t="s">
        <v>232</v>
      </c>
    </row>
    <row r="1331" spans="5:5" x14ac:dyDescent="0.3">
      <c r="E1331" s="50" t="s">
        <v>232</v>
      </c>
    </row>
    <row r="1332" spans="5:5" x14ac:dyDescent="0.3">
      <c r="E1332" s="50" t="s">
        <v>232</v>
      </c>
    </row>
    <row r="1333" spans="5:5" x14ac:dyDescent="0.3">
      <c r="E1333" s="50" t="s">
        <v>232</v>
      </c>
    </row>
    <row r="1334" spans="5:5" x14ac:dyDescent="0.3">
      <c r="E1334" s="50" t="s">
        <v>232</v>
      </c>
    </row>
    <row r="1335" spans="5:5" x14ac:dyDescent="0.3">
      <c r="E1335" s="50" t="s">
        <v>232</v>
      </c>
    </row>
    <row r="1336" spans="5:5" x14ac:dyDescent="0.3">
      <c r="E1336" s="50" t="s">
        <v>232</v>
      </c>
    </row>
    <row r="1337" spans="5:5" x14ac:dyDescent="0.3">
      <c r="E1337" s="50" t="s">
        <v>232</v>
      </c>
    </row>
    <row r="1338" spans="5:5" x14ac:dyDescent="0.3">
      <c r="E1338" s="50" t="s">
        <v>232</v>
      </c>
    </row>
    <row r="1339" spans="5:5" x14ac:dyDescent="0.3">
      <c r="E1339" s="22" t="s">
        <v>232</v>
      </c>
    </row>
    <row r="1340" spans="5:5" x14ac:dyDescent="0.3">
      <c r="E1340" s="50" t="s">
        <v>232</v>
      </c>
    </row>
    <row r="1341" spans="5:5" x14ac:dyDescent="0.3">
      <c r="E1341" s="50" t="s">
        <v>232</v>
      </c>
    </row>
    <row r="1342" spans="5:5" x14ac:dyDescent="0.3">
      <c r="E1342" s="50" t="s">
        <v>291</v>
      </c>
    </row>
    <row r="1343" spans="5:5" x14ac:dyDescent="0.3">
      <c r="E1343" s="50" t="s">
        <v>232</v>
      </c>
    </row>
    <row r="1344" spans="5:5" x14ac:dyDescent="0.3">
      <c r="E1344" s="22" t="s">
        <v>241</v>
      </c>
    </row>
    <row r="1345" spans="5:5" x14ac:dyDescent="0.3">
      <c r="E1345" s="22" t="s">
        <v>241</v>
      </c>
    </row>
    <row r="1346" spans="5:5" x14ac:dyDescent="0.3">
      <c r="E1346" s="50" t="s">
        <v>232</v>
      </c>
    </row>
    <row r="1347" spans="5:5" x14ac:dyDescent="0.3">
      <c r="E1347" s="22" t="s">
        <v>241</v>
      </c>
    </row>
    <row r="1348" spans="5:5" x14ac:dyDescent="0.3">
      <c r="E1348" s="22" t="s">
        <v>241</v>
      </c>
    </row>
    <row r="1349" spans="5:5" x14ac:dyDescent="0.3">
      <c r="E1349" s="50" t="s">
        <v>232</v>
      </c>
    </row>
    <row r="1350" spans="5:5" x14ac:dyDescent="0.3">
      <c r="E1350" s="50" t="s">
        <v>291</v>
      </c>
    </row>
    <row r="1351" spans="5:5" x14ac:dyDescent="0.3">
      <c r="E1351" s="50" t="s">
        <v>232</v>
      </c>
    </row>
    <row r="1352" spans="5:5" x14ac:dyDescent="0.3">
      <c r="E1352" s="50" t="s">
        <v>232</v>
      </c>
    </row>
    <row r="1353" spans="5:5" x14ac:dyDescent="0.3">
      <c r="E1353" s="50" t="s">
        <v>232</v>
      </c>
    </row>
  </sheetData>
  <conditionalFormatting sqref="C162:C224">
    <cfRule type="duplicateValues" dxfId="2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91D7-2E7D-4148-A550-55845A64D8CA}">
  <dimension ref="A1:K2103"/>
  <sheetViews>
    <sheetView tabSelected="1" workbookViewId="0">
      <selection activeCell="K1" sqref="K1"/>
    </sheetView>
  </sheetViews>
  <sheetFormatPr baseColWidth="10" defaultRowHeight="13.8" x14ac:dyDescent="0.3"/>
  <cols>
    <col min="3" max="3" width="40.6640625" bestFit="1" customWidth="1"/>
    <col min="4" max="4" width="30" bestFit="1" customWidth="1"/>
    <col min="8" max="8" width="16.88671875" style="72" bestFit="1" customWidth="1"/>
    <col min="12" max="12" width="13.88671875" bestFit="1" customWidth="1"/>
    <col min="13" max="13" width="23" bestFit="1" customWidth="1"/>
    <col min="14" max="14" width="9" bestFit="1" customWidth="1"/>
    <col min="15" max="15" width="11.109375" bestFit="1" customWidth="1"/>
    <col min="16" max="16" width="12.44140625" bestFit="1" customWidth="1"/>
    <col min="17" max="46" width="4.44140625" bestFit="1" customWidth="1"/>
    <col min="47" max="64" width="5.5546875" bestFit="1" customWidth="1"/>
    <col min="65" max="65" width="12.44140625" bestFit="1" customWidth="1"/>
  </cols>
  <sheetData>
    <row r="1" spans="1:11" x14ac:dyDescent="0.3">
      <c r="A1" s="12" t="s">
        <v>1073</v>
      </c>
      <c r="B1" s="12" t="s">
        <v>0</v>
      </c>
      <c r="C1" s="13" t="s">
        <v>1</v>
      </c>
      <c r="D1" s="13" t="s">
        <v>2</v>
      </c>
      <c r="E1" s="14" t="s">
        <v>206</v>
      </c>
      <c r="F1" s="14" t="s">
        <v>207</v>
      </c>
      <c r="G1" s="13" t="s">
        <v>208</v>
      </c>
      <c r="H1" s="18" t="s">
        <v>228</v>
      </c>
      <c r="I1" s="18" t="s">
        <v>1077</v>
      </c>
      <c r="J1" s="18" t="s">
        <v>218</v>
      </c>
      <c r="K1" s="18" t="s">
        <v>1169</v>
      </c>
    </row>
    <row r="2" spans="1:11" x14ac:dyDescent="0.3">
      <c r="A2">
        <v>2025</v>
      </c>
      <c r="B2" s="8">
        <v>1</v>
      </c>
      <c r="C2" s="20" t="s">
        <v>80</v>
      </c>
      <c r="D2" s="20" t="s">
        <v>230</v>
      </c>
      <c r="E2" s="22" t="s">
        <v>232</v>
      </c>
      <c r="F2" s="22" t="s">
        <v>233</v>
      </c>
      <c r="G2" s="22" t="s">
        <v>234</v>
      </c>
      <c r="H2" s="23">
        <v>2143.1396000000004</v>
      </c>
      <c r="I2" s="22">
        <v>2500</v>
      </c>
    </row>
    <row r="3" spans="1:11" x14ac:dyDescent="0.3">
      <c r="A3">
        <v>2025</v>
      </c>
      <c r="B3" s="8">
        <v>1</v>
      </c>
      <c r="C3" s="20" t="s">
        <v>236</v>
      </c>
      <c r="D3" s="22" t="s">
        <v>34</v>
      </c>
      <c r="E3" s="22" t="s">
        <v>232</v>
      </c>
      <c r="F3" s="22" t="s">
        <v>232</v>
      </c>
      <c r="G3" s="22" t="s">
        <v>234</v>
      </c>
      <c r="H3" s="23">
        <v>2142.85</v>
      </c>
      <c r="I3" s="22">
        <v>2500</v>
      </c>
    </row>
    <row r="4" spans="1:11" x14ac:dyDescent="0.3">
      <c r="A4">
        <v>2025</v>
      </c>
      <c r="B4" s="8">
        <v>1</v>
      </c>
      <c r="C4" s="20" t="s">
        <v>238</v>
      </c>
      <c r="D4" s="22" t="s">
        <v>20</v>
      </c>
      <c r="E4" s="22" t="s">
        <v>232</v>
      </c>
      <c r="F4" s="22" t="s">
        <v>233</v>
      </c>
      <c r="G4" s="22" t="s">
        <v>234</v>
      </c>
      <c r="H4" s="23">
        <v>2210.15</v>
      </c>
      <c r="I4" s="22">
        <v>2500</v>
      </c>
    </row>
    <row r="5" spans="1:11" x14ac:dyDescent="0.3">
      <c r="A5">
        <v>2025</v>
      </c>
      <c r="B5" s="8">
        <v>1</v>
      </c>
      <c r="C5" s="20" t="s">
        <v>240</v>
      </c>
      <c r="D5" s="20" t="s">
        <v>56</v>
      </c>
      <c r="E5" s="22" t="s">
        <v>241</v>
      </c>
      <c r="F5" s="22" t="s">
        <v>232</v>
      </c>
      <c r="G5" s="22" t="s">
        <v>234</v>
      </c>
      <c r="H5" s="23">
        <v>2653.1484</v>
      </c>
      <c r="I5" s="22">
        <v>2500</v>
      </c>
    </row>
    <row r="6" spans="1:11" x14ac:dyDescent="0.3">
      <c r="A6">
        <v>2025</v>
      </c>
      <c r="B6" s="8">
        <v>1</v>
      </c>
      <c r="C6" s="20" t="s">
        <v>72</v>
      </c>
      <c r="D6" s="22" t="s">
        <v>28</v>
      </c>
      <c r="E6" s="22" t="s">
        <v>232</v>
      </c>
      <c r="F6" s="22" t="s">
        <v>232</v>
      </c>
      <c r="G6" s="22" t="s">
        <v>234</v>
      </c>
      <c r="H6" s="23">
        <v>1214.28</v>
      </c>
      <c r="I6" s="22">
        <v>2500</v>
      </c>
    </row>
    <row r="7" spans="1:11" x14ac:dyDescent="0.3">
      <c r="A7">
        <v>2025</v>
      </c>
      <c r="B7" s="8">
        <v>1</v>
      </c>
      <c r="C7" s="20" t="s">
        <v>105</v>
      </c>
      <c r="D7" s="20" t="s">
        <v>46</v>
      </c>
      <c r="E7" s="22" t="s">
        <v>232</v>
      </c>
      <c r="F7" s="22" t="s">
        <v>232</v>
      </c>
      <c r="G7" s="22" t="s">
        <v>234</v>
      </c>
      <c r="H7" s="23">
        <v>2827.0928000000008</v>
      </c>
      <c r="I7" s="22">
        <v>2500</v>
      </c>
    </row>
    <row r="8" spans="1:11" x14ac:dyDescent="0.3">
      <c r="A8">
        <v>2025</v>
      </c>
      <c r="B8" s="8">
        <v>1</v>
      </c>
      <c r="C8" s="20" t="s">
        <v>243</v>
      </c>
      <c r="D8" s="20" t="s">
        <v>34</v>
      </c>
      <c r="E8" s="22" t="s">
        <v>232</v>
      </c>
      <c r="F8" s="22" t="s">
        <v>232</v>
      </c>
      <c r="G8" s="22" t="s">
        <v>234</v>
      </c>
      <c r="H8" s="23">
        <v>2142.85</v>
      </c>
      <c r="I8" s="22">
        <v>2500</v>
      </c>
    </row>
    <row r="9" spans="1:11" x14ac:dyDescent="0.3">
      <c r="A9">
        <v>2025</v>
      </c>
      <c r="B9" s="8">
        <v>1</v>
      </c>
      <c r="C9" s="20" t="s">
        <v>244</v>
      </c>
      <c r="D9" s="20" t="s">
        <v>4</v>
      </c>
      <c r="E9" s="22" t="s">
        <v>232</v>
      </c>
      <c r="F9" s="22" t="s">
        <v>232</v>
      </c>
      <c r="G9" s="22" t="s">
        <v>234</v>
      </c>
      <c r="H9" s="23">
        <v>2643.7960000000007</v>
      </c>
      <c r="I9" s="22">
        <v>2500</v>
      </c>
    </row>
    <row r="10" spans="1:11" x14ac:dyDescent="0.3">
      <c r="A10">
        <v>2025</v>
      </c>
      <c r="B10" s="8">
        <v>1</v>
      </c>
      <c r="C10" s="20" t="s">
        <v>37</v>
      </c>
      <c r="D10" s="22" t="s">
        <v>246</v>
      </c>
      <c r="E10" s="22" t="s">
        <v>232</v>
      </c>
      <c r="F10" s="22" t="s">
        <v>232</v>
      </c>
      <c r="G10" s="22" t="s">
        <v>234</v>
      </c>
      <c r="H10" s="23">
        <v>3018.6268000000009</v>
      </c>
      <c r="I10" s="22">
        <v>2500</v>
      </c>
    </row>
    <row r="11" spans="1:11" x14ac:dyDescent="0.3">
      <c r="A11">
        <v>2025</v>
      </c>
      <c r="B11" s="8">
        <v>1</v>
      </c>
      <c r="C11" s="20" t="s">
        <v>45</v>
      </c>
      <c r="D11" s="22" t="s">
        <v>249</v>
      </c>
      <c r="E11" s="22" t="s">
        <v>232</v>
      </c>
      <c r="F11" s="22" t="s">
        <v>232</v>
      </c>
      <c r="G11" s="22" t="s">
        <v>234</v>
      </c>
      <c r="H11" s="23">
        <v>3534.4679999999998</v>
      </c>
      <c r="I11" s="22">
        <v>2500</v>
      </c>
    </row>
    <row r="12" spans="1:11" x14ac:dyDescent="0.3">
      <c r="A12">
        <v>2025</v>
      </c>
      <c r="B12" s="8">
        <v>1</v>
      </c>
      <c r="C12" s="20" t="s">
        <v>252</v>
      </c>
      <c r="D12" s="22" t="s">
        <v>22</v>
      </c>
      <c r="E12" s="22" t="s">
        <v>232</v>
      </c>
      <c r="F12" s="22" t="s">
        <v>233</v>
      </c>
      <c r="G12" s="22" t="s">
        <v>234</v>
      </c>
      <c r="H12" s="23">
        <v>2142.85</v>
      </c>
      <c r="I12" s="22">
        <v>2500</v>
      </c>
    </row>
    <row r="13" spans="1:11" x14ac:dyDescent="0.3">
      <c r="A13">
        <v>2025</v>
      </c>
      <c r="B13" s="8">
        <v>2</v>
      </c>
      <c r="C13" s="20" t="s">
        <v>254</v>
      </c>
      <c r="D13" s="22" t="s">
        <v>75</v>
      </c>
      <c r="E13" s="22" t="s">
        <v>241</v>
      </c>
      <c r="F13" s="22" t="s">
        <v>232</v>
      </c>
      <c r="G13" s="22" t="s">
        <v>234</v>
      </c>
      <c r="H13" s="23">
        <v>-210.85200000000009</v>
      </c>
      <c r="I13" s="22">
        <v>2500</v>
      </c>
    </row>
    <row r="14" spans="1:11" x14ac:dyDescent="0.3">
      <c r="A14">
        <v>2025</v>
      </c>
      <c r="B14" s="8">
        <v>2</v>
      </c>
      <c r="C14" s="20" t="s">
        <v>80</v>
      </c>
      <c r="D14" s="20" t="s">
        <v>230</v>
      </c>
      <c r="E14" s="22" t="s">
        <v>232</v>
      </c>
      <c r="F14" s="22" t="s">
        <v>233</v>
      </c>
      <c r="G14" s="22" t="s">
        <v>234</v>
      </c>
      <c r="H14" s="23">
        <v>2500</v>
      </c>
      <c r="I14" s="22">
        <v>2500</v>
      </c>
    </row>
    <row r="15" spans="1:11" x14ac:dyDescent="0.3">
      <c r="A15">
        <v>2025</v>
      </c>
      <c r="B15" s="8">
        <v>2</v>
      </c>
      <c r="C15" s="20" t="s">
        <v>236</v>
      </c>
      <c r="D15" s="22" t="s">
        <v>34</v>
      </c>
      <c r="E15" s="22" t="s">
        <v>232</v>
      </c>
      <c r="F15" s="22" t="s">
        <v>232</v>
      </c>
      <c r="G15" s="22" t="s">
        <v>234</v>
      </c>
      <c r="H15" s="23">
        <v>2500.4880000000003</v>
      </c>
      <c r="I15" s="22">
        <v>2500</v>
      </c>
    </row>
    <row r="16" spans="1:11" x14ac:dyDescent="0.3">
      <c r="A16">
        <v>2025</v>
      </c>
      <c r="B16" s="8">
        <v>2</v>
      </c>
      <c r="C16" s="20" t="s">
        <v>238</v>
      </c>
      <c r="D16" s="22" t="s">
        <v>20</v>
      </c>
      <c r="E16" s="22" t="s">
        <v>232</v>
      </c>
      <c r="F16" s="22" t="s">
        <v>233</v>
      </c>
      <c r="G16" s="22" t="s">
        <v>234</v>
      </c>
      <c r="H16" s="23">
        <v>2500</v>
      </c>
      <c r="I16" s="22">
        <v>2500</v>
      </c>
    </row>
    <row r="17" spans="1:9" x14ac:dyDescent="0.3">
      <c r="A17">
        <v>2025</v>
      </c>
      <c r="B17" s="8">
        <v>2</v>
      </c>
      <c r="C17" s="20" t="s">
        <v>240</v>
      </c>
      <c r="D17" s="20" t="s">
        <v>56</v>
      </c>
      <c r="E17" s="22" t="s">
        <v>241</v>
      </c>
      <c r="F17" s="22" t="s">
        <v>232</v>
      </c>
      <c r="G17" s="22" t="s">
        <v>234</v>
      </c>
      <c r="H17" s="23">
        <v>1591.6443999999992</v>
      </c>
      <c r="I17" s="22">
        <v>2500</v>
      </c>
    </row>
    <row r="18" spans="1:9" x14ac:dyDescent="0.3">
      <c r="A18">
        <v>2025</v>
      </c>
      <c r="B18" s="8">
        <v>2</v>
      </c>
      <c r="C18" s="20" t="s">
        <v>256</v>
      </c>
      <c r="D18" s="22" t="s">
        <v>46</v>
      </c>
      <c r="E18" s="22" t="s">
        <v>232</v>
      </c>
      <c r="F18" s="22" t="s">
        <v>232</v>
      </c>
      <c r="G18" s="22" t="s">
        <v>234</v>
      </c>
      <c r="H18" s="23">
        <v>1928.2059999999997</v>
      </c>
      <c r="I18" s="22">
        <v>2500</v>
      </c>
    </row>
    <row r="19" spans="1:9" x14ac:dyDescent="0.3">
      <c r="A19">
        <v>2025</v>
      </c>
      <c r="B19" s="8">
        <v>2</v>
      </c>
      <c r="C19" s="20" t="s">
        <v>258</v>
      </c>
      <c r="D19" s="22" t="s">
        <v>40</v>
      </c>
      <c r="E19" s="22" t="s">
        <v>232</v>
      </c>
      <c r="F19" s="22" t="s">
        <v>232</v>
      </c>
      <c r="G19" s="22" t="s">
        <v>234</v>
      </c>
      <c r="H19" s="23">
        <v>3000</v>
      </c>
      <c r="I19" s="22">
        <v>2500</v>
      </c>
    </row>
    <row r="20" spans="1:9" x14ac:dyDescent="0.3">
      <c r="A20">
        <v>2025</v>
      </c>
      <c r="B20" s="8">
        <v>2</v>
      </c>
      <c r="C20" s="20" t="s">
        <v>260</v>
      </c>
      <c r="D20" s="22" t="s">
        <v>97</v>
      </c>
      <c r="E20" s="22" t="s">
        <v>232</v>
      </c>
      <c r="F20" s="22" t="s">
        <v>232</v>
      </c>
      <c r="G20" s="22" t="s">
        <v>234</v>
      </c>
      <c r="H20" s="23">
        <v>3000</v>
      </c>
      <c r="I20" s="22">
        <v>2500</v>
      </c>
    </row>
    <row r="21" spans="1:9" x14ac:dyDescent="0.3">
      <c r="A21">
        <v>2025</v>
      </c>
      <c r="B21" s="8">
        <v>2</v>
      </c>
      <c r="C21" s="20" t="s">
        <v>72</v>
      </c>
      <c r="D21" s="22" t="s">
        <v>28</v>
      </c>
      <c r="E21" s="22" t="s">
        <v>232</v>
      </c>
      <c r="F21" s="22" t="s">
        <v>232</v>
      </c>
      <c r="G21" s="22" t="s">
        <v>234</v>
      </c>
      <c r="H21" s="23">
        <v>3000</v>
      </c>
      <c r="I21" s="22">
        <v>2500</v>
      </c>
    </row>
    <row r="22" spans="1:9" x14ac:dyDescent="0.3">
      <c r="A22">
        <v>2025</v>
      </c>
      <c r="B22" s="8">
        <v>2</v>
      </c>
      <c r="C22" s="20" t="s">
        <v>105</v>
      </c>
      <c r="D22" s="20" t="s">
        <v>46</v>
      </c>
      <c r="E22" s="22" t="s">
        <v>232</v>
      </c>
      <c r="F22" s="22" t="s">
        <v>232</v>
      </c>
      <c r="G22" s="22" t="s">
        <v>234</v>
      </c>
      <c r="H22" s="23">
        <v>713.53919999999994</v>
      </c>
      <c r="I22" s="22">
        <v>2500</v>
      </c>
    </row>
    <row r="23" spans="1:9" x14ac:dyDescent="0.3">
      <c r="A23">
        <v>2025</v>
      </c>
      <c r="B23" s="8">
        <v>2</v>
      </c>
      <c r="C23" s="20" t="s">
        <v>243</v>
      </c>
      <c r="D23" s="20" t="s">
        <v>34</v>
      </c>
      <c r="E23" s="22" t="s">
        <v>232</v>
      </c>
      <c r="F23" s="22" t="s">
        <v>232</v>
      </c>
      <c r="G23" s="22" t="s">
        <v>234</v>
      </c>
      <c r="H23" s="23">
        <v>2500</v>
      </c>
      <c r="I23" s="22">
        <v>2500</v>
      </c>
    </row>
    <row r="24" spans="1:9" x14ac:dyDescent="0.3">
      <c r="A24">
        <v>2025</v>
      </c>
      <c r="B24" s="8">
        <v>2</v>
      </c>
      <c r="C24" s="20" t="s">
        <v>244</v>
      </c>
      <c r="D24" s="20" t="s">
        <v>4</v>
      </c>
      <c r="E24" s="22" t="s">
        <v>232</v>
      </c>
      <c r="F24" s="22" t="s">
        <v>232</v>
      </c>
      <c r="G24" s="22" t="s">
        <v>234</v>
      </c>
      <c r="H24" s="23">
        <v>4151.9216000000006</v>
      </c>
      <c r="I24" s="22">
        <v>2500</v>
      </c>
    </row>
    <row r="25" spans="1:9" x14ac:dyDescent="0.3">
      <c r="A25">
        <v>2025</v>
      </c>
      <c r="B25" s="8">
        <v>2</v>
      </c>
      <c r="C25" s="20" t="s">
        <v>35</v>
      </c>
      <c r="D25" s="22" t="s">
        <v>69</v>
      </c>
      <c r="E25" s="22" t="s">
        <v>241</v>
      </c>
      <c r="F25" s="22" t="s">
        <v>232</v>
      </c>
      <c r="G25" s="22" t="s">
        <v>234</v>
      </c>
      <c r="H25" s="23">
        <v>2500</v>
      </c>
      <c r="I25" s="22">
        <v>2500</v>
      </c>
    </row>
    <row r="26" spans="1:9" x14ac:dyDescent="0.3">
      <c r="A26">
        <v>2025</v>
      </c>
      <c r="B26" s="8">
        <v>2</v>
      </c>
      <c r="C26" s="20" t="s">
        <v>37</v>
      </c>
      <c r="D26" s="22" t="s">
        <v>246</v>
      </c>
      <c r="E26" s="22" t="s">
        <v>232</v>
      </c>
      <c r="F26" s="22" t="s">
        <v>232</v>
      </c>
      <c r="G26" s="22" t="s">
        <v>234</v>
      </c>
      <c r="H26" s="23">
        <v>2995.3451999999997</v>
      </c>
      <c r="I26" s="22">
        <v>2500</v>
      </c>
    </row>
    <row r="27" spans="1:9" x14ac:dyDescent="0.3">
      <c r="A27">
        <v>2025</v>
      </c>
      <c r="B27" s="8">
        <v>2</v>
      </c>
      <c r="C27" s="20" t="s">
        <v>45</v>
      </c>
      <c r="D27" s="22" t="s">
        <v>249</v>
      </c>
      <c r="E27" s="22" t="s">
        <v>232</v>
      </c>
      <c r="F27" s="22" t="s">
        <v>232</v>
      </c>
      <c r="G27" s="22" t="s">
        <v>234</v>
      </c>
      <c r="H27" s="23">
        <v>2896.7251999999999</v>
      </c>
      <c r="I27" s="22">
        <v>2500</v>
      </c>
    </row>
    <row r="28" spans="1:9" x14ac:dyDescent="0.3">
      <c r="A28">
        <v>2025</v>
      </c>
      <c r="B28" s="8">
        <v>2</v>
      </c>
      <c r="C28" s="20" t="s">
        <v>252</v>
      </c>
      <c r="D28" s="22" t="s">
        <v>22</v>
      </c>
      <c r="E28" s="22" t="s">
        <v>232</v>
      </c>
      <c r="F28" s="22" t="s">
        <v>233</v>
      </c>
      <c r="G28" s="22" t="s">
        <v>234</v>
      </c>
      <c r="H28" s="23">
        <v>2500</v>
      </c>
      <c r="I28" s="22">
        <v>2500</v>
      </c>
    </row>
    <row r="29" spans="1:9" x14ac:dyDescent="0.3">
      <c r="A29">
        <v>2025</v>
      </c>
      <c r="B29" s="8">
        <v>3</v>
      </c>
      <c r="C29" s="20" t="s">
        <v>254</v>
      </c>
      <c r="D29" s="22" t="s">
        <v>75</v>
      </c>
      <c r="E29" s="22" t="s">
        <v>241</v>
      </c>
      <c r="F29" s="22" t="s">
        <v>232</v>
      </c>
      <c r="G29" s="22" t="s">
        <v>234</v>
      </c>
      <c r="H29" s="23">
        <v>-1733.5503999999992</v>
      </c>
      <c r="I29" s="22">
        <v>2500</v>
      </c>
    </row>
    <row r="30" spans="1:9" x14ac:dyDescent="0.3">
      <c r="A30">
        <v>2025</v>
      </c>
      <c r="B30" s="8">
        <v>3</v>
      </c>
      <c r="C30" s="20" t="s">
        <v>80</v>
      </c>
      <c r="D30" s="20" t="s">
        <v>230</v>
      </c>
      <c r="E30" s="22" t="s">
        <v>232</v>
      </c>
      <c r="F30" s="22" t="s">
        <v>232</v>
      </c>
      <c r="G30" s="22" t="s">
        <v>234</v>
      </c>
      <c r="H30" s="23">
        <v>1071.6199999999999</v>
      </c>
      <c r="I30" s="22">
        <v>2500</v>
      </c>
    </row>
    <row r="31" spans="1:9" x14ac:dyDescent="0.3">
      <c r="A31">
        <v>2025</v>
      </c>
      <c r="B31" s="8">
        <v>3</v>
      </c>
      <c r="C31" s="20" t="s">
        <v>80</v>
      </c>
      <c r="D31" s="20" t="s">
        <v>230</v>
      </c>
      <c r="E31" s="22" t="s">
        <v>232</v>
      </c>
      <c r="F31" s="22" t="s">
        <v>233</v>
      </c>
      <c r="G31" s="22" t="s">
        <v>234</v>
      </c>
      <c r="H31" s="23">
        <v>1429.2987999999996</v>
      </c>
      <c r="I31" s="22"/>
    </row>
    <row r="32" spans="1:9" x14ac:dyDescent="0.3">
      <c r="A32">
        <v>2025</v>
      </c>
      <c r="B32" s="8">
        <v>3</v>
      </c>
      <c r="C32" s="20" t="s">
        <v>236</v>
      </c>
      <c r="D32" s="22" t="s">
        <v>34</v>
      </c>
      <c r="E32" s="22" t="s">
        <v>232</v>
      </c>
      <c r="F32" s="22" t="s">
        <v>232</v>
      </c>
      <c r="G32" s="22" t="s">
        <v>234</v>
      </c>
      <c r="H32" s="23">
        <v>2499.1899999999996</v>
      </c>
      <c r="I32" s="22">
        <v>2500</v>
      </c>
    </row>
    <row r="33" spans="1:9" x14ac:dyDescent="0.3">
      <c r="A33">
        <v>2025</v>
      </c>
      <c r="B33" s="8">
        <v>3</v>
      </c>
      <c r="C33" s="20" t="s">
        <v>238</v>
      </c>
      <c r="D33" s="22" t="s">
        <v>20</v>
      </c>
      <c r="E33" s="22" t="s">
        <v>232</v>
      </c>
      <c r="F33" s="22" t="s">
        <v>232</v>
      </c>
      <c r="G33" s="22" t="s">
        <v>234</v>
      </c>
      <c r="H33" s="23">
        <v>2371</v>
      </c>
      <c r="I33" s="22">
        <v>2500</v>
      </c>
    </row>
    <row r="34" spans="1:9" x14ac:dyDescent="0.3">
      <c r="A34">
        <v>2025</v>
      </c>
      <c r="B34" s="8">
        <v>3</v>
      </c>
      <c r="C34" s="20" t="s">
        <v>238</v>
      </c>
      <c r="D34" s="22" t="s">
        <v>20</v>
      </c>
      <c r="E34" s="22" t="s">
        <v>232</v>
      </c>
      <c r="F34" s="22" t="s">
        <v>233</v>
      </c>
      <c r="G34" s="22" t="s">
        <v>234</v>
      </c>
      <c r="H34" s="23">
        <v>1429</v>
      </c>
      <c r="I34" s="22"/>
    </row>
    <row r="35" spans="1:9" x14ac:dyDescent="0.3">
      <c r="A35">
        <v>2025</v>
      </c>
      <c r="B35" s="8">
        <v>3</v>
      </c>
      <c r="C35" s="22" t="s">
        <v>240</v>
      </c>
      <c r="D35" s="20" t="s">
        <v>56</v>
      </c>
      <c r="E35" s="22" t="s">
        <v>241</v>
      </c>
      <c r="F35" s="22" t="s">
        <v>232</v>
      </c>
      <c r="G35" s="22" t="s">
        <v>234</v>
      </c>
      <c r="H35" s="23">
        <v>0</v>
      </c>
      <c r="I35" s="22">
        <v>2500</v>
      </c>
    </row>
    <row r="36" spans="1:9" x14ac:dyDescent="0.3">
      <c r="A36">
        <v>2025</v>
      </c>
      <c r="B36" s="8">
        <v>3</v>
      </c>
      <c r="C36" s="20" t="s">
        <v>256</v>
      </c>
      <c r="D36" s="22" t="s">
        <v>46</v>
      </c>
      <c r="E36" s="22" t="s">
        <v>232</v>
      </c>
      <c r="F36" s="22" t="s">
        <v>232</v>
      </c>
      <c r="G36" s="22" t="s">
        <v>234</v>
      </c>
      <c r="H36" s="23">
        <v>3019.8423999999995</v>
      </c>
      <c r="I36" s="22">
        <v>2500</v>
      </c>
    </row>
    <row r="37" spans="1:9" x14ac:dyDescent="0.3">
      <c r="A37">
        <v>2025</v>
      </c>
      <c r="B37" s="8">
        <v>3</v>
      </c>
      <c r="C37" s="22" t="s">
        <v>258</v>
      </c>
      <c r="D37" s="22" t="s">
        <v>40</v>
      </c>
      <c r="E37" s="22" t="s">
        <v>232</v>
      </c>
      <c r="F37" s="22" t="s">
        <v>232</v>
      </c>
      <c r="G37" s="22" t="s">
        <v>234</v>
      </c>
      <c r="H37" s="23">
        <v>3000</v>
      </c>
      <c r="I37" s="22">
        <v>2500</v>
      </c>
    </row>
    <row r="38" spans="1:9" x14ac:dyDescent="0.3">
      <c r="A38">
        <v>2025</v>
      </c>
      <c r="B38" s="8">
        <v>3</v>
      </c>
      <c r="C38" s="20" t="s">
        <v>264</v>
      </c>
      <c r="D38" s="22" t="s">
        <v>168</v>
      </c>
      <c r="E38" s="22" t="s">
        <v>232</v>
      </c>
      <c r="F38" s="22" t="s">
        <v>232</v>
      </c>
      <c r="G38" s="22" t="s">
        <v>234</v>
      </c>
      <c r="H38" s="23">
        <v>2468</v>
      </c>
      <c r="I38" s="22">
        <v>2500</v>
      </c>
    </row>
    <row r="39" spans="1:9" x14ac:dyDescent="0.3">
      <c r="A39">
        <v>2025</v>
      </c>
      <c r="B39" s="8">
        <v>3</v>
      </c>
      <c r="C39" s="20" t="s">
        <v>260</v>
      </c>
      <c r="D39" s="22" t="s">
        <v>97</v>
      </c>
      <c r="E39" s="22" t="s">
        <v>232</v>
      </c>
      <c r="F39" s="22" t="s">
        <v>232</v>
      </c>
      <c r="G39" s="22" t="s">
        <v>234</v>
      </c>
      <c r="H39" s="23">
        <v>2800</v>
      </c>
      <c r="I39" s="22">
        <v>2500</v>
      </c>
    </row>
    <row r="40" spans="1:9" x14ac:dyDescent="0.3">
      <c r="A40">
        <v>2025</v>
      </c>
      <c r="B40" s="8">
        <v>3</v>
      </c>
      <c r="C40" s="20" t="s">
        <v>72</v>
      </c>
      <c r="D40" s="22" t="s">
        <v>28</v>
      </c>
      <c r="E40" s="22" t="s">
        <v>232</v>
      </c>
      <c r="F40" s="22" t="s">
        <v>232</v>
      </c>
      <c r="G40" s="22" t="s">
        <v>234</v>
      </c>
      <c r="H40" s="23">
        <v>4500</v>
      </c>
      <c r="I40" s="22">
        <v>2500</v>
      </c>
    </row>
    <row r="41" spans="1:9" x14ac:dyDescent="0.3">
      <c r="A41">
        <v>2025</v>
      </c>
      <c r="B41" s="8">
        <v>3</v>
      </c>
      <c r="C41" s="20" t="s">
        <v>243</v>
      </c>
      <c r="D41" s="20" t="s">
        <v>34</v>
      </c>
      <c r="E41" s="22" t="s">
        <v>232</v>
      </c>
      <c r="F41" s="22" t="s">
        <v>232</v>
      </c>
      <c r="G41" s="22" t="s">
        <v>234</v>
      </c>
      <c r="H41" s="23">
        <v>357.15</v>
      </c>
      <c r="I41" s="22">
        <v>2500</v>
      </c>
    </row>
    <row r="42" spans="1:9" x14ac:dyDescent="0.3">
      <c r="A42">
        <v>2025</v>
      </c>
      <c r="B42" s="8">
        <v>3</v>
      </c>
      <c r="C42" s="20" t="s">
        <v>244</v>
      </c>
      <c r="D42" s="20" t="s">
        <v>4</v>
      </c>
      <c r="E42" s="22" t="s">
        <v>232</v>
      </c>
      <c r="F42" s="22" t="s">
        <v>232</v>
      </c>
      <c r="G42" s="22" t="s">
        <v>234</v>
      </c>
      <c r="H42" s="23">
        <v>3654.5425000000005</v>
      </c>
      <c r="I42" s="22">
        <v>2500</v>
      </c>
    </row>
    <row r="43" spans="1:9" x14ac:dyDescent="0.3">
      <c r="A43">
        <v>2025</v>
      </c>
      <c r="B43" s="8">
        <v>3</v>
      </c>
      <c r="C43" s="20" t="s">
        <v>35</v>
      </c>
      <c r="D43" s="22" t="s">
        <v>69</v>
      </c>
      <c r="E43" s="22" t="s">
        <v>241</v>
      </c>
      <c r="F43" s="22" t="s">
        <v>232</v>
      </c>
      <c r="G43" s="22" t="s">
        <v>234</v>
      </c>
      <c r="H43" s="23">
        <v>3000</v>
      </c>
      <c r="I43" s="22">
        <v>2500</v>
      </c>
    </row>
    <row r="44" spans="1:9" x14ac:dyDescent="0.3">
      <c r="A44">
        <v>2025</v>
      </c>
      <c r="B44" s="8">
        <v>3</v>
      </c>
      <c r="C44" s="20" t="s">
        <v>37</v>
      </c>
      <c r="D44" s="22" t="s">
        <v>246</v>
      </c>
      <c r="E44" s="22" t="s">
        <v>232</v>
      </c>
      <c r="F44" s="22" t="s">
        <v>232</v>
      </c>
      <c r="G44" s="22" t="s">
        <v>234</v>
      </c>
      <c r="H44" s="23">
        <v>3558.2585000000008</v>
      </c>
      <c r="I44" s="22">
        <v>2500</v>
      </c>
    </row>
    <row r="45" spans="1:9" x14ac:dyDescent="0.3">
      <c r="A45">
        <v>2025</v>
      </c>
      <c r="B45" s="8">
        <v>3</v>
      </c>
      <c r="C45" s="22" t="s">
        <v>266</v>
      </c>
      <c r="D45" s="20" t="s">
        <v>50</v>
      </c>
      <c r="E45" s="22" t="s">
        <v>232</v>
      </c>
      <c r="F45" s="22" t="s">
        <v>233</v>
      </c>
      <c r="G45" s="22" t="s">
        <v>234</v>
      </c>
      <c r="H45" s="23">
        <v>1320.4815999999996</v>
      </c>
      <c r="I45" s="22">
        <v>2500</v>
      </c>
    </row>
    <row r="46" spans="1:9" x14ac:dyDescent="0.3">
      <c r="A46">
        <v>2025</v>
      </c>
      <c r="B46" s="8">
        <v>3</v>
      </c>
      <c r="C46" s="20" t="s">
        <v>45</v>
      </c>
      <c r="D46" s="22" t="s">
        <v>249</v>
      </c>
      <c r="E46" s="22" t="s">
        <v>232</v>
      </c>
      <c r="F46" s="22" t="s">
        <v>232</v>
      </c>
      <c r="G46" s="22" t="s">
        <v>234</v>
      </c>
      <c r="H46" s="23">
        <v>2799.8492999999989</v>
      </c>
      <c r="I46" s="22">
        <v>2500</v>
      </c>
    </row>
    <row r="47" spans="1:9" x14ac:dyDescent="0.3">
      <c r="A47">
        <v>2025</v>
      </c>
      <c r="B47" s="8">
        <v>3</v>
      </c>
      <c r="C47" s="20" t="s">
        <v>252</v>
      </c>
      <c r="D47" s="22" t="s">
        <v>22</v>
      </c>
      <c r="E47" s="22" t="s">
        <v>232</v>
      </c>
      <c r="F47" s="22" t="s">
        <v>232</v>
      </c>
      <c r="G47" s="22" t="s">
        <v>234</v>
      </c>
      <c r="H47" s="23">
        <v>1071</v>
      </c>
      <c r="I47" s="22">
        <v>2500</v>
      </c>
    </row>
    <row r="48" spans="1:9" x14ac:dyDescent="0.3">
      <c r="A48">
        <v>2025</v>
      </c>
      <c r="B48" s="8">
        <v>3</v>
      </c>
      <c r="C48" s="20" t="s">
        <v>252</v>
      </c>
      <c r="D48" s="22" t="s">
        <v>22</v>
      </c>
      <c r="E48" s="22" t="s">
        <v>232</v>
      </c>
      <c r="F48" s="22" t="s">
        <v>233</v>
      </c>
      <c r="G48" s="22" t="s">
        <v>234</v>
      </c>
      <c r="H48" s="23">
        <v>1429</v>
      </c>
      <c r="I48" s="22"/>
    </row>
    <row r="49" spans="1:9" x14ac:dyDescent="0.3">
      <c r="A49">
        <v>2025</v>
      </c>
      <c r="B49" s="8">
        <v>4</v>
      </c>
      <c r="C49" s="20" t="s">
        <v>80</v>
      </c>
      <c r="D49" s="20" t="s">
        <v>230</v>
      </c>
      <c r="E49" s="22" t="s">
        <v>232</v>
      </c>
      <c r="F49" s="22" t="s">
        <v>233</v>
      </c>
      <c r="G49" s="22" t="s">
        <v>234</v>
      </c>
      <c r="H49" s="23">
        <v>2500</v>
      </c>
      <c r="I49" s="22">
        <v>2500</v>
      </c>
    </row>
    <row r="50" spans="1:9" x14ac:dyDescent="0.3">
      <c r="A50">
        <v>2025</v>
      </c>
      <c r="B50" s="8">
        <v>4</v>
      </c>
      <c r="C50" s="20" t="s">
        <v>236</v>
      </c>
      <c r="D50" s="20" t="s">
        <v>34</v>
      </c>
      <c r="E50" s="22" t="s">
        <v>232</v>
      </c>
      <c r="F50" s="20" t="s">
        <v>232</v>
      </c>
      <c r="G50" s="22" t="s">
        <v>234</v>
      </c>
      <c r="H50" s="23">
        <v>-400</v>
      </c>
      <c r="I50" s="22">
        <v>2500</v>
      </c>
    </row>
    <row r="51" spans="1:9" x14ac:dyDescent="0.3">
      <c r="A51">
        <v>2025</v>
      </c>
      <c r="B51" s="8">
        <v>4</v>
      </c>
      <c r="C51" s="20" t="s">
        <v>238</v>
      </c>
      <c r="D51" s="20" t="s">
        <v>20</v>
      </c>
      <c r="E51" s="22" t="s">
        <v>232</v>
      </c>
      <c r="F51" s="22" t="s">
        <v>233</v>
      </c>
      <c r="G51" s="22" t="s">
        <v>234</v>
      </c>
      <c r="H51" s="23">
        <v>-2500</v>
      </c>
      <c r="I51" s="22">
        <v>2500</v>
      </c>
    </row>
    <row r="52" spans="1:9" x14ac:dyDescent="0.3">
      <c r="A52">
        <v>2025</v>
      </c>
      <c r="B52" s="8">
        <v>4</v>
      </c>
      <c r="C52" s="20" t="s">
        <v>256</v>
      </c>
      <c r="D52" s="20" t="s">
        <v>46</v>
      </c>
      <c r="E52" s="22" t="s">
        <v>232</v>
      </c>
      <c r="F52" s="20" t="s">
        <v>232</v>
      </c>
      <c r="G52" s="22" t="s">
        <v>234</v>
      </c>
      <c r="H52" s="23">
        <v>3000.1000000000004</v>
      </c>
      <c r="I52" s="22">
        <v>2500</v>
      </c>
    </row>
    <row r="53" spans="1:9" x14ac:dyDescent="0.3">
      <c r="A53">
        <v>2025</v>
      </c>
      <c r="B53" s="8">
        <v>4</v>
      </c>
      <c r="C53" s="22" t="s">
        <v>258</v>
      </c>
      <c r="D53" s="20" t="s">
        <v>40</v>
      </c>
      <c r="E53" s="22" t="s">
        <v>232</v>
      </c>
      <c r="F53" s="20" t="s">
        <v>232</v>
      </c>
      <c r="G53" s="22" t="s">
        <v>234</v>
      </c>
      <c r="H53" s="23">
        <v>3000</v>
      </c>
      <c r="I53" s="22">
        <v>2500</v>
      </c>
    </row>
    <row r="54" spans="1:9" x14ac:dyDescent="0.3">
      <c r="A54">
        <v>2025</v>
      </c>
      <c r="B54" s="8">
        <v>4</v>
      </c>
      <c r="C54" s="20" t="s">
        <v>264</v>
      </c>
      <c r="D54" s="20" t="s">
        <v>168</v>
      </c>
      <c r="E54" s="22" t="s">
        <v>232</v>
      </c>
      <c r="F54" s="20" t="s">
        <v>232</v>
      </c>
      <c r="G54" s="22" t="s">
        <v>234</v>
      </c>
      <c r="H54" s="23">
        <v>3000</v>
      </c>
      <c r="I54" s="22">
        <v>2500</v>
      </c>
    </row>
    <row r="55" spans="1:9" x14ac:dyDescent="0.3">
      <c r="A55">
        <v>2025</v>
      </c>
      <c r="B55" s="8">
        <v>4</v>
      </c>
      <c r="C55" s="20" t="s">
        <v>260</v>
      </c>
      <c r="D55" s="22" t="s">
        <v>97</v>
      </c>
      <c r="E55" s="22" t="s">
        <v>232</v>
      </c>
      <c r="F55" s="20" t="s">
        <v>232</v>
      </c>
      <c r="G55" s="22" t="s">
        <v>234</v>
      </c>
      <c r="H55" s="23">
        <v>3000</v>
      </c>
      <c r="I55" s="22">
        <v>2500</v>
      </c>
    </row>
    <row r="56" spans="1:9" x14ac:dyDescent="0.3">
      <c r="A56">
        <v>2025</v>
      </c>
      <c r="B56" s="8">
        <v>4</v>
      </c>
      <c r="C56" s="20" t="s">
        <v>72</v>
      </c>
      <c r="D56" s="20" t="s">
        <v>28</v>
      </c>
      <c r="E56" s="22" t="s">
        <v>232</v>
      </c>
      <c r="F56" s="20" t="s">
        <v>232</v>
      </c>
      <c r="G56" s="22" t="s">
        <v>234</v>
      </c>
      <c r="H56" s="23">
        <v>3000</v>
      </c>
      <c r="I56" s="22">
        <v>2500</v>
      </c>
    </row>
    <row r="57" spans="1:9" x14ac:dyDescent="0.3">
      <c r="A57">
        <v>2025</v>
      </c>
      <c r="B57" s="8">
        <v>4</v>
      </c>
      <c r="C57" s="20" t="s">
        <v>244</v>
      </c>
      <c r="D57" s="20" t="s">
        <v>4</v>
      </c>
      <c r="E57" s="22" t="s">
        <v>232</v>
      </c>
      <c r="F57" s="20" t="s">
        <v>232</v>
      </c>
      <c r="G57" s="22" t="s">
        <v>234</v>
      </c>
      <c r="H57" s="23">
        <v>1660.6000000000004</v>
      </c>
      <c r="I57" s="22">
        <v>2500</v>
      </c>
    </row>
    <row r="58" spans="1:9" x14ac:dyDescent="0.3">
      <c r="A58">
        <v>2025</v>
      </c>
      <c r="B58" s="8">
        <v>4</v>
      </c>
      <c r="C58" s="20" t="s">
        <v>35</v>
      </c>
      <c r="D58" s="20" t="s">
        <v>69</v>
      </c>
      <c r="E58" s="22" t="s">
        <v>241</v>
      </c>
      <c r="F58" s="20" t="s">
        <v>232</v>
      </c>
      <c r="G58" s="22" t="s">
        <v>234</v>
      </c>
      <c r="H58" s="23">
        <v>2500</v>
      </c>
      <c r="I58" s="22">
        <v>2500</v>
      </c>
    </row>
    <row r="59" spans="1:9" x14ac:dyDescent="0.3">
      <c r="A59">
        <v>2025</v>
      </c>
      <c r="B59" s="8">
        <v>4</v>
      </c>
      <c r="C59" s="20" t="s">
        <v>37</v>
      </c>
      <c r="D59" s="20" t="s">
        <v>246</v>
      </c>
      <c r="E59" s="22" t="s">
        <v>232</v>
      </c>
      <c r="F59" s="20" t="s">
        <v>232</v>
      </c>
      <c r="G59" s="22" t="s">
        <v>234</v>
      </c>
      <c r="H59" s="23">
        <v>2883.0999999999985</v>
      </c>
      <c r="I59" s="22">
        <v>2500</v>
      </c>
    </row>
    <row r="60" spans="1:9" x14ac:dyDescent="0.3">
      <c r="A60">
        <v>2025</v>
      </c>
      <c r="B60" s="8">
        <v>4</v>
      </c>
      <c r="C60" s="22" t="s">
        <v>266</v>
      </c>
      <c r="D60" s="20" t="s">
        <v>50</v>
      </c>
      <c r="E60" s="22" t="s">
        <v>232</v>
      </c>
      <c r="F60" s="22" t="s">
        <v>233</v>
      </c>
      <c r="G60" s="22" t="s">
        <v>234</v>
      </c>
      <c r="H60" s="23">
        <v>2500</v>
      </c>
      <c r="I60" s="22">
        <v>2500</v>
      </c>
    </row>
    <row r="61" spans="1:9" x14ac:dyDescent="0.3">
      <c r="A61">
        <v>2025</v>
      </c>
      <c r="B61" s="8">
        <v>4</v>
      </c>
      <c r="C61" s="20" t="s">
        <v>45</v>
      </c>
      <c r="D61" s="20" t="s">
        <v>249</v>
      </c>
      <c r="E61" s="22" t="s">
        <v>232</v>
      </c>
      <c r="F61" s="20" t="s">
        <v>232</v>
      </c>
      <c r="G61" s="22" t="s">
        <v>234</v>
      </c>
      <c r="H61" s="23">
        <v>2615.58</v>
      </c>
      <c r="I61" s="22">
        <v>2500</v>
      </c>
    </row>
    <row r="62" spans="1:9" x14ac:dyDescent="0.3">
      <c r="A62">
        <v>2025</v>
      </c>
      <c r="B62" s="8">
        <v>4</v>
      </c>
      <c r="C62" s="22" t="s">
        <v>271</v>
      </c>
      <c r="D62" s="20" t="s">
        <v>75</v>
      </c>
      <c r="E62" s="22" t="s">
        <v>241</v>
      </c>
      <c r="F62" s="20" t="s">
        <v>232</v>
      </c>
      <c r="G62" s="22" t="s">
        <v>234</v>
      </c>
      <c r="H62" s="23">
        <v>0</v>
      </c>
      <c r="I62" s="22">
        <v>2500</v>
      </c>
    </row>
    <row r="63" spans="1:9" x14ac:dyDescent="0.3">
      <c r="A63">
        <v>2025</v>
      </c>
      <c r="B63" s="8">
        <v>4</v>
      </c>
      <c r="C63" s="20" t="s">
        <v>252</v>
      </c>
      <c r="D63" s="20" t="s">
        <v>22</v>
      </c>
      <c r="E63" s="22" t="s">
        <v>232</v>
      </c>
      <c r="F63" s="22" t="s">
        <v>233</v>
      </c>
      <c r="G63" s="22" t="s">
        <v>234</v>
      </c>
      <c r="H63" s="23">
        <v>2500</v>
      </c>
      <c r="I63" s="22">
        <v>2500</v>
      </c>
    </row>
    <row r="64" spans="1:9" x14ac:dyDescent="0.3">
      <c r="A64">
        <v>2025</v>
      </c>
      <c r="B64" s="8">
        <v>5</v>
      </c>
      <c r="C64" s="20" t="s">
        <v>80</v>
      </c>
      <c r="D64" s="20" t="s">
        <v>230</v>
      </c>
      <c r="E64" s="22" t="s">
        <v>232</v>
      </c>
      <c r="F64" s="22" t="s">
        <v>233</v>
      </c>
      <c r="G64" s="22" t="s">
        <v>234</v>
      </c>
      <c r="H64" s="23">
        <v>2499.3199999999997</v>
      </c>
      <c r="I64" s="22">
        <v>2500</v>
      </c>
    </row>
    <row r="65" spans="1:9" x14ac:dyDescent="0.3">
      <c r="A65">
        <v>2025</v>
      </c>
      <c r="B65" s="8">
        <v>5</v>
      </c>
      <c r="C65" s="20" t="s">
        <v>236</v>
      </c>
      <c r="D65" s="20" t="s">
        <v>34</v>
      </c>
      <c r="E65" s="22" t="s">
        <v>232</v>
      </c>
      <c r="F65" s="22" t="s">
        <v>232</v>
      </c>
      <c r="G65" s="22" t="s">
        <v>234</v>
      </c>
      <c r="H65" s="23">
        <v>0</v>
      </c>
      <c r="I65" s="22">
        <v>2500</v>
      </c>
    </row>
    <row r="66" spans="1:9" x14ac:dyDescent="0.3">
      <c r="A66">
        <v>2025</v>
      </c>
      <c r="B66" s="8">
        <v>5</v>
      </c>
      <c r="C66" s="20" t="s">
        <v>238</v>
      </c>
      <c r="D66" s="20" t="s">
        <v>20</v>
      </c>
      <c r="E66" s="22" t="s">
        <v>232</v>
      </c>
      <c r="F66" s="22" t="s">
        <v>233</v>
      </c>
      <c r="G66" s="22" t="s">
        <v>234</v>
      </c>
      <c r="H66" s="23">
        <v>7500</v>
      </c>
      <c r="I66" s="22">
        <v>2500</v>
      </c>
    </row>
    <row r="67" spans="1:9" x14ac:dyDescent="0.3">
      <c r="A67">
        <v>2025</v>
      </c>
      <c r="B67" s="8">
        <v>5</v>
      </c>
      <c r="C67" s="20" t="s">
        <v>256</v>
      </c>
      <c r="D67" s="20" t="s">
        <v>46</v>
      </c>
      <c r="E67" s="22" t="s">
        <v>232</v>
      </c>
      <c r="F67" s="22" t="s">
        <v>232</v>
      </c>
      <c r="G67" s="22" t="s">
        <v>234</v>
      </c>
      <c r="H67" s="23">
        <v>2344.2199999999984</v>
      </c>
      <c r="I67" s="22">
        <v>2500</v>
      </c>
    </row>
    <row r="68" spans="1:9" x14ac:dyDescent="0.3">
      <c r="A68">
        <v>2025</v>
      </c>
      <c r="B68" s="8">
        <v>5</v>
      </c>
      <c r="C68" s="22" t="s">
        <v>258</v>
      </c>
      <c r="D68" s="20" t="s">
        <v>40</v>
      </c>
      <c r="E68" s="22" t="s">
        <v>232</v>
      </c>
      <c r="F68" s="22" t="s">
        <v>232</v>
      </c>
      <c r="G68" s="22" t="s">
        <v>234</v>
      </c>
      <c r="H68" s="23">
        <v>3000</v>
      </c>
      <c r="I68" s="22">
        <v>2500</v>
      </c>
    </row>
    <row r="69" spans="1:9" x14ac:dyDescent="0.3">
      <c r="A69">
        <v>2025</v>
      </c>
      <c r="B69" s="8">
        <v>5</v>
      </c>
      <c r="C69" s="20" t="s">
        <v>264</v>
      </c>
      <c r="D69" s="20" t="s">
        <v>168</v>
      </c>
      <c r="E69" s="22" t="s">
        <v>232</v>
      </c>
      <c r="F69" s="22" t="s">
        <v>232</v>
      </c>
      <c r="G69" s="22" t="s">
        <v>234</v>
      </c>
      <c r="H69" s="23">
        <v>2535</v>
      </c>
      <c r="I69" s="22">
        <v>2500</v>
      </c>
    </row>
    <row r="70" spans="1:9" x14ac:dyDescent="0.3">
      <c r="A70">
        <v>2025</v>
      </c>
      <c r="B70" s="8">
        <v>5</v>
      </c>
      <c r="C70" s="20" t="s">
        <v>260</v>
      </c>
      <c r="D70" s="22" t="s">
        <v>97</v>
      </c>
      <c r="E70" s="22" t="s">
        <v>232</v>
      </c>
      <c r="F70" s="22" t="s">
        <v>232</v>
      </c>
      <c r="G70" s="22" t="s">
        <v>234</v>
      </c>
      <c r="H70" s="23">
        <v>2264.2857142857138</v>
      </c>
      <c r="I70" s="22">
        <v>2500</v>
      </c>
    </row>
    <row r="71" spans="1:9" x14ac:dyDescent="0.3">
      <c r="A71">
        <v>2025</v>
      </c>
      <c r="B71" s="8">
        <v>5</v>
      </c>
      <c r="C71" s="20" t="s">
        <v>72</v>
      </c>
      <c r="D71" s="20" t="s">
        <v>28</v>
      </c>
      <c r="E71" s="22" t="s">
        <v>232</v>
      </c>
      <c r="F71" s="22" t="s">
        <v>232</v>
      </c>
      <c r="G71" s="22" t="s">
        <v>234</v>
      </c>
      <c r="H71" s="23">
        <v>3000</v>
      </c>
      <c r="I71" s="22">
        <v>2500</v>
      </c>
    </row>
    <row r="72" spans="1:9" x14ac:dyDescent="0.3">
      <c r="A72">
        <v>2025</v>
      </c>
      <c r="B72" s="8">
        <v>5</v>
      </c>
      <c r="C72" s="20" t="s">
        <v>244</v>
      </c>
      <c r="D72" s="20" t="s">
        <v>4</v>
      </c>
      <c r="E72" s="22" t="s">
        <v>232</v>
      </c>
      <c r="F72" s="22" t="s">
        <v>232</v>
      </c>
      <c r="G72" s="22" t="s">
        <v>234</v>
      </c>
      <c r="H72" s="23">
        <v>2920</v>
      </c>
      <c r="I72" s="22">
        <v>2500</v>
      </c>
    </row>
    <row r="73" spans="1:9" x14ac:dyDescent="0.3">
      <c r="A73">
        <v>2025</v>
      </c>
      <c r="B73" s="8">
        <v>5</v>
      </c>
      <c r="C73" s="20" t="s">
        <v>35</v>
      </c>
      <c r="D73" s="20" t="s">
        <v>69</v>
      </c>
      <c r="E73" s="22" t="s">
        <v>241</v>
      </c>
      <c r="F73" s="22" t="s">
        <v>232</v>
      </c>
      <c r="G73" s="22" t="s">
        <v>234</v>
      </c>
      <c r="H73" s="23">
        <v>2472</v>
      </c>
      <c r="I73" s="22">
        <v>2500</v>
      </c>
    </row>
    <row r="74" spans="1:9" x14ac:dyDescent="0.3">
      <c r="A74">
        <v>2025</v>
      </c>
      <c r="B74" s="8">
        <v>5</v>
      </c>
      <c r="C74" s="20" t="s">
        <v>37</v>
      </c>
      <c r="D74" s="20" t="s">
        <v>246</v>
      </c>
      <c r="E74" s="22" t="s">
        <v>232</v>
      </c>
      <c r="F74" s="22" t="s">
        <v>232</v>
      </c>
      <c r="G74" s="22" t="s">
        <v>234</v>
      </c>
      <c r="H74" s="23">
        <v>3000</v>
      </c>
      <c r="I74" s="22">
        <v>2500</v>
      </c>
    </row>
    <row r="75" spans="1:9" x14ac:dyDescent="0.3">
      <c r="A75">
        <v>2025</v>
      </c>
      <c r="B75" s="8">
        <v>5</v>
      </c>
      <c r="C75" s="22" t="s">
        <v>266</v>
      </c>
      <c r="D75" s="20" t="s">
        <v>50</v>
      </c>
      <c r="E75" s="22" t="s">
        <v>232</v>
      </c>
      <c r="F75" s="22" t="s">
        <v>233</v>
      </c>
      <c r="G75" s="22" t="s">
        <v>234</v>
      </c>
      <c r="H75" s="23">
        <v>2666.8200000000006</v>
      </c>
      <c r="I75" s="22">
        <v>2500</v>
      </c>
    </row>
    <row r="76" spans="1:9" x14ac:dyDescent="0.3">
      <c r="A76">
        <v>2025</v>
      </c>
      <c r="B76" s="8">
        <v>5</v>
      </c>
      <c r="C76" s="20" t="s">
        <v>45</v>
      </c>
      <c r="D76" s="20" t="s">
        <v>249</v>
      </c>
      <c r="E76" s="22" t="s">
        <v>232</v>
      </c>
      <c r="F76" s="22" t="s">
        <v>232</v>
      </c>
      <c r="G76" s="22" t="s">
        <v>234</v>
      </c>
      <c r="H76" s="23">
        <v>1186.3999999999996</v>
      </c>
      <c r="I76" s="22">
        <v>2500</v>
      </c>
    </row>
    <row r="77" spans="1:9" x14ac:dyDescent="0.3">
      <c r="A77">
        <v>2025</v>
      </c>
      <c r="B77" s="8">
        <v>5</v>
      </c>
      <c r="C77" s="22" t="s">
        <v>271</v>
      </c>
      <c r="D77" s="20" t="s">
        <v>75</v>
      </c>
      <c r="E77" s="22" t="s">
        <v>241</v>
      </c>
      <c r="F77" s="22" t="s">
        <v>232</v>
      </c>
      <c r="G77" s="22" t="s">
        <v>234</v>
      </c>
      <c r="H77" s="23">
        <v>0</v>
      </c>
      <c r="I77" s="22">
        <v>2500</v>
      </c>
    </row>
    <row r="78" spans="1:9" x14ac:dyDescent="0.3">
      <c r="A78">
        <v>2025</v>
      </c>
      <c r="B78" s="8">
        <v>5</v>
      </c>
      <c r="C78" s="20" t="s">
        <v>252</v>
      </c>
      <c r="D78" s="20" t="s">
        <v>22</v>
      </c>
      <c r="E78" s="22" t="s">
        <v>232</v>
      </c>
      <c r="F78" s="22" t="s">
        <v>233</v>
      </c>
      <c r="G78" s="22" t="s">
        <v>234</v>
      </c>
      <c r="H78" s="23">
        <v>2500</v>
      </c>
      <c r="I78" s="22">
        <v>2500</v>
      </c>
    </row>
    <row r="79" spans="1:9" x14ac:dyDescent="0.3">
      <c r="A79">
        <v>2025</v>
      </c>
      <c r="B79" s="8">
        <v>6</v>
      </c>
      <c r="C79" s="20" t="s">
        <v>80</v>
      </c>
      <c r="D79" s="20" t="s">
        <v>230</v>
      </c>
      <c r="E79" s="22" t="s">
        <v>232</v>
      </c>
      <c r="F79" s="22" t="s">
        <v>233</v>
      </c>
      <c r="G79" s="22" t="s">
        <v>234</v>
      </c>
      <c r="H79" s="23">
        <v>2500</v>
      </c>
      <c r="I79" s="22">
        <v>2500</v>
      </c>
    </row>
    <row r="80" spans="1:9" x14ac:dyDescent="0.3">
      <c r="A80">
        <v>2025</v>
      </c>
      <c r="B80" s="8">
        <v>6</v>
      </c>
      <c r="C80" s="20" t="s">
        <v>238</v>
      </c>
      <c r="D80" s="20" t="s">
        <v>20</v>
      </c>
      <c r="E80" s="22" t="s">
        <v>232</v>
      </c>
      <c r="F80" s="22" t="s">
        <v>233</v>
      </c>
      <c r="G80" s="22" t="s">
        <v>234</v>
      </c>
      <c r="H80" s="23">
        <v>2500</v>
      </c>
      <c r="I80" s="22">
        <v>2500</v>
      </c>
    </row>
    <row r="81" spans="1:9" x14ac:dyDescent="0.3">
      <c r="A81">
        <v>2025</v>
      </c>
      <c r="B81" s="8">
        <v>6</v>
      </c>
      <c r="C81" s="20" t="s">
        <v>256</v>
      </c>
      <c r="D81" s="20" t="s">
        <v>46</v>
      </c>
      <c r="E81" s="22" t="s">
        <v>232</v>
      </c>
      <c r="F81" s="22" t="s">
        <v>232</v>
      </c>
      <c r="G81" s="22" t="s">
        <v>234</v>
      </c>
      <c r="H81" s="23">
        <v>1573.1400000000012</v>
      </c>
      <c r="I81" s="22">
        <v>2500</v>
      </c>
    </row>
    <row r="82" spans="1:9" x14ac:dyDescent="0.3">
      <c r="A82">
        <v>2025</v>
      </c>
      <c r="B82" s="8">
        <v>6</v>
      </c>
      <c r="C82" s="22" t="s">
        <v>258</v>
      </c>
      <c r="D82" s="20" t="s">
        <v>40</v>
      </c>
      <c r="E82" s="22" t="s">
        <v>232</v>
      </c>
      <c r="F82" s="22" t="s">
        <v>232</v>
      </c>
      <c r="G82" s="22" t="s">
        <v>234</v>
      </c>
      <c r="H82" s="23">
        <v>2843</v>
      </c>
      <c r="I82" s="22">
        <v>2500</v>
      </c>
    </row>
    <row r="83" spans="1:9" x14ac:dyDescent="0.3">
      <c r="A83">
        <v>2025</v>
      </c>
      <c r="B83" s="8">
        <v>6</v>
      </c>
      <c r="C83" s="20" t="s">
        <v>264</v>
      </c>
      <c r="D83" s="20" t="s">
        <v>168</v>
      </c>
      <c r="E83" s="22" t="s">
        <v>232</v>
      </c>
      <c r="F83" s="22" t="s">
        <v>232</v>
      </c>
      <c r="G83" s="22" t="s">
        <v>234</v>
      </c>
      <c r="H83" s="23">
        <v>2961.5599999999995</v>
      </c>
      <c r="I83" s="22">
        <v>2500</v>
      </c>
    </row>
    <row r="84" spans="1:9" x14ac:dyDescent="0.3">
      <c r="A84">
        <v>2025</v>
      </c>
      <c r="B84" s="8">
        <v>6</v>
      </c>
      <c r="C84" s="20" t="s">
        <v>260</v>
      </c>
      <c r="D84" s="22" t="s">
        <v>97</v>
      </c>
      <c r="E84" s="22" t="s">
        <v>232</v>
      </c>
      <c r="F84" s="22" t="s">
        <v>232</v>
      </c>
      <c r="G84" s="22" t="s">
        <v>234</v>
      </c>
      <c r="H84" s="23">
        <v>3000</v>
      </c>
      <c r="I84" s="22">
        <v>2500</v>
      </c>
    </row>
    <row r="85" spans="1:9" x14ac:dyDescent="0.3">
      <c r="A85">
        <v>2025</v>
      </c>
      <c r="B85" s="8">
        <v>6</v>
      </c>
      <c r="C85" s="20" t="s">
        <v>72</v>
      </c>
      <c r="D85" s="20" t="s">
        <v>28</v>
      </c>
      <c r="E85" s="22" t="s">
        <v>232</v>
      </c>
      <c r="F85" s="22" t="s">
        <v>232</v>
      </c>
      <c r="G85" s="22" t="s">
        <v>234</v>
      </c>
      <c r="H85" s="23">
        <v>3065</v>
      </c>
      <c r="I85" s="22">
        <v>2500</v>
      </c>
    </row>
    <row r="86" spans="1:9" x14ac:dyDescent="0.3">
      <c r="A86">
        <v>2025</v>
      </c>
      <c r="B86" s="8">
        <v>6</v>
      </c>
      <c r="C86" s="20" t="s">
        <v>244</v>
      </c>
      <c r="D86" s="20" t="s">
        <v>4</v>
      </c>
      <c r="E86" s="22" t="s">
        <v>232</v>
      </c>
      <c r="F86" s="22" t="s">
        <v>232</v>
      </c>
      <c r="G86" s="22" t="s">
        <v>234</v>
      </c>
      <c r="H86" s="23">
        <v>2499.9799999999996</v>
      </c>
      <c r="I86" s="22">
        <v>2500</v>
      </c>
    </row>
    <row r="87" spans="1:9" x14ac:dyDescent="0.3">
      <c r="A87">
        <v>2025</v>
      </c>
      <c r="B87" s="8">
        <v>6</v>
      </c>
      <c r="C87" s="20" t="s">
        <v>35</v>
      </c>
      <c r="D87" s="20" t="s">
        <v>69</v>
      </c>
      <c r="E87" s="22" t="s">
        <v>241</v>
      </c>
      <c r="F87" s="22" t="s">
        <v>232</v>
      </c>
      <c r="G87" s="22" t="s">
        <v>234</v>
      </c>
      <c r="H87" s="23">
        <v>2491</v>
      </c>
      <c r="I87" s="22">
        <v>2500</v>
      </c>
    </row>
    <row r="88" spans="1:9" x14ac:dyDescent="0.3">
      <c r="A88">
        <v>2025</v>
      </c>
      <c r="B88" s="8">
        <v>6</v>
      </c>
      <c r="C88" s="20" t="s">
        <v>37</v>
      </c>
      <c r="D88" s="20" t="s">
        <v>246</v>
      </c>
      <c r="E88" s="22" t="s">
        <v>232</v>
      </c>
      <c r="F88" s="22" t="s">
        <v>232</v>
      </c>
      <c r="G88" s="22" t="s">
        <v>234</v>
      </c>
      <c r="H88" s="23">
        <v>2822.2114285714279</v>
      </c>
      <c r="I88" s="22">
        <v>2500</v>
      </c>
    </row>
    <row r="89" spans="1:9" x14ac:dyDescent="0.3">
      <c r="A89">
        <v>2025</v>
      </c>
      <c r="B89" s="8">
        <v>6</v>
      </c>
      <c r="C89" s="22" t="s">
        <v>266</v>
      </c>
      <c r="D89" s="20" t="s">
        <v>50</v>
      </c>
      <c r="E89" s="22" t="s">
        <v>232</v>
      </c>
      <c r="F89" s="22" t="s">
        <v>233</v>
      </c>
      <c r="G89" s="22" t="s">
        <v>234</v>
      </c>
      <c r="H89" s="23">
        <v>5199.04</v>
      </c>
      <c r="I89" s="22">
        <v>2500</v>
      </c>
    </row>
    <row r="90" spans="1:9" x14ac:dyDescent="0.3">
      <c r="A90">
        <v>2025</v>
      </c>
      <c r="B90" s="8">
        <v>6</v>
      </c>
      <c r="C90" s="20" t="s">
        <v>281</v>
      </c>
      <c r="D90" s="20" t="s">
        <v>34</v>
      </c>
      <c r="E90" s="22" t="s">
        <v>232</v>
      </c>
      <c r="F90" s="22" t="s">
        <v>232</v>
      </c>
      <c r="G90" s="22" t="s">
        <v>234</v>
      </c>
      <c r="H90" s="23">
        <v>1065.7057142857138</v>
      </c>
      <c r="I90" s="22">
        <v>2500</v>
      </c>
    </row>
    <row r="91" spans="1:9" x14ac:dyDescent="0.3">
      <c r="A91">
        <v>2025</v>
      </c>
      <c r="B91" s="8">
        <v>6</v>
      </c>
      <c r="C91" s="20" t="s">
        <v>45</v>
      </c>
      <c r="D91" s="20" t="s">
        <v>249</v>
      </c>
      <c r="E91" s="22" t="s">
        <v>232</v>
      </c>
      <c r="F91" s="22" t="s">
        <v>232</v>
      </c>
      <c r="G91" s="22" t="s">
        <v>234</v>
      </c>
      <c r="H91" s="23">
        <v>2800</v>
      </c>
      <c r="I91" s="22">
        <v>2500</v>
      </c>
    </row>
    <row r="92" spans="1:9" x14ac:dyDescent="0.3">
      <c r="A92">
        <v>2025</v>
      </c>
      <c r="B92" s="8">
        <v>6</v>
      </c>
      <c r="C92" s="29" t="s">
        <v>282</v>
      </c>
      <c r="D92" s="20" t="s">
        <v>75</v>
      </c>
      <c r="E92" s="22" t="s">
        <v>241</v>
      </c>
      <c r="F92" s="22" t="s">
        <v>232</v>
      </c>
      <c r="G92" s="22" t="s">
        <v>234</v>
      </c>
      <c r="H92" s="23">
        <v>-96.894285714285616</v>
      </c>
      <c r="I92" s="22">
        <v>2500</v>
      </c>
    </row>
    <row r="93" spans="1:9" x14ac:dyDescent="0.3">
      <c r="A93">
        <v>2025</v>
      </c>
      <c r="B93" s="8">
        <v>6</v>
      </c>
      <c r="C93" s="20" t="s">
        <v>252</v>
      </c>
      <c r="D93" s="20" t="s">
        <v>22</v>
      </c>
      <c r="E93" s="22" t="s">
        <v>232</v>
      </c>
      <c r="F93" s="22" t="s">
        <v>233</v>
      </c>
      <c r="G93" s="22" t="s">
        <v>234</v>
      </c>
      <c r="H93" s="23">
        <v>2500</v>
      </c>
      <c r="I93" s="22">
        <v>2500</v>
      </c>
    </row>
    <row r="94" spans="1:9" x14ac:dyDescent="0.3">
      <c r="A94">
        <v>2025</v>
      </c>
      <c r="B94" s="8">
        <v>7</v>
      </c>
      <c r="C94" s="20" t="s">
        <v>80</v>
      </c>
      <c r="D94" s="20" t="s">
        <v>230</v>
      </c>
      <c r="E94" s="22" t="s">
        <v>232</v>
      </c>
      <c r="F94" s="20" t="s">
        <v>233</v>
      </c>
      <c r="G94" s="22" t="s">
        <v>234</v>
      </c>
      <c r="H94" s="23">
        <v>0</v>
      </c>
      <c r="I94" s="22">
        <v>2500</v>
      </c>
    </row>
    <row r="95" spans="1:9" x14ac:dyDescent="0.3">
      <c r="A95">
        <v>2025</v>
      </c>
      <c r="B95" s="8">
        <v>7</v>
      </c>
      <c r="C95" s="20" t="s">
        <v>238</v>
      </c>
      <c r="D95" s="20" t="s">
        <v>20</v>
      </c>
      <c r="E95" s="22" t="s">
        <v>232</v>
      </c>
      <c r="F95" s="20" t="s">
        <v>233</v>
      </c>
      <c r="G95" s="22" t="s">
        <v>234</v>
      </c>
      <c r="H95" s="23">
        <v>2500</v>
      </c>
      <c r="I95" s="22">
        <v>2500</v>
      </c>
    </row>
    <row r="96" spans="1:9" x14ac:dyDescent="0.3">
      <c r="A96">
        <v>2025</v>
      </c>
      <c r="B96" s="8">
        <v>7</v>
      </c>
      <c r="C96" s="20" t="s">
        <v>256</v>
      </c>
      <c r="D96" s="20" t="s">
        <v>46</v>
      </c>
      <c r="E96" s="22" t="s">
        <v>232</v>
      </c>
      <c r="F96" s="20" t="s">
        <v>232</v>
      </c>
      <c r="G96" s="22" t="s">
        <v>234</v>
      </c>
      <c r="H96" s="23">
        <v>-138.17999999999984</v>
      </c>
      <c r="I96" s="22">
        <v>2500</v>
      </c>
    </row>
    <row r="97" spans="1:9" x14ac:dyDescent="0.3">
      <c r="A97">
        <v>2025</v>
      </c>
      <c r="B97" s="8">
        <v>7</v>
      </c>
      <c r="C97" s="20" t="s">
        <v>258</v>
      </c>
      <c r="D97" s="20" t="s">
        <v>40</v>
      </c>
      <c r="E97" s="22" t="s">
        <v>232</v>
      </c>
      <c r="F97" s="20" t="s">
        <v>232</v>
      </c>
      <c r="G97" s="22" t="s">
        <v>234</v>
      </c>
      <c r="H97" s="23">
        <v>96</v>
      </c>
      <c r="I97" s="22">
        <v>2500</v>
      </c>
    </row>
    <row r="98" spans="1:9" x14ac:dyDescent="0.3">
      <c r="A98">
        <v>2025</v>
      </c>
      <c r="B98" s="8">
        <v>7</v>
      </c>
      <c r="C98" s="20" t="s">
        <v>264</v>
      </c>
      <c r="D98" s="20" t="s">
        <v>168</v>
      </c>
      <c r="E98" s="22" t="s">
        <v>232</v>
      </c>
      <c r="F98" s="20" t="s">
        <v>232</v>
      </c>
      <c r="G98" s="22" t="s">
        <v>234</v>
      </c>
      <c r="H98" s="23">
        <v>0</v>
      </c>
      <c r="I98" s="22">
        <v>2500</v>
      </c>
    </row>
    <row r="99" spans="1:9" x14ac:dyDescent="0.3">
      <c r="A99">
        <v>2025</v>
      </c>
      <c r="B99" s="8">
        <v>7</v>
      </c>
      <c r="C99" s="20" t="s">
        <v>260</v>
      </c>
      <c r="D99" s="22" t="s">
        <v>97</v>
      </c>
      <c r="E99" s="22" t="s">
        <v>232</v>
      </c>
      <c r="F99" s="20" t="s">
        <v>232</v>
      </c>
      <c r="G99" s="22" t="s">
        <v>234</v>
      </c>
      <c r="H99" s="23">
        <v>356</v>
      </c>
      <c r="I99" s="22">
        <v>2500</v>
      </c>
    </row>
    <row r="100" spans="1:9" x14ac:dyDescent="0.3">
      <c r="A100">
        <v>2025</v>
      </c>
      <c r="B100" s="8">
        <v>7</v>
      </c>
      <c r="C100" s="20" t="s">
        <v>72</v>
      </c>
      <c r="D100" s="20" t="s">
        <v>28</v>
      </c>
      <c r="E100" s="22" t="s">
        <v>232</v>
      </c>
      <c r="F100" s="20" t="s">
        <v>232</v>
      </c>
      <c r="G100" s="22" t="s">
        <v>234</v>
      </c>
      <c r="H100" s="23">
        <v>1085</v>
      </c>
      <c r="I100" s="22">
        <v>2500</v>
      </c>
    </row>
    <row r="101" spans="1:9" x14ac:dyDescent="0.3">
      <c r="A101">
        <v>2025</v>
      </c>
      <c r="B101" s="8">
        <v>7</v>
      </c>
      <c r="C101" s="20" t="s">
        <v>244</v>
      </c>
      <c r="D101" s="20" t="s">
        <v>4</v>
      </c>
      <c r="E101" s="22" t="s">
        <v>232</v>
      </c>
      <c r="F101" s="20" t="s">
        <v>232</v>
      </c>
      <c r="G101" s="22" t="s">
        <v>234</v>
      </c>
      <c r="H101" s="23">
        <v>45</v>
      </c>
      <c r="I101" s="22">
        <v>2500</v>
      </c>
    </row>
    <row r="102" spans="1:9" x14ac:dyDescent="0.3">
      <c r="A102">
        <v>2025</v>
      </c>
      <c r="B102" s="8">
        <v>7</v>
      </c>
      <c r="C102" s="20" t="s">
        <v>35</v>
      </c>
      <c r="D102" s="20" t="s">
        <v>69</v>
      </c>
      <c r="E102" s="22" t="s">
        <v>241</v>
      </c>
      <c r="F102" s="20" t="s">
        <v>232</v>
      </c>
      <c r="G102" s="22" t="s">
        <v>234</v>
      </c>
      <c r="H102" s="23">
        <v>20</v>
      </c>
      <c r="I102" s="22">
        <v>2500</v>
      </c>
    </row>
    <row r="103" spans="1:9" x14ac:dyDescent="0.3">
      <c r="A103">
        <v>2025</v>
      </c>
      <c r="B103" s="8">
        <v>7</v>
      </c>
      <c r="C103" s="20" t="s">
        <v>37</v>
      </c>
      <c r="D103" s="20" t="s">
        <v>246</v>
      </c>
      <c r="E103" s="22" t="s">
        <v>232</v>
      </c>
      <c r="F103" s="20" t="s">
        <v>232</v>
      </c>
      <c r="G103" s="22" t="s">
        <v>234</v>
      </c>
      <c r="H103" s="23">
        <v>2826.2800000000007</v>
      </c>
      <c r="I103" s="22">
        <v>2500</v>
      </c>
    </row>
    <row r="104" spans="1:9" x14ac:dyDescent="0.3">
      <c r="A104">
        <v>2025</v>
      </c>
      <c r="B104" s="8">
        <v>7</v>
      </c>
      <c r="C104" s="20" t="s">
        <v>266</v>
      </c>
      <c r="D104" s="20" t="s">
        <v>50</v>
      </c>
      <c r="E104" s="22" t="s">
        <v>232</v>
      </c>
      <c r="F104" s="20" t="s">
        <v>233</v>
      </c>
      <c r="G104" s="22" t="s">
        <v>234</v>
      </c>
      <c r="H104" s="23">
        <v>0</v>
      </c>
      <c r="I104" s="22">
        <v>2500</v>
      </c>
    </row>
    <row r="105" spans="1:9" x14ac:dyDescent="0.3">
      <c r="A105">
        <v>2025</v>
      </c>
      <c r="B105" s="8">
        <v>7</v>
      </c>
      <c r="C105" s="20" t="s">
        <v>281</v>
      </c>
      <c r="D105" s="20" t="s">
        <v>34</v>
      </c>
      <c r="E105" s="22" t="s">
        <v>232</v>
      </c>
      <c r="F105" s="20" t="s">
        <v>232</v>
      </c>
      <c r="G105" s="22" t="s">
        <v>234</v>
      </c>
      <c r="H105" s="23">
        <v>693.75999999999931</v>
      </c>
      <c r="I105" s="22">
        <v>2500</v>
      </c>
    </row>
    <row r="106" spans="1:9" x14ac:dyDescent="0.3">
      <c r="A106">
        <v>2025</v>
      </c>
      <c r="B106" s="8">
        <v>7</v>
      </c>
      <c r="C106" s="20" t="s">
        <v>45</v>
      </c>
      <c r="D106" s="20" t="s">
        <v>249</v>
      </c>
      <c r="E106" s="22" t="s">
        <v>232</v>
      </c>
      <c r="F106" s="20" t="s">
        <v>232</v>
      </c>
      <c r="G106" s="22" t="s">
        <v>234</v>
      </c>
      <c r="H106" s="23">
        <v>567</v>
      </c>
      <c r="I106" s="22">
        <v>2500</v>
      </c>
    </row>
    <row r="107" spans="1:9" x14ac:dyDescent="0.3">
      <c r="A107">
        <v>2025</v>
      </c>
      <c r="B107" s="8">
        <v>7</v>
      </c>
      <c r="C107" s="20" t="s">
        <v>282</v>
      </c>
      <c r="D107" s="20" t="s">
        <v>75</v>
      </c>
      <c r="E107" s="22" t="s">
        <v>241</v>
      </c>
      <c r="F107" s="20" t="s">
        <v>232</v>
      </c>
      <c r="G107" s="22" t="s">
        <v>234</v>
      </c>
      <c r="H107" s="23">
        <v>619.69999999999982</v>
      </c>
      <c r="I107" s="22">
        <v>2500</v>
      </c>
    </row>
    <row r="108" spans="1:9" x14ac:dyDescent="0.3">
      <c r="A108">
        <v>2025</v>
      </c>
      <c r="B108" s="8">
        <v>7</v>
      </c>
      <c r="C108" s="20" t="s">
        <v>252</v>
      </c>
      <c r="D108" s="20" t="s">
        <v>22</v>
      </c>
      <c r="E108" s="22" t="s">
        <v>232</v>
      </c>
      <c r="F108" s="20" t="s">
        <v>233</v>
      </c>
      <c r="G108" s="22" t="s">
        <v>234</v>
      </c>
      <c r="H108" s="23">
        <v>0</v>
      </c>
      <c r="I108" s="22">
        <v>2500</v>
      </c>
    </row>
    <row r="109" spans="1:9" x14ac:dyDescent="0.3">
      <c r="A109">
        <v>2025</v>
      </c>
      <c r="B109" s="8">
        <v>8</v>
      </c>
      <c r="C109" s="20" t="s">
        <v>80</v>
      </c>
      <c r="D109" s="20" t="s">
        <v>230</v>
      </c>
      <c r="E109" s="22" t="s">
        <v>232</v>
      </c>
      <c r="F109" s="20" t="s">
        <v>233</v>
      </c>
      <c r="G109" s="22" t="s">
        <v>234</v>
      </c>
      <c r="H109" s="23">
        <v>0</v>
      </c>
      <c r="I109" s="22">
        <v>2500</v>
      </c>
    </row>
    <row r="110" spans="1:9" x14ac:dyDescent="0.3">
      <c r="A110">
        <v>2025</v>
      </c>
      <c r="B110" s="8">
        <v>8</v>
      </c>
      <c r="C110" s="20" t="s">
        <v>238</v>
      </c>
      <c r="D110" s="20" t="s">
        <v>20</v>
      </c>
      <c r="E110" s="22" t="s">
        <v>232</v>
      </c>
      <c r="F110" s="20" t="s">
        <v>233</v>
      </c>
      <c r="G110" s="22" t="s">
        <v>234</v>
      </c>
      <c r="H110" s="23">
        <v>-554.47999999999968</v>
      </c>
      <c r="I110" s="22">
        <v>2500</v>
      </c>
    </row>
    <row r="111" spans="1:9" x14ac:dyDescent="0.3">
      <c r="A111">
        <v>2025</v>
      </c>
      <c r="B111" s="8">
        <v>8</v>
      </c>
      <c r="C111" s="20" t="s">
        <v>23</v>
      </c>
      <c r="D111" s="20" t="s">
        <v>75</v>
      </c>
      <c r="E111" s="22" t="s">
        <v>241</v>
      </c>
      <c r="F111" s="20" t="s">
        <v>232</v>
      </c>
      <c r="G111" s="22" t="s">
        <v>234</v>
      </c>
      <c r="H111" s="23">
        <v>1186.282900213736</v>
      </c>
      <c r="I111" s="22">
        <v>2500</v>
      </c>
    </row>
    <row r="112" spans="1:9" x14ac:dyDescent="0.3">
      <c r="A112">
        <v>2025</v>
      </c>
      <c r="B112" s="8">
        <v>8</v>
      </c>
      <c r="C112" s="20" t="s">
        <v>256</v>
      </c>
      <c r="D112" s="20" t="s">
        <v>46</v>
      </c>
      <c r="E112" s="22" t="s">
        <v>232</v>
      </c>
      <c r="F112" s="20" t="s">
        <v>232</v>
      </c>
      <c r="G112" s="22" t="s">
        <v>234</v>
      </c>
      <c r="H112" s="23">
        <v>0</v>
      </c>
      <c r="I112" s="22">
        <v>2500</v>
      </c>
    </row>
    <row r="113" spans="1:9" x14ac:dyDescent="0.3">
      <c r="A113">
        <v>2025</v>
      </c>
      <c r="B113" s="8">
        <v>8</v>
      </c>
      <c r="C113" s="20" t="s">
        <v>258</v>
      </c>
      <c r="D113" s="20" t="s">
        <v>40</v>
      </c>
      <c r="E113" s="22" t="s">
        <v>232</v>
      </c>
      <c r="F113" s="20" t="s">
        <v>232</v>
      </c>
      <c r="G113" s="22" t="s">
        <v>234</v>
      </c>
      <c r="H113" s="23">
        <v>-500</v>
      </c>
      <c r="I113" s="22">
        <v>2500</v>
      </c>
    </row>
    <row r="114" spans="1:9" x14ac:dyDescent="0.3">
      <c r="A114">
        <v>2025</v>
      </c>
      <c r="B114" s="8">
        <v>8</v>
      </c>
      <c r="C114" s="20" t="s">
        <v>264</v>
      </c>
      <c r="D114" s="20" t="s">
        <v>50</v>
      </c>
      <c r="E114" s="22" t="s">
        <v>232</v>
      </c>
      <c r="F114" s="20" t="s">
        <v>232</v>
      </c>
      <c r="G114" s="22" t="s">
        <v>234</v>
      </c>
      <c r="H114" s="23">
        <v>1114.8385165633688</v>
      </c>
      <c r="I114" s="22">
        <v>2500</v>
      </c>
    </row>
    <row r="115" spans="1:9" x14ac:dyDescent="0.3">
      <c r="A115">
        <v>2025</v>
      </c>
      <c r="B115" s="8">
        <v>8</v>
      </c>
      <c r="C115" s="20" t="s">
        <v>260</v>
      </c>
      <c r="D115" s="20" t="s">
        <v>54</v>
      </c>
      <c r="E115" s="22" t="s">
        <v>232</v>
      </c>
      <c r="F115" s="20" t="s">
        <v>232</v>
      </c>
      <c r="G115" s="22" t="s">
        <v>234</v>
      </c>
      <c r="H115" s="23">
        <v>189.13</v>
      </c>
      <c r="I115" s="22">
        <v>2500</v>
      </c>
    </row>
    <row r="116" spans="1:9" x14ac:dyDescent="0.3">
      <c r="A116">
        <v>2025</v>
      </c>
      <c r="B116" s="8">
        <v>8</v>
      </c>
      <c r="C116" s="20" t="s">
        <v>72</v>
      </c>
      <c r="D116" s="20" t="s">
        <v>28</v>
      </c>
      <c r="E116" s="22" t="s">
        <v>232</v>
      </c>
      <c r="F116" s="20" t="s">
        <v>232</v>
      </c>
      <c r="G116" s="22" t="s">
        <v>234</v>
      </c>
      <c r="H116" s="23">
        <v>3500</v>
      </c>
      <c r="I116" s="22">
        <v>2500</v>
      </c>
    </row>
    <row r="117" spans="1:9" x14ac:dyDescent="0.3">
      <c r="A117">
        <v>2025</v>
      </c>
      <c r="B117" s="8">
        <v>8</v>
      </c>
      <c r="C117" s="20" t="s">
        <v>105</v>
      </c>
      <c r="D117" s="20" t="s">
        <v>46</v>
      </c>
      <c r="E117" s="22" t="s">
        <v>232</v>
      </c>
      <c r="F117" s="20" t="s">
        <v>232</v>
      </c>
      <c r="G117" s="22" t="s">
        <v>234</v>
      </c>
      <c r="H117" s="23">
        <v>400</v>
      </c>
      <c r="I117" s="22">
        <v>2500</v>
      </c>
    </row>
    <row r="118" spans="1:9" x14ac:dyDescent="0.3">
      <c r="A118">
        <v>2025</v>
      </c>
      <c r="B118" s="8">
        <v>8</v>
      </c>
      <c r="C118" s="20" t="s">
        <v>244</v>
      </c>
      <c r="D118" s="20" t="s">
        <v>4</v>
      </c>
      <c r="E118" s="22" t="s">
        <v>232</v>
      </c>
      <c r="F118" s="20" t="s">
        <v>232</v>
      </c>
      <c r="G118" s="22" t="s">
        <v>234</v>
      </c>
      <c r="H118" s="23">
        <v>2500</v>
      </c>
      <c r="I118" s="22">
        <v>2500</v>
      </c>
    </row>
    <row r="119" spans="1:9" x14ac:dyDescent="0.3">
      <c r="A119">
        <v>2025</v>
      </c>
      <c r="B119" s="8">
        <v>8</v>
      </c>
      <c r="C119" s="20" t="s">
        <v>35</v>
      </c>
      <c r="D119" s="20" t="s">
        <v>34</v>
      </c>
      <c r="E119" s="22" t="s">
        <v>232</v>
      </c>
      <c r="F119" s="20" t="s">
        <v>232</v>
      </c>
      <c r="G119" s="22" t="s">
        <v>234</v>
      </c>
      <c r="H119" s="23">
        <v>2127.8571428571431</v>
      </c>
      <c r="I119" s="22">
        <v>2500</v>
      </c>
    </row>
    <row r="120" spans="1:9" x14ac:dyDescent="0.3">
      <c r="A120">
        <v>2025</v>
      </c>
      <c r="B120" s="8">
        <v>8</v>
      </c>
      <c r="C120" s="20" t="s">
        <v>37</v>
      </c>
      <c r="D120" s="20" t="s">
        <v>246</v>
      </c>
      <c r="E120" s="22" t="s">
        <v>232</v>
      </c>
      <c r="F120" s="20" t="s">
        <v>232</v>
      </c>
      <c r="G120" s="22" t="s">
        <v>234</v>
      </c>
      <c r="H120" s="23">
        <v>2500</v>
      </c>
      <c r="I120" s="22">
        <v>2500</v>
      </c>
    </row>
    <row r="121" spans="1:9" x14ac:dyDescent="0.3">
      <c r="A121">
        <v>2025</v>
      </c>
      <c r="B121" s="8">
        <v>8</v>
      </c>
      <c r="C121" s="20" t="s">
        <v>286</v>
      </c>
      <c r="D121" s="20" t="s">
        <v>40</v>
      </c>
      <c r="E121" s="22" t="s">
        <v>232</v>
      </c>
      <c r="F121" s="20" t="s">
        <v>232</v>
      </c>
      <c r="G121" s="22" t="s">
        <v>234</v>
      </c>
      <c r="H121" s="23">
        <v>2142.8571428571431</v>
      </c>
      <c r="I121" s="22">
        <v>2500</v>
      </c>
    </row>
    <row r="122" spans="1:9" x14ac:dyDescent="0.3">
      <c r="A122">
        <v>2025</v>
      </c>
      <c r="B122" s="8">
        <v>8</v>
      </c>
      <c r="C122" s="20" t="s">
        <v>45</v>
      </c>
      <c r="D122" s="20" t="s">
        <v>249</v>
      </c>
      <c r="E122" s="22" t="s">
        <v>232</v>
      </c>
      <c r="F122" s="20" t="s">
        <v>232</v>
      </c>
      <c r="G122" s="22" t="s">
        <v>234</v>
      </c>
      <c r="H122" s="23">
        <v>2557</v>
      </c>
      <c r="I122" s="22">
        <v>2500</v>
      </c>
    </row>
    <row r="123" spans="1:9" x14ac:dyDescent="0.3">
      <c r="A123">
        <v>2025</v>
      </c>
      <c r="B123" s="8">
        <v>8</v>
      </c>
      <c r="C123" s="20" t="s">
        <v>252</v>
      </c>
      <c r="D123" s="20" t="s">
        <v>22</v>
      </c>
      <c r="E123" s="22" t="s">
        <v>232</v>
      </c>
      <c r="F123" s="20" t="s">
        <v>233</v>
      </c>
      <c r="G123" s="22" t="s">
        <v>234</v>
      </c>
      <c r="H123" s="23">
        <v>357.14285714285717</v>
      </c>
      <c r="I123" s="22">
        <v>2500</v>
      </c>
    </row>
    <row r="124" spans="1:9" x14ac:dyDescent="0.3">
      <c r="A124">
        <v>2025</v>
      </c>
      <c r="B124" s="8">
        <v>8</v>
      </c>
      <c r="C124" s="20" t="s">
        <v>252</v>
      </c>
      <c r="D124" s="20" t="s">
        <v>22</v>
      </c>
      <c r="E124" s="22" t="s">
        <v>232</v>
      </c>
      <c r="F124" s="20" t="s">
        <v>233</v>
      </c>
      <c r="G124" s="22" t="s">
        <v>234</v>
      </c>
      <c r="H124" s="23">
        <v>0</v>
      </c>
      <c r="I124" s="22"/>
    </row>
    <row r="125" spans="1:9" x14ac:dyDescent="0.3">
      <c r="A125">
        <v>2025</v>
      </c>
      <c r="B125" s="8">
        <v>9</v>
      </c>
      <c r="C125" s="20" t="s">
        <v>80</v>
      </c>
      <c r="D125" s="20" t="s">
        <v>230</v>
      </c>
      <c r="E125" s="22" t="s">
        <v>232</v>
      </c>
      <c r="F125" s="20" t="s">
        <v>233</v>
      </c>
      <c r="G125" s="22" t="s">
        <v>234</v>
      </c>
      <c r="H125" s="23">
        <v>3000</v>
      </c>
      <c r="I125" s="22">
        <v>2500</v>
      </c>
    </row>
    <row r="126" spans="1:9" x14ac:dyDescent="0.3">
      <c r="A126">
        <v>2025</v>
      </c>
      <c r="B126" s="8">
        <v>9</v>
      </c>
      <c r="C126" s="20" t="s">
        <v>238</v>
      </c>
      <c r="D126" s="20" t="s">
        <v>20</v>
      </c>
      <c r="E126" s="22" t="s">
        <v>232</v>
      </c>
      <c r="F126" s="20" t="s">
        <v>233</v>
      </c>
      <c r="G126" s="22" t="s">
        <v>234</v>
      </c>
      <c r="H126" s="23">
        <v>2500.6999999999998</v>
      </c>
      <c r="I126" s="22" t="s">
        <v>410</v>
      </c>
    </row>
    <row r="127" spans="1:9" x14ac:dyDescent="0.3">
      <c r="A127">
        <v>2025</v>
      </c>
      <c r="B127" s="8">
        <v>9</v>
      </c>
      <c r="C127" s="20" t="s">
        <v>23</v>
      </c>
      <c r="D127" s="20" t="s">
        <v>75</v>
      </c>
      <c r="E127" s="22" t="s">
        <v>241</v>
      </c>
      <c r="F127" s="20" t="s">
        <v>232</v>
      </c>
      <c r="G127" s="22" t="s">
        <v>234</v>
      </c>
      <c r="H127" s="23">
        <v>2901</v>
      </c>
      <c r="I127" s="22">
        <v>2500</v>
      </c>
    </row>
    <row r="128" spans="1:9" x14ac:dyDescent="0.3">
      <c r="A128">
        <v>2025</v>
      </c>
      <c r="B128" s="8">
        <v>9</v>
      </c>
      <c r="C128" s="20" t="s">
        <v>258</v>
      </c>
      <c r="D128" s="20" t="s">
        <v>40</v>
      </c>
      <c r="E128" s="22" t="s">
        <v>232</v>
      </c>
      <c r="F128" s="20" t="s">
        <v>232</v>
      </c>
      <c r="G128" s="22" t="s">
        <v>234</v>
      </c>
      <c r="H128" s="23">
        <v>-500</v>
      </c>
      <c r="I128" s="22">
        <v>2500</v>
      </c>
    </row>
    <row r="129" spans="1:9" x14ac:dyDescent="0.3">
      <c r="A129">
        <v>2025</v>
      </c>
      <c r="B129" s="8">
        <v>9</v>
      </c>
      <c r="C129" s="20" t="s">
        <v>264</v>
      </c>
      <c r="D129" s="20" t="s">
        <v>50</v>
      </c>
      <c r="E129" s="22" t="s">
        <v>232</v>
      </c>
      <c r="F129" s="20" t="s">
        <v>232</v>
      </c>
      <c r="G129" s="22" t="s">
        <v>234</v>
      </c>
      <c r="H129" s="23">
        <v>-640.08898766788798</v>
      </c>
      <c r="I129" s="22">
        <v>2500</v>
      </c>
    </row>
    <row r="130" spans="1:9" x14ac:dyDescent="0.3">
      <c r="A130">
        <v>2025</v>
      </c>
      <c r="B130" s="8">
        <v>9</v>
      </c>
      <c r="C130" s="20" t="s">
        <v>260</v>
      </c>
      <c r="D130" s="20" t="s">
        <v>54</v>
      </c>
      <c r="E130" s="22" t="s">
        <v>232</v>
      </c>
      <c r="F130" s="20" t="s">
        <v>232</v>
      </c>
      <c r="G130" s="22" t="s">
        <v>234</v>
      </c>
      <c r="H130" s="23">
        <v>2800</v>
      </c>
      <c r="I130" s="22">
        <v>2500</v>
      </c>
    </row>
    <row r="131" spans="1:9" x14ac:dyDescent="0.3">
      <c r="A131">
        <v>2025</v>
      </c>
      <c r="B131" s="8">
        <v>9</v>
      </c>
      <c r="C131" s="20" t="s">
        <v>72</v>
      </c>
      <c r="D131" s="20" t="s">
        <v>28</v>
      </c>
      <c r="E131" s="22" t="s">
        <v>232</v>
      </c>
      <c r="F131" s="20" t="s">
        <v>232</v>
      </c>
      <c r="G131" s="22" t="s">
        <v>234</v>
      </c>
      <c r="H131" s="23">
        <v>3500</v>
      </c>
      <c r="I131" s="22">
        <v>2500</v>
      </c>
    </row>
    <row r="132" spans="1:9" x14ac:dyDescent="0.3">
      <c r="A132">
        <v>2025</v>
      </c>
      <c r="B132" s="8">
        <v>9</v>
      </c>
      <c r="C132" s="20" t="s">
        <v>105</v>
      </c>
      <c r="D132" s="20" t="s">
        <v>46</v>
      </c>
      <c r="E132" s="22" t="s">
        <v>232</v>
      </c>
      <c r="F132" s="20" t="s">
        <v>232</v>
      </c>
      <c r="G132" s="22" t="s">
        <v>234</v>
      </c>
      <c r="H132" s="23">
        <v>5276.95</v>
      </c>
      <c r="I132" s="22">
        <v>2500</v>
      </c>
    </row>
    <row r="133" spans="1:9" x14ac:dyDescent="0.3">
      <c r="A133">
        <v>2025</v>
      </c>
      <c r="B133" s="8">
        <v>9</v>
      </c>
      <c r="C133" s="20" t="s">
        <v>288</v>
      </c>
      <c r="D133" s="20" t="s">
        <v>56</v>
      </c>
      <c r="E133" s="22" t="s">
        <v>241</v>
      </c>
      <c r="F133" s="20" t="s">
        <v>232</v>
      </c>
      <c r="G133" s="22" t="s">
        <v>234</v>
      </c>
      <c r="H133" s="23">
        <v>2850</v>
      </c>
      <c r="I133" s="22">
        <v>2500</v>
      </c>
    </row>
    <row r="134" spans="1:9" x14ac:dyDescent="0.3">
      <c r="A134">
        <v>2025</v>
      </c>
      <c r="B134" s="8">
        <v>9</v>
      </c>
      <c r="C134" s="20" t="s">
        <v>244</v>
      </c>
      <c r="D134" s="20" t="s">
        <v>4</v>
      </c>
      <c r="E134" s="22" t="s">
        <v>232</v>
      </c>
      <c r="F134" s="20" t="s">
        <v>232</v>
      </c>
      <c r="G134" s="22" t="s">
        <v>234</v>
      </c>
      <c r="H134" s="23">
        <v>2500</v>
      </c>
      <c r="I134" s="22">
        <v>2500</v>
      </c>
    </row>
    <row r="135" spans="1:9" x14ac:dyDescent="0.3">
      <c r="A135">
        <v>2025</v>
      </c>
      <c r="B135" s="8">
        <v>9</v>
      </c>
      <c r="C135" s="20" t="s">
        <v>35</v>
      </c>
      <c r="D135" s="20" t="s">
        <v>34</v>
      </c>
      <c r="E135" s="22" t="s">
        <v>232</v>
      </c>
      <c r="F135" s="20" t="s">
        <v>232</v>
      </c>
      <c r="G135" s="22" t="s">
        <v>234</v>
      </c>
      <c r="H135" s="23">
        <v>2542</v>
      </c>
      <c r="I135" s="22">
        <v>2500</v>
      </c>
    </row>
    <row r="136" spans="1:9" x14ac:dyDescent="0.3">
      <c r="A136">
        <v>2025</v>
      </c>
      <c r="B136" s="8">
        <v>9</v>
      </c>
      <c r="C136" s="20" t="s">
        <v>37</v>
      </c>
      <c r="D136" s="20" t="s">
        <v>246</v>
      </c>
      <c r="E136" s="22" t="s">
        <v>232</v>
      </c>
      <c r="F136" s="20" t="s">
        <v>232</v>
      </c>
      <c r="G136" s="22" t="s">
        <v>234</v>
      </c>
      <c r="H136" s="23">
        <v>2500</v>
      </c>
      <c r="I136" s="22">
        <v>2500</v>
      </c>
    </row>
    <row r="137" spans="1:9" x14ac:dyDescent="0.3">
      <c r="A137">
        <v>2025</v>
      </c>
      <c r="B137" s="8">
        <v>9</v>
      </c>
      <c r="C137" s="20" t="s">
        <v>286</v>
      </c>
      <c r="D137" s="20" t="s">
        <v>40</v>
      </c>
      <c r="E137" s="22" t="s">
        <v>232</v>
      </c>
      <c r="F137" s="20" t="s">
        <v>232</v>
      </c>
      <c r="G137" s="22" t="s">
        <v>234</v>
      </c>
      <c r="H137" s="23">
        <v>2794.144941076449</v>
      </c>
      <c r="I137" s="22">
        <v>2500</v>
      </c>
    </row>
    <row r="138" spans="1:9" x14ac:dyDescent="0.3">
      <c r="A138">
        <v>2025</v>
      </c>
      <c r="B138" s="8">
        <v>9</v>
      </c>
      <c r="C138" s="20" t="s">
        <v>290</v>
      </c>
      <c r="D138" s="20" t="s">
        <v>63</v>
      </c>
      <c r="E138" s="20" t="s">
        <v>291</v>
      </c>
      <c r="F138" s="20" t="s">
        <v>232</v>
      </c>
      <c r="G138" s="22" t="s">
        <v>234</v>
      </c>
      <c r="H138" s="23">
        <v>-99.008571428571486</v>
      </c>
      <c r="I138" s="22">
        <v>2500</v>
      </c>
    </row>
    <row r="139" spans="1:9" x14ac:dyDescent="0.3">
      <c r="A139">
        <v>2025</v>
      </c>
      <c r="B139" s="8">
        <v>9</v>
      </c>
      <c r="C139" s="20" t="s">
        <v>45</v>
      </c>
      <c r="D139" s="20" t="s">
        <v>249</v>
      </c>
      <c r="E139" s="22" t="s">
        <v>232</v>
      </c>
      <c r="F139" s="20" t="s">
        <v>232</v>
      </c>
      <c r="G139" s="22" t="s">
        <v>234</v>
      </c>
      <c r="H139" s="23">
        <v>2299.9800000000005</v>
      </c>
      <c r="I139" s="22">
        <v>2500</v>
      </c>
    </row>
    <row r="140" spans="1:9" x14ac:dyDescent="0.3">
      <c r="A140">
        <v>2025</v>
      </c>
      <c r="B140" s="8">
        <v>9</v>
      </c>
      <c r="C140" s="20" t="s">
        <v>252</v>
      </c>
      <c r="D140" s="20" t="s">
        <v>22</v>
      </c>
      <c r="E140" s="22" t="s">
        <v>232</v>
      </c>
      <c r="F140" s="20" t="s">
        <v>233</v>
      </c>
      <c r="G140" s="22" t="s">
        <v>234</v>
      </c>
      <c r="H140" s="23">
        <v>2500</v>
      </c>
      <c r="I140" s="22">
        <v>2500</v>
      </c>
    </row>
    <row r="141" spans="1:9" x14ac:dyDescent="0.3">
      <c r="A141">
        <v>2025</v>
      </c>
      <c r="B141" s="8">
        <v>10</v>
      </c>
      <c r="C141" s="20" t="s">
        <v>80</v>
      </c>
      <c r="D141" s="20" t="s">
        <v>230</v>
      </c>
      <c r="E141" s="22" t="s">
        <v>232</v>
      </c>
      <c r="F141" s="20" t="s">
        <v>233</v>
      </c>
      <c r="G141" s="22" t="s">
        <v>234</v>
      </c>
      <c r="H141" s="23">
        <v>0</v>
      </c>
      <c r="I141" s="22">
        <v>2500</v>
      </c>
    </row>
    <row r="142" spans="1:9" x14ac:dyDescent="0.3">
      <c r="A142">
        <v>2025</v>
      </c>
      <c r="B142" s="8">
        <v>10</v>
      </c>
      <c r="C142" s="20" t="s">
        <v>238</v>
      </c>
      <c r="D142" s="20" t="s">
        <v>20</v>
      </c>
      <c r="E142" s="22" t="s">
        <v>232</v>
      </c>
      <c r="F142" s="20" t="s">
        <v>233</v>
      </c>
      <c r="G142" s="22" t="s">
        <v>234</v>
      </c>
      <c r="H142" s="23">
        <v>2674.16</v>
      </c>
      <c r="I142" s="22">
        <v>2500</v>
      </c>
    </row>
    <row r="143" spans="1:9" x14ac:dyDescent="0.3">
      <c r="A143">
        <v>2025</v>
      </c>
      <c r="B143" s="8">
        <v>10</v>
      </c>
      <c r="C143" s="20" t="s">
        <v>23</v>
      </c>
      <c r="D143" s="20" t="s">
        <v>75</v>
      </c>
      <c r="E143" s="22" t="s">
        <v>241</v>
      </c>
      <c r="F143" s="20" t="s">
        <v>232</v>
      </c>
      <c r="G143" s="22" t="s">
        <v>234</v>
      </c>
      <c r="H143" s="23">
        <v>2557.1428571428569</v>
      </c>
      <c r="I143" s="22">
        <v>2500</v>
      </c>
    </row>
    <row r="144" spans="1:9" x14ac:dyDescent="0.3">
      <c r="A144">
        <v>2025</v>
      </c>
      <c r="B144" s="8">
        <v>10</v>
      </c>
      <c r="C144" s="20" t="s">
        <v>258</v>
      </c>
      <c r="D144" s="20" t="s">
        <v>40</v>
      </c>
      <c r="E144" s="22" t="s">
        <v>232</v>
      </c>
      <c r="F144" s="20" t="s">
        <v>232</v>
      </c>
      <c r="G144" s="22" t="s">
        <v>234</v>
      </c>
      <c r="H144" s="23">
        <v>-500</v>
      </c>
      <c r="I144" s="22">
        <v>2500</v>
      </c>
    </row>
    <row r="145" spans="1:9" x14ac:dyDescent="0.3">
      <c r="A145">
        <v>2025</v>
      </c>
      <c r="B145" s="8">
        <v>10</v>
      </c>
      <c r="C145" s="20" t="s">
        <v>264</v>
      </c>
      <c r="D145" s="20" t="s">
        <v>50</v>
      </c>
      <c r="E145" s="22" t="s">
        <v>232</v>
      </c>
      <c r="F145" s="20" t="s">
        <v>232</v>
      </c>
      <c r="G145" s="22" t="s">
        <v>234</v>
      </c>
      <c r="H145" s="23">
        <v>-51.860000000000014</v>
      </c>
      <c r="I145" s="22">
        <v>2500</v>
      </c>
    </row>
    <row r="146" spans="1:9" x14ac:dyDescent="0.3">
      <c r="A146">
        <v>2025</v>
      </c>
      <c r="B146" s="8">
        <v>10</v>
      </c>
      <c r="C146" s="20" t="s">
        <v>260</v>
      </c>
      <c r="D146" s="20" t="s">
        <v>54</v>
      </c>
      <c r="E146" s="22" t="s">
        <v>232</v>
      </c>
      <c r="F146" s="20" t="s">
        <v>232</v>
      </c>
      <c r="G146" s="22" t="s">
        <v>234</v>
      </c>
      <c r="H146" s="23">
        <v>2809.38</v>
      </c>
      <c r="I146" s="22">
        <v>2500</v>
      </c>
    </row>
    <row r="147" spans="1:9" x14ac:dyDescent="0.3">
      <c r="A147">
        <v>2025</v>
      </c>
      <c r="B147" s="8">
        <v>10</v>
      </c>
      <c r="C147" s="20" t="s">
        <v>72</v>
      </c>
      <c r="D147" s="20" t="s">
        <v>28</v>
      </c>
      <c r="E147" s="22" t="s">
        <v>232</v>
      </c>
      <c r="F147" s="20" t="s">
        <v>232</v>
      </c>
      <c r="G147" s="22" t="s">
        <v>234</v>
      </c>
      <c r="H147" s="23">
        <v>3500</v>
      </c>
      <c r="I147" s="22">
        <v>2500</v>
      </c>
    </row>
    <row r="148" spans="1:9" x14ac:dyDescent="0.3">
      <c r="A148">
        <v>2025</v>
      </c>
      <c r="B148" s="8">
        <v>10</v>
      </c>
      <c r="C148" s="20" t="s">
        <v>292</v>
      </c>
      <c r="D148" s="20" t="s">
        <v>69</v>
      </c>
      <c r="E148" s="22" t="s">
        <v>241</v>
      </c>
      <c r="F148" s="20" t="s">
        <v>232</v>
      </c>
      <c r="G148" s="22" t="s">
        <v>234</v>
      </c>
      <c r="H148" s="23">
        <v>1214.2857142857142</v>
      </c>
      <c r="I148" s="22">
        <v>2500</v>
      </c>
    </row>
    <row r="149" spans="1:9" x14ac:dyDescent="0.3">
      <c r="A149">
        <v>2025</v>
      </c>
      <c r="B149" s="8">
        <v>10</v>
      </c>
      <c r="C149" s="20" t="s">
        <v>105</v>
      </c>
      <c r="D149" s="20" t="s">
        <v>46</v>
      </c>
      <c r="E149" s="22" t="s">
        <v>232</v>
      </c>
      <c r="F149" s="20" t="s">
        <v>232</v>
      </c>
      <c r="G149" s="22" t="s">
        <v>234</v>
      </c>
      <c r="H149" s="23">
        <v>5344.12</v>
      </c>
      <c r="I149" s="22">
        <v>2500</v>
      </c>
    </row>
    <row r="150" spans="1:9" x14ac:dyDescent="0.3">
      <c r="A150">
        <v>2025</v>
      </c>
      <c r="B150" s="8">
        <v>10</v>
      </c>
      <c r="C150" s="20" t="s">
        <v>288</v>
      </c>
      <c r="D150" s="20" t="s">
        <v>56</v>
      </c>
      <c r="E150" s="22" t="s">
        <v>241</v>
      </c>
      <c r="F150" s="20" t="s">
        <v>232</v>
      </c>
      <c r="G150" s="22" t="s">
        <v>234</v>
      </c>
      <c r="H150" s="23">
        <v>3350</v>
      </c>
      <c r="I150" s="22">
        <v>2500</v>
      </c>
    </row>
    <row r="151" spans="1:9" x14ac:dyDescent="0.3">
      <c r="A151">
        <v>2025</v>
      </c>
      <c r="B151" s="8">
        <v>10</v>
      </c>
      <c r="C151" s="20" t="s">
        <v>244</v>
      </c>
      <c r="D151" s="20" t="s">
        <v>4</v>
      </c>
      <c r="E151" s="22" t="s">
        <v>232</v>
      </c>
      <c r="F151" s="20" t="s">
        <v>232</v>
      </c>
      <c r="G151" s="22" t="s">
        <v>234</v>
      </c>
      <c r="H151" s="23">
        <v>2000</v>
      </c>
      <c r="I151" s="22">
        <v>2500</v>
      </c>
    </row>
    <row r="152" spans="1:9" x14ac:dyDescent="0.3">
      <c r="A152">
        <v>2025</v>
      </c>
      <c r="B152" s="8">
        <v>10</v>
      </c>
      <c r="C152" s="20" t="s">
        <v>35</v>
      </c>
      <c r="D152" s="20" t="s">
        <v>34</v>
      </c>
      <c r="E152" s="22" t="s">
        <v>232</v>
      </c>
      <c r="F152" s="20" t="s">
        <v>232</v>
      </c>
      <c r="G152" s="22" t="s">
        <v>234</v>
      </c>
      <c r="H152" s="23">
        <v>359.20000000000073</v>
      </c>
      <c r="I152" s="22">
        <v>2500</v>
      </c>
    </row>
    <row r="153" spans="1:9" x14ac:dyDescent="0.3">
      <c r="A153">
        <v>2025</v>
      </c>
      <c r="B153" s="8">
        <v>10</v>
      </c>
      <c r="C153" s="20" t="s">
        <v>37</v>
      </c>
      <c r="D153" s="20" t="s">
        <v>246</v>
      </c>
      <c r="E153" s="22" t="s">
        <v>232</v>
      </c>
      <c r="F153" s="20" t="s">
        <v>232</v>
      </c>
      <c r="G153" s="22" t="s">
        <v>234</v>
      </c>
      <c r="H153" s="23">
        <v>2500</v>
      </c>
      <c r="I153" s="22">
        <v>2500</v>
      </c>
    </row>
    <row r="154" spans="1:9" x14ac:dyDescent="0.3">
      <c r="A154">
        <v>2025</v>
      </c>
      <c r="B154" s="8">
        <v>10</v>
      </c>
      <c r="C154" s="20" t="s">
        <v>286</v>
      </c>
      <c r="D154" s="20" t="s">
        <v>40</v>
      </c>
      <c r="E154" s="22" t="s">
        <v>232</v>
      </c>
      <c r="F154" s="20" t="s">
        <v>232</v>
      </c>
      <c r="G154" s="22" t="s">
        <v>234</v>
      </c>
      <c r="H154" s="23">
        <v>-1445.8600000000006</v>
      </c>
      <c r="I154" s="22">
        <v>2500</v>
      </c>
    </row>
    <row r="155" spans="1:9" x14ac:dyDescent="0.3">
      <c r="A155">
        <v>2025</v>
      </c>
      <c r="B155" s="8">
        <v>10</v>
      </c>
      <c r="C155" s="20" t="s">
        <v>290</v>
      </c>
      <c r="D155" s="20" t="s">
        <v>63</v>
      </c>
      <c r="E155" s="20" t="s">
        <v>291</v>
      </c>
      <c r="F155" s="20" t="s">
        <v>232</v>
      </c>
      <c r="G155" s="22" t="s">
        <v>234</v>
      </c>
      <c r="H155" s="23">
        <v>3000</v>
      </c>
      <c r="I155" s="22">
        <v>2500</v>
      </c>
    </row>
    <row r="156" spans="1:9" x14ac:dyDescent="0.3">
      <c r="A156">
        <v>2025</v>
      </c>
      <c r="B156" s="8">
        <v>10</v>
      </c>
      <c r="C156" s="20" t="s">
        <v>45</v>
      </c>
      <c r="D156" s="20" t="s">
        <v>249</v>
      </c>
      <c r="E156" s="22" t="s">
        <v>232</v>
      </c>
      <c r="F156" s="20" t="s">
        <v>232</v>
      </c>
      <c r="G156" s="22" t="s">
        <v>234</v>
      </c>
      <c r="H156" s="23">
        <v>2300</v>
      </c>
      <c r="I156" s="22">
        <v>2500</v>
      </c>
    </row>
    <row r="157" spans="1:9" x14ac:dyDescent="0.3">
      <c r="A157">
        <v>2025</v>
      </c>
      <c r="B157" s="8">
        <v>10</v>
      </c>
      <c r="C157" s="20" t="s">
        <v>252</v>
      </c>
      <c r="D157" s="20" t="s">
        <v>22</v>
      </c>
      <c r="E157" s="22" t="s">
        <v>232</v>
      </c>
      <c r="F157" s="20" t="s">
        <v>233</v>
      </c>
      <c r="G157" s="22" t="s">
        <v>234</v>
      </c>
      <c r="H157" s="23">
        <v>2500</v>
      </c>
      <c r="I157" s="22">
        <v>2500</v>
      </c>
    </row>
    <row r="158" spans="1:9" x14ac:dyDescent="0.3">
      <c r="A158">
        <v>2025</v>
      </c>
      <c r="B158" s="8">
        <v>11</v>
      </c>
      <c r="C158" s="20" t="s">
        <v>80</v>
      </c>
      <c r="D158" s="20" t="s">
        <v>230</v>
      </c>
      <c r="E158" s="22" t="s">
        <v>232</v>
      </c>
      <c r="F158" s="20" t="s">
        <v>233</v>
      </c>
      <c r="G158" s="22" t="s">
        <v>234</v>
      </c>
      <c r="H158" s="23">
        <v>2499.2399999999998</v>
      </c>
      <c r="I158" s="22">
        <v>2500</v>
      </c>
    </row>
    <row r="159" spans="1:9" x14ac:dyDescent="0.3">
      <c r="A159">
        <v>2025</v>
      </c>
      <c r="B159" s="8">
        <v>11</v>
      </c>
      <c r="C159" s="20" t="s">
        <v>238</v>
      </c>
      <c r="D159" s="20" t="s">
        <v>20</v>
      </c>
      <c r="E159" s="22" t="s">
        <v>232</v>
      </c>
      <c r="F159" s="20" t="s">
        <v>233</v>
      </c>
      <c r="G159" s="22" t="s">
        <v>234</v>
      </c>
      <c r="H159" s="23">
        <v>2500</v>
      </c>
      <c r="I159" s="22">
        <v>2500</v>
      </c>
    </row>
    <row r="160" spans="1:9" x14ac:dyDescent="0.3">
      <c r="A160">
        <v>2025</v>
      </c>
      <c r="B160" s="8">
        <v>11</v>
      </c>
      <c r="C160" s="20" t="s">
        <v>23</v>
      </c>
      <c r="D160" s="20" t="s">
        <v>75</v>
      </c>
      <c r="E160" s="22" t="s">
        <v>241</v>
      </c>
      <c r="F160" s="20" t="s">
        <v>232</v>
      </c>
      <c r="G160" s="22" t="s">
        <v>234</v>
      </c>
      <c r="H160" s="23">
        <v>2146.8600000000006</v>
      </c>
      <c r="I160" s="22">
        <v>2500</v>
      </c>
    </row>
    <row r="161" spans="1:9" x14ac:dyDescent="0.3">
      <c r="A161">
        <v>2025</v>
      </c>
      <c r="B161" s="8">
        <v>11</v>
      </c>
      <c r="C161" s="20" t="s">
        <v>258</v>
      </c>
      <c r="D161" s="20" t="s">
        <v>40</v>
      </c>
      <c r="E161" s="22" t="s">
        <v>232</v>
      </c>
      <c r="F161" s="20" t="s">
        <v>232</v>
      </c>
      <c r="G161" s="22" t="s">
        <v>234</v>
      </c>
      <c r="H161" s="23">
        <v>-500</v>
      </c>
      <c r="I161" s="22">
        <v>2500</v>
      </c>
    </row>
    <row r="162" spans="1:9" x14ac:dyDescent="0.3">
      <c r="A162">
        <v>2025</v>
      </c>
      <c r="B162" s="8">
        <v>11</v>
      </c>
      <c r="C162" s="20" t="s">
        <v>260</v>
      </c>
      <c r="D162" s="20" t="s">
        <v>54</v>
      </c>
      <c r="E162" s="22" t="s">
        <v>232</v>
      </c>
      <c r="F162" s="20" t="s">
        <v>232</v>
      </c>
      <c r="G162" s="22" t="s">
        <v>234</v>
      </c>
      <c r="H162" s="23">
        <v>-215.9399999999996</v>
      </c>
      <c r="I162" s="22">
        <v>2500</v>
      </c>
    </row>
    <row r="163" spans="1:9" x14ac:dyDescent="0.3">
      <c r="A163">
        <v>2025</v>
      </c>
      <c r="B163" s="8">
        <v>11</v>
      </c>
      <c r="C163" s="20" t="s">
        <v>72</v>
      </c>
      <c r="D163" s="20" t="s">
        <v>28</v>
      </c>
      <c r="E163" s="22" t="s">
        <v>232</v>
      </c>
      <c r="F163" s="20" t="s">
        <v>232</v>
      </c>
      <c r="G163" s="22" t="s">
        <v>234</v>
      </c>
      <c r="H163" s="23">
        <v>3000</v>
      </c>
      <c r="I163" s="22">
        <v>2500</v>
      </c>
    </row>
    <row r="164" spans="1:9" x14ac:dyDescent="0.3">
      <c r="A164">
        <v>2025</v>
      </c>
      <c r="B164" s="8">
        <v>11</v>
      </c>
      <c r="C164" s="20" t="s">
        <v>292</v>
      </c>
      <c r="D164" s="20" t="s">
        <v>69</v>
      </c>
      <c r="E164" s="22" t="s">
        <v>241</v>
      </c>
      <c r="F164" s="20" t="s">
        <v>232</v>
      </c>
      <c r="G164" s="22" t="s">
        <v>234</v>
      </c>
      <c r="H164" s="23">
        <v>3000</v>
      </c>
      <c r="I164" s="22">
        <v>2500</v>
      </c>
    </row>
    <row r="165" spans="1:9" x14ac:dyDescent="0.3">
      <c r="A165">
        <v>2025</v>
      </c>
      <c r="B165" s="8">
        <v>11</v>
      </c>
      <c r="C165" s="20" t="s">
        <v>105</v>
      </c>
      <c r="D165" s="20" t="s">
        <v>46</v>
      </c>
      <c r="E165" s="22" t="s">
        <v>232</v>
      </c>
      <c r="F165" s="20" t="s">
        <v>232</v>
      </c>
      <c r="G165" s="22" t="s">
        <v>234</v>
      </c>
      <c r="H165" s="23">
        <v>5621.82</v>
      </c>
      <c r="I165" s="22">
        <v>2500</v>
      </c>
    </row>
    <row r="166" spans="1:9" x14ac:dyDescent="0.3">
      <c r="A166">
        <v>2025</v>
      </c>
      <c r="B166" s="8">
        <v>11</v>
      </c>
      <c r="C166" s="20" t="s">
        <v>288</v>
      </c>
      <c r="D166" s="20" t="s">
        <v>56</v>
      </c>
      <c r="E166" s="22" t="s">
        <v>241</v>
      </c>
      <c r="F166" s="20" t="s">
        <v>232</v>
      </c>
      <c r="G166" s="22" t="s">
        <v>234</v>
      </c>
      <c r="H166" s="23">
        <v>2850</v>
      </c>
      <c r="I166" s="22">
        <v>2500</v>
      </c>
    </row>
    <row r="167" spans="1:9" x14ac:dyDescent="0.3">
      <c r="A167">
        <v>2025</v>
      </c>
      <c r="B167" s="8">
        <v>11</v>
      </c>
      <c r="C167" s="20" t="s">
        <v>244</v>
      </c>
      <c r="D167" s="20" t="s">
        <v>4</v>
      </c>
      <c r="E167" s="22" t="s">
        <v>232</v>
      </c>
      <c r="F167" s="20" t="s">
        <v>232</v>
      </c>
      <c r="G167" s="22" t="s">
        <v>234</v>
      </c>
      <c r="H167" s="23">
        <v>2500</v>
      </c>
      <c r="I167" s="22">
        <v>2500</v>
      </c>
    </row>
    <row r="168" spans="1:9" x14ac:dyDescent="0.3">
      <c r="A168">
        <v>2025</v>
      </c>
      <c r="B168" s="8">
        <v>11</v>
      </c>
      <c r="C168" s="20" t="s">
        <v>35</v>
      </c>
      <c r="D168" s="20" t="s">
        <v>34</v>
      </c>
      <c r="E168" s="22" t="s">
        <v>232</v>
      </c>
      <c r="F168" s="20" t="s">
        <v>232</v>
      </c>
      <c r="G168" s="22" t="s">
        <v>234</v>
      </c>
      <c r="H168" s="23">
        <v>2321</v>
      </c>
      <c r="I168" s="22">
        <v>2500</v>
      </c>
    </row>
    <row r="169" spans="1:9" x14ac:dyDescent="0.3">
      <c r="A169">
        <v>2025</v>
      </c>
      <c r="B169" s="8">
        <v>11</v>
      </c>
      <c r="C169" s="20" t="s">
        <v>37</v>
      </c>
      <c r="D169" s="20" t="s">
        <v>246</v>
      </c>
      <c r="E169" s="22" t="s">
        <v>232</v>
      </c>
      <c r="F169" s="20" t="s">
        <v>232</v>
      </c>
      <c r="G169" s="22" t="s">
        <v>234</v>
      </c>
      <c r="H169" s="23">
        <v>2500</v>
      </c>
      <c r="I169" s="22">
        <v>2500</v>
      </c>
    </row>
    <row r="170" spans="1:9" x14ac:dyDescent="0.3">
      <c r="A170">
        <v>2025</v>
      </c>
      <c r="B170" s="8">
        <v>11</v>
      </c>
      <c r="C170" s="20" t="s">
        <v>286</v>
      </c>
      <c r="D170" s="20" t="s">
        <v>40</v>
      </c>
      <c r="E170" s="22" t="s">
        <v>232</v>
      </c>
      <c r="F170" s="20" t="s">
        <v>232</v>
      </c>
      <c r="G170" s="22" t="s">
        <v>234</v>
      </c>
      <c r="H170" s="23">
        <v>-2322.9799999999996</v>
      </c>
      <c r="I170" s="22">
        <v>2500</v>
      </c>
    </row>
    <row r="171" spans="1:9" x14ac:dyDescent="0.3">
      <c r="A171">
        <v>2025</v>
      </c>
      <c r="B171" s="8">
        <v>11</v>
      </c>
      <c r="C171" s="20" t="s">
        <v>290</v>
      </c>
      <c r="D171" s="20" t="s">
        <v>63</v>
      </c>
      <c r="E171" s="20" t="s">
        <v>291</v>
      </c>
      <c r="F171" s="20" t="s">
        <v>232</v>
      </c>
      <c r="G171" s="22" t="s">
        <v>234</v>
      </c>
      <c r="H171" s="23">
        <v>-963.82000000000016</v>
      </c>
      <c r="I171" s="22">
        <v>2500</v>
      </c>
    </row>
    <row r="172" spans="1:9" x14ac:dyDescent="0.3">
      <c r="A172">
        <v>2025</v>
      </c>
      <c r="B172" s="8">
        <v>11</v>
      </c>
      <c r="C172" s="20" t="s">
        <v>45</v>
      </c>
      <c r="D172" s="20" t="s">
        <v>249</v>
      </c>
      <c r="E172" s="22" t="s">
        <v>232</v>
      </c>
      <c r="F172" s="20" t="s">
        <v>232</v>
      </c>
      <c r="G172" s="22" t="s">
        <v>234</v>
      </c>
      <c r="H172" s="23">
        <v>2300</v>
      </c>
      <c r="I172" s="22">
        <v>2500</v>
      </c>
    </row>
    <row r="173" spans="1:9" x14ac:dyDescent="0.3">
      <c r="A173">
        <v>2025</v>
      </c>
      <c r="B173" s="8">
        <v>11</v>
      </c>
      <c r="C173" s="20" t="s">
        <v>5</v>
      </c>
      <c r="D173" s="20" t="s">
        <v>50</v>
      </c>
      <c r="E173" s="22" t="s">
        <v>232</v>
      </c>
      <c r="F173" s="20" t="s">
        <v>232</v>
      </c>
      <c r="G173" s="22" t="s">
        <v>234</v>
      </c>
      <c r="H173" s="23">
        <v>1607</v>
      </c>
      <c r="I173" s="22">
        <v>2500</v>
      </c>
    </row>
    <row r="174" spans="1:9" x14ac:dyDescent="0.3">
      <c r="A174">
        <v>2025</v>
      </c>
      <c r="B174" s="8">
        <v>11</v>
      </c>
      <c r="C174" s="20" t="s">
        <v>252</v>
      </c>
      <c r="D174" s="20" t="s">
        <v>22</v>
      </c>
      <c r="E174" s="22" t="s">
        <v>232</v>
      </c>
      <c r="F174" s="20" t="s">
        <v>233</v>
      </c>
      <c r="G174" s="22" t="s">
        <v>234</v>
      </c>
      <c r="H174" s="23">
        <v>2500</v>
      </c>
      <c r="I174" s="22">
        <v>2500</v>
      </c>
    </row>
    <row r="175" spans="1:9" x14ac:dyDescent="0.3">
      <c r="A175">
        <v>2025</v>
      </c>
      <c r="B175" s="8">
        <v>12</v>
      </c>
      <c r="C175" s="20" t="s">
        <v>80</v>
      </c>
      <c r="D175" s="20" t="s">
        <v>230</v>
      </c>
      <c r="E175" s="22" t="s">
        <v>232</v>
      </c>
      <c r="F175" s="20" t="s">
        <v>232</v>
      </c>
      <c r="G175" s="22" t="s">
        <v>234</v>
      </c>
      <c r="H175" s="23">
        <v>2499.7738902016399</v>
      </c>
      <c r="I175" s="22">
        <v>2500</v>
      </c>
    </row>
    <row r="176" spans="1:9" x14ac:dyDescent="0.3">
      <c r="A176">
        <v>2025</v>
      </c>
      <c r="B176" s="8">
        <v>12</v>
      </c>
      <c r="C176" s="20" t="s">
        <v>238</v>
      </c>
      <c r="D176" s="20" t="s">
        <v>20</v>
      </c>
      <c r="E176" s="22" t="s">
        <v>232</v>
      </c>
      <c r="F176" s="20" t="s">
        <v>232</v>
      </c>
      <c r="G176" s="22" t="s">
        <v>234</v>
      </c>
      <c r="H176" s="23">
        <v>2356.4511890228259</v>
      </c>
      <c r="I176" s="22">
        <v>2500</v>
      </c>
    </row>
    <row r="177" spans="1:9" x14ac:dyDescent="0.3">
      <c r="A177">
        <v>2025</v>
      </c>
      <c r="B177" s="8">
        <v>12</v>
      </c>
      <c r="C177" s="20" t="s">
        <v>23</v>
      </c>
      <c r="D177" s="20" t="s">
        <v>75</v>
      </c>
      <c r="E177" s="22" t="s">
        <v>241</v>
      </c>
      <c r="F177" s="20" t="s">
        <v>232</v>
      </c>
      <c r="G177" s="22" t="s">
        <v>234</v>
      </c>
      <c r="H177" s="23">
        <v>2456.2800000000007</v>
      </c>
      <c r="I177" s="22">
        <v>2500</v>
      </c>
    </row>
    <row r="178" spans="1:9" x14ac:dyDescent="0.3">
      <c r="A178">
        <v>2025</v>
      </c>
      <c r="B178" s="8">
        <v>12</v>
      </c>
      <c r="C178" s="20" t="s">
        <v>258</v>
      </c>
      <c r="D178" s="20" t="s">
        <v>40</v>
      </c>
      <c r="E178" s="22" t="s">
        <v>232</v>
      </c>
      <c r="F178" s="20" t="s">
        <v>232</v>
      </c>
      <c r="G178" s="22" t="s">
        <v>234</v>
      </c>
      <c r="H178" s="23">
        <v>-500</v>
      </c>
      <c r="I178" s="22">
        <v>2500</v>
      </c>
    </row>
    <row r="179" spans="1:9" x14ac:dyDescent="0.3">
      <c r="A179">
        <v>2025</v>
      </c>
      <c r="B179" s="8">
        <v>12</v>
      </c>
      <c r="C179" s="20" t="s">
        <v>264</v>
      </c>
      <c r="D179" s="20" t="s">
        <v>46</v>
      </c>
      <c r="E179" s="22" t="s">
        <v>232</v>
      </c>
      <c r="F179" s="20" t="s">
        <v>232</v>
      </c>
      <c r="G179" s="22" t="s">
        <v>234</v>
      </c>
      <c r="H179" s="23">
        <v>1000.1428571428571</v>
      </c>
      <c r="I179" s="22">
        <v>2500</v>
      </c>
    </row>
    <row r="180" spans="1:9" x14ac:dyDescent="0.3">
      <c r="A180">
        <v>2025</v>
      </c>
      <c r="B180" s="8">
        <v>12</v>
      </c>
      <c r="C180" s="20" t="s">
        <v>260</v>
      </c>
      <c r="D180" s="20" t="s">
        <v>81</v>
      </c>
      <c r="E180" s="22" t="s">
        <v>232</v>
      </c>
      <c r="F180" s="20" t="s">
        <v>232</v>
      </c>
      <c r="G180" s="22" t="s">
        <v>234</v>
      </c>
      <c r="H180" s="23">
        <v>3000</v>
      </c>
      <c r="I180" s="22">
        <v>2500</v>
      </c>
    </row>
    <row r="181" spans="1:9" x14ac:dyDescent="0.3">
      <c r="A181">
        <v>2025</v>
      </c>
      <c r="B181" s="8">
        <v>12</v>
      </c>
      <c r="C181" s="20" t="s">
        <v>72</v>
      </c>
      <c r="D181" s="20" t="s">
        <v>28</v>
      </c>
      <c r="E181" s="22" t="s">
        <v>232</v>
      </c>
      <c r="F181" s="20" t="s">
        <v>232</v>
      </c>
      <c r="G181" s="22" t="s">
        <v>234</v>
      </c>
      <c r="H181" s="23">
        <v>3800</v>
      </c>
      <c r="I181" s="22">
        <v>2500</v>
      </c>
    </row>
    <row r="182" spans="1:9" x14ac:dyDescent="0.3">
      <c r="A182">
        <v>2025</v>
      </c>
      <c r="B182" s="8">
        <v>12</v>
      </c>
      <c r="C182" s="20" t="s">
        <v>292</v>
      </c>
      <c r="D182" s="20" t="s">
        <v>52</v>
      </c>
      <c r="E182" s="22" t="s">
        <v>232</v>
      </c>
      <c r="F182" s="20" t="s">
        <v>232</v>
      </c>
      <c r="G182" s="22" t="s">
        <v>234</v>
      </c>
      <c r="H182" s="23">
        <v>2526</v>
      </c>
      <c r="I182" s="22">
        <v>2500</v>
      </c>
    </row>
    <row r="183" spans="1:9" x14ac:dyDescent="0.3">
      <c r="A183">
        <v>2025</v>
      </c>
      <c r="B183" s="8">
        <v>12</v>
      </c>
      <c r="C183" s="20" t="s">
        <v>105</v>
      </c>
      <c r="D183" s="20" t="s">
        <v>54</v>
      </c>
      <c r="E183" s="22" t="s">
        <v>232</v>
      </c>
      <c r="F183" s="20" t="s">
        <v>232</v>
      </c>
      <c r="G183" s="22" t="s">
        <v>234</v>
      </c>
      <c r="H183" s="23">
        <v>-323.57000000000016</v>
      </c>
      <c r="I183" s="22">
        <v>2500</v>
      </c>
    </row>
    <row r="184" spans="1:9" x14ac:dyDescent="0.3">
      <c r="A184">
        <v>2025</v>
      </c>
      <c r="B184" s="8">
        <v>12</v>
      </c>
      <c r="C184" s="20" t="s">
        <v>288</v>
      </c>
      <c r="D184" s="20" t="s">
        <v>56</v>
      </c>
      <c r="E184" s="22" t="s">
        <v>241</v>
      </c>
      <c r="F184" s="20" t="s">
        <v>232</v>
      </c>
      <c r="G184" s="22" t="s">
        <v>234</v>
      </c>
      <c r="H184" s="23">
        <v>2850</v>
      </c>
      <c r="I184" s="22">
        <v>2500</v>
      </c>
    </row>
    <row r="185" spans="1:9" x14ac:dyDescent="0.3">
      <c r="A185">
        <v>2025</v>
      </c>
      <c r="B185" s="8">
        <v>12</v>
      </c>
      <c r="C185" s="20" t="s">
        <v>244</v>
      </c>
      <c r="D185" s="20" t="s">
        <v>4</v>
      </c>
      <c r="E185" s="22" t="s">
        <v>232</v>
      </c>
      <c r="F185" s="20" t="s">
        <v>232</v>
      </c>
      <c r="G185" s="22" t="s">
        <v>234</v>
      </c>
      <c r="H185" s="23">
        <v>2500</v>
      </c>
      <c r="I185" s="22">
        <v>2500</v>
      </c>
    </row>
    <row r="186" spans="1:9" x14ac:dyDescent="0.3">
      <c r="A186">
        <v>2025</v>
      </c>
      <c r="B186" s="8">
        <v>12</v>
      </c>
      <c r="C186" s="20" t="s">
        <v>35</v>
      </c>
      <c r="D186" s="20" t="s">
        <v>34</v>
      </c>
      <c r="E186" s="22" t="s">
        <v>232</v>
      </c>
      <c r="F186" s="20" t="s">
        <v>232</v>
      </c>
      <c r="G186" s="22" t="s">
        <v>234</v>
      </c>
      <c r="H186" s="23">
        <v>2500</v>
      </c>
      <c r="I186" s="22">
        <v>2500</v>
      </c>
    </row>
    <row r="187" spans="1:9" x14ac:dyDescent="0.3">
      <c r="A187">
        <v>2025</v>
      </c>
      <c r="B187" s="8">
        <v>12</v>
      </c>
      <c r="C187" s="20" t="s">
        <v>37</v>
      </c>
      <c r="D187" s="20" t="s">
        <v>246</v>
      </c>
      <c r="E187" s="22" t="s">
        <v>232</v>
      </c>
      <c r="F187" s="20" t="s">
        <v>232</v>
      </c>
      <c r="G187" s="22" t="s">
        <v>234</v>
      </c>
      <c r="H187" s="23">
        <v>2500</v>
      </c>
      <c r="I187" s="22">
        <v>2500</v>
      </c>
    </row>
    <row r="188" spans="1:9" x14ac:dyDescent="0.3">
      <c r="A188">
        <v>2025</v>
      </c>
      <c r="B188" s="8">
        <v>12</v>
      </c>
      <c r="C188" s="20" t="s">
        <v>293</v>
      </c>
      <c r="D188" s="20" t="s">
        <v>63</v>
      </c>
      <c r="E188" s="20" t="s">
        <v>291</v>
      </c>
      <c r="F188" s="20" t="s">
        <v>232</v>
      </c>
      <c r="G188" s="22" t="s">
        <v>234</v>
      </c>
      <c r="H188" s="23">
        <v>2142.8571428571431</v>
      </c>
      <c r="I188" s="22">
        <v>2500</v>
      </c>
    </row>
    <row r="189" spans="1:9" x14ac:dyDescent="0.3">
      <c r="A189">
        <v>2025</v>
      </c>
      <c r="B189" s="8">
        <v>12</v>
      </c>
      <c r="C189" s="20" t="s">
        <v>45</v>
      </c>
      <c r="D189" s="20" t="s">
        <v>249</v>
      </c>
      <c r="E189" s="22" t="s">
        <v>232</v>
      </c>
      <c r="F189" s="20" t="s">
        <v>232</v>
      </c>
      <c r="G189" s="22" t="s">
        <v>234</v>
      </c>
      <c r="H189" s="23">
        <v>1207.0599999999995</v>
      </c>
      <c r="I189" s="22">
        <v>2500</v>
      </c>
    </row>
    <row r="190" spans="1:9" x14ac:dyDescent="0.3">
      <c r="A190">
        <v>2025</v>
      </c>
      <c r="B190" s="8">
        <v>12</v>
      </c>
      <c r="C190" s="20" t="s">
        <v>5</v>
      </c>
      <c r="D190" s="20" t="s">
        <v>50</v>
      </c>
      <c r="E190" s="22" t="s">
        <v>232</v>
      </c>
      <c r="F190" s="20" t="s">
        <v>232</v>
      </c>
      <c r="G190" s="22" t="s">
        <v>234</v>
      </c>
      <c r="H190" s="23">
        <v>2500</v>
      </c>
      <c r="I190" s="22">
        <v>2500</v>
      </c>
    </row>
    <row r="191" spans="1:9" x14ac:dyDescent="0.3">
      <c r="A191">
        <v>2025</v>
      </c>
      <c r="B191" s="8">
        <v>12</v>
      </c>
      <c r="C191" s="20" t="s">
        <v>252</v>
      </c>
      <c r="D191" s="20" t="s">
        <v>22</v>
      </c>
      <c r="E191" s="22" t="s">
        <v>232</v>
      </c>
      <c r="F191" s="20" t="s">
        <v>232</v>
      </c>
      <c r="G191" s="22" t="s">
        <v>234</v>
      </c>
      <c r="H191" s="23">
        <v>1500</v>
      </c>
      <c r="I191" s="22">
        <v>2500</v>
      </c>
    </row>
    <row r="192" spans="1:9" x14ac:dyDescent="0.3">
      <c r="A192">
        <v>2025</v>
      </c>
      <c r="B192" s="8">
        <v>12</v>
      </c>
      <c r="C192" s="20" t="s">
        <v>294</v>
      </c>
      <c r="D192" s="20" t="s">
        <v>69</v>
      </c>
      <c r="E192" s="22" t="s">
        <v>241</v>
      </c>
      <c r="F192" s="20" t="s">
        <v>232</v>
      </c>
      <c r="G192" s="22" t="s">
        <v>234</v>
      </c>
      <c r="H192" s="23">
        <v>1070.8114285714282</v>
      </c>
      <c r="I192" s="22">
        <v>2500</v>
      </c>
    </row>
    <row r="193" spans="1:9" x14ac:dyDescent="0.3">
      <c r="A193">
        <v>2025</v>
      </c>
      <c r="B193" s="8">
        <v>13</v>
      </c>
      <c r="C193" s="20" t="s">
        <v>80</v>
      </c>
      <c r="D193" s="20" t="s">
        <v>230</v>
      </c>
      <c r="E193" s="22" t="s">
        <v>232</v>
      </c>
      <c r="F193" s="20" t="s">
        <v>232</v>
      </c>
      <c r="G193" s="22" t="s">
        <v>234</v>
      </c>
      <c r="H193" s="23">
        <v>2224.8000000000002</v>
      </c>
      <c r="I193" s="22">
        <v>2500</v>
      </c>
    </row>
    <row r="194" spans="1:9" x14ac:dyDescent="0.3">
      <c r="A194">
        <v>2025</v>
      </c>
      <c r="B194" s="8">
        <v>13</v>
      </c>
      <c r="C194" s="20" t="s">
        <v>238</v>
      </c>
      <c r="D194" s="20" t="s">
        <v>20</v>
      </c>
      <c r="E194" s="22" t="s">
        <v>232</v>
      </c>
      <c r="F194" s="20" t="s">
        <v>232</v>
      </c>
      <c r="G194" s="22" t="s">
        <v>234</v>
      </c>
      <c r="H194" s="23">
        <v>2119.2799999999997</v>
      </c>
      <c r="I194" s="22">
        <v>2500</v>
      </c>
    </row>
    <row r="195" spans="1:9" x14ac:dyDescent="0.3">
      <c r="A195">
        <v>2025</v>
      </c>
      <c r="B195" s="8">
        <v>13</v>
      </c>
      <c r="C195" s="20" t="s">
        <v>23</v>
      </c>
      <c r="D195" s="20" t="s">
        <v>75</v>
      </c>
      <c r="E195" s="22" t="s">
        <v>241</v>
      </c>
      <c r="F195" s="20" t="s">
        <v>232</v>
      </c>
      <c r="G195" s="22" t="s">
        <v>234</v>
      </c>
      <c r="H195" s="23">
        <v>3121.86</v>
      </c>
      <c r="I195" s="22">
        <v>2500</v>
      </c>
    </row>
    <row r="196" spans="1:9" x14ac:dyDescent="0.3">
      <c r="A196">
        <v>2025</v>
      </c>
      <c r="B196" s="8">
        <v>13</v>
      </c>
      <c r="C196" s="20" t="s">
        <v>258</v>
      </c>
      <c r="D196" s="20" t="s">
        <v>40</v>
      </c>
      <c r="E196" s="22" t="s">
        <v>232</v>
      </c>
      <c r="F196" s="20" t="s">
        <v>232</v>
      </c>
      <c r="G196" s="22" t="s">
        <v>234</v>
      </c>
      <c r="H196" s="23">
        <v>-500</v>
      </c>
      <c r="I196" s="22">
        <v>2500</v>
      </c>
    </row>
    <row r="197" spans="1:9" x14ac:dyDescent="0.3">
      <c r="A197">
        <v>2025</v>
      </c>
      <c r="B197" s="8">
        <v>13</v>
      </c>
      <c r="C197" s="20" t="s">
        <v>264</v>
      </c>
      <c r="D197" s="20" t="s">
        <v>46</v>
      </c>
      <c r="E197" s="22" t="s">
        <v>232</v>
      </c>
      <c r="F197" s="20" t="s">
        <v>232</v>
      </c>
      <c r="G197" s="22" t="s">
        <v>234</v>
      </c>
      <c r="H197" s="23">
        <v>3071.0800000000008</v>
      </c>
      <c r="I197" s="22">
        <v>2500</v>
      </c>
    </row>
    <row r="198" spans="1:9" x14ac:dyDescent="0.3">
      <c r="A198">
        <v>2025</v>
      </c>
      <c r="B198" s="8">
        <v>13</v>
      </c>
      <c r="C198" s="20" t="s">
        <v>260</v>
      </c>
      <c r="D198" s="20" t="s">
        <v>81</v>
      </c>
      <c r="E198" s="22" t="s">
        <v>232</v>
      </c>
      <c r="F198" s="20" t="s">
        <v>232</v>
      </c>
      <c r="G198" s="22" t="s">
        <v>234</v>
      </c>
      <c r="H198" s="23">
        <v>2800</v>
      </c>
      <c r="I198" s="22">
        <v>2500</v>
      </c>
    </row>
    <row r="199" spans="1:9" x14ac:dyDescent="0.3">
      <c r="A199">
        <v>2025</v>
      </c>
      <c r="B199" s="8">
        <v>13</v>
      </c>
      <c r="C199" s="20" t="s">
        <v>72</v>
      </c>
      <c r="D199" s="20" t="s">
        <v>28</v>
      </c>
      <c r="E199" s="22" t="s">
        <v>232</v>
      </c>
      <c r="F199" s="20" t="s">
        <v>232</v>
      </c>
      <c r="G199" s="22" t="s">
        <v>234</v>
      </c>
      <c r="H199" s="23">
        <v>3000</v>
      </c>
      <c r="I199" s="22">
        <v>2500</v>
      </c>
    </row>
    <row r="200" spans="1:9" x14ac:dyDescent="0.3">
      <c r="A200">
        <v>2025</v>
      </c>
      <c r="B200" s="8">
        <v>13</v>
      </c>
      <c r="C200" s="20" t="s">
        <v>292</v>
      </c>
      <c r="D200" s="20" t="s">
        <v>52</v>
      </c>
      <c r="E200" s="22" t="s">
        <v>232</v>
      </c>
      <c r="F200" s="20" t="s">
        <v>232</v>
      </c>
      <c r="G200" s="22" t="s">
        <v>234</v>
      </c>
      <c r="H200" s="23">
        <v>2741</v>
      </c>
      <c r="I200" s="22">
        <v>2500</v>
      </c>
    </row>
    <row r="201" spans="1:9" x14ac:dyDescent="0.3">
      <c r="A201">
        <v>2025</v>
      </c>
      <c r="B201" s="8">
        <v>13</v>
      </c>
      <c r="C201" s="20" t="s">
        <v>105</v>
      </c>
      <c r="D201" s="20" t="s">
        <v>54</v>
      </c>
      <c r="E201" s="22" t="s">
        <v>232</v>
      </c>
      <c r="F201" s="20" t="s">
        <v>232</v>
      </c>
      <c r="G201" s="22" t="s">
        <v>234</v>
      </c>
      <c r="H201" s="23">
        <v>4732.9900000000016</v>
      </c>
      <c r="I201" s="22">
        <v>2500</v>
      </c>
    </row>
    <row r="202" spans="1:9" x14ac:dyDescent="0.3">
      <c r="A202">
        <v>2025</v>
      </c>
      <c r="B202" s="8">
        <v>13</v>
      </c>
      <c r="C202" s="20" t="s">
        <v>288</v>
      </c>
      <c r="D202" s="20" t="s">
        <v>56</v>
      </c>
      <c r="E202" s="22" t="s">
        <v>241</v>
      </c>
      <c r="F202" s="20" t="s">
        <v>232</v>
      </c>
      <c r="G202" s="22" t="s">
        <v>234</v>
      </c>
      <c r="H202" s="23">
        <v>2850</v>
      </c>
      <c r="I202" s="22">
        <v>2500</v>
      </c>
    </row>
    <row r="203" spans="1:9" x14ac:dyDescent="0.3">
      <c r="A203">
        <v>2025</v>
      </c>
      <c r="B203" s="8">
        <v>13</v>
      </c>
      <c r="C203" s="20" t="s">
        <v>244</v>
      </c>
      <c r="D203" s="20" t="s">
        <v>4</v>
      </c>
      <c r="E203" s="22" t="s">
        <v>232</v>
      </c>
      <c r="F203" s="20" t="s">
        <v>232</v>
      </c>
      <c r="G203" s="22" t="s">
        <v>234</v>
      </c>
      <c r="H203" s="23">
        <v>2500</v>
      </c>
      <c r="I203" s="22">
        <v>2500</v>
      </c>
    </row>
    <row r="204" spans="1:9" x14ac:dyDescent="0.3">
      <c r="A204">
        <v>2025</v>
      </c>
      <c r="B204" s="8">
        <v>13</v>
      </c>
      <c r="C204" s="20" t="s">
        <v>35</v>
      </c>
      <c r="D204" s="20" t="s">
        <v>34</v>
      </c>
      <c r="E204" s="22" t="s">
        <v>232</v>
      </c>
      <c r="F204" s="20" t="s">
        <v>232</v>
      </c>
      <c r="G204" s="22" t="s">
        <v>234</v>
      </c>
      <c r="H204" s="23">
        <v>1498.2200000000048</v>
      </c>
      <c r="I204" s="22">
        <v>2500</v>
      </c>
    </row>
    <row r="205" spans="1:9" x14ac:dyDescent="0.3">
      <c r="A205">
        <v>2025</v>
      </c>
      <c r="B205" s="8">
        <v>13</v>
      </c>
      <c r="C205" s="20" t="s">
        <v>37</v>
      </c>
      <c r="D205" s="20" t="s">
        <v>246</v>
      </c>
      <c r="E205" s="22" t="s">
        <v>232</v>
      </c>
      <c r="F205" s="20" t="s">
        <v>232</v>
      </c>
      <c r="G205" s="22" t="s">
        <v>234</v>
      </c>
      <c r="H205" s="23">
        <v>2500</v>
      </c>
      <c r="I205" s="22">
        <v>2500</v>
      </c>
    </row>
    <row r="206" spans="1:9" x14ac:dyDescent="0.3">
      <c r="A206">
        <v>2025</v>
      </c>
      <c r="B206" s="8">
        <v>13</v>
      </c>
      <c r="C206" s="20" t="s">
        <v>293</v>
      </c>
      <c r="D206" s="20" t="s">
        <v>63</v>
      </c>
      <c r="E206" s="20" t="s">
        <v>291</v>
      </c>
      <c r="F206" s="20" t="s">
        <v>232</v>
      </c>
      <c r="G206" s="22" t="s">
        <v>234</v>
      </c>
      <c r="H206" s="23">
        <v>3000</v>
      </c>
      <c r="I206" s="22">
        <v>2500</v>
      </c>
    </row>
    <row r="207" spans="1:9" x14ac:dyDescent="0.3">
      <c r="A207">
        <v>2025</v>
      </c>
      <c r="B207" s="8">
        <v>13</v>
      </c>
      <c r="C207" s="20" t="s">
        <v>45</v>
      </c>
      <c r="D207" s="20" t="s">
        <v>249</v>
      </c>
      <c r="E207" s="22" t="s">
        <v>232</v>
      </c>
      <c r="F207" s="20" t="s">
        <v>232</v>
      </c>
      <c r="G207" s="22" t="s">
        <v>234</v>
      </c>
      <c r="H207" s="23">
        <v>2300</v>
      </c>
      <c r="I207" s="22">
        <v>2500</v>
      </c>
    </row>
    <row r="208" spans="1:9" x14ac:dyDescent="0.3">
      <c r="A208">
        <v>2025</v>
      </c>
      <c r="B208" s="8">
        <v>13</v>
      </c>
      <c r="C208" s="20" t="s">
        <v>5</v>
      </c>
      <c r="D208" s="20" t="s">
        <v>50</v>
      </c>
      <c r="E208" s="22" t="s">
        <v>232</v>
      </c>
      <c r="F208" s="20" t="s">
        <v>232</v>
      </c>
      <c r="G208" s="22" t="s">
        <v>234</v>
      </c>
      <c r="H208" s="23">
        <v>3000</v>
      </c>
      <c r="I208" s="22">
        <v>2500</v>
      </c>
    </row>
    <row r="209" spans="1:9" x14ac:dyDescent="0.3">
      <c r="A209">
        <v>2025</v>
      </c>
      <c r="B209" s="8">
        <v>13</v>
      </c>
      <c r="C209" s="20" t="s">
        <v>252</v>
      </c>
      <c r="D209" s="20" t="s">
        <v>22</v>
      </c>
      <c r="E209" s="22" t="s">
        <v>232</v>
      </c>
      <c r="F209" s="20" t="s">
        <v>232</v>
      </c>
      <c r="G209" s="22" t="s">
        <v>234</v>
      </c>
      <c r="H209" s="23">
        <v>340.39999999999986</v>
      </c>
      <c r="I209" s="22">
        <v>2500</v>
      </c>
    </row>
    <row r="210" spans="1:9" x14ac:dyDescent="0.3">
      <c r="A210">
        <v>2025</v>
      </c>
      <c r="B210" s="8">
        <v>13</v>
      </c>
      <c r="C210" s="20" t="s">
        <v>294</v>
      </c>
      <c r="D210" s="20" t="s">
        <v>69</v>
      </c>
      <c r="E210" s="22" t="s">
        <v>241</v>
      </c>
      <c r="F210" s="20" t="s">
        <v>232</v>
      </c>
      <c r="G210" s="22" t="s">
        <v>234</v>
      </c>
      <c r="H210" s="23">
        <v>3000.9599999999991</v>
      </c>
      <c r="I210" s="22">
        <v>2500</v>
      </c>
    </row>
    <row r="211" spans="1:9" x14ac:dyDescent="0.3">
      <c r="A211">
        <v>2025</v>
      </c>
      <c r="B211" s="8">
        <v>14</v>
      </c>
      <c r="C211" s="20" t="s">
        <v>80</v>
      </c>
      <c r="D211" s="20" t="s">
        <v>230</v>
      </c>
      <c r="E211" s="22" t="s">
        <v>232</v>
      </c>
      <c r="F211" s="20" t="s">
        <v>232</v>
      </c>
      <c r="G211" s="22" t="s">
        <v>234</v>
      </c>
      <c r="H211" s="23">
        <v>2499.7200000000003</v>
      </c>
      <c r="I211" s="22">
        <v>2500</v>
      </c>
    </row>
    <row r="212" spans="1:9" x14ac:dyDescent="0.3">
      <c r="A212">
        <v>2025</v>
      </c>
      <c r="B212" s="8">
        <v>14</v>
      </c>
      <c r="C212" s="20" t="s">
        <v>238</v>
      </c>
      <c r="D212" s="20" t="s">
        <v>20</v>
      </c>
      <c r="E212" s="22" t="s">
        <v>232</v>
      </c>
      <c r="F212" s="20" t="s">
        <v>232</v>
      </c>
      <c r="G212" s="22" t="s">
        <v>234</v>
      </c>
      <c r="H212" s="23">
        <v>2761.0328000000009</v>
      </c>
      <c r="I212" s="22">
        <v>2500</v>
      </c>
    </row>
    <row r="213" spans="1:9" x14ac:dyDescent="0.3">
      <c r="A213">
        <v>2025</v>
      </c>
      <c r="B213" s="8">
        <v>14</v>
      </c>
      <c r="C213" s="20" t="s">
        <v>23</v>
      </c>
      <c r="D213" s="20" t="s">
        <v>75</v>
      </c>
      <c r="E213" s="22" t="s">
        <v>241</v>
      </c>
      <c r="F213" s="20" t="s">
        <v>232</v>
      </c>
      <c r="G213" s="22" t="s">
        <v>234</v>
      </c>
      <c r="H213" s="23">
        <v>3400.2800000000025</v>
      </c>
      <c r="I213" s="22">
        <v>2500</v>
      </c>
    </row>
    <row r="214" spans="1:9" x14ac:dyDescent="0.3">
      <c r="A214">
        <v>2025</v>
      </c>
      <c r="B214" s="8">
        <v>14</v>
      </c>
      <c r="C214" s="20" t="s">
        <v>258</v>
      </c>
      <c r="D214" s="20" t="s">
        <v>40</v>
      </c>
      <c r="E214" s="22" t="s">
        <v>232</v>
      </c>
      <c r="F214" s="20" t="s">
        <v>232</v>
      </c>
      <c r="G214" s="22" t="s">
        <v>234</v>
      </c>
      <c r="H214" s="23">
        <v>0</v>
      </c>
      <c r="I214" s="22">
        <v>2500</v>
      </c>
    </row>
    <row r="215" spans="1:9" x14ac:dyDescent="0.3">
      <c r="A215">
        <v>2025</v>
      </c>
      <c r="B215" s="8">
        <v>14</v>
      </c>
      <c r="C215" s="20" t="s">
        <v>264</v>
      </c>
      <c r="D215" s="20" t="s">
        <v>46</v>
      </c>
      <c r="E215" s="22" t="s">
        <v>232</v>
      </c>
      <c r="F215" s="20" t="s">
        <v>232</v>
      </c>
      <c r="G215" s="22" t="s">
        <v>234</v>
      </c>
      <c r="H215" s="23">
        <v>2090.62</v>
      </c>
      <c r="I215" s="22">
        <v>2500</v>
      </c>
    </row>
    <row r="216" spans="1:9" x14ac:dyDescent="0.3">
      <c r="A216">
        <v>2025</v>
      </c>
      <c r="B216" s="8">
        <v>14</v>
      </c>
      <c r="C216" s="20" t="s">
        <v>260</v>
      </c>
      <c r="D216" s="20" t="s">
        <v>81</v>
      </c>
      <c r="E216" s="22" t="s">
        <v>232</v>
      </c>
      <c r="F216" s="20" t="s">
        <v>232</v>
      </c>
      <c r="G216" s="22" t="s">
        <v>234</v>
      </c>
      <c r="H216" s="23">
        <v>2500</v>
      </c>
      <c r="I216" s="22">
        <v>2500</v>
      </c>
    </row>
    <row r="217" spans="1:9" x14ac:dyDescent="0.3">
      <c r="A217">
        <v>2025</v>
      </c>
      <c r="B217" s="8">
        <v>14</v>
      </c>
      <c r="C217" s="20" t="s">
        <v>72</v>
      </c>
      <c r="D217" s="20" t="s">
        <v>28</v>
      </c>
      <c r="E217" s="22" t="s">
        <v>232</v>
      </c>
      <c r="F217" s="20" t="s">
        <v>232</v>
      </c>
      <c r="G217" s="22" t="s">
        <v>234</v>
      </c>
      <c r="H217" s="23">
        <v>3100</v>
      </c>
      <c r="I217" s="22">
        <v>2500</v>
      </c>
    </row>
    <row r="218" spans="1:9" x14ac:dyDescent="0.3">
      <c r="A218">
        <v>2025</v>
      </c>
      <c r="B218" s="8">
        <v>14</v>
      </c>
      <c r="C218" s="20" t="s">
        <v>292</v>
      </c>
      <c r="D218" s="20" t="s">
        <v>52</v>
      </c>
      <c r="E218" s="22" t="s">
        <v>232</v>
      </c>
      <c r="F218" s="20" t="s">
        <v>232</v>
      </c>
      <c r="G218" s="22" t="s">
        <v>234</v>
      </c>
      <c r="H218" s="23">
        <v>2500</v>
      </c>
      <c r="I218" s="22">
        <v>2500</v>
      </c>
    </row>
    <row r="219" spans="1:9" x14ac:dyDescent="0.3">
      <c r="A219">
        <v>2025</v>
      </c>
      <c r="B219" s="8">
        <v>14</v>
      </c>
      <c r="C219" s="20" t="s">
        <v>105</v>
      </c>
      <c r="D219" s="20" t="s">
        <v>54</v>
      </c>
      <c r="E219" s="22" t="s">
        <v>232</v>
      </c>
      <c r="F219" s="20" t="s">
        <v>232</v>
      </c>
      <c r="G219" s="22" t="s">
        <v>234</v>
      </c>
      <c r="H219" s="23">
        <v>1540.52</v>
      </c>
      <c r="I219" s="22">
        <v>2500</v>
      </c>
    </row>
    <row r="220" spans="1:9" x14ac:dyDescent="0.3">
      <c r="A220">
        <v>2025</v>
      </c>
      <c r="B220" s="8">
        <v>14</v>
      </c>
      <c r="C220" s="20" t="s">
        <v>288</v>
      </c>
      <c r="D220" s="20" t="s">
        <v>56</v>
      </c>
      <c r="E220" s="22" t="s">
        <v>241</v>
      </c>
      <c r="F220" s="20" t="s">
        <v>232</v>
      </c>
      <c r="G220" s="22" t="s">
        <v>234</v>
      </c>
      <c r="H220" s="23">
        <v>2350</v>
      </c>
      <c r="I220" s="22">
        <v>2500</v>
      </c>
    </row>
    <row r="221" spans="1:9" x14ac:dyDescent="0.3">
      <c r="A221">
        <v>2025</v>
      </c>
      <c r="B221" s="8">
        <v>14</v>
      </c>
      <c r="C221" s="20" t="s">
        <v>244</v>
      </c>
      <c r="D221" s="20" t="s">
        <v>4</v>
      </c>
      <c r="E221" s="22" t="s">
        <v>232</v>
      </c>
      <c r="F221" s="20" t="s">
        <v>232</v>
      </c>
      <c r="G221" s="22" t="s">
        <v>234</v>
      </c>
      <c r="H221" s="23">
        <v>2500</v>
      </c>
      <c r="I221" s="22">
        <v>2500</v>
      </c>
    </row>
    <row r="222" spans="1:9" x14ac:dyDescent="0.3">
      <c r="A222">
        <v>2025</v>
      </c>
      <c r="B222" s="8">
        <v>14</v>
      </c>
      <c r="C222" s="20" t="s">
        <v>35</v>
      </c>
      <c r="D222" s="20" t="s">
        <v>34</v>
      </c>
      <c r="E222" s="22" t="s">
        <v>232</v>
      </c>
      <c r="F222" s="20" t="s">
        <v>232</v>
      </c>
      <c r="G222" s="22" t="s">
        <v>234</v>
      </c>
      <c r="H222" s="23">
        <v>2700.89</v>
      </c>
      <c r="I222" s="22">
        <v>2500</v>
      </c>
    </row>
    <row r="223" spans="1:9" x14ac:dyDescent="0.3">
      <c r="A223">
        <v>2025</v>
      </c>
      <c r="B223" s="8">
        <v>14</v>
      </c>
      <c r="C223" s="20" t="s">
        <v>37</v>
      </c>
      <c r="D223" s="20" t="s">
        <v>246</v>
      </c>
      <c r="E223" s="22" t="s">
        <v>232</v>
      </c>
      <c r="F223" s="20" t="s">
        <v>232</v>
      </c>
      <c r="G223" s="22" t="s">
        <v>234</v>
      </c>
      <c r="H223" s="23">
        <v>2421</v>
      </c>
      <c r="I223" s="22">
        <v>2500</v>
      </c>
    </row>
    <row r="224" spans="1:9" x14ac:dyDescent="0.3">
      <c r="A224">
        <v>2025</v>
      </c>
      <c r="B224" s="8">
        <v>14</v>
      </c>
      <c r="C224" s="20" t="s">
        <v>293</v>
      </c>
      <c r="D224" s="20" t="s">
        <v>63</v>
      </c>
      <c r="E224" s="20" t="s">
        <v>291</v>
      </c>
      <c r="F224" s="20" t="s">
        <v>232</v>
      </c>
      <c r="G224" s="22" t="s">
        <v>234</v>
      </c>
      <c r="H224" s="23">
        <v>2750</v>
      </c>
      <c r="I224" s="22">
        <v>2500</v>
      </c>
    </row>
    <row r="225" spans="1:9" x14ac:dyDescent="0.3">
      <c r="A225">
        <v>2025</v>
      </c>
      <c r="B225" s="8">
        <v>14</v>
      </c>
      <c r="C225" s="20" t="s">
        <v>45</v>
      </c>
      <c r="D225" s="20" t="s">
        <v>249</v>
      </c>
      <c r="E225" s="22" t="s">
        <v>232</v>
      </c>
      <c r="F225" s="20" t="s">
        <v>232</v>
      </c>
      <c r="G225" s="22" t="s">
        <v>234</v>
      </c>
      <c r="H225" s="23">
        <v>2300</v>
      </c>
      <c r="I225" s="22">
        <v>2500</v>
      </c>
    </row>
    <row r="226" spans="1:9" x14ac:dyDescent="0.3">
      <c r="A226">
        <v>2025</v>
      </c>
      <c r="B226" s="8">
        <v>14</v>
      </c>
      <c r="C226" s="20" t="s">
        <v>5</v>
      </c>
      <c r="D226" s="20" t="s">
        <v>50</v>
      </c>
      <c r="E226" s="22" t="s">
        <v>232</v>
      </c>
      <c r="F226" s="20" t="s">
        <v>232</v>
      </c>
      <c r="G226" s="22" t="s">
        <v>234</v>
      </c>
      <c r="H226" s="23">
        <v>2500</v>
      </c>
      <c r="I226" s="22">
        <v>2500</v>
      </c>
    </row>
    <row r="227" spans="1:9" x14ac:dyDescent="0.3">
      <c r="A227">
        <v>2025</v>
      </c>
      <c r="B227" s="8">
        <v>14</v>
      </c>
      <c r="C227" s="20" t="s">
        <v>294</v>
      </c>
      <c r="D227" s="20" t="s">
        <v>69</v>
      </c>
      <c r="E227" s="22" t="s">
        <v>241</v>
      </c>
      <c r="F227" s="20" t="s">
        <v>232</v>
      </c>
      <c r="G227" s="22" t="s">
        <v>234</v>
      </c>
      <c r="H227" s="23">
        <v>2800</v>
      </c>
      <c r="I227" s="22">
        <v>2500</v>
      </c>
    </row>
    <row r="228" spans="1:9" x14ac:dyDescent="0.3">
      <c r="A228">
        <v>2025</v>
      </c>
      <c r="B228" s="8">
        <v>15</v>
      </c>
      <c r="C228" s="20" t="s">
        <v>80</v>
      </c>
      <c r="D228" s="20" t="s">
        <v>230</v>
      </c>
      <c r="E228" s="22" t="s">
        <v>232</v>
      </c>
      <c r="F228" s="20" t="s">
        <v>232</v>
      </c>
      <c r="G228" s="22" t="s">
        <v>234</v>
      </c>
      <c r="H228" s="23">
        <v>2500</v>
      </c>
      <c r="I228" s="22">
        <v>2500</v>
      </c>
    </row>
    <row r="229" spans="1:9" x14ac:dyDescent="0.3">
      <c r="A229">
        <v>2025</v>
      </c>
      <c r="B229" s="8">
        <v>15</v>
      </c>
      <c r="C229" s="20" t="s">
        <v>238</v>
      </c>
      <c r="D229" s="20" t="s">
        <v>20</v>
      </c>
      <c r="E229" s="22" t="s">
        <v>232</v>
      </c>
      <c r="F229" s="20" t="s">
        <v>232</v>
      </c>
      <c r="G229" s="22" t="s">
        <v>234</v>
      </c>
      <c r="H229" s="23">
        <v>2569</v>
      </c>
      <c r="I229" s="22">
        <v>2500</v>
      </c>
    </row>
    <row r="230" spans="1:9" x14ac:dyDescent="0.3">
      <c r="A230">
        <v>2025</v>
      </c>
      <c r="B230" s="8">
        <v>15</v>
      </c>
      <c r="C230" s="20" t="s">
        <v>23</v>
      </c>
      <c r="D230" s="20" t="s">
        <v>75</v>
      </c>
      <c r="E230" s="22" t="s">
        <v>241</v>
      </c>
      <c r="F230" s="20" t="s">
        <v>232</v>
      </c>
      <c r="G230" s="22" t="s">
        <v>234</v>
      </c>
      <c r="H230" s="23">
        <v>2990</v>
      </c>
      <c r="I230" s="22">
        <v>2500</v>
      </c>
    </row>
    <row r="231" spans="1:9" x14ac:dyDescent="0.3">
      <c r="A231">
        <v>2025</v>
      </c>
      <c r="B231" s="8">
        <v>15</v>
      </c>
      <c r="C231" s="20" t="s">
        <v>299</v>
      </c>
      <c r="D231" s="20" t="s">
        <v>40</v>
      </c>
      <c r="E231" s="22" t="s">
        <v>232</v>
      </c>
      <c r="F231" s="20" t="s">
        <v>232</v>
      </c>
      <c r="G231" s="22" t="s">
        <v>234</v>
      </c>
      <c r="H231" s="23">
        <v>3471</v>
      </c>
      <c r="I231" s="22">
        <v>2500</v>
      </c>
    </row>
    <row r="232" spans="1:9" x14ac:dyDescent="0.3">
      <c r="A232">
        <v>2025</v>
      </c>
      <c r="B232" s="8">
        <v>15</v>
      </c>
      <c r="C232" s="20" t="s">
        <v>258</v>
      </c>
      <c r="D232" s="20" t="s">
        <v>40</v>
      </c>
      <c r="E232" s="22" t="s">
        <v>232</v>
      </c>
      <c r="F232" s="20" t="s">
        <v>232</v>
      </c>
      <c r="G232" s="22" t="s">
        <v>234</v>
      </c>
      <c r="H232" s="23">
        <v>0</v>
      </c>
      <c r="I232" s="22">
        <v>2500</v>
      </c>
    </row>
    <row r="233" spans="1:9" x14ac:dyDescent="0.3">
      <c r="A233">
        <v>2025</v>
      </c>
      <c r="B233" s="8">
        <v>15</v>
      </c>
      <c r="C233" s="20" t="s">
        <v>264</v>
      </c>
      <c r="D233" s="20" t="s">
        <v>46</v>
      </c>
      <c r="E233" s="22" t="s">
        <v>232</v>
      </c>
      <c r="F233" s="20" t="s">
        <v>232</v>
      </c>
      <c r="G233" s="22" t="s">
        <v>234</v>
      </c>
      <c r="H233" s="23">
        <v>3725</v>
      </c>
      <c r="I233" s="22">
        <v>2500</v>
      </c>
    </row>
    <row r="234" spans="1:9" x14ac:dyDescent="0.3">
      <c r="A234">
        <v>2025</v>
      </c>
      <c r="B234" s="8">
        <v>15</v>
      </c>
      <c r="C234" s="20" t="s">
        <v>260</v>
      </c>
      <c r="D234" s="20" t="s">
        <v>81</v>
      </c>
      <c r="E234" s="22" t="s">
        <v>232</v>
      </c>
      <c r="F234" s="20" t="s">
        <v>232</v>
      </c>
      <c r="G234" s="22" t="s">
        <v>234</v>
      </c>
      <c r="H234" s="23">
        <v>2500</v>
      </c>
      <c r="I234" s="22">
        <v>2500</v>
      </c>
    </row>
    <row r="235" spans="1:9" x14ac:dyDescent="0.3">
      <c r="A235">
        <v>2025</v>
      </c>
      <c r="B235" s="8">
        <v>15</v>
      </c>
      <c r="C235" s="20" t="s">
        <v>72</v>
      </c>
      <c r="D235" s="20" t="s">
        <v>28</v>
      </c>
      <c r="E235" s="22" t="s">
        <v>232</v>
      </c>
      <c r="F235" s="20" t="s">
        <v>232</v>
      </c>
      <c r="G235" s="22" t="s">
        <v>234</v>
      </c>
      <c r="H235" s="23">
        <v>4639.75</v>
      </c>
      <c r="I235" s="22">
        <v>2500</v>
      </c>
    </row>
    <row r="236" spans="1:9" x14ac:dyDescent="0.3">
      <c r="A236">
        <v>2025</v>
      </c>
      <c r="B236" s="8">
        <v>15</v>
      </c>
      <c r="C236" s="20" t="s">
        <v>292</v>
      </c>
      <c r="D236" s="20" t="s">
        <v>52</v>
      </c>
      <c r="E236" s="22" t="s">
        <v>232</v>
      </c>
      <c r="F236" s="20" t="s">
        <v>232</v>
      </c>
      <c r="G236" s="22" t="s">
        <v>234</v>
      </c>
      <c r="H236" s="23">
        <v>3000</v>
      </c>
      <c r="I236" s="22">
        <v>2500</v>
      </c>
    </row>
    <row r="237" spans="1:9" x14ac:dyDescent="0.3">
      <c r="A237">
        <v>2025</v>
      </c>
      <c r="B237" s="8">
        <v>15</v>
      </c>
      <c r="C237" s="20" t="s">
        <v>105</v>
      </c>
      <c r="D237" s="20" t="s">
        <v>54</v>
      </c>
      <c r="E237" s="22" t="s">
        <v>232</v>
      </c>
      <c r="F237" s="20" t="s">
        <v>232</v>
      </c>
      <c r="G237" s="22" t="s">
        <v>234</v>
      </c>
      <c r="H237" s="23">
        <v>450</v>
      </c>
      <c r="I237" s="22">
        <v>2500</v>
      </c>
    </row>
    <row r="238" spans="1:9" x14ac:dyDescent="0.3">
      <c r="A238">
        <v>2025</v>
      </c>
      <c r="B238" s="8">
        <v>15</v>
      </c>
      <c r="C238" s="20" t="s">
        <v>105</v>
      </c>
      <c r="D238" s="20" t="s">
        <v>54</v>
      </c>
      <c r="E238" s="22" t="s">
        <v>232</v>
      </c>
      <c r="F238" s="20" t="s">
        <v>232</v>
      </c>
      <c r="G238" s="22" t="s">
        <v>234</v>
      </c>
      <c r="H238" s="23">
        <v>2</v>
      </c>
      <c r="I238" s="22"/>
    </row>
    <row r="239" spans="1:9" x14ac:dyDescent="0.3">
      <c r="A239">
        <v>2025</v>
      </c>
      <c r="B239" s="8">
        <v>15</v>
      </c>
      <c r="C239" s="20" t="s">
        <v>288</v>
      </c>
      <c r="D239" s="20" t="s">
        <v>56</v>
      </c>
      <c r="E239" s="22" t="s">
        <v>241</v>
      </c>
      <c r="F239" s="20" t="s">
        <v>232</v>
      </c>
      <c r="G239" s="22" t="s">
        <v>234</v>
      </c>
      <c r="H239" s="23">
        <v>2350</v>
      </c>
      <c r="I239" s="22">
        <v>2500</v>
      </c>
    </row>
    <row r="240" spans="1:9" x14ac:dyDescent="0.3">
      <c r="A240">
        <v>2025</v>
      </c>
      <c r="B240" s="8">
        <v>15</v>
      </c>
      <c r="C240" s="20" t="s">
        <v>244</v>
      </c>
      <c r="D240" s="20" t="s">
        <v>4</v>
      </c>
      <c r="E240" s="22" t="s">
        <v>232</v>
      </c>
      <c r="F240" s="20" t="s">
        <v>232</v>
      </c>
      <c r="G240" s="22" t="s">
        <v>234</v>
      </c>
      <c r="H240" s="23">
        <v>-314</v>
      </c>
      <c r="I240" s="22">
        <v>2500</v>
      </c>
    </row>
    <row r="241" spans="1:9" x14ac:dyDescent="0.3">
      <c r="A241">
        <v>2025</v>
      </c>
      <c r="B241" s="8">
        <v>15</v>
      </c>
      <c r="C241" s="20" t="s">
        <v>35</v>
      </c>
      <c r="D241" s="20" t="s">
        <v>34</v>
      </c>
      <c r="E241" s="22" t="s">
        <v>232</v>
      </c>
      <c r="F241" s="20" t="s">
        <v>232</v>
      </c>
      <c r="G241" s="22" t="s">
        <v>234</v>
      </c>
      <c r="H241" s="23">
        <v>2118</v>
      </c>
      <c r="I241" s="22">
        <v>2500</v>
      </c>
    </row>
    <row r="242" spans="1:9" x14ac:dyDescent="0.3">
      <c r="A242">
        <v>2025</v>
      </c>
      <c r="B242" s="8">
        <v>15</v>
      </c>
      <c r="C242" s="20" t="s">
        <v>37</v>
      </c>
      <c r="D242" s="20" t="s">
        <v>246</v>
      </c>
      <c r="E242" s="22" t="s">
        <v>232</v>
      </c>
      <c r="F242" s="20" t="s">
        <v>232</v>
      </c>
      <c r="G242" s="22" t="s">
        <v>234</v>
      </c>
      <c r="H242" s="23">
        <v>2500</v>
      </c>
      <c r="I242" s="22">
        <v>2500</v>
      </c>
    </row>
    <row r="243" spans="1:9" x14ac:dyDescent="0.3">
      <c r="A243">
        <v>2025</v>
      </c>
      <c r="B243" s="8">
        <v>15</v>
      </c>
      <c r="C243" s="20" t="s">
        <v>293</v>
      </c>
      <c r="D243" s="20" t="s">
        <v>63</v>
      </c>
      <c r="E243" s="20" t="s">
        <v>291</v>
      </c>
      <c r="F243" s="20" t="s">
        <v>232</v>
      </c>
      <c r="G243" s="22" t="s">
        <v>234</v>
      </c>
      <c r="H243" s="23">
        <v>3000</v>
      </c>
      <c r="I243" s="22">
        <v>2500</v>
      </c>
    </row>
    <row r="244" spans="1:9" x14ac:dyDescent="0.3">
      <c r="A244">
        <v>2025</v>
      </c>
      <c r="B244" s="8">
        <v>15</v>
      </c>
      <c r="C244" s="20" t="s">
        <v>45</v>
      </c>
      <c r="D244" s="20" t="s">
        <v>249</v>
      </c>
      <c r="E244" s="22" t="s">
        <v>232</v>
      </c>
      <c r="F244" s="20" t="s">
        <v>232</v>
      </c>
      <c r="G244" s="22" t="s">
        <v>234</v>
      </c>
      <c r="H244" s="23">
        <v>2300</v>
      </c>
      <c r="I244" s="22">
        <v>2500</v>
      </c>
    </row>
    <row r="245" spans="1:9" x14ac:dyDescent="0.3">
      <c r="A245">
        <v>2025</v>
      </c>
      <c r="B245" s="8">
        <v>15</v>
      </c>
      <c r="C245" s="20" t="s">
        <v>5</v>
      </c>
      <c r="D245" s="20" t="s">
        <v>50</v>
      </c>
      <c r="E245" s="22" t="s">
        <v>232</v>
      </c>
      <c r="F245" s="20" t="s">
        <v>232</v>
      </c>
      <c r="G245" s="22" t="s">
        <v>234</v>
      </c>
      <c r="H245" s="23">
        <v>3000</v>
      </c>
      <c r="I245" s="22">
        <v>2500</v>
      </c>
    </row>
    <row r="246" spans="1:9" x14ac:dyDescent="0.3">
      <c r="A246">
        <v>2025</v>
      </c>
      <c r="B246" s="8">
        <v>15</v>
      </c>
      <c r="C246" s="20" t="s">
        <v>294</v>
      </c>
      <c r="D246" s="20" t="s">
        <v>69</v>
      </c>
      <c r="E246" s="22" t="s">
        <v>241</v>
      </c>
      <c r="F246" s="20" t="s">
        <v>232</v>
      </c>
      <c r="G246" s="22" t="s">
        <v>234</v>
      </c>
      <c r="H246" s="23">
        <v>2700</v>
      </c>
      <c r="I246" s="22">
        <v>2500</v>
      </c>
    </row>
    <row r="247" spans="1:9" x14ac:dyDescent="0.3">
      <c r="A247">
        <v>2025</v>
      </c>
      <c r="B247" s="8">
        <v>16</v>
      </c>
      <c r="C247" s="20" t="s">
        <v>80</v>
      </c>
      <c r="D247" s="20" t="s">
        <v>230</v>
      </c>
      <c r="E247" s="22" t="s">
        <v>232</v>
      </c>
      <c r="F247" s="20" t="s">
        <v>232</v>
      </c>
      <c r="G247" s="22" t="s">
        <v>234</v>
      </c>
      <c r="H247" s="23">
        <v>2500</v>
      </c>
      <c r="I247" s="22">
        <v>2500</v>
      </c>
    </row>
    <row r="248" spans="1:9" x14ac:dyDescent="0.3">
      <c r="A248">
        <v>2025</v>
      </c>
      <c r="B248" s="8">
        <v>16</v>
      </c>
      <c r="C248" s="20" t="s">
        <v>238</v>
      </c>
      <c r="D248" s="20" t="s">
        <v>20</v>
      </c>
      <c r="E248" s="22" t="s">
        <v>232</v>
      </c>
      <c r="F248" s="20" t="s">
        <v>232</v>
      </c>
      <c r="G248" s="22" t="s">
        <v>234</v>
      </c>
      <c r="H248" s="23">
        <v>2449</v>
      </c>
      <c r="I248" s="22">
        <v>2500</v>
      </c>
    </row>
    <row r="249" spans="1:9" x14ac:dyDescent="0.3">
      <c r="A249">
        <v>2025</v>
      </c>
      <c r="B249" s="8">
        <v>16</v>
      </c>
      <c r="C249" s="20" t="s">
        <v>23</v>
      </c>
      <c r="D249" s="20" t="s">
        <v>22</v>
      </c>
      <c r="E249" s="22" t="s">
        <v>232</v>
      </c>
      <c r="F249" s="20" t="s">
        <v>232</v>
      </c>
      <c r="G249" s="22" t="s">
        <v>234</v>
      </c>
      <c r="H249" s="23">
        <v>2991</v>
      </c>
      <c r="I249" s="22">
        <v>2500</v>
      </c>
    </row>
    <row r="250" spans="1:9" x14ac:dyDescent="0.3">
      <c r="A250">
        <v>2025</v>
      </c>
      <c r="B250" s="8">
        <v>16</v>
      </c>
      <c r="C250" s="20" t="s">
        <v>299</v>
      </c>
      <c r="D250" s="20" t="s">
        <v>40</v>
      </c>
      <c r="E250" s="22" t="s">
        <v>232</v>
      </c>
      <c r="F250" s="20" t="s">
        <v>232</v>
      </c>
      <c r="G250" s="22" t="s">
        <v>234</v>
      </c>
      <c r="H250" s="23">
        <v>3300</v>
      </c>
      <c r="I250" s="22">
        <v>2500</v>
      </c>
    </row>
    <row r="251" spans="1:9" x14ac:dyDescent="0.3">
      <c r="A251">
        <v>2025</v>
      </c>
      <c r="B251" s="8">
        <v>16</v>
      </c>
      <c r="C251" s="20" t="s">
        <v>258</v>
      </c>
      <c r="D251" s="20" t="s">
        <v>40</v>
      </c>
      <c r="E251" s="22" t="s">
        <v>232</v>
      </c>
      <c r="F251" s="20" t="s">
        <v>232</v>
      </c>
      <c r="G251" s="22" t="s">
        <v>234</v>
      </c>
      <c r="H251" s="23">
        <v>-500</v>
      </c>
      <c r="I251" s="22">
        <v>2500</v>
      </c>
    </row>
    <row r="252" spans="1:9" x14ac:dyDescent="0.3">
      <c r="A252">
        <v>2025</v>
      </c>
      <c r="B252" s="8">
        <v>16</v>
      </c>
      <c r="C252" s="20" t="s">
        <v>264</v>
      </c>
      <c r="D252" s="20" t="s">
        <v>46</v>
      </c>
      <c r="E252" s="22" t="s">
        <v>232</v>
      </c>
      <c r="F252" s="20" t="s">
        <v>232</v>
      </c>
      <c r="G252" s="22" t="s">
        <v>234</v>
      </c>
      <c r="H252" s="23">
        <v>-1729</v>
      </c>
      <c r="I252" s="22">
        <v>2500</v>
      </c>
    </row>
    <row r="253" spans="1:9" x14ac:dyDescent="0.3">
      <c r="A253">
        <v>2025</v>
      </c>
      <c r="B253" s="8">
        <v>16</v>
      </c>
      <c r="C253" s="20" t="s">
        <v>260</v>
      </c>
      <c r="D253" s="20" t="s">
        <v>81</v>
      </c>
      <c r="E253" s="22" t="s">
        <v>232</v>
      </c>
      <c r="F253" s="20" t="s">
        <v>232</v>
      </c>
      <c r="G253" s="22" t="s">
        <v>234</v>
      </c>
      <c r="H253" s="23">
        <v>2500</v>
      </c>
      <c r="I253" s="22">
        <v>2500</v>
      </c>
    </row>
    <row r="254" spans="1:9" x14ac:dyDescent="0.3">
      <c r="A254">
        <v>2025</v>
      </c>
      <c r="B254" s="8">
        <v>16</v>
      </c>
      <c r="C254" s="20" t="s">
        <v>72</v>
      </c>
      <c r="D254" s="20" t="s">
        <v>54</v>
      </c>
      <c r="E254" s="22" t="s">
        <v>232</v>
      </c>
      <c r="F254" s="20" t="s">
        <v>232</v>
      </c>
      <c r="G254" s="22" t="s">
        <v>234</v>
      </c>
      <c r="H254" s="23">
        <v>4461</v>
      </c>
      <c r="I254" s="22">
        <v>2500</v>
      </c>
    </row>
    <row r="255" spans="1:9" x14ac:dyDescent="0.3">
      <c r="A255">
        <v>2025</v>
      </c>
      <c r="B255" s="8">
        <v>16</v>
      </c>
      <c r="C255" s="20" t="s">
        <v>292</v>
      </c>
      <c r="D255" s="20" t="s">
        <v>52</v>
      </c>
      <c r="E255" s="22" t="s">
        <v>232</v>
      </c>
      <c r="F255" s="20" t="s">
        <v>232</v>
      </c>
      <c r="G255" s="22" t="s">
        <v>234</v>
      </c>
      <c r="H255" s="23">
        <v>2935</v>
      </c>
      <c r="I255" s="22">
        <v>2500</v>
      </c>
    </row>
    <row r="256" spans="1:9" x14ac:dyDescent="0.3">
      <c r="A256">
        <v>2025</v>
      </c>
      <c r="B256" s="8">
        <v>16</v>
      </c>
      <c r="C256" s="20" t="s">
        <v>105</v>
      </c>
      <c r="D256" s="20" t="s">
        <v>75</v>
      </c>
      <c r="E256" s="22" t="s">
        <v>241</v>
      </c>
      <c r="F256" s="20" t="s">
        <v>232</v>
      </c>
      <c r="G256" s="22" t="s">
        <v>234</v>
      </c>
      <c r="H256" s="23">
        <v>4030</v>
      </c>
      <c r="I256" s="22">
        <v>2500</v>
      </c>
    </row>
    <row r="257" spans="1:9" x14ac:dyDescent="0.3">
      <c r="A257">
        <v>2025</v>
      </c>
      <c r="B257" s="8">
        <v>16</v>
      </c>
      <c r="C257" s="20" t="s">
        <v>288</v>
      </c>
      <c r="D257" s="20" t="s">
        <v>56</v>
      </c>
      <c r="E257" s="22" t="s">
        <v>241</v>
      </c>
      <c r="F257" s="20" t="s">
        <v>232</v>
      </c>
      <c r="G257" s="22" t="s">
        <v>234</v>
      </c>
      <c r="H257" s="23">
        <v>2850</v>
      </c>
      <c r="I257" s="22">
        <v>2500</v>
      </c>
    </row>
    <row r="258" spans="1:9" x14ac:dyDescent="0.3">
      <c r="A258">
        <v>2025</v>
      </c>
      <c r="B258" s="8">
        <v>16</v>
      </c>
      <c r="C258" s="20" t="s">
        <v>244</v>
      </c>
      <c r="D258" s="20" t="s">
        <v>4</v>
      </c>
      <c r="E258" s="22" t="s">
        <v>232</v>
      </c>
      <c r="F258" s="20" t="s">
        <v>232</v>
      </c>
      <c r="G258" s="22" t="s">
        <v>234</v>
      </c>
      <c r="H258" s="23">
        <v>-1009</v>
      </c>
      <c r="I258" s="22">
        <v>2500</v>
      </c>
    </row>
    <row r="259" spans="1:9" x14ac:dyDescent="0.3">
      <c r="A259">
        <v>2025</v>
      </c>
      <c r="B259" s="8">
        <v>16</v>
      </c>
      <c r="C259" s="20" t="s">
        <v>35</v>
      </c>
      <c r="D259" s="20" t="s">
        <v>34</v>
      </c>
      <c r="E259" s="22" t="s">
        <v>232</v>
      </c>
      <c r="F259" s="20" t="s">
        <v>232</v>
      </c>
      <c r="G259" s="22" t="s">
        <v>234</v>
      </c>
      <c r="H259" s="23">
        <v>2691</v>
      </c>
      <c r="I259" s="22">
        <v>2500</v>
      </c>
    </row>
    <row r="260" spans="1:9" x14ac:dyDescent="0.3">
      <c r="A260">
        <v>2025</v>
      </c>
      <c r="B260" s="8">
        <v>16</v>
      </c>
      <c r="C260" s="20" t="s">
        <v>37</v>
      </c>
      <c r="D260" s="20" t="s">
        <v>246</v>
      </c>
      <c r="E260" s="22" t="s">
        <v>232</v>
      </c>
      <c r="F260" s="20" t="s">
        <v>232</v>
      </c>
      <c r="G260" s="22" t="s">
        <v>234</v>
      </c>
      <c r="H260" s="23">
        <v>2994</v>
      </c>
      <c r="I260" s="22">
        <v>2500</v>
      </c>
    </row>
    <row r="261" spans="1:9" x14ac:dyDescent="0.3">
      <c r="A261">
        <v>2025</v>
      </c>
      <c r="B261" s="8">
        <v>16</v>
      </c>
      <c r="C261" s="20" t="s">
        <v>293</v>
      </c>
      <c r="D261" s="20" t="s">
        <v>63</v>
      </c>
      <c r="E261" s="20" t="s">
        <v>291</v>
      </c>
      <c r="F261" s="20" t="s">
        <v>232</v>
      </c>
      <c r="G261" s="22" t="s">
        <v>234</v>
      </c>
      <c r="H261" s="23">
        <v>3076</v>
      </c>
      <c r="I261" s="22">
        <v>2500</v>
      </c>
    </row>
    <row r="262" spans="1:9" x14ac:dyDescent="0.3">
      <c r="A262">
        <v>2025</v>
      </c>
      <c r="B262" s="8">
        <v>16</v>
      </c>
      <c r="C262" s="20" t="s">
        <v>45</v>
      </c>
      <c r="D262" s="20" t="s">
        <v>249</v>
      </c>
      <c r="E262" s="22" t="s">
        <v>232</v>
      </c>
      <c r="F262" s="20" t="s">
        <v>232</v>
      </c>
      <c r="G262" s="22" t="s">
        <v>234</v>
      </c>
      <c r="H262" s="23">
        <v>2300</v>
      </c>
      <c r="I262" s="22">
        <v>2500</v>
      </c>
    </row>
    <row r="263" spans="1:9" x14ac:dyDescent="0.3">
      <c r="A263">
        <v>2025</v>
      </c>
      <c r="B263" s="8">
        <v>16</v>
      </c>
      <c r="C263" s="20" t="s">
        <v>5</v>
      </c>
      <c r="D263" s="20" t="s">
        <v>50</v>
      </c>
      <c r="E263" s="22" t="s">
        <v>232</v>
      </c>
      <c r="F263" s="20" t="s">
        <v>232</v>
      </c>
      <c r="G263" s="22" t="s">
        <v>234</v>
      </c>
      <c r="H263" s="23">
        <v>3000</v>
      </c>
      <c r="I263" s="22">
        <v>2500</v>
      </c>
    </row>
    <row r="264" spans="1:9" x14ac:dyDescent="0.3">
      <c r="A264">
        <v>2025</v>
      </c>
      <c r="B264" s="8">
        <v>16</v>
      </c>
      <c r="C264" s="20" t="s">
        <v>294</v>
      </c>
      <c r="D264" s="20" t="s">
        <v>106</v>
      </c>
      <c r="E264" s="22" t="s">
        <v>232</v>
      </c>
      <c r="F264" s="20" t="s">
        <v>232</v>
      </c>
      <c r="G264" s="22" t="s">
        <v>234</v>
      </c>
      <c r="H264" s="23">
        <v>2250</v>
      </c>
      <c r="I264" s="22">
        <v>2500</v>
      </c>
    </row>
    <row r="265" spans="1:9" x14ac:dyDescent="0.3">
      <c r="A265">
        <v>2025</v>
      </c>
      <c r="B265" s="8">
        <v>17</v>
      </c>
      <c r="C265" s="20" t="s">
        <v>80</v>
      </c>
      <c r="D265" s="20" t="s">
        <v>230</v>
      </c>
      <c r="E265" s="22" t="s">
        <v>232</v>
      </c>
      <c r="F265" s="20" t="s">
        <v>232</v>
      </c>
      <c r="G265" s="22" t="s">
        <v>234</v>
      </c>
      <c r="H265" s="23">
        <v>2500</v>
      </c>
      <c r="I265" s="22">
        <v>2500</v>
      </c>
    </row>
    <row r="266" spans="1:9" x14ac:dyDescent="0.3">
      <c r="A266">
        <v>2025</v>
      </c>
      <c r="B266" s="8">
        <v>17</v>
      </c>
      <c r="C266" s="20" t="s">
        <v>238</v>
      </c>
      <c r="D266" s="20" t="s">
        <v>20</v>
      </c>
      <c r="E266" s="22" t="s">
        <v>232</v>
      </c>
      <c r="F266" s="20" t="s">
        <v>232</v>
      </c>
      <c r="G266" s="22" t="s">
        <v>234</v>
      </c>
      <c r="H266" s="23">
        <v>1163</v>
      </c>
      <c r="I266" s="22">
        <v>2500</v>
      </c>
    </row>
    <row r="267" spans="1:9" x14ac:dyDescent="0.3">
      <c r="A267">
        <v>2025</v>
      </c>
      <c r="B267" s="8">
        <v>17</v>
      </c>
      <c r="C267" s="20" t="s">
        <v>23</v>
      </c>
      <c r="D267" s="20" t="s">
        <v>22</v>
      </c>
      <c r="E267" s="22" t="s">
        <v>232</v>
      </c>
      <c r="F267" s="20" t="s">
        <v>232</v>
      </c>
      <c r="G267" s="22" t="s">
        <v>234</v>
      </c>
      <c r="H267" s="23">
        <v>-2487</v>
      </c>
      <c r="I267" s="22">
        <v>2500</v>
      </c>
    </row>
    <row r="268" spans="1:9" x14ac:dyDescent="0.3">
      <c r="A268">
        <v>2025</v>
      </c>
      <c r="B268" s="8">
        <v>17</v>
      </c>
      <c r="C268" s="20" t="s">
        <v>299</v>
      </c>
      <c r="D268" s="20" t="s">
        <v>40</v>
      </c>
      <c r="E268" s="22" t="s">
        <v>232</v>
      </c>
      <c r="F268" s="20" t="s">
        <v>232</v>
      </c>
      <c r="G268" s="22" t="s">
        <v>234</v>
      </c>
      <c r="H268" s="23">
        <v>3000</v>
      </c>
      <c r="I268" s="22">
        <v>2500</v>
      </c>
    </row>
    <row r="269" spans="1:9" x14ac:dyDescent="0.3">
      <c r="A269">
        <v>2025</v>
      </c>
      <c r="B269" s="8">
        <v>17</v>
      </c>
      <c r="C269" s="20" t="s">
        <v>258</v>
      </c>
      <c r="D269" s="20" t="s">
        <v>40</v>
      </c>
      <c r="E269" s="22" t="s">
        <v>232</v>
      </c>
      <c r="F269" s="20" t="s">
        <v>232</v>
      </c>
      <c r="G269" s="22" t="s">
        <v>234</v>
      </c>
      <c r="H269" s="23">
        <v>-1697</v>
      </c>
      <c r="I269" s="22">
        <v>2500</v>
      </c>
    </row>
    <row r="270" spans="1:9" x14ac:dyDescent="0.3">
      <c r="A270">
        <v>2025</v>
      </c>
      <c r="B270" s="33">
        <v>17</v>
      </c>
      <c r="C270" s="34" t="s">
        <v>264</v>
      </c>
      <c r="D270" s="34" t="s">
        <v>46</v>
      </c>
      <c r="E270" s="35" t="s">
        <v>232</v>
      </c>
      <c r="F270" s="34" t="s">
        <v>232</v>
      </c>
      <c r="G270" s="35" t="s">
        <v>234</v>
      </c>
      <c r="H270" s="23">
        <v>-1681</v>
      </c>
      <c r="I270" s="22">
        <v>2500</v>
      </c>
    </row>
    <row r="271" spans="1:9" x14ac:dyDescent="0.3">
      <c r="A271">
        <v>2025</v>
      </c>
      <c r="B271" s="8">
        <v>17</v>
      </c>
      <c r="C271" s="20" t="s">
        <v>260</v>
      </c>
      <c r="D271" s="20" t="s">
        <v>81</v>
      </c>
      <c r="E271" s="22" t="s">
        <v>232</v>
      </c>
      <c r="F271" s="20" t="s">
        <v>232</v>
      </c>
      <c r="G271" s="22" t="s">
        <v>234</v>
      </c>
      <c r="H271" s="23">
        <v>1315</v>
      </c>
      <c r="I271" s="22">
        <v>2500</v>
      </c>
    </row>
    <row r="272" spans="1:9" x14ac:dyDescent="0.3">
      <c r="A272">
        <v>2025</v>
      </c>
      <c r="B272" s="8">
        <v>17</v>
      </c>
      <c r="C272" s="20" t="s">
        <v>72</v>
      </c>
      <c r="D272" s="20" t="s">
        <v>54</v>
      </c>
      <c r="E272" s="22" t="s">
        <v>232</v>
      </c>
      <c r="F272" s="20" t="s">
        <v>232</v>
      </c>
      <c r="G272" s="22" t="s">
        <v>234</v>
      </c>
      <c r="H272" s="23">
        <v>4763</v>
      </c>
      <c r="I272" s="22">
        <v>2500</v>
      </c>
    </row>
    <row r="273" spans="1:9" x14ac:dyDescent="0.3">
      <c r="A273">
        <v>2025</v>
      </c>
      <c r="B273" s="8">
        <v>17</v>
      </c>
      <c r="C273" s="20" t="s">
        <v>292</v>
      </c>
      <c r="D273" s="20" t="s">
        <v>52</v>
      </c>
      <c r="E273" s="22" t="s">
        <v>232</v>
      </c>
      <c r="F273" s="20" t="s">
        <v>232</v>
      </c>
      <c r="G273" s="22" t="s">
        <v>234</v>
      </c>
      <c r="H273" s="23">
        <v>2643</v>
      </c>
      <c r="I273" s="22">
        <v>2500</v>
      </c>
    </row>
    <row r="274" spans="1:9" x14ac:dyDescent="0.3">
      <c r="A274">
        <v>2025</v>
      </c>
      <c r="B274" s="8">
        <v>17</v>
      </c>
      <c r="C274" s="20" t="s">
        <v>105</v>
      </c>
      <c r="D274" s="20" t="s">
        <v>75</v>
      </c>
      <c r="E274" s="22" t="s">
        <v>241</v>
      </c>
      <c r="F274" s="20" t="s">
        <v>232</v>
      </c>
      <c r="G274" s="22" t="s">
        <v>234</v>
      </c>
      <c r="H274" s="23">
        <v>6525</v>
      </c>
      <c r="I274" s="22">
        <v>2500</v>
      </c>
    </row>
    <row r="275" spans="1:9" x14ac:dyDescent="0.3">
      <c r="A275">
        <v>2025</v>
      </c>
      <c r="B275" s="8">
        <v>17</v>
      </c>
      <c r="C275" s="20" t="s">
        <v>288</v>
      </c>
      <c r="D275" s="20" t="s">
        <v>56</v>
      </c>
      <c r="E275" s="22" t="s">
        <v>241</v>
      </c>
      <c r="F275" s="20" t="s">
        <v>232</v>
      </c>
      <c r="G275" s="22" t="s">
        <v>234</v>
      </c>
      <c r="H275" s="23">
        <v>2850</v>
      </c>
      <c r="I275" s="22">
        <v>2500</v>
      </c>
    </row>
    <row r="276" spans="1:9" x14ac:dyDescent="0.3">
      <c r="A276">
        <v>2025</v>
      </c>
      <c r="B276" s="8">
        <v>17</v>
      </c>
      <c r="C276" s="20" t="s">
        <v>244</v>
      </c>
      <c r="D276" s="20" t="s">
        <v>4</v>
      </c>
      <c r="E276" s="22" t="s">
        <v>232</v>
      </c>
      <c r="F276" s="20" t="s">
        <v>232</v>
      </c>
      <c r="G276" s="22" t="s">
        <v>234</v>
      </c>
      <c r="H276" s="23">
        <v>2560</v>
      </c>
      <c r="I276" s="22">
        <v>2500</v>
      </c>
    </row>
    <row r="277" spans="1:9" x14ac:dyDescent="0.3">
      <c r="A277">
        <v>2025</v>
      </c>
      <c r="B277" s="8">
        <v>17</v>
      </c>
      <c r="C277" s="20" t="s">
        <v>35</v>
      </c>
      <c r="D277" s="20" t="s">
        <v>34</v>
      </c>
      <c r="E277" s="22" t="s">
        <v>232</v>
      </c>
      <c r="F277" s="20" t="s">
        <v>232</v>
      </c>
      <c r="G277" s="22" t="s">
        <v>234</v>
      </c>
      <c r="H277" s="23">
        <v>2561</v>
      </c>
      <c r="I277" s="22">
        <v>2500</v>
      </c>
    </row>
    <row r="278" spans="1:9" x14ac:dyDescent="0.3">
      <c r="A278">
        <v>2025</v>
      </c>
      <c r="B278" s="8">
        <v>17</v>
      </c>
      <c r="C278" s="20" t="s">
        <v>37</v>
      </c>
      <c r="D278" s="20" t="s">
        <v>246</v>
      </c>
      <c r="E278" s="22" t="s">
        <v>232</v>
      </c>
      <c r="F278" s="20" t="s">
        <v>232</v>
      </c>
      <c r="G278" s="22" t="s">
        <v>234</v>
      </c>
      <c r="H278" s="23">
        <v>2495</v>
      </c>
      <c r="I278" s="22">
        <v>2500</v>
      </c>
    </row>
    <row r="279" spans="1:9" x14ac:dyDescent="0.3">
      <c r="A279">
        <v>2025</v>
      </c>
      <c r="B279" s="8">
        <v>17</v>
      </c>
      <c r="C279" s="20" t="s">
        <v>293</v>
      </c>
      <c r="D279" s="20" t="s">
        <v>63</v>
      </c>
      <c r="E279" s="20" t="s">
        <v>291</v>
      </c>
      <c r="F279" s="20" t="s">
        <v>232</v>
      </c>
      <c r="G279" s="22" t="s">
        <v>234</v>
      </c>
      <c r="H279" s="23">
        <v>2962</v>
      </c>
      <c r="I279" s="22">
        <v>2500</v>
      </c>
    </row>
    <row r="280" spans="1:9" x14ac:dyDescent="0.3">
      <c r="A280">
        <v>2025</v>
      </c>
      <c r="B280" s="8">
        <v>17</v>
      </c>
      <c r="C280" s="20" t="s">
        <v>45</v>
      </c>
      <c r="D280" s="20" t="s">
        <v>249</v>
      </c>
      <c r="E280" s="22" t="s">
        <v>232</v>
      </c>
      <c r="F280" s="20" t="s">
        <v>232</v>
      </c>
      <c r="G280" s="22" t="s">
        <v>234</v>
      </c>
      <c r="H280" s="23">
        <v>2300</v>
      </c>
      <c r="I280" s="22">
        <v>2500</v>
      </c>
    </row>
    <row r="281" spans="1:9" x14ac:dyDescent="0.3">
      <c r="A281">
        <v>2025</v>
      </c>
      <c r="B281" s="8">
        <v>17</v>
      </c>
      <c r="C281" s="20" t="s">
        <v>5</v>
      </c>
      <c r="D281" s="20" t="s">
        <v>50</v>
      </c>
      <c r="E281" s="22" t="s">
        <v>232</v>
      </c>
      <c r="F281" s="20" t="s">
        <v>232</v>
      </c>
      <c r="G281" s="22" t="s">
        <v>234</v>
      </c>
      <c r="H281" s="23">
        <v>2500</v>
      </c>
      <c r="I281" s="22">
        <v>2500</v>
      </c>
    </row>
    <row r="282" spans="1:9" x14ac:dyDescent="0.3">
      <c r="A282">
        <v>2025</v>
      </c>
      <c r="B282" s="8">
        <v>17</v>
      </c>
      <c r="C282" s="20" t="s">
        <v>294</v>
      </c>
      <c r="D282" s="20" t="s">
        <v>106</v>
      </c>
      <c r="E282" s="22" t="s">
        <v>232</v>
      </c>
      <c r="F282" s="20" t="s">
        <v>232</v>
      </c>
      <c r="G282" s="22" t="s">
        <v>234</v>
      </c>
      <c r="H282" s="23">
        <v>1748</v>
      </c>
      <c r="I282" s="22">
        <v>2500</v>
      </c>
    </row>
    <row r="283" spans="1:9" x14ac:dyDescent="0.3">
      <c r="A283">
        <v>2025</v>
      </c>
      <c r="B283" s="8">
        <v>18</v>
      </c>
      <c r="C283" s="20" t="s">
        <v>80</v>
      </c>
      <c r="D283" s="22" t="s">
        <v>52</v>
      </c>
      <c r="E283" s="22" t="s">
        <v>232</v>
      </c>
      <c r="F283" s="20" t="s">
        <v>232</v>
      </c>
      <c r="G283" s="22" t="s">
        <v>234</v>
      </c>
      <c r="H283" s="23">
        <v>2500</v>
      </c>
      <c r="I283" s="22">
        <v>2500</v>
      </c>
    </row>
    <row r="284" spans="1:9" x14ac:dyDescent="0.3">
      <c r="A284">
        <v>2025</v>
      </c>
      <c r="B284" s="8">
        <v>18</v>
      </c>
      <c r="C284" s="20" t="s">
        <v>23</v>
      </c>
      <c r="D284" s="20" t="s">
        <v>22</v>
      </c>
      <c r="E284" s="22" t="s">
        <v>232</v>
      </c>
      <c r="F284" s="20" t="s">
        <v>232</v>
      </c>
      <c r="G284" s="22" t="s">
        <v>234</v>
      </c>
      <c r="H284" s="23">
        <v>-500</v>
      </c>
      <c r="I284" s="22">
        <v>2500</v>
      </c>
    </row>
    <row r="285" spans="1:9" x14ac:dyDescent="0.3">
      <c r="A285">
        <v>2025</v>
      </c>
      <c r="B285" s="8">
        <v>18</v>
      </c>
      <c r="C285" s="20" t="s">
        <v>299</v>
      </c>
      <c r="D285" s="22" t="s">
        <v>40</v>
      </c>
      <c r="E285" s="22" t="s">
        <v>232</v>
      </c>
      <c r="F285" s="20" t="s">
        <v>232</v>
      </c>
      <c r="G285" s="22" t="s">
        <v>234</v>
      </c>
      <c r="H285" s="23">
        <v>668</v>
      </c>
      <c r="I285" s="22">
        <v>2500</v>
      </c>
    </row>
    <row r="286" spans="1:9" x14ac:dyDescent="0.3">
      <c r="A286">
        <v>2025</v>
      </c>
      <c r="B286" s="8">
        <v>18</v>
      </c>
      <c r="C286" s="20" t="s">
        <v>258</v>
      </c>
      <c r="D286" s="20" t="s">
        <v>40</v>
      </c>
      <c r="E286" s="22" t="s">
        <v>232</v>
      </c>
      <c r="F286" s="20" t="s">
        <v>232</v>
      </c>
      <c r="G286" s="22" t="s">
        <v>234</v>
      </c>
      <c r="H286" s="23">
        <v>-1697</v>
      </c>
      <c r="I286" s="22">
        <v>2500</v>
      </c>
    </row>
    <row r="287" spans="1:9" x14ac:dyDescent="0.3">
      <c r="A287">
        <v>2025</v>
      </c>
      <c r="B287" s="8">
        <v>18</v>
      </c>
      <c r="C287" s="20" t="s">
        <v>25</v>
      </c>
      <c r="D287" s="22" t="s">
        <v>46</v>
      </c>
      <c r="E287" s="22" t="s">
        <v>232</v>
      </c>
      <c r="F287" s="20" t="s">
        <v>232</v>
      </c>
      <c r="G287" s="22" t="s">
        <v>234</v>
      </c>
      <c r="H287" s="23">
        <v>1611</v>
      </c>
      <c r="I287" s="22">
        <v>2500</v>
      </c>
    </row>
    <row r="288" spans="1:9" x14ac:dyDescent="0.3">
      <c r="A288">
        <v>2025</v>
      </c>
      <c r="B288" s="8">
        <v>18</v>
      </c>
      <c r="C288" s="20" t="s">
        <v>260</v>
      </c>
      <c r="D288" s="22" t="s">
        <v>81</v>
      </c>
      <c r="E288" s="22" t="s">
        <v>232</v>
      </c>
      <c r="F288" s="20" t="s">
        <v>232</v>
      </c>
      <c r="G288" s="22" t="s">
        <v>234</v>
      </c>
      <c r="H288" s="23">
        <v>2914</v>
      </c>
      <c r="I288" s="22">
        <v>2500</v>
      </c>
    </row>
    <row r="289" spans="1:9" x14ac:dyDescent="0.3">
      <c r="A289">
        <v>2025</v>
      </c>
      <c r="B289" s="8">
        <v>18</v>
      </c>
      <c r="C289" s="20" t="s">
        <v>72</v>
      </c>
      <c r="D289" s="22" t="s">
        <v>54</v>
      </c>
      <c r="E289" s="22" t="s">
        <v>232</v>
      </c>
      <c r="F289" s="20" t="s">
        <v>232</v>
      </c>
      <c r="G289" s="22" t="s">
        <v>234</v>
      </c>
      <c r="H289" s="23">
        <v>4200</v>
      </c>
      <c r="I289" s="22">
        <v>2500</v>
      </c>
    </row>
    <row r="290" spans="1:9" x14ac:dyDescent="0.3">
      <c r="A290">
        <v>2025</v>
      </c>
      <c r="B290" s="8">
        <v>18</v>
      </c>
      <c r="C290" s="20" t="s">
        <v>292</v>
      </c>
      <c r="D290" s="40" t="s">
        <v>168</v>
      </c>
      <c r="E290" s="22" t="s">
        <v>232</v>
      </c>
      <c r="F290" s="20" t="s">
        <v>232</v>
      </c>
      <c r="G290" s="22" t="s">
        <v>234</v>
      </c>
      <c r="H290" s="23">
        <v>2500</v>
      </c>
      <c r="I290" s="22">
        <v>2500</v>
      </c>
    </row>
    <row r="291" spans="1:9" x14ac:dyDescent="0.3">
      <c r="A291">
        <v>2025</v>
      </c>
      <c r="B291" s="8">
        <v>18</v>
      </c>
      <c r="C291" s="20" t="s">
        <v>105</v>
      </c>
      <c r="D291" s="22" t="s">
        <v>75</v>
      </c>
      <c r="E291" s="22" t="s">
        <v>241</v>
      </c>
      <c r="F291" s="20" t="s">
        <v>232</v>
      </c>
      <c r="G291" s="22" t="s">
        <v>234</v>
      </c>
      <c r="H291" s="23">
        <v>7431</v>
      </c>
      <c r="I291" s="22">
        <v>2500</v>
      </c>
    </row>
    <row r="292" spans="1:9" x14ac:dyDescent="0.3">
      <c r="A292">
        <v>2025</v>
      </c>
      <c r="B292" s="8">
        <v>18</v>
      </c>
      <c r="C292" s="20" t="s">
        <v>288</v>
      </c>
      <c r="D292" s="22" t="s">
        <v>56</v>
      </c>
      <c r="E292" s="22" t="s">
        <v>241</v>
      </c>
      <c r="F292" s="20" t="s">
        <v>232</v>
      </c>
      <c r="G292" s="22" t="s">
        <v>234</v>
      </c>
      <c r="H292" s="23">
        <v>2350</v>
      </c>
      <c r="I292" s="22">
        <v>2500</v>
      </c>
    </row>
    <row r="293" spans="1:9" x14ac:dyDescent="0.3">
      <c r="A293">
        <v>2025</v>
      </c>
      <c r="B293" s="8">
        <v>18</v>
      </c>
      <c r="C293" s="20" t="s">
        <v>244</v>
      </c>
      <c r="D293" s="20" t="s">
        <v>4</v>
      </c>
      <c r="E293" s="22" t="s">
        <v>232</v>
      </c>
      <c r="F293" s="20" t="s">
        <v>232</v>
      </c>
      <c r="G293" s="22" t="s">
        <v>234</v>
      </c>
      <c r="H293" s="23">
        <v>1501</v>
      </c>
      <c r="I293" s="22">
        <v>2500</v>
      </c>
    </row>
    <row r="294" spans="1:9" x14ac:dyDescent="0.3">
      <c r="A294">
        <v>2025</v>
      </c>
      <c r="B294" s="8">
        <v>18</v>
      </c>
      <c r="C294" s="20" t="s">
        <v>35</v>
      </c>
      <c r="D294" s="22" t="s">
        <v>34</v>
      </c>
      <c r="E294" s="22" t="s">
        <v>232</v>
      </c>
      <c r="F294" s="20" t="s">
        <v>232</v>
      </c>
      <c r="G294" s="22" t="s">
        <v>234</v>
      </c>
      <c r="H294" s="23">
        <v>2460</v>
      </c>
      <c r="I294" s="22">
        <v>2500</v>
      </c>
    </row>
    <row r="295" spans="1:9" x14ac:dyDescent="0.3">
      <c r="A295">
        <v>2025</v>
      </c>
      <c r="B295" s="8">
        <v>18</v>
      </c>
      <c r="C295" s="20" t="s">
        <v>37</v>
      </c>
      <c r="D295" s="22" t="s">
        <v>246</v>
      </c>
      <c r="E295" s="22" t="s">
        <v>232</v>
      </c>
      <c r="F295" s="20" t="s">
        <v>232</v>
      </c>
      <c r="G295" s="22" t="s">
        <v>234</v>
      </c>
      <c r="H295" s="23">
        <v>2471</v>
      </c>
      <c r="I295" s="22">
        <v>2500</v>
      </c>
    </row>
    <row r="296" spans="1:9" x14ac:dyDescent="0.3">
      <c r="A296">
        <v>2025</v>
      </c>
      <c r="B296" s="8">
        <v>18</v>
      </c>
      <c r="C296" s="20" t="s">
        <v>293</v>
      </c>
      <c r="D296" s="20" t="s">
        <v>63</v>
      </c>
      <c r="E296" s="20" t="s">
        <v>291</v>
      </c>
      <c r="F296" s="20" t="s">
        <v>232</v>
      </c>
      <c r="G296" s="22" t="s">
        <v>234</v>
      </c>
      <c r="H296" s="23">
        <v>3000</v>
      </c>
      <c r="I296" s="22">
        <v>2500</v>
      </c>
    </row>
    <row r="297" spans="1:9" x14ac:dyDescent="0.3">
      <c r="A297">
        <v>2025</v>
      </c>
      <c r="B297" s="8">
        <v>18</v>
      </c>
      <c r="C297" s="20" t="s">
        <v>45</v>
      </c>
      <c r="D297" s="22" t="s">
        <v>249</v>
      </c>
      <c r="E297" s="22" t="s">
        <v>232</v>
      </c>
      <c r="F297" s="20" t="s">
        <v>232</v>
      </c>
      <c r="G297" s="22" t="s">
        <v>234</v>
      </c>
      <c r="H297" s="23">
        <v>2300</v>
      </c>
      <c r="I297" s="22">
        <v>2500</v>
      </c>
    </row>
    <row r="298" spans="1:9" x14ac:dyDescent="0.3">
      <c r="A298">
        <v>2025</v>
      </c>
      <c r="B298" s="8">
        <v>18</v>
      </c>
      <c r="C298" s="20" t="s">
        <v>5</v>
      </c>
      <c r="D298" s="20" t="s">
        <v>50</v>
      </c>
      <c r="E298" s="22" t="s">
        <v>232</v>
      </c>
      <c r="F298" s="20" t="s">
        <v>232</v>
      </c>
      <c r="G298" s="22" t="s">
        <v>234</v>
      </c>
      <c r="H298" s="23">
        <v>2800</v>
      </c>
      <c r="I298" s="22">
        <v>2500</v>
      </c>
    </row>
    <row r="299" spans="1:9" x14ac:dyDescent="0.3">
      <c r="A299">
        <v>2025</v>
      </c>
      <c r="B299" s="8">
        <v>18</v>
      </c>
      <c r="C299" s="20" t="s">
        <v>294</v>
      </c>
      <c r="D299" s="20" t="s">
        <v>106</v>
      </c>
      <c r="E299" s="22" t="s">
        <v>232</v>
      </c>
      <c r="F299" s="20" t="s">
        <v>232</v>
      </c>
      <c r="G299" s="22" t="s">
        <v>234</v>
      </c>
      <c r="H299" s="23">
        <v>1824</v>
      </c>
      <c r="I299" s="22">
        <v>2500</v>
      </c>
    </row>
    <row r="300" spans="1:9" x14ac:dyDescent="0.3">
      <c r="A300">
        <v>2025</v>
      </c>
      <c r="B300" s="8">
        <v>19</v>
      </c>
      <c r="C300" s="20" t="s">
        <v>80</v>
      </c>
      <c r="D300" s="22" t="s">
        <v>52</v>
      </c>
      <c r="E300" s="22" t="s">
        <v>232</v>
      </c>
      <c r="F300" s="20" t="s">
        <v>232</v>
      </c>
      <c r="G300" s="22" t="s">
        <v>234</v>
      </c>
      <c r="H300" s="23">
        <v>3000</v>
      </c>
      <c r="I300" s="22">
        <v>2500</v>
      </c>
    </row>
    <row r="301" spans="1:9" x14ac:dyDescent="0.3">
      <c r="A301">
        <v>2025</v>
      </c>
      <c r="B301" s="8">
        <v>19</v>
      </c>
      <c r="C301" s="20" t="s">
        <v>111</v>
      </c>
      <c r="D301" s="22" t="s">
        <v>16</v>
      </c>
      <c r="E301" s="22" t="s">
        <v>232</v>
      </c>
      <c r="F301" s="20" t="s">
        <v>232</v>
      </c>
      <c r="G301" s="22" t="s">
        <v>234</v>
      </c>
      <c r="H301" s="23">
        <v>1932</v>
      </c>
      <c r="I301" s="22">
        <v>2500</v>
      </c>
    </row>
    <row r="302" spans="1:9" x14ac:dyDescent="0.3">
      <c r="A302">
        <v>2025</v>
      </c>
      <c r="B302" s="8">
        <v>19</v>
      </c>
      <c r="C302" s="20" t="s">
        <v>23</v>
      </c>
      <c r="D302" s="20" t="s">
        <v>22</v>
      </c>
      <c r="E302" s="22" t="s">
        <v>232</v>
      </c>
      <c r="F302" s="20" t="s">
        <v>232</v>
      </c>
      <c r="G302" s="22" t="s">
        <v>234</v>
      </c>
      <c r="H302" s="23">
        <v>-500</v>
      </c>
      <c r="I302" s="22">
        <v>2500</v>
      </c>
    </row>
    <row r="303" spans="1:9" x14ac:dyDescent="0.3">
      <c r="A303">
        <v>2025</v>
      </c>
      <c r="B303" s="8">
        <v>19</v>
      </c>
      <c r="C303" s="20" t="s">
        <v>299</v>
      </c>
      <c r="D303" s="22" t="s">
        <v>40</v>
      </c>
      <c r="E303" s="22" t="s">
        <v>232</v>
      </c>
      <c r="F303" s="20" t="s">
        <v>232</v>
      </c>
      <c r="G303" s="22" t="s">
        <v>234</v>
      </c>
      <c r="H303" s="23">
        <v>2502</v>
      </c>
      <c r="I303" s="22">
        <v>2500</v>
      </c>
    </row>
    <row r="304" spans="1:9" x14ac:dyDescent="0.3">
      <c r="A304">
        <v>2025</v>
      </c>
      <c r="B304" s="8">
        <v>19</v>
      </c>
      <c r="C304" s="20" t="s">
        <v>258</v>
      </c>
      <c r="D304" s="20" t="s">
        <v>40</v>
      </c>
      <c r="E304" s="22" t="s">
        <v>232</v>
      </c>
      <c r="F304" s="20" t="s">
        <v>232</v>
      </c>
      <c r="G304" s="22" t="s">
        <v>234</v>
      </c>
      <c r="H304" s="23">
        <v>-1697</v>
      </c>
      <c r="I304" s="22">
        <v>2500</v>
      </c>
    </row>
    <row r="305" spans="1:9" x14ac:dyDescent="0.3">
      <c r="A305">
        <v>2025</v>
      </c>
      <c r="B305" s="8">
        <v>19</v>
      </c>
      <c r="C305" s="20" t="s">
        <v>25</v>
      </c>
      <c r="D305" s="22" t="s">
        <v>46</v>
      </c>
      <c r="E305" s="22" t="s">
        <v>232</v>
      </c>
      <c r="F305" s="20" t="s">
        <v>232</v>
      </c>
      <c r="G305" s="22" t="s">
        <v>234</v>
      </c>
      <c r="H305" s="23">
        <v>1823</v>
      </c>
      <c r="I305" s="22">
        <v>2500</v>
      </c>
    </row>
    <row r="306" spans="1:9" x14ac:dyDescent="0.3">
      <c r="A306">
        <v>2025</v>
      </c>
      <c r="B306" s="8">
        <v>19</v>
      </c>
      <c r="C306" s="20" t="s">
        <v>260</v>
      </c>
      <c r="D306" s="22" t="s">
        <v>81</v>
      </c>
      <c r="E306" s="22" t="s">
        <v>232</v>
      </c>
      <c r="F306" s="20" t="s">
        <v>232</v>
      </c>
      <c r="G306" s="22" t="s">
        <v>234</v>
      </c>
      <c r="H306" s="23">
        <v>2500</v>
      </c>
      <c r="I306" s="22">
        <v>2500</v>
      </c>
    </row>
    <row r="307" spans="1:9" x14ac:dyDescent="0.3">
      <c r="A307">
        <v>2025</v>
      </c>
      <c r="B307" s="8">
        <v>19</v>
      </c>
      <c r="C307" s="20" t="s">
        <v>72</v>
      </c>
      <c r="D307" s="22" t="s">
        <v>54</v>
      </c>
      <c r="E307" s="22" t="s">
        <v>232</v>
      </c>
      <c r="F307" s="20" t="s">
        <v>232</v>
      </c>
      <c r="G307" s="22" t="s">
        <v>234</v>
      </c>
      <c r="H307" s="23">
        <v>4000</v>
      </c>
      <c r="I307" s="22">
        <v>2500</v>
      </c>
    </row>
    <row r="308" spans="1:9" x14ac:dyDescent="0.3">
      <c r="A308">
        <v>2025</v>
      </c>
      <c r="B308" s="8">
        <v>19</v>
      </c>
      <c r="C308" s="20" t="s">
        <v>292</v>
      </c>
      <c r="D308" s="40" t="s">
        <v>168</v>
      </c>
      <c r="E308" s="22" t="s">
        <v>232</v>
      </c>
      <c r="F308" s="20" t="s">
        <v>232</v>
      </c>
      <c r="G308" s="22" t="s">
        <v>234</v>
      </c>
      <c r="H308" s="23">
        <v>2500</v>
      </c>
      <c r="I308" s="22">
        <v>2500</v>
      </c>
    </row>
    <row r="309" spans="1:9" x14ac:dyDescent="0.3">
      <c r="A309">
        <v>2025</v>
      </c>
      <c r="B309" s="8">
        <v>19</v>
      </c>
      <c r="C309" s="20" t="s">
        <v>105</v>
      </c>
      <c r="D309" s="22" t="s">
        <v>75</v>
      </c>
      <c r="E309" s="22" t="s">
        <v>241</v>
      </c>
      <c r="F309" s="20" t="s">
        <v>232</v>
      </c>
      <c r="G309" s="22" t="s">
        <v>234</v>
      </c>
      <c r="H309" s="23">
        <v>4361</v>
      </c>
      <c r="I309" s="22">
        <v>2500</v>
      </c>
    </row>
    <row r="310" spans="1:9" x14ac:dyDescent="0.3">
      <c r="A310">
        <v>2025</v>
      </c>
      <c r="B310" s="8">
        <v>19</v>
      </c>
      <c r="C310" s="20" t="s">
        <v>288</v>
      </c>
      <c r="D310" s="40" t="s">
        <v>22</v>
      </c>
      <c r="E310" s="20" t="s">
        <v>232</v>
      </c>
      <c r="F310" s="20" t="s">
        <v>232</v>
      </c>
      <c r="G310" s="22" t="s">
        <v>234</v>
      </c>
      <c r="H310" s="23">
        <v>0</v>
      </c>
      <c r="I310" s="22">
        <v>2500</v>
      </c>
    </row>
    <row r="311" spans="1:9" x14ac:dyDescent="0.3">
      <c r="A311">
        <v>2025</v>
      </c>
      <c r="B311" s="8">
        <v>19</v>
      </c>
      <c r="C311" s="20" t="s">
        <v>244</v>
      </c>
      <c r="D311" s="20" t="s">
        <v>4</v>
      </c>
      <c r="E311" s="22" t="s">
        <v>232</v>
      </c>
      <c r="F311" s="20" t="s">
        <v>232</v>
      </c>
      <c r="G311" s="22" t="s">
        <v>234</v>
      </c>
      <c r="H311" s="23">
        <v>2763</v>
      </c>
      <c r="I311" s="22">
        <v>2500</v>
      </c>
    </row>
    <row r="312" spans="1:9" x14ac:dyDescent="0.3">
      <c r="A312">
        <v>2025</v>
      </c>
      <c r="B312" s="8">
        <v>19</v>
      </c>
      <c r="C312" s="20" t="s">
        <v>35</v>
      </c>
      <c r="D312" s="22" t="s">
        <v>97</v>
      </c>
      <c r="E312" s="22" t="s">
        <v>232</v>
      </c>
      <c r="F312" s="20" t="s">
        <v>232</v>
      </c>
      <c r="G312" s="22" t="s">
        <v>234</v>
      </c>
      <c r="H312" s="23">
        <v>2104</v>
      </c>
      <c r="I312" s="22">
        <v>2500</v>
      </c>
    </row>
    <row r="313" spans="1:9" x14ac:dyDescent="0.3">
      <c r="A313">
        <v>2025</v>
      </c>
      <c r="B313" s="8">
        <v>19</v>
      </c>
      <c r="C313" s="20" t="s">
        <v>37</v>
      </c>
      <c r="D313" s="22" t="s">
        <v>246</v>
      </c>
      <c r="E313" s="22" t="s">
        <v>232</v>
      </c>
      <c r="F313" s="20" t="s">
        <v>291</v>
      </c>
      <c r="G313" s="22" t="s">
        <v>234</v>
      </c>
      <c r="H313" s="23">
        <v>2499</v>
      </c>
      <c r="I313" s="22">
        <v>2500</v>
      </c>
    </row>
    <row r="314" spans="1:9" x14ac:dyDescent="0.3">
      <c r="A314">
        <v>2025</v>
      </c>
      <c r="B314" s="8">
        <v>19</v>
      </c>
      <c r="C314" s="20" t="s">
        <v>293</v>
      </c>
      <c r="D314" s="22" t="s">
        <v>34</v>
      </c>
      <c r="E314" s="22" t="s">
        <v>232</v>
      </c>
      <c r="F314" s="20" t="s">
        <v>232</v>
      </c>
      <c r="G314" s="22" t="s">
        <v>234</v>
      </c>
      <c r="H314" s="23">
        <v>3991</v>
      </c>
      <c r="I314" s="22">
        <v>2500</v>
      </c>
    </row>
    <row r="315" spans="1:9" x14ac:dyDescent="0.3">
      <c r="A315">
        <v>2025</v>
      </c>
      <c r="B315" s="8">
        <v>19</v>
      </c>
      <c r="C315" s="20" t="s">
        <v>321</v>
      </c>
      <c r="D315" s="22" t="s">
        <v>69</v>
      </c>
      <c r="E315" s="22" t="s">
        <v>241</v>
      </c>
      <c r="F315" s="20" t="s">
        <v>232</v>
      </c>
      <c r="G315" s="22" t="s">
        <v>234</v>
      </c>
      <c r="H315" s="23">
        <v>251</v>
      </c>
      <c r="I315" s="22">
        <v>2500</v>
      </c>
    </row>
    <row r="316" spans="1:9" x14ac:dyDescent="0.3">
      <c r="A316">
        <v>2025</v>
      </c>
      <c r="B316" s="8">
        <v>19</v>
      </c>
      <c r="C316" s="20" t="s">
        <v>321</v>
      </c>
      <c r="D316" s="22" t="s">
        <v>69</v>
      </c>
      <c r="E316" s="22" t="s">
        <v>241</v>
      </c>
      <c r="F316" s="20" t="s">
        <v>291</v>
      </c>
      <c r="G316" s="22" t="s">
        <v>234</v>
      </c>
      <c r="H316" s="23">
        <v>1252</v>
      </c>
      <c r="I316" s="22"/>
    </row>
    <row r="317" spans="1:9" x14ac:dyDescent="0.3">
      <c r="A317">
        <v>2025</v>
      </c>
      <c r="B317" s="8">
        <v>19</v>
      </c>
      <c r="C317" s="20" t="s">
        <v>45</v>
      </c>
      <c r="D317" s="22" t="s">
        <v>249</v>
      </c>
      <c r="E317" s="22" t="s">
        <v>232</v>
      </c>
      <c r="F317" s="20" t="s">
        <v>232</v>
      </c>
      <c r="G317" s="22" t="s">
        <v>234</v>
      </c>
      <c r="H317" s="23">
        <v>2300</v>
      </c>
      <c r="I317" s="22">
        <v>2500</v>
      </c>
    </row>
    <row r="318" spans="1:9" x14ac:dyDescent="0.3">
      <c r="A318">
        <v>2025</v>
      </c>
      <c r="B318" s="8">
        <v>19</v>
      </c>
      <c r="C318" s="20" t="s">
        <v>5</v>
      </c>
      <c r="D318" s="20" t="s">
        <v>50</v>
      </c>
      <c r="E318" s="22" t="s">
        <v>232</v>
      </c>
      <c r="F318" s="20" t="s">
        <v>232</v>
      </c>
      <c r="G318" s="22" t="s">
        <v>234</v>
      </c>
      <c r="H318" s="23">
        <v>2500</v>
      </c>
      <c r="I318" s="22">
        <v>2500</v>
      </c>
    </row>
    <row r="319" spans="1:9" x14ac:dyDescent="0.3">
      <c r="A319">
        <v>2025</v>
      </c>
      <c r="B319" s="8">
        <v>19</v>
      </c>
      <c r="C319" s="20" t="s">
        <v>294</v>
      </c>
      <c r="D319" s="20" t="s">
        <v>106</v>
      </c>
      <c r="E319" s="22" t="s">
        <v>232</v>
      </c>
      <c r="F319" s="20" t="s">
        <v>232</v>
      </c>
      <c r="G319" s="22" t="s">
        <v>234</v>
      </c>
      <c r="H319" s="23">
        <v>1869.1428571428569</v>
      </c>
      <c r="I319" s="22">
        <v>2500</v>
      </c>
    </row>
    <row r="320" spans="1:9" x14ac:dyDescent="0.3">
      <c r="A320">
        <v>2025</v>
      </c>
      <c r="B320" s="8">
        <v>20</v>
      </c>
      <c r="C320" s="20" t="s">
        <v>80</v>
      </c>
      <c r="D320" s="22" t="s">
        <v>52</v>
      </c>
      <c r="E320" s="22" t="s">
        <v>232</v>
      </c>
      <c r="F320" s="20" t="s">
        <v>232</v>
      </c>
      <c r="G320" s="22" t="s">
        <v>234</v>
      </c>
      <c r="H320" s="23">
        <v>3000</v>
      </c>
      <c r="I320" s="22">
        <v>2500</v>
      </c>
    </row>
    <row r="321" spans="1:9" x14ac:dyDescent="0.3">
      <c r="A321">
        <v>2025</v>
      </c>
      <c r="B321" s="8">
        <v>20</v>
      </c>
      <c r="C321" s="20" t="s">
        <v>323</v>
      </c>
      <c r="D321" s="20" t="s">
        <v>20</v>
      </c>
      <c r="E321" s="22" t="s">
        <v>232</v>
      </c>
      <c r="F321" s="20" t="s">
        <v>232</v>
      </c>
      <c r="G321" s="22" t="s">
        <v>234</v>
      </c>
      <c r="H321" s="23">
        <v>698</v>
      </c>
      <c r="I321" s="22">
        <v>2500</v>
      </c>
    </row>
    <row r="322" spans="1:9" x14ac:dyDescent="0.3">
      <c r="A322">
        <v>2025</v>
      </c>
      <c r="B322" s="8">
        <v>20</v>
      </c>
      <c r="C322" s="20" t="s">
        <v>111</v>
      </c>
      <c r="D322" s="22" t="s">
        <v>16</v>
      </c>
      <c r="E322" s="22" t="s">
        <v>232</v>
      </c>
      <c r="F322" s="20" t="s">
        <v>232</v>
      </c>
      <c r="G322" s="22" t="s">
        <v>234</v>
      </c>
      <c r="H322" s="23">
        <v>3000</v>
      </c>
      <c r="I322" s="22">
        <v>2500</v>
      </c>
    </row>
    <row r="323" spans="1:9" x14ac:dyDescent="0.3">
      <c r="A323">
        <v>2025</v>
      </c>
      <c r="B323" s="8">
        <v>20</v>
      </c>
      <c r="C323" s="20" t="s">
        <v>23</v>
      </c>
      <c r="D323" s="20" t="s">
        <v>22</v>
      </c>
      <c r="E323" s="22" t="s">
        <v>232</v>
      </c>
      <c r="F323" s="20" t="s">
        <v>232</v>
      </c>
      <c r="G323" s="22" t="s">
        <v>234</v>
      </c>
      <c r="H323" s="23">
        <v>-500</v>
      </c>
      <c r="I323" s="22">
        <v>2500</v>
      </c>
    </row>
    <row r="324" spans="1:9" x14ac:dyDescent="0.3">
      <c r="A324">
        <v>2025</v>
      </c>
      <c r="B324" s="8">
        <v>20</v>
      </c>
      <c r="C324" s="20" t="s">
        <v>299</v>
      </c>
      <c r="D324" s="22" t="s">
        <v>40</v>
      </c>
      <c r="E324" s="22" t="s">
        <v>232</v>
      </c>
      <c r="F324" s="20" t="s">
        <v>232</v>
      </c>
      <c r="G324" s="22" t="s">
        <v>234</v>
      </c>
      <c r="H324" s="23">
        <v>1207</v>
      </c>
      <c r="I324" s="22">
        <v>2500</v>
      </c>
    </row>
    <row r="325" spans="1:9" x14ac:dyDescent="0.3">
      <c r="A325">
        <v>2025</v>
      </c>
      <c r="B325" s="8">
        <v>20</v>
      </c>
      <c r="C325" s="20" t="s">
        <v>258</v>
      </c>
      <c r="D325" s="20" t="s">
        <v>40</v>
      </c>
      <c r="E325" s="22" t="s">
        <v>232</v>
      </c>
      <c r="F325" s="20" t="s">
        <v>232</v>
      </c>
      <c r="G325" s="22" t="s">
        <v>234</v>
      </c>
      <c r="H325" s="23">
        <v>-1697</v>
      </c>
      <c r="I325" s="22">
        <v>2500</v>
      </c>
    </row>
    <row r="326" spans="1:9" x14ac:dyDescent="0.3">
      <c r="A326">
        <v>2025</v>
      </c>
      <c r="B326" s="8">
        <v>20</v>
      </c>
      <c r="C326" s="20" t="s">
        <v>25</v>
      </c>
      <c r="D326" s="22" t="s">
        <v>46</v>
      </c>
      <c r="E326" s="22" t="s">
        <v>232</v>
      </c>
      <c r="F326" s="20" t="s">
        <v>232</v>
      </c>
      <c r="G326" s="22" t="s">
        <v>234</v>
      </c>
      <c r="H326" s="23">
        <v>3000</v>
      </c>
      <c r="I326" s="22">
        <v>2500</v>
      </c>
    </row>
    <row r="327" spans="1:9" x14ac:dyDescent="0.3">
      <c r="A327">
        <v>2025</v>
      </c>
      <c r="B327" s="8">
        <v>20</v>
      </c>
      <c r="C327" s="20" t="s">
        <v>260</v>
      </c>
      <c r="D327" s="22" t="s">
        <v>81</v>
      </c>
      <c r="E327" s="22" t="s">
        <v>232</v>
      </c>
      <c r="F327" s="20" t="s">
        <v>232</v>
      </c>
      <c r="G327" s="22" t="s">
        <v>234</v>
      </c>
      <c r="H327" s="23">
        <v>2500</v>
      </c>
      <c r="I327" s="22">
        <v>2500</v>
      </c>
    </row>
    <row r="328" spans="1:9" x14ac:dyDescent="0.3">
      <c r="A328">
        <v>2025</v>
      </c>
      <c r="B328" s="8">
        <v>20</v>
      </c>
      <c r="C328" s="20" t="s">
        <v>72</v>
      </c>
      <c r="D328" s="22" t="s">
        <v>54</v>
      </c>
      <c r="E328" s="22" t="s">
        <v>232</v>
      </c>
      <c r="F328" s="20" t="s">
        <v>232</v>
      </c>
      <c r="G328" s="22" t="s">
        <v>234</v>
      </c>
      <c r="H328" s="23">
        <v>3300</v>
      </c>
      <c r="I328" s="22">
        <v>2500</v>
      </c>
    </row>
    <row r="329" spans="1:9" x14ac:dyDescent="0.3">
      <c r="A329">
        <v>2025</v>
      </c>
      <c r="B329" s="8">
        <v>20</v>
      </c>
      <c r="C329" s="20" t="s">
        <v>292</v>
      </c>
      <c r="D329" s="40" t="s">
        <v>168</v>
      </c>
      <c r="E329" s="22" t="s">
        <v>232</v>
      </c>
      <c r="F329" s="20" t="s">
        <v>232</v>
      </c>
      <c r="G329" s="22" t="s">
        <v>234</v>
      </c>
      <c r="H329" s="23">
        <v>358</v>
      </c>
      <c r="I329" s="22">
        <v>2500</v>
      </c>
    </row>
    <row r="330" spans="1:9" x14ac:dyDescent="0.3">
      <c r="A330">
        <v>2025</v>
      </c>
      <c r="B330" s="8">
        <v>20</v>
      </c>
      <c r="C330" s="20" t="s">
        <v>105</v>
      </c>
      <c r="D330" s="22" t="s">
        <v>75</v>
      </c>
      <c r="E330" s="22" t="s">
        <v>241</v>
      </c>
      <c r="F330" s="20" t="s">
        <v>232</v>
      </c>
      <c r="G330" s="22" t="s">
        <v>234</v>
      </c>
      <c r="H330" s="23">
        <v>8757</v>
      </c>
      <c r="I330" s="22">
        <v>2500</v>
      </c>
    </row>
    <row r="331" spans="1:9" x14ac:dyDescent="0.3">
      <c r="A331">
        <v>2025</v>
      </c>
      <c r="B331" s="8">
        <v>20</v>
      </c>
      <c r="C331" s="20" t="s">
        <v>288</v>
      </c>
      <c r="D331" s="40" t="s">
        <v>22</v>
      </c>
      <c r="E331" s="20" t="s">
        <v>232</v>
      </c>
      <c r="F331" s="20" t="s">
        <v>232</v>
      </c>
      <c r="G331" s="22" t="s">
        <v>234</v>
      </c>
      <c r="H331" s="23">
        <v>1432</v>
      </c>
      <c r="I331" s="22">
        <v>2500</v>
      </c>
    </row>
    <row r="332" spans="1:9" x14ac:dyDescent="0.3">
      <c r="A332">
        <v>2025</v>
      </c>
      <c r="B332" s="8">
        <v>20</v>
      </c>
      <c r="C332" s="20" t="s">
        <v>324</v>
      </c>
      <c r="D332" s="40" t="s">
        <v>168</v>
      </c>
      <c r="E332" s="39" t="s">
        <v>232</v>
      </c>
      <c r="F332" s="41" t="s">
        <v>232</v>
      </c>
      <c r="G332" s="22" t="s">
        <v>234</v>
      </c>
      <c r="H332" s="23">
        <v>-781</v>
      </c>
      <c r="I332" s="22">
        <v>2500</v>
      </c>
    </row>
    <row r="333" spans="1:9" x14ac:dyDescent="0.3">
      <c r="A333">
        <v>2025</v>
      </c>
      <c r="B333" s="8">
        <v>20</v>
      </c>
      <c r="C333" s="20" t="s">
        <v>244</v>
      </c>
      <c r="D333" s="20" t="s">
        <v>4</v>
      </c>
      <c r="E333" s="22" t="s">
        <v>232</v>
      </c>
      <c r="F333" s="20" t="s">
        <v>232</v>
      </c>
      <c r="G333" s="22" t="s">
        <v>234</v>
      </c>
      <c r="H333" s="23">
        <v>1267</v>
      </c>
      <c r="I333" s="22">
        <v>2500</v>
      </c>
    </row>
    <row r="334" spans="1:9" x14ac:dyDescent="0.3">
      <c r="A334">
        <v>2025</v>
      </c>
      <c r="B334" s="8">
        <v>20</v>
      </c>
      <c r="C334" s="20" t="s">
        <v>35</v>
      </c>
      <c r="D334" s="22" t="s">
        <v>97</v>
      </c>
      <c r="E334" s="22" t="s">
        <v>232</v>
      </c>
      <c r="F334" s="20" t="s">
        <v>232</v>
      </c>
      <c r="G334" s="22" t="s">
        <v>234</v>
      </c>
      <c r="H334" s="23">
        <v>2419</v>
      </c>
      <c r="I334" s="22">
        <v>2500</v>
      </c>
    </row>
    <row r="335" spans="1:9" x14ac:dyDescent="0.3">
      <c r="A335">
        <v>2025</v>
      </c>
      <c r="B335" s="8">
        <v>20</v>
      </c>
      <c r="C335" s="20" t="s">
        <v>37</v>
      </c>
      <c r="D335" s="22" t="s">
        <v>246</v>
      </c>
      <c r="E335" s="22" t="s">
        <v>232</v>
      </c>
      <c r="F335" s="20" t="s">
        <v>291</v>
      </c>
      <c r="G335" s="22" t="s">
        <v>234</v>
      </c>
      <c r="H335" s="23">
        <v>-508</v>
      </c>
      <c r="I335" s="22">
        <v>2500</v>
      </c>
    </row>
    <row r="336" spans="1:9" x14ac:dyDescent="0.3">
      <c r="A336">
        <v>2025</v>
      </c>
      <c r="B336" s="8">
        <v>20</v>
      </c>
      <c r="C336" s="20" t="s">
        <v>293</v>
      </c>
      <c r="D336" s="22" t="s">
        <v>34</v>
      </c>
      <c r="E336" s="22" t="s">
        <v>232</v>
      </c>
      <c r="F336" s="20" t="s">
        <v>232</v>
      </c>
      <c r="G336" s="22" t="s">
        <v>234</v>
      </c>
      <c r="H336" s="23">
        <v>3543</v>
      </c>
      <c r="I336" s="22">
        <v>2500</v>
      </c>
    </row>
    <row r="337" spans="1:9" x14ac:dyDescent="0.3">
      <c r="A337">
        <v>2025</v>
      </c>
      <c r="B337" s="8">
        <v>20</v>
      </c>
      <c r="C337" s="20" t="s">
        <v>321</v>
      </c>
      <c r="D337" s="22" t="s">
        <v>69</v>
      </c>
      <c r="E337" s="22" t="s">
        <v>241</v>
      </c>
      <c r="F337" s="20" t="s">
        <v>232</v>
      </c>
      <c r="G337" s="22" t="s">
        <v>234</v>
      </c>
      <c r="H337" s="23">
        <v>182</v>
      </c>
      <c r="I337" s="22">
        <v>2500</v>
      </c>
    </row>
    <row r="338" spans="1:9" x14ac:dyDescent="0.3">
      <c r="A338">
        <v>2025</v>
      </c>
      <c r="B338" s="8">
        <v>20</v>
      </c>
      <c r="C338" s="20" t="s">
        <v>321</v>
      </c>
      <c r="D338" s="22" t="s">
        <v>69</v>
      </c>
      <c r="E338" s="22" t="s">
        <v>241</v>
      </c>
      <c r="F338" s="20" t="s">
        <v>291</v>
      </c>
      <c r="G338" s="22" t="s">
        <v>234</v>
      </c>
      <c r="H338" s="23">
        <v>2281</v>
      </c>
      <c r="I338" s="22"/>
    </row>
    <row r="339" spans="1:9" x14ac:dyDescent="0.3">
      <c r="A339">
        <v>2025</v>
      </c>
      <c r="B339" s="8">
        <v>20</v>
      </c>
      <c r="C339" s="20" t="s">
        <v>45</v>
      </c>
      <c r="D339" s="22" t="s">
        <v>249</v>
      </c>
      <c r="E339" s="22" t="s">
        <v>232</v>
      </c>
      <c r="F339" s="20" t="s">
        <v>232</v>
      </c>
      <c r="G339" s="22" t="s">
        <v>234</v>
      </c>
      <c r="H339" s="23">
        <v>2300</v>
      </c>
      <c r="I339" s="22">
        <v>2500</v>
      </c>
    </row>
    <row r="340" spans="1:9" x14ac:dyDescent="0.3">
      <c r="A340">
        <v>2025</v>
      </c>
      <c r="B340" s="8">
        <v>20</v>
      </c>
      <c r="C340" s="20" t="s">
        <v>5</v>
      </c>
      <c r="D340" s="20" t="s">
        <v>50</v>
      </c>
      <c r="E340" s="22" t="s">
        <v>232</v>
      </c>
      <c r="F340" s="20" t="s">
        <v>232</v>
      </c>
      <c r="G340" s="22" t="s">
        <v>234</v>
      </c>
      <c r="H340" s="23">
        <v>3100</v>
      </c>
      <c r="I340" s="22">
        <v>2500</v>
      </c>
    </row>
    <row r="341" spans="1:9" x14ac:dyDescent="0.3">
      <c r="A341">
        <v>2025</v>
      </c>
      <c r="B341" s="8">
        <v>20</v>
      </c>
      <c r="C341" s="20" t="s">
        <v>294</v>
      </c>
      <c r="D341" s="20" t="s">
        <v>106</v>
      </c>
      <c r="E341" s="22" t="s">
        <v>232</v>
      </c>
      <c r="F341" s="20" t="s">
        <v>232</v>
      </c>
      <c r="G341" s="22" t="s">
        <v>234</v>
      </c>
      <c r="H341" s="23">
        <v>286</v>
      </c>
      <c r="I341" s="22">
        <v>2500</v>
      </c>
    </row>
    <row r="342" spans="1:9" x14ac:dyDescent="0.3">
      <c r="A342">
        <v>2025</v>
      </c>
      <c r="B342" s="8">
        <v>21</v>
      </c>
      <c r="C342" s="20" t="s">
        <v>80</v>
      </c>
      <c r="D342" s="22" t="s">
        <v>54</v>
      </c>
      <c r="E342" s="22" t="s">
        <v>232</v>
      </c>
      <c r="F342" s="20" t="s">
        <v>232</v>
      </c>
      <c r="G342" s="22" t="s">
        <v>234</v>
      </c>
      <c r="H342" s="23">
        <v>3000.2</v>
      </c>
      <c r="I342" s="22">
        <v>2500</v>
      </c>
    </row>
    <row r="343" spans="1:9" x14ac:dyDescent="0.3">
      <c r="A343">
        <v>2025</v>
      </c>
      <c r="B343" s="8">
        <v>21</v>
      </c>
      <c r="C343" s="20" t="s">
        <v>323</v>
      </c>
      <c r="D343" s="20" t="s">
        <v>20</v>
      </c>
      <c r="E343" s="22" t="s">
        <v>232</v>
      </c>
      <c r="F343" s="20" t="s">
        <v>232</v>
      </c>
      <c r="G343" s="22" t="s">
        <v>234</v>
      </c>
      <c r="H343" s="23">
        <v>2364.5199999999995</v>
      </c>
      <c r="I343" s="22">
        <v>2500</v>
      </c>
    </row>
    <row r="344" spans="1:9" x14ac:dyDescent="0.3">
      <c r="A344">
        <v>2025</v>
      </c>
      <c r="B344" s="8">
        <v>21</v>
      </c>
      <c r="C344" s="20" t="s">
        <v>111</v>
      </c>
      <c r="D344" s="22" t="s">
        <v>16</v>
      </c>
      <c r="E344" s="22" t="s">
        <v>232</v>
      </c>
      <c r="F344" s="20" t="s">
        <v>232</v>
      </c>
      <c r="G344" s="22" t="s">
        <v>234</v>
      </c>
      <c r="H344" s="23">
        <v>3000</v>
      </c>
      <c r="I344" s="22">
        <v>2500</v>
      </c>
    </row>
    <row r="345" spans="1:9" x14ac:dyDescent="0.3">
      <c r="A345">
        <v>2025</v>
      </c>
      <c r="B345" s="8">
        <v>21</v>
      </c>
      <c r="C345" s="20" t="s">
        <v>23</v>
      </c>
      <c r="D345" s="22" t="s">
        <v>230</v>
      </c>
      <c r="E345" s="22" t="s">
        <v>232</v>
      </c>
      <c r="F345" s="20" t="s">
        <v>232</v>
      </c>
      <c r="G345" s="22" t="s">
        <v>234</v>
      </c>
      <c r="H345" s="23">
        <v>2463.92</v>
      </c>
      <c r="I345" s="22">
        <v>2500</v>
      </c>
    </row>
    <row r="346" spans="1:9" x14ac:dyDescent="0.3">
      <c r="A346">
        <v>2025</v>
      </c>
      <c r="B346" s="8">
        <v>21</v>
      </c>
      <c r="C346" s="20" t="s">
        <v>299</v>
      </c>
      <c r="D346" s="22" t="s">
        <v>56</v>
      </c>
      <c r="E346" s="22" t="s">
        <v>241</v>
      </c>
      <c r="F346" s="20" t="s">
        <v>291</v>
      </c>
      <c r="G346" s="22" t="s">
        <v>234</v>
      </c>
      <c r="H346" s="23">
        <v>-113.67999999999984</v>
      </c>
      <c r="I346" s="22">
        <v>2500</v>
      </c>
    </row>
    <row r="347" spans="1:9" x14ac:dyDescent="0.3">
      <c r="A347">
        <v>2025</v>
      </c>
      <c r="B347" s="8">
        <v>21</v>
      </c>
      <c r="C347" s="20" t="s">
        <v>299</v>
      </c>
      <c r="D347" s="22" t="s">
        <v>56</v>
      </c>
      <c r="E347" s="22" t="s">
        <v>241</v>
      </c>
      <c r="F347" s="20" t="s">
        <v>232</v>
      </c>
      <c r="G347" s="22" t="s">
        <v>234</v>
      </c>
      <c r="H347" s="23">
        <v>-1677.6000000000004</v>
      </c>
      <c r="I347" s="22"/>
    </row>
    <row r="348" spans="1:9" x14ac:dyDescent="0.3">
      <c r="A348">
        <v>2025</v>
      </c>
      <c r="B348" s="8">
        <v>21</v>
      </c>
      <c r="C348" s="20" t="s">
        <v>258</v>
      </c>
      <c r="D348" s="20" t="s">
        <v>40</v>
      </c>
      <c r="E348" s="22" t="s">
        <v>232</v>
      </c>
      <c r="F348" s="20" t="s">
        <v>232</v>
      </c>
      <c r="G348" s="22" t="s">
        <v>234</v>
      </c>
      <c r="H348" s="23">
        <v>-1697</v>
      </c>
      <c r="I348" s="22">
        <v>2500</v>
      </c>
    </row>
    <row r="349" spans="1:9" x14ac:dyDescent="0.3">
      <c r="A349">
        <v>2025</v>
      </c>
      <c r="B349" s="8">
        <v>21</v>
      </c>
      <c r="C349" s="20" t="s">
        <v>25</v>
      </c>
      <c r="D349" s="22" t="s">
        <v>46</v>
      </c>
      <c r="E349" s="22" t="s">
        <v>232</v>
      </c>
      <c r="F349" s="20" t="s">
        <v>232</v>
      </c>
      <c r="G349" s="22" t="s">
        <v>234</v>
      </c>
      <c r="H349" s="23">
        <v>2999.1000000000004</v>
      </c>
      <c r="I349" s="22">
        <v>2500</v>
      </c>
    </row>
    <row r="350" spans="1:9" x14ac:dyDescent="0.3">
      <c r="A350">
        <v>2025</v>
      </c>
      <c r="B350" s="8">
        <v>21</v>
      </c>
      <c r="C350" s="20" t="s">
        <v>260</v>
      </c>
      <c r="D350" s="22" t="s">
        <v>81</v>
      </c>
      <c r="E350" s="22" t="s">
        <v>232</v>
      </c>
      <c r="F350" s="20" t="s">
        <v>232</v>
      </c>
      <c r="G350" s="22" t="s">
        <v>234</v>
      </c>
      <c r="H350" s="23">
        <v>3000</v>
      </c>
      <c r="I350" s="22">
        <v>2500</v>
      </c>
    </row>
    <row r="351" spans="1:9" x14ac:dyDescent="0.3">
      <c r="A351">
        <v>2025</v>
      </c>
      <c r="B351" s="8">
        <v>21</v>
      </c>
      <c r="C351" s="20" t="s">
        <v>72</v>
      </c>
      <c r="D351" s="22" t="s">
        <v>28</v>
      </c>
      <c r="E351" s="22" t="s">
        <v>232</v>
      </c>
      <c r="F351" s="20" t="s">
        <v>232</v>
      </c>
      <c r="G351" s="22" t="s">
        <v>234</v>
      </c>
      <c r="H351" s="23">
        <v>3480</v>
      </c>
      <c r="I351" s="22">
        <v>2500</v>
      </c>
    </row>
    <row r="352" spans="1:9" x14ac:dyDescent="0.3">
      <c r="A352">
        <v>2025</v>
      </c>
      <c r="B352" s="8">
        <v>21</v>
      </c>
      <c r="C352" s="20" t="s">
        <v>292</v>
      </c>
      <c r="D352" s="22" t="s">
        <v>52</v>
      </c>
      <c r="E352" s="22" t="s">
        <v>232</v>
      </c>
      <c r="F352" s="20" t="s">
        <v>232</v>
      </c>
      <c r="G352" s="22" t="s">
        <v>234</v>
      </c>
      <c r="H352" s="23">
        <v>4000</v>
      </c>
      <c r="I352" s="22">
        <v>2500</v>
      </c>
    </row>
    <row r="353" spans="1:9" x14ac:dyDescent="0.3">
      <c r="A353">
        <v>2025</v>
      </c>
      <c r="B353" s="8">
        <v>21</v>
      </c>
      <c r="C353" s="20" t="s">
        <v>105</v>
      </c>
      <c r="D353" s="22" t="s">
        <v>75</v>
      </c>
      <c r="E353" s="22" t="s">
        <v>241</v>
      </c>
      <c r="F353" s="20" t="s">
        <v>291</v>
      </c>
      <c r="G353" s="22" t="s">
        <v>234</v>
      </c>
      <c r="H353" s="23">
        <v>-500</v>
      </c>
      <c r="I353" s="22">
        <v>2500</v>
      </c>
    </row>
    <row r="354" spans="1:9" x14ac:dyDescent="0.3">
      <c r="A354">
        <v>2025</v>
      </c>
      <c r="B354" s="8">
        <v>21</v>
      </c>
      <c r="C354" s="20" t="s">
        <v>288</v>
      </c>
      <c r="D354" s="22" t="s">
        <v>22</v>
      </c>
      <c r="E354" s="20" t="s">
        <v>232</v>
      </c>
      <c r="F354" s="20" t="s">
        <v>232</v>
      </c>
      <c r="G354" s="22" t="s">
        <v>234</v>
      </c>
      <c r="H354" s="23">
        <v>2500</v>
      </c>
      <c r="I354" s="22">
        <v>2500</v>
      </c>
    </row>
    <row r="355" spans="1:9" x14ac:dyDescent="0.3">
      <c r="A355">
        <v>2025</v>
      </c>
      <c r="B355" s="8">
        <v>21</v>
      </c>
      <c r="C355" s="20" t="s">
        <v>324</v>
      </c>
      <c r="D355" s="22" t="s">
        <v>168</v>
      </c>
      <c r="E355" s="39" t="s">
        <v>232</v>
      </c>
      <c r="F355" s="41" t="s">
        <v>232</v>
      </c>
      <c r="G355" s="22" t="s">
        <v>234</v>
      </c>
      <c r="H355" s="23">
        <v>1715.880000000001</v>
      </c>
      <c r="I355" s="22">
        <v>2500</v>
      </c>
    </row>
    <row r="356" spans="1:9" x14ac:dyDescent="0.3">
      <c r="A356">
        <v>2025</v>
      </c>
      <c r="B356" s="8">
        <v>21</v>
      </c>
      <c r="C356" s="20" t="s">
        <v>244</v>
      </c>
      <c r="D356" s="20" t="s">
        <v>4</v>
      </c>
      <c r="E356" s="22" t="s">
        <v>232</v>
      </c>
      <c r="F356" s="20" t="s">
        <v>232</v>
      </c>
      <c r="G356" s="22" t="s">
        <v>234</v>
      </c>
      <c r="H356" s="23">
        <v>2523</v>
      </c>
      <c r="I356" s="22">
        <v>2500</v>
      </c>
    </row>
    <row r="357" spans="1:9" x14ac:dyDescent="0.3">
      <c r="A357">
        <v>2025</v>
      </c>
      <c r="B357" s="8">
        <v>21</v>
      </c>
      <c r="C357" s="20" t="s">
        <v>35</v>
      </c>
      <c r="D357" s="22" t="s">
        <v>97</v>
      </c>
      <c r="E357" s="22" t="s">
        <v>232</v>
      </c>
      <c r="F357" s="20" t="s">
        <v>232</v>
      </c>
      <c r="G357" s="22" t="s">
        <v>234</v>
      </c>
      <c r="H357" s="23">
        <v>2500</v>
      </c>
      <c r="I357" s="22">
        <v>2500</v>
      </c>
    </row>
    <row r="358" spans="1:9" x14ac:dyDescent="0.3">
      <c r="A358">
        <v>2025</v>
      </c>
      <c r="B358" s="8">
        <v>21</v>
      </c>
      <c r="C358" s="20" t="s">
        <v>37</v>
      </c>
      <c r="D358" s="22" t="s">
        <v>246</v>
      </c>
      <c r="E358" s="22" t="s">
        <v>232</v>
      </c>
      <c r="F358" s="20" t="s">
        <v>291</v>
      </c>
      <c r="G358" s="22" t="s">
        <v>234</v>
      </c>
      <c r="H358" s="23">
        <v>3313.92</v>
      </c>
      <c r="I358" s="22">
        <v>2500</v>
      </c>
    </row>
    <row r="359" spans="1:9" x14ac:dyDescent="0.3">
      <c r="A359">
        <v>2025</v>
      </c>
      <c r="B359" s="8">
        <v>21</v>
      </c>
      <c r="C359" s="20" t="s">
        <v>331</v>
      </c>
      <c r="D359" s="22" t="s">
        <v>69</v>
      </c>
      <c r="E359" s="22" t="s">
        <v>241</v>
      </c>
      <c r="F359" s="20" t="s">
        <v>291</v>
      </c>
      <c r="G359" s="22" t="s">
        <v>234</v>
      </c>
      <c r="H359" s="23">
        <v>1495</v>
      </c>
      <c r="I359" s="22">
        <v>2500</v>
      </c>
    </row>
    <row r="360" spans="1:9" x14ac:dyDescent="0.3">
      <c r="A360">
        <v>2025</v>
      </c>
      <c r="B360" s="8">
        <v>21</v>
      </c>
      <c r="C360" s="20" t="s">
        <v>293</v>
      </c>
      <c r="D360" s="22" t="s">
        <v>34</v>
      </c>
      <c r="E360" s="22" t="s">
        <v>232</v>
      </c>
      <c r="F360" s="20" t="s">
        <v>232</v>
      </c>
      <c r="G360" s="22" t="s">
        <v>234</v>
      </c>
      <c r="H360" s="23">
        <v>2424.8599999999997</v>
      </c>
      <c r="I360" s="22">
        <v>2500</v>
      </c>
    </row>
    <row r="361" spans="1:9" x14ac:dyDescent="0.3">
      <c r="A361">
        <v>2025</v>
      </c>
      <c r="B361" s="8">
        <v>21</v>
      </c>
      <c r="C361" s="20" t="s">
        <v>321</v>
      </c>
      <c r="D361" s="22" t="s">
        <v>40</v>
      </c>
      <c r="E361" s="22" t="s">
        <v>232</v>
      </c>
      <c r="F361" s="20" t="s">
        <v>232</v>
      </c>
      <c r="G361" s="22" t="s">
        <v>234</v>
      </c>
      <c r="H361" s="23">
        <v>1690.1000000000004</v>
      </c>
      <c r="I361" s="22">
        <v>2500</v>
      </c>
    </row>
    <row r="362" spans="1:9" x14ac:dyDescent="0.3">
      <c r="A362">
        <v>2025</v>
      </c>
      <c r="B362" s="8">
        <v>21</v>
      </c>
      <c r="C362" s="20" t="s">
        <v>45</v>
      </c>
      <c r="D362" s="22" t="s">
        <v>249</v>
      </c>
      <c r="E362" s="22" t="s">
        <v>232</v>
      </c>
      <c r="F362" s="20" t="s">
        <v>232</v>
      </c>
      <c r="G362" s="22" t="s">
        <v>234</v>
      </c>
      <c r="H362" s="23">
        <v>2300</v>
      </c>
      <c r="I362" s="22">
        <v>2500</v>
      </c>
    </row>
    <row r="363" spans="1:9" x14ac:dyDescent="0.3">
      <c r="A363">
        <v>2025</v>
      </c>
      <c r="B363" s="8">
        <v>21</v>
      </c>
      <c r="C363" s="20" t="s">
        <v>5</v>
      </c>
      <c r="D363" s="20" t="s">
        <v>50</v>
      </c>
      <c r="E363" s="22" t="s">
        <v>232</v>
      </c>
      <c r="F363" s="20" t="s">
        <v>232</v>
      </c>
      <c r="G363" s="22" t="s">
        <v>234</v>
      </c>
      <c r="H363" s="23">
        <v>3600</v>
      </c>
      <c r="I363" s="22">
        <v>2500</v>
      </c>
    </row>
    <row r="364" spans="1:9" x14ac:dyDescent="0.3">
      <c r="A364">
        <v>2025</v>
      </c>
      <c r="B364" s="8">
        <v>21</v>
      </c>
      <c r="C364" s="20" t="s">
        <v>294</v>
      </c>
      <c r="D364" s="20" t="s">
        <v>106</v>
      </c>
      <c r="E364" s="22" t="s">
        <v>232</v>
      </c>
      <c r="F364" s="20" t="s">
        <v>232</v>
      </c>
      <c r="G364" s="22" t="s">
        <v>234</v>
      </c>
      <c r="H364" s="23">
        <v>755</v>
      </c>
      <c r="I364" s="22">
        <v>2500</v>
      </c>
    </row>
    <row r="365" spans="1:9" x14ac:dyDescent="0.3">
      <c r="A365">
        <v>2025</v>
      </c>
      <c r="B365" s="8">
        <v>22</v>
      </c>
      <c r="C365" s="20" t="s">
        <v>80</v>
      </c>
      <c r="D365" s="20" t="s">
        <v>54</v>
      </c>
      <c r="E365" s="22" t="s">
        <v>232</v>
      </c>
      <c r="F365" s="20" t="s">
        <v>232</v>
      </c>
      <c r="G365" s="22" t="s">
        <v>234</v>
      </c>
      <c r="H365" s="23">
        <v>3000</v>
      </c>
      <c r="I365" s="22">
        <v>2500</v>
      </c>
    </row>
    <row r="366" spans="1:9" x14ac:dyDescent="0.3">
      <c r="A366">
        <v>2025</v>
      </c>
      <c r="B366" s="8">
        <v>22</v>
      </c>
      <c r="C366" s="20" t="s">
        <v>323</v>
      </c>
      <c r="D366" s="20" t="s">
        <v>20</v>
      </c>
      <c r="E366" s="22" t="s">
        <v>232</v>
      </c>
      <c r="F366" s="20" t="s">
        <v>232</v>
      </c>
      <c r="G366" s="22" t="s">
        <v>234</v>
      </c>
      <c r="H366" s="23">
        <v>3323.179999999998</v>
      </c>
      <c r="I366" s="22">
        <v>2500</v>
      </c>
    </row>
    <row r="367" spans="1:9" x14ac:dyDescent="0.3">
      <c r="A367">
        <v>2025</v>
      </c>
      <c r="B367" s="8">
        <v>22</v>
      </c>
      <c r="C367" s="20" t="s">
        <v>111</v>
      </c>
      <c r="D367" s="20" t="s">
        <v>16</v>
      </c>
      <c r="E367" s="22" t="s">
        <v>232</v>
      </c>
      <c r="F367" s="20" t="s">
        <v>232</v>
      </c>
      <c r="G367" s="22" t="s">
        <v>234</v>
      </c>
      <c r="H367" s="23">
        <v>3000</v>
      </c>
      <c r="I367" s="22">
        <v>2500</v>
      </c>
    </row>
    <row r="368" spans="1:9" x14ac:dyDescent="0.3">
      <c r="A368">
        <v>2025</v>
      </c>
      <c r="B368" s="8">
        <v>22</v>
      </c>
      <c r="C368" s="20" t="s">
        <v>23</v>
      </c>
      <c r="D368" s="20" t="s">
        <v>230</v>
      </c>
      <c r="E368" s="22" t="s">
        <v>232</v>
      </c>
      <c r="F368" s="20" t="s">
        <v>232</v>
      </c>
      <c r="G368" s="22" t="s">
        <v>234</v>
      </c>
      <c r="H368" s="23">
        <v>3000</v>
      </c>
      <c r="I368" s="22">
        <v>2500</v>
      </c>
    </row>
    <row r="369" spans="1:9" x14ac:dyDescent="0.3">
      <c r="A369">
        <v>2025</v>
      </c>
      <c r="B369" s="8">
        <v>22</v>
      </c>
      <c r="C369" s="20" t="s">
        <v>299</v>
      </c>
      <c r="D369" s="20" t="s">
        <v>56</v>
      </c>
      <c r="E369" s="22" t="s">
        <v>241</v>
      </c>
      <c r="F369" s="20" t="s">
        <v>291</v>
      </c>
      <c r="G369" s="22" t="s">
        <v>234</v>
      </c>
      <c r="H369" s="23">
        <v>-488.26000000000204</v>
      </c>
      <c r="I369" s="22">
        <v>2500</v>
      </c>
    </row>
    <row r="370" spans="1:9" x14ac:dyDescent="0.3">
      <c r="A370">
        <v>2025</v>
      </c>
      <c r="B370" s="8">
        <v>22</v>
      </c>
      <c r="C370" s="20" t="s">
        <v>25</v>
      </c>
      <c r="D370" s="20" t="s">
        <v>46</v>
      </c>
      <c r="E370" s="22" t="s">
        <v>232</v>
      </c>
      <c r="F370" s="20" t="s">
        <v>232</v>
      </c>
      <c r="G370" s="22" t="s">
        <v>234</v>
      </c>
      <c r="H370" s="23">
        <v>1908.5799999999981</v>
      </c>
      <c r="I370" s="22">
        <v>2500</v>
      </c>
    </row>
    <row r="371" spans="1:9" x14ac:dyDescent="0.3">
      <c r="A371">
        <v>2025</v>
      </c>
      <c r="B371" s="8">
        <v>22</v>
      </c>
      <c r="C371" s="20" t="s">
        <v>260</v>
      </c>
      <c r="D371" s="20" t="s">
        <v>81</v>
      </c>
      <c r="E371" s="22" t="s">
        <v>232</v>
      </c>
      <c r="F371" s="20" t="s">
        <v>232</v>
      </c>
      <c r="G371" s="22" t="s">
        <v>234</v>
      </c>
      <c r="H371" s="23">
        <v>0</v>
      </c>
      <c r="I371" s="22">
        <v>2500</v>
      </c>
    </row>
    <row r="372" spans="1:9" x14ac:dyDescent="0.3">
      <c r="A372">
        <v>2025</v>
      </c>
      <c r="B372" s="8">
        <v>22</v>
      </c>
      <c r="C372" s="20" t="s">
        <v>72</v>
      </c>
      <c r="D372" s="20" t="s">
        <v>28</v>
      </c>
      <c r="E372" s="22" t="s">
        <v>232</v>
      </c>
      <c r="F372" s="20" t="s">
        <v>232</v>
      </c>
      <c r="G372" s="22" t="s">
        <v>234</v>
      </c>
      <c r="H372" s="23">
        <v>3280</v>
      </c>
      <c r="I372" s="22">
        <v>2500</v>
      </c>
    </row>
    <row r="373" spans="1:9" x14ac:dyDescent="0.3">
      <c r="A373">
        <v>2025</v>
      </c>
      <c r="B373" s="8">
        <v>22</v>
      </c>
      <c r="C373" s="20" t="s">
        <v>292</v>
      </c>
      <c r="D373" s="20" t="s">
        <v>52</v>
      </c>
      <c r="E373" s="22" t="s">
        <v>232</v>
      </c>
      <c r="F373" s="20" t="s">
        <v>232</v>
      </c>
      <c r="G373" s="22" t="s">
        <v>234</v>
      </c>
      <c r="H373" s="23">
        <v>4000</v>
      </c>
      <c r="I373" s="22">
        <v>2500</v>
      </c>
    </row>
    <row r="374" spans="1:9" x14ac:dyDescent="0.3">
      <c r="A374">
        <v>2025</v>
      </c>
      <c r="B374" s="8">
        <v>22</v>
      </c>
      <c r="C374" s="20" t="s">
        <v>105</v>
      </c>
      <c r="D374" s="20" t="s">
        <v>75</v>
      </c>
      <c r="E374" s="22" t="s">
        <v>241</v>
      </c>
      <c r="F374" s="20" t="s">
        <v>291</v>
      </c>
      <c r="G374" s="22" t="s">
        <v>234</v>
      </c>
      <c r="H374" s="23">
        <v>2500</v>
      </c>
      <c r="I374" s="22">
        <v>2500</v>
      </c>
    </row>
    <row r="375" spans="1:9" x14ac:dyDescent="0.3">
      <c r="A375">
        <v>2025</v>
      </c>
      <c r="B375" s="8">
        <v>22</v>
      </c>
      <c r="C375" s="20" t="s">
        <v>288</v>
      </c>
      <c r="D375" s="20" t="s">
        <v>22</v>
      </c>
      <c r="E375" s="20" t="s">
        <v>232</v>
      </c>
      <c r="F375" s="20" t="s">
        <v>232</v>
      </c>
      <c r="G375" s="22" t="s">
        <v>234</v>
      </c>
      <c r="H375" s="23">
        <v>2500</v>
      </c>
      <c r="I375" s="22">
        <v>2500</v>
      </c>
    </row>
    <row r="376" spans="1:9" x14ac:dyDescent="0.3">
      <c r="A376">
        <v>2025</v>
      </c>
      <c r="B376" s="8">
        <v>22</v>
      </c>
      <c r="C376" s="20" t="s">
        <v>324</v>
      </c>
      <c r="D376" s="20" t="s">
        <v>168</v>
      </c>
      <c r="E376" s="39" t="s">
        <v>232</v>
      </c>
      <c r="F376" s="41" t="s">
        <v>232</v>
      </c>
      <c r="G376" s="22" t="s">
        <v>234</v>
      </c>
      <c r="H376" s="23">
        <v>1365.8399999999983</v>
      </c>
      <c r="I376" s="22">
        <v>2500</v>
      </c>
    </row>
    <row r="377" spans="1:9" x14ac:dyDescent="0.3">
      <c r="A377">
        <v>2025</v>
      </c>
      <c r="B377" s="8">
        <v>22</v>
      </c>
      <c r="C377" s="20" t="s">
        <v>244</v>
      </c>
      <c r="D377" s="20" t="s">
        <v>4</v>
      </c>
      <c r="E377" s="22" t="s">
        <v>232</v>
      </c>
      <c r="F377" s="20" t="s">
        <v>232</v>
      </c>
      <c r="G377" s="22" t="s">
        <v>234</v>
      </c>
      <c r="H377" s="23">
        <v>1285.2599999999989</v>
      </c>
      <c r="I377" s="22">
        <v>2500</v>
      </c>
    </row>
    <row r="378" spans="1:9" x14ac:dyDescent="0.3">
      <c r="A378">
        <v>2025</v>
      </c>
      <c r="B378" s="8">
        <v>22</v>
      </c>
      <c r="C378" s="20" t="s">
        <v>35</v>
      </c>
      <c r="D378" s="20" t="s">
        <v>97</v>
      </c>
      <c r="E378" s="22" t="s">
        <v>232</v>
      </c>
      <c r="F378" s="20" t="s">
        <v>232</v>
      </c>
      <c r="G378" s="22" t="s">
        <v>234</v>
      </c>
      <c r="H378" s="23">
        <v>2500</v>
      </c>
      <c r="I378" s="22">
        <v>2500</v>
      </c>
    </row>
    <row r="379" spans="1:9" x14ac:dyDescent="0.3">
      <c r="A379">
        <v>2025</v>
      </c>
      <c r="B379" s="8">
        <v>22</v>
      </c>
      <c r="C379" s="20" t="s">
        <v>37</v>
      </c>
      <c r="D379" s="20" t="s">
        <v>246</v>
      </c>
      <c r="E379" s="22" t="s">
        <v>232</v>
      </c>
      <c r="F379" s="20" t="s">
        <v>291</v>
      </c>
      <c r="G379" s="22" t="s">
        <v>234</v>
      </c>
      <c r="H379" s="23">
        <v>-419.7800000000002</v>
      </c>
      <c r="I379" s="22">
        <v>2500</v>
      </c>
    </row>
    <row r="380" spans="1:9" x14ac:dyDescent="0.3">
      <c r="A380">
        <v>2025</v>
      </c>
      <c r="B380" s="8">
        <v>22</v>
      </c>
      <c r="C380" s="20" t="s">
        <v>331</v>
      </c>
      <c r="D380" s="22" t="s">
        <v>69</v>
      </c>
      <c r="E380" s="22" t="s">
        <v>241</v>
      </c>
      <c r="F380" s="20" t="s">
        <v>291</v>
      </c>
      <c r="G380" s="22" t="s">
        <v>234</v>
      </c>
      <c r="H380" s="23">
        <v>2668.34</v>
      </c>
      <c r="I380" s="22">
        <v>2500</v>
      </c>
    </row>
    <row r="381" spans="1:9" x14ac:dyDescent="0.3">
      <c r="A381">
        <v>2025</v>
      </c>
      <c r="B381" s="8">
        <v>22</v>
      </c>
      <c r="C381" s="20" t="s">
        <v>293</v>
      </c>
      <c r="D381" s="20" t="s">
        <v>34</v>
      </c>
      <c r="E381" s="22" t="s">
        <v>232</v>
      </c>
      <c r="F381" s="20" t="s">
        <v>232</v>
      </c>
      <c r="G381" s="22" t="s">
        <v>234</v>
      </c>
      <c r="H381" s="23">
        <v>951.9699999999998</v>
      </c>
      <c r="I381" s="22">
        <v>2500</v>
      </c>
    </row>
    <row r="382" spans="1:9" x14ac:dyDescent="0.3">
      <c r="A382">
        <v>2025</v>
      </c>
      <c r="B382" s="8">
        <v>22</v>
      </c>
      <c r="C382" s="20" t="s">
        <v>321</v>
      </c>
      <c r="D382" s="20" t="s">
        <v>40</v>
      </c>
      <c r="E382" s="22" t="s">
        <v>232</v>
      </c>
      <c r="F382" s="20" t="s">
        <v>232</v>
      </c>
      <c r="G382" s="22" t="s">
        <v>234</v>
      </c>
      <c r="H382" s="23">
        <v>3614.050000000002</v>
      </c>
      <c r="I382" s="22">
        <v>2500</v>
      </c>
    </row>
    <row r="383" spans="1:9" x14ac:dyDescent="0.3">
      <c r="A383">
        <v>2025</v>
      </c>
      <c r="B383" s="8">
        <v>22</v>
      </c>
      <c r="C383" s="20" t="s">
        <v>45</v>
      </c>
      <c r="D383" s="20" t="s">
        <v>249</v>
      </c>
      <c r="E383" s="22" t="s">
        <v>232</v>
      </c>
      <c r="F383" s="20" t="s">
        <v>232</v>
      </c>
      <c r="G383" s="22" t="s">
        <v>234</v>
      </c>
      <c r="H383" s="23">
        <v>2500</v>
      </c>
      <c r="I383" s="22">
        <v>2500</v>
      </c>
    </row>
    <row r="384" spans="1:9" x14ac:dyDescent="0.3">
      <c r="A384">
        <v>2025</v>
      </c>
      <c r="B384" s="8">
        <v>22</v>
      </c>
      <c r="C384" s="20" t="s">
        <v>5</v>
      </c>
      <c r="D384" s="20" t="s">
        <v>50</v>
      </c>
      <c r="E384" s="22" t="s">
        <v>232</v>
      </c>
      <c r="F384" s="20" t="s">
        <v>232</v>
      </c>
      <c r="G384" s="22" t="s">
        <v>234</v>
      </c>
      <c r="H384" s="23">
        <v>0</v>
      </c>
      <c r="I384" s="22">
        <v>2500</v>
      </c>
    </row>
    <row r="385" spans="1:9" x14ac:dyDescent="0.3">
      <c r="A385">
        <v>2025</v>
      </c>
      <c r="B385" s="8">
        <v>22</v>
      </c>
      <c r="C385" s="20" t="s">
        <v>294</v>
      </c>
      <c r="D385" s="20" t="s">
        <v>106</v>
      </c>
      <c r="E385" s="22" t="s">
        <v>232</v>
      </c>
      <c r="F385" s="20" t="s">
        <v>232</v>
      </c>
      <c r="G385" s="22" t="s">
        <v>234</v>
      </c>
      <c r="H385" s="23">
        <v>692</v>
      </c>
      <c r="I385" s="22">
        <v>2500</v>
      </c>
    </row>
    <row r="386" spans="1:9" x14ac:dyDescent="0.3">
      <c r="A386">
        <v>2025</v>
      </c>
      <c r="B386" s="8">
        <v>23</v>
      </c>
      <c r="C386" s="20" t="s">
        <v>80</v>
      </c>
      <c r="D386" s="20" t="s">
        <v>54</v>
      </c>
      <c r="E386" s="22" t="s">
        <v>232</v>
      </c>
      <c r="F386" s="20" t="s">
        <v>232</v>
      </c>
      <c r="G386" s="22" t="s">
        <v>234</v>
      </c>
      <c r="H386" s="23">
        <v>3000</v>
      </c>
      <c r="I386" s="22">
        <v>2500</v>
      </c>
    </row>
    <row r="387" spans="1:9" x14ac:dyDescent="0.3">
      <c r="A387">
        <v>2025</v>
      </c>
      <c r="B387" s="8">
        <v>23</v>
      </c>
      <c r="C387" s="20" t="s">
        <v>323</v>
      </c>
      <c r="D387" s="20" t="s">
        <v>20</v>
      </c>
      <c r="E387" s="22" t="s">
        <v>232</v>
      </c>
      <c r="F387" s="20" t="s">
        <v>232</v>
      </c>
      <c r="G387" s="22" t="s">
        <v>234</v>
      </c>
      <c r="H387" s="23">
        <v>2399.9400000000005</v>
      </c>
      <c r="I387" s="22">
        <v>2500</v>
      </c>
    </row>
    <row r="388" spans="1:9" x14ac:dyDescent="0.3">
      <c r="A388">
        <v>2025</v>
      </c>
      <c r="B388" s="8">
        <v>23</v>
      </c>
      <c r="C388" s="20" t="s">
        <v>111</v>
      </c>
      <c r="D388" s="20" t="s">
        <v>16</v>
      </c>
      <c r="E388" s="22" t="s">
        <v>232</v>
      </c>
      <c r="F388" s="20" t="s">
        <v>232</v>
      </c>
      <c r="G388" s="22" t="s">
        <v>234</v>
      </c>
      <c r="H388" s="23">
        <v>1750</v>
      </c>
      <c r="I388" s="22">
        <v>2500</v>
      </c>
    </row>
    <row r="389" spans="1:9" x14ac:dyDescent="0.3">
      <c r="A389">
        <v>2025</v>
      </c>
      <c r="B389" s="8">
        <v>23</v>
      </c>
      <c r="C389" s="20" t="s">
        <v>111</v>
      </c>
      <c r="D389" s="20" t="s">
        <v>63</v>
      </c>
      <c r="E389" s="20" t="s">
        <v>291</v>
      </c>
      <c r="F389" s="20" t="s">
        <v>291</v>
      </c>
      <c r="G389" s="22" t="s">
        <v>234</v>
      </c>
      <c r="H389" s="23">
        <v>1250</v>
      </c>
      <c r="I389" s="22"/>
    </row>
    <row r="390" spans="1:9" x14ac:dyDescent="0.3">
      <c r="A390">
        <v>2025</v>
      </c>
      <c r="B390" s="8">
        <v>23</v>
      </c>
      <c r="C390" s="20" t="s">
        <v>23</v>
      </c>
      <c r="D390" s="20" t="s">
        <v>230</v>
      </c>
      <c r="E390" s="22" t="s">
        <v>232</v>
      </c>
      <c r="F390" s="20" t="s">
        <v>232</v>
      </c>
      <c r="G390" s="22" t="s">
        <v>234</v>
      </c>
      <c r="H390" s="23">
        <v>3000.5999999999995</v>
      </c>
      <c r="I390" s="22">
        <v>2500</v>
      </c>
    </row>
    <row r="391" spans="1:9" x14ac:dyDescent="0.3">
      <c r="A391">
        <v>2025</v>
      </c>
      <c r="B391" s="8">
        <v>23</v>
      </c>
      <c r="C391" s="20" t="s">
        <v>299</v>
      </c>
      <c r="D391" s="20" t="s">
        <v>56</v>
      </c>
      <c r="E391" s="22" t="s">
        <v>241</v>
      </c>
      <c r="F391" s="20" t="s">
        <v>291</v>
      </c>
      <c r="G391" s="22" t="s">
        <v>234</v>
      </c>
      <c r="H391" s="23">
        <v>2738</v>
      </c>
      <c r="I391" s="22">
        <v>2500</v>
      </c>
    </row>
    <row r="392" spans="1:9" x14ac:dyDescent="0.3">
      <c r="A392">
        <v>2025</v>
      </c>
      <c r="B392" s="8">
        <v>23</v>
      </c>
      <c r="C392" s="20" t="s">
        <v>25</v>
      </c>
      <c r="D392" s="20" t="s">
        <v>46</v>
      </c>
      <c r="E392" s="22" t="s">
        <v>232</v>
      </c>
      <c r="F392" s="20" t="s">
        <v>232</v>
      </c>
      <c r="G392" s="22" t="s">
        <v>234</v>
      </c>
      <c r="H392" s="23">
        <v>1993.0599999999995</v>
      </c>
      <c r="I392" s="22">
        <v>2500</v>
      </c>
    </row>
    <row r="393" spans="1:9" x14ac:dyDescent="0.3">
      <c r="A393">
        <v>2025</v>
      </c>
      <c r="B393" s="8">
        <v>23</v>
      </c>
      <c r="C393" s="20" t="s">
        <v>260</v>
      </c>
      <c r="D393" s="20" t="s">
        <v>81</v>
      </c>
      <c r="E393" s="22" t="s">
        <v>232</v>
      </c>
      <c r="F393" s="20" t="s">
        <v>232</v>
      </c>
      <c r="G393" s="22" t="s">
        <v>234</v>
      </c>
      <c r="H393" s="23">
        <v>0</v>
      </c>
      <c r="I393" s="22">
        <v>2500</v>
      </c>
    </row>
    <row r="394" spans="1:9" x14ac:dyDescent="0.3">
      <c r="A394">
        <v>2025</v>
      </c>
      <c r="B394" s="8">
        <v>23</v>
      </c>
      <c r="C394" s="20" t="s">
        <v>72</v>
      </c>
      <c r="D394" s="20" t="s">
        <v>28</v>
      </c>
      <c r="E394" s="22" t="s">
        <v>232</v>
      </c>
      <c r="F394" s="20" t="s">
        <v>232</v>
      </c>
      <c r="G394" s="22" t="s">
        <v>234</v>
      </c>
      <c r="H394" s="23">
        <v>4022</v>
      </c>
      <c r="I394" s="22">
        <v>2500</v>
      </c>
    </row>
    <row r="395" spans="1:9" x14ac:dyDescent="0.3">
      <c r="A395">
        <v>2025</v>
      </c>
      <c r="B395" s="8">
        <v>23</v>
      </c>
      <c r="C395" s="20" t="s">
        <v>72</v>
      </c>
      <c r="D395" s="20" t="s">
        <v>73</v>
      </c>
      <c r="E395" s="22" t="s">
        <v>241</v>
      </c>
      <c r="F395" s="20" t="s">
        <v>291</v>
      </c>
      <c r="G395" s="22" t="s">
        <v>234</v>
      </c>
      <c r="H395" s="23">
        <v>358</v>
      </c>
      <c r="I395" s="22"/>
    </row>
    <row r="396" spans="1:9" x14ac:dyDescent="0.3">
      <c r="A396">
        <v>2025</v>
      </c>
      <c r="B396" s="8">
        <v>23</v>
      </c>
      <c r="C396" s="20" t="s">
        <v>292</v>
      </c>
      <c r="D396" s="20" t="s">
        <v>52</v>
      </c>
      <c r="E396" s="22" t="s">
        <v>232</v>
      </c>
      <c r="F396" s="20" t="s">
        <v>232</v>
      </c>
      <c r="G396" s="22" t="s">
        <v>234</v>
      </c>
      <c r="H396" s="23">
        <v>2500</v>
      </c>
      <c r="I396" s="22">
        <v>2500</v>
      </c>
    </row>
    <row r="397" spans="1:9" x14ac:dyDescent="0.3">
      <c r="A397">
        <v>2025</v>
      </c>
      <c r="B397" s="8">
        <v>23</v>
      </c>
      <c r="C397" s="20" t="s">
        <v>105</v>
      </c>
      <c r="D397" s="20" t="s">
        <v>75</v>
      </c>
      <c r="E397" s="22" t="s">
        <v>241</v>
      </c>
      <c r="F397" s="20" t="s">
        <v>291</v>
      </c>
      <c r="G397" s="22" t="s">
        <v>234</v>
      </c>
      <c r="H397" s="23">
        <v>2500</v>
      </c>
      <c r="I397" s="22">
        <v>2500</v>
      </c>
    </row>
    <row r="398" spans="1:9" x14ac:dyDescent="0.3">
      <c r="A398">
        <v>2025</v>
      </c>
      <c r="B398" s="8">
        <v>23</v>
      </c>
      <c r="C398" s="20" t="s">
        <v>288</v>
      </c>
      <c r="D398" s="20" t="s">
        <v>22</v>
      </c>
      <c r="E398" s="20" t="s">
        <v>232</v>
      </c>
      <c r="F398" s="20" t="s">
        <v>232</v>
      </c>
      <c r="G398" s="22" t="s">
        <v>234</v>
      </c>
      <c r="H398" s="23">
        <v>2500</v>
      </c>
      <c r="I398" s="22">
        <v>2500</v>
      </c>
    </row>
    <row r="399" spans="1:9" x14ac:dyDescent="0.3">
      <c r="A399">
        <v>2025</v>
      </c>
      <c r="B399" s="8">
        <v>23</v>
      </c>
      <c r="C399" s="20" t="s">
        <v>324</v>
      </c>
      <c r="D399" s="20" t="s">
        <v>168</v>
      </c>
      <c r="E399" s="39" t="s">
        <v>232</v>
      </c>
      <c r="F399" s="41" t="s">
        <v>232</v>
      </c>
      <c r="G399" s="22" t="s">
        <v>234</v>
      </c>
      <c r="H399" s="23">
        <v>6753.2000000000007</v>
      </c>
      <c r="I399" s="22">
        <v>2500</v>
      </c>
    </row>
    <row r="400" spans="1:9" x14ac:dyDescent="0.3">
      <c r="A400">
        <v>2025</v>
      </c>
      <c r="B400" s="8">
        <v>23</v>
      </c>
      <c r="C400" s="20" t="s">
        <v>324</v>
      </c>
      <c r="D400" s="20" t="s">
        <v>63</v>
      </c>
      <c r="E400" s="41" t="s">
        <v>291</v>
      </c>
      <c r="F400" s="41" t="s">
        <v>291</v>
      </c>
      <c r="G400" s="22" t="s">
        <v>234</v>
      </c>
      <c r="H400" s="23">
        <v>715</v>
      </c>
      <c r="I400" s="22"/>
    </row>
    <row r="401" spans="1:9" x14ac:dyDescent="0.3">
      <c r="A401">
        <v>2025</v>
      </c>
      <c r="B401" s="8">
        <v>23</v>
      </c>
      <c r="C401" s="20" t="s">
        <v>244</v>
      </c>
      <c r="D401" s="20" t="s">
        <v>4</v>
      </c>
      <c r="E401" s="22" t="s">
        <v>232</v>
      </c>
      <c r="F401" s="20" t="s">
        <v>232</v>
      </c>
      <c r="G401" s="22" t="s">
        <v>234</v>
      </c>
      <c r="H401" s="23">
        <v>3070.1000000000004</v>
      </c>
      <c r="I401" s="22">
        <v>2500</v>
      </c>
    </row>
    <row r="402" spans="1:9" x14ac:dyDescent="0.3">
      <c r="A402">
        <v>2025</v>
      </c>
      <c r="B402" s="8">
        <v>23</v>
      </c>
      <c r="C402" s="20" t="s">
        <v>35</v>
      </c>
      <c r="D402" s="20" t="s">
        <v>97</v>
      </c>
      <c r="E402" s="22" t="s">
        <v>232</v>
      </c>
      <c r="F402" s="20" t="s">
        <v>232</v>
      </c>
      <c r="G402" s="22" t="s">
        <v>234</v>
      </c>
      <c r="H402" s="23">
        <v>2500</v>
      </c>
      <c r="I402" s="22">
        <v>2500</v>
      </c>
    </row>
    <row r="403" spans="1:9" x14ac:dyDescent="0.3">
      <c r="A403">
        <v>2025</v>
      </c>
      <c r="B403" s="8">
        <v>23</v>
      </c>
      <c r="C403" s="20" t="s">
        <v>37</v>
      </c>
      <c r="D403" s="20" t="s">
        <v>246</v>
      </c>
      <c r="E403" s="22" t="s">
        <v>232</v>
      </c>
      <c r="F403" s="20" t="s">
        <v>291</v>
      </c>
      <c r="G403" s="22" t="s">
        <v>234</v>
      </c>
      <c r="H403" s="23">
        <v>4196.2799999999988</v>
      </c>
      <c r="I403" s="22">
        <v>2500</v>
      </c>
    </row>
    <row r="404" spans="1:9" x14ac:dyDescent="0.3">
      <c r="A404">
        <v>2025</v>
      </c>
      <c r="B404" s="8">
        <v>23</v>
      </c>
      <c r="C404" s="20" t="s">
        <v>331</v>
      </c>
      <c r="D404" s="22" t="s">
        <v>69</v>
      </c>
      <c r="E404" s="22" t="s">
        <v>241</v>
      </c>
      <c r="F404" s="20" t="s">
        <v>291</v>
      </c>
      <c r="G404" s="22" t="s">
        <v>234</v>
      </c>
      <c r="H404" s="23">
        <v>341.39999999999964</v>
      </c>
      <c r="I404" s="22">
        <v>2500</v>
      </c>
    </row>
    <row r="405" spans="1:9" x14ac:dyDescent="0.3">
      <c r="A405">
        <v>2025</v>
      </c>
      <c r="B405" s="8">
        <v>23</v>
      </c>
      <c r="C405" s="20" t="s">
        <v>293</v>
      </c>
      <c r="D405" s="20" t="s">
        <v>34</v>
      </c>
      <c r="E405" s="22" t="s">
        <v>232</v>
      </c>
      <c r="F405" s="20" t="s">
        <v>232</v>
      </c>
      <c r="G405" s="22" t="s">
        <v>234</v>
      </c>
      <c r="H405" s="23">
        <v>783.80000000000018</v>
      </c>
      <c r="I405" s="22">
        <v>2500</v>
      </c>
    </row>
    <row r="406" spans="1:9" x14ac:dyDescent="0.3">
      <c r="A406">
        <v>2025</v>
      </c>
      <c r="B406" s="8">
        <v>23</v>
      </c>
      <c r="C406" s="20" t="s">
        <v>321</v>
      </c>
      <c r="D406" s="20" t="s">
        <v>40</v>
      </c>
      <c r="E406" s="22" t="s">
        <v>232</v>
      </c>
      <c r="F406" s="20" t="s">
        <v>232</v>
      </c>
      <c r="G406" s="22" t="s">
        <v>234</v>
      </c>
      <c r="H406" s="23">
        <v>3000.3</v>
      </c>
      <c r="I406" s="22">
        <v>2500</v>
      </c>
    </row>
    <row r="407" spans="1:9" x14ac:dyDescent="0.3">
      <c r="A407">
        <v>2025</v>
      </c>
      <c r="B407" s="8">
        <v>23</v>
      </c>
      <c r="C407" s="20" t="s">
        <v>45</v>
      </c>
      <c r="D407" s="20" t="s">
        <v>249</v>
      </c>
      <c r="E407" s="22" t="s">
        <v>232</v>
      </c>
      <c r="F407" s="20" t="s">
        <v>232</v>
      </c>
      <c r="G407" s="22" t="s">
        <v>234</v>
      </c>
      <c r="H407" s="23">
        <v>2100</v>
      </c>
      <c r="I407" s="22">
        <v>2500</v>
      </c>
    </row>
    <row r="408" spans="1:9" x14ac:dyDescent="0.3">
      <c r="A408">
        <v>2025</v>
      </c>
      <c r="B408" s="8">
        <v>23</v>
      </c>
      <c r="C408" s="20" t="s">
        <v>5</v>
      </c>
      <c r="D408" s="20" t="s">
        <v>50</v>
      </c>
      <c r="E408" s="22" t="s">
        <v>232</v>
      </c>
      <c r="F408" s="20" t="s">
        <v>232</v>
      </c>
      <c r="G408" s="22" t="s">
        <v>234</v>
      </c>
      <c r="H408" s="23">
        <v>0</v>
      </c>
      <c r="I408" s="22">
        <v>2500</v>
      </c>
    </row>
    <row r="409" spans="1:9" x14ac:dyDescent="0.3">
      <c r="A409">
        <v>2025</v>
      </c>
      <c r="B409" s="8">
        <v>23</v>
      </c>
      <c r="C409" s="20" t="s">
        <v>342</v>
      </c>
      <c r="D409" s="20" t="s">
        <v>10</v>
      </c>
      <c r="E409" s="22" t="s">
        <v>232</v>
      </c>
      <c r="F409" s="20" t="s">
        <v>237</v>
      </c>
      <c r="G409" s="22" t="s">
        <v>234</v>
      </c>
      <c r="H409" s="23">
        <v>1250</v>
      </c>
      <c r="I409" s="22">
        <v>2500</v>
      </c>
    </row>
    <row r="410" spans="1:9" x14ac:dyDescent="0.3">
      <c r="A410">
        <v>2025</v>
      </c>
      <c r="B410" s="8">
        <v>23</v>
      </c>
      <c r="C410" s="20" t="s">
        <v>294</v>
      </c>
      <c r="D410" s="20" t="s">
        <v>106</v>
      </c>
      <c r="E410" s="22" t="s">
        <v>232</v>
      </c>
      <c r="F410" s="20" t="s">
        <v>232</v>
      </c>
      <c r="G410" s="22" t="s">
        <v>234</v>
      </c>
      <c r="H410" s="23">
        <v>1216.9799999999996</v>
      </c>
      <c r="I410" s="22">
        <v>2500</v>
      </c>
    </row>
    <row r="411" spans="1:9" x14ac:dyDescent="0.3">
      <c r="A411">
        <v>2025</v>
      </c>
      <c r="B411" s="8">
        <v>24</v>
      </c>
      <c r="C411" s="20" t="s">
        <v>80</v>
      </c>
      <c r="D411" s="20" t="s">
        <v>54</v>
      </c>
      <c r="E411" s="22" t="s">
        <v>232</v>
      </c>
      <c r="F411" s="20" t="s">
        <v>232</v>
      </c>
      <c r="G411" s="22" t="s">
        <v>234</v>
      </c>
      <c r="H411" s="23">
        <v>1571</v>
      </c>
      <c r="I411" s="22">
        <v>2500</v>
      </c>
    </row>
    <row r="412" spans="1:9" x14ac:dyDescent="0.3">
      <c r="A412">
        <v>2025</v>
      </c>
      <c r="B412" s="8">
        <v>24</v>
      </c>
      <c r="C412" s="20" t="s">
        <v>345</v>
      </c>
      <c r="D412" s="20" t="s">
        <v>230</v>
      </c>
      <c r="E412" s="22" t="s">
        <v>232</v>
      </c>
      <c r="F412" s="20" t="s">
        <v>232</v>
      </c>
      <c r="G412" s="22" t="s">
        <v>234</v>
      </c>
      <c r="H412" s="23">
        <v>1488</v>
      </c>
      <c r="I412" s="22">
        <v>2500</v>
      </c>
    </row>
    <row r="413" spans="1:9" x14ac:dyDescent="0.3">
      <c r="A413">
        <v>2025</v>
      </c>
      <c r="B413" s="8">
        <v>24</v>
      </c>
      <c r="C413" s="20" t="s">
        <v>345</v>
      </c>
      <c r="D413" s="20" t="s">
        <v>56</v>
      </c>
      <c r="E413" s="22" t="s">
        <v>241</v>
      </c>
      <c r="F413" s="23" t="s">
        <v>291</v>
      </c>
      <c r="G413" s="22" t="s">
        <v>234</v>
      </c>
      <c r="H413" s="23">
        <v>429</v>
      </c>
      <c r="I413" s="22">
        <v>2500</v>
      </c>
    </row>
    <row r="414" spans="1:9" x14ac:dyDescent="0.3">
      <c r="A414">
        <v>2025</v>
      </c>
      <c r="B414" s="8">
        <v>24</v>
      </c>
      <c r="C414" s="20" t="s">
        <v>323</v>
      </c>
      <c r="D414" s="20" t="s">
        <v>20</v>
      </c>
      <c r="E414" s="22" t="s">
        <v>232</v>
      </c>
      <c r="F414" s="20" t="s">
        <v>232</v>
      </c>
      <c r="G414" s="22" t="s">
        <v>234</v>
      </c>
      <c r="H414" s="23">
        <v>3599.6800000000003</v>
      </c>
      <c r="I414" s="22">
        <v>2500</v>
      </c>
    </row>
    <row r="415" spans="1:9" x14ac:dyDescent="0.3">
      <c r="A415">
        <v>2025</v>
      </c>
      <c r="B415" s="8">
        <v>24</v>
      </c>
      <c r="C415" s="20" t="s">
        <v>111</v>
      </c>
      <c r="D415" s="20" t="s">
        <v>63</v>
      </c>
      <c r="E415" s="20" t="s">
        <v>291</v>
      </c>
      <c r="F415" s="20" t="s">
        <v>291</v>
      </c>
      <c r="G415" s="22" t="s">
        <v>234</v>
      </c>
      <c r="H415" s="23">
        <v>869.34000000000015</v>
      </c>
      <c r="I415" s="22">
        <v>2500</v>
      </c>
    </row>
    <row r="416" spans="1:9" x14ac:dyDescent="0.3">
      <c r="A416">
        <v>2025</v>
      </c>
      <c r="B416" s="8">
        <v>24</v>
      </c>
      <c r="C416" s="20" t="s">
        <v>111</v>
      </c>
      <c r="D416" s="20" t="s">
        <v>63</v>
      </c>
      <c r="E416" s="20" t="s">
        <v>291</v>
      </c>
      <c r="F416" s="20" t="s">
        <v>291</v>
      </c>
      <c r="G416" s="22" t="s">
        <v>234</v>
      </c>
      <c r="H416" s="23">
        <v>358</v>
      </c>
      <c r="I416" s="22"/>
    </row>
    <row r="417" spans="1:9" x14ac:dyDescent="0.3">
      <c r="A417">
        <v>2025</v>
      </c>
      <c r="B417" s="8">
        <v>24</v>
      </c>
      <c r="C417" s="20" t="s">
        <v>23</v>
      </c>
      <c r="D417" s="20" t="s">
        <v>34</v>
      </c>
      <c r="E417" s="22" t="s">
        <v>232</v>
      </c>
      <c r="F417" s="20" t="s">
        <v>232</v>
      </c>
      <c r="G417" s="22" t="s">
        <v>234</v>
      </c>
      <c r="H417" s="23">
        <v>3000</v>
      </c>
      <c r="I417" s="22">
        <v>2500</v>
      </c>
    </row>
    <row r="418" spans="1:9" x14ac:dyDescent="0.3">
      <c r="A418">
        <v>2025</v>
      </c>
      <c r="B418" s="8">
        <v>24</v>
      </c>
      <c r="C418" s="20" t="s">
        <v>299</v>
      </c>
      <c r="D418" s="20" t="s">
        <v>56</v>
      </c>
      <c r="E418" s="22" t="s">
        <v>241</v>
      </c>
      <c r="F418" s="20" t="s">
        <v>237</v>
      </c>
      <c r="G418" s="22" t="s">
        <v>234</v>
      </c>
      <c r="H418" s="23">
        <v>0</v>
      </c>
      <c r="I418" s="22">
        <v>2500</v>
      </c>
    </row>
    <row r="419" spans="1:9" x14ac:dyDescent="0.3">
      <c r="A419">
        <v>2025</v>
      </c>
      <c r="B419" s="8">
        <v>24</v>
      </c>
      <c r="C419" s="20" t="s">
        <v>25</v>
      </c>
      <c r="D419" s="20" t="s">
        <v>46</v>
      </c>
      <c r="E419" s="22" t="s">
        <v>232</v>
      </c>
      <c r="F419" s="20" t="s">
        <v>232</v>
      </c>
      <c r="G419" s="22" t="s">
        <v>234</v>
      </c>
      <c r="H419" s="23">
        <v>2693.0400000000009</v>
      </c>
      <c r="I419" s="22">
        <v>2500</v>
      </c>
    </row>
    <row r="420" spans="1:9" x14ac:dyDescent="0.3">
      <c r="A420">
        <v>2025</v>
      </c>
      <c r="B420" s="8">
        <v>24</v>
      </c>
      <c r="C420" s="20" t="s">
        <v>260</v>
      </c>
      <c r="D420" s="20" t="s">
        <v>81</v>
      </c>
      <c r="E420" s="22" t="s">
        <v>232</v>
      </c>
      <c r="F420" s="20" t="s">
        <v>232</v>
      </c>
      <c r="G420" s="22" t="s">
        <v>234</v>
      </c>
      <c r="H420" s="23">
        <v>3000</v>
      </c>
      <c r="I420" s="22">
        <v>2500</v>
      </c>
    </row>
    <row r="421" spans="1:9" x14ac:dyDescent="0.3">
      <c r="A421">
        <v>2025</v>
      </c>
      <c r="B421" s="8">
        <v>24</v>
      </c>
      <c r="C421" s="20" t="s">
        <v>72</v>
      </c>
      <c r="D421" s="20" t="s">
        <v>73</v>
      </c>
      <c r="E421" s="22" t="s">
        <v>241</v>
      </c>
      <c r="F421" s="20" t="s">
        <v>291</v>
      </c>
      <c r="G421" s="22" t="s">
        <v>234</v>
      </c>
      <c r="H421" s="23">
        <v>3188</v>
      </c>
      <c r="I421" s="22">
        <v>2500</v>
      </c>
    </row>
    <row r="422" spans="1:9" x14ac:dyDescent="0.3">
      <c r="A422">
        <v>2025</v>
      </c>
      <c r="B422" s="8">
        <v>24</v>
      </c>
      <c r="C422" s="20" t="s">
        <v>292</v>
      </c>
      <c r="D422" s="20" t="s">
        <v>52</v>
      </c>
      <c r="E422" s="22" t="s">
        <v>232</v>
      </c>
      <c r="F422" s="20" t="s">
        <v>232</v>
      </c>
      <c r="G422" s="22" t="s">
        <v>234</v>
      </c>
      <c r="H422" s="23">
        <v>2561</v>
      </c>
      <c r="I422" s="22">
        <v>2500</v>
      </c>
    </row>
    <row r="423" spans="1:9" x14ac:dyDescent="0.3">
      <c r="A423">
        <v>2025</v>
      </c>
      <c r="B423" s="8">
        <v>24</v>
      </c>
      <c r="C423" s="20" t="s">
        <v>105</v>
      </c>
      <c r="D423" s="20" t="s">
        <v>75</v>
      </c>
      <c r="E423" s="22" t="s">
        <v>241</v>
      </c>
      <c r="F423" s="20" t="s">
        <v>291</v>
      </c>
      <c r="G423" s="22" t="s">
        <v>234</v>
      </c>
      <c r="H423" s="23">
        <v>2500</v>
      </c>
      <c r="I423" s="22">
        <v>2500</v>
      </c>
    </row>
    <row r="424" spans="1:9" x14ac:dyDescent="0.3">
      <c r="A424">
        <v>2025</v>
      </c>
      <c r="B424" s="8">
        <v>24</v>
      </c>
      <c r="C424" s="20" t="s">
        <v>288</v>
      </c>
      <c r="D424" s="20" t="s">
        <v>22</v>
      </c>
      <c r="E424" s="20" t="s">
        <v>232</v>
      </c>
      <c r="F424" s="20" t="s">
        <v>232</v>
      </c>
      <c r="G424" s="22" t="s">
        <v>234</v>
      </c>
      <c r="H424" s="23">
        <v>2500</v>
      </c>
      <c r="I424" s="22">
        <v>2500</v>
      </c>
    </row>
    <row r="425" spans="1:9" x14ac:dyDescent="0.3">
      <c r="A425">
        <v>2025</v>
      </c>
      <c r="B425" s="8">
        <v>24</v>
      </c>
      <c r="C425" s="20" t="s">
        <v>324</v>
      </c>
      <c r="D425" s="20" t="s">
        <v>168</v>
      </c>
      <c r="E425" s="39" t="s">
        <v>232</v>
      </c>
      <c r="F425" s="41" t="s">
        <v>232</v>
      </c>
      <c r="G425" s="22" t="s">
        <v>234</v>
      </c>
      <c r="H425" s="23">
        <v>2673.3999999999996</v>
      </c>
      <c r="I425" s="22">
        <v>2500</v>
      </c>
    </row>
    <row r="426" spans="1:9" x14ac:dyDescent="0.3">
      <c r="A426">
        <v>2025</v>
      </c>
      <c r="B426" s="8">
        <v>24</v>
      </c>
      <c r="C426" s="20" t="s">
        <v>244</v>
      </c>
      <c r="D426" s="20" t="s">
        <v>4</v>
      </c>
      <c r="E426" s="22" t="s">
        <v>232</v>
      </c>
      <c r="F426" s="20" t="s">
        <v>232</v>
      </c>
      <c r="G426" s="22" t="s">
        <v>234</v>
      </c>
      <c r="H426" s="23">
        <v>2517.8200000000006</v>
      </c>
      <c r="I426" s="22">
        <v>2500</v>
      </c>
    </row>
    <row r="427" spans="1:9" x14ac:dyDescent="0.3">
      <c r="A427">
        <v>2025</v>
      </c>
      <c r="B427" s="8">
        <v>24</v>
      </c>
      <c r="C427" s="20" t="s">
        <v>35</v>
      </c>
      <c r="D427" s="20" t="s">
        <v>97</v>
      </c>
      <c r="E427" s="22" t="s">
        <v>232</v>
      </c>
      <c r="F427" s="20" t="s">
        <v>232</v>
      </c>
      <c r="G427" s="22" t="s">
        <v>234</v>
      </c>
      <c r="H427" s="23">
        <v>2515</v>
      </c>
      <c r="I427" s="22">
        <v>2500</v>
      </c>
    </row>
    <row r="428" spans="1:9" x14ac:dyDescent="0.3">
      <c r="A428">
        <v>2025</v>
      </c>
      <c r="B428" s="8">
        <v>24</v>
      </c>
      <c r="C428" s="20" t="s">
        <v>37</v>
      </c>
      <c r="D428" s="20" t="s">
        <v>246</v>
      </c>
      <c r="E428" s="22" t="s">
        <v>232</v>
      </c>
      <c r="F428" s="20" t="s">
        <v>291</v>
      </c>
      <c r="G428" s="22" t="s">
        <v>234</v>
      </c>
      <c r="H428" s="23">
        <v>2467.58</v>
      </c>
      <c r="I428" s="22">
        <v>2500</v>
      </c>
    </row>
    <row r="429" spans="1:9" x14ac:dyDescent="0.3">
      <c r="A429">
        <v>2025</v>
      </c>
      <c r="B429" s="8">
        <v>24</v>
      </c>
      <c r="C429" s="20" t="s">
        <v>331</v>
      </c>
      <c r="D429" s="20" t="s">
        <v>69</v>
      </c>
      <c r="E429" s="22" t="s">
        <v>241</v>
      </c>
      <c r="F429" s="20" t="s">
        <v>291</v>
      </c>
      <c r="G429" s="22" t="s">
        <v>234</v>
      </c>
      <c r="H429" s="23">
        <v>3815.7799999999997</v>
      </c>
      <c r="I429" s="22">
        <v>2500</v>
      </c>
    </row>
    <row r="430" spans="1:9" x14ac:dyDescent="0.3">
      <c r="A430">
        <v>2025</v>
      </c>
      <c r="B430" s="8">
        <v>24</v>
      </c>
      <c r="C430" s="20" t="s">
        <v>293</v>
      </c>
      <c r="D430" s="20" t="s">
        <v>34</v>
      </c>
      <c r="E430" s="22" t="s">
        <v>232</v>
      </c>
      <c r="F430" s="20" t="s">
        <v>237</v>
      </c>
      <c r="G430" s="22" t="s">
        <v>234</v>
      </c>
      <c r="H430" s="23">
        <v>-2772</v>
      </c>
      <c r="I430" s="22">
        <v>2500</v>
      </c>
    </row>
    <row r="431" spans="1:9" x14ac:dyDescent="0.3">
      <c r="A431">
        <v>2025</v>
      </c>
      <c r="B431" s="8">
        <v>24</v>
      </c>
      <c r="C431" s="20" t="s">
        <v>321</v>
      </c>
      <c r="D431" s="20" t="s">
        <v>40</v>
      </c>
      <c r="E431" s="22" t="s">
        <v>232</v>
      </c>
      <c r="F431" s="20" t="s">
        <v>232</v>
      </c>
      <c r="G431" s="22" t="s">
        <v>234</v>
      </c>
      <c r="H431" s="23">
        <v>2453.35</v>
      </c>
      <c r="I431" s="22">
        <v>2500</v>
      </c>
    </row>
    <row r="432" spans="1:9" x14ac:dyDescent="0.3">
      <c r="A432">
        <v>2025</v>
      </c>
      <c r="B432" s="8">
        <v>24</v>
      </c>
      <c r="C432" s="20" t="s">
        <v>45</v>
      </c>
      <c r="D432" s="20" t="s">
        <v>249</v>
      </c>
      <c r="E432" s="22" t="s">
        <v>232</v>
      </c>
      <c r="F432" s="20" t="s">
        <v>232</v>
      </c>
      <c r="G432" s="22" t="s">
        <v>234</v>
      </c>
      <c r="H432" s="23">
        <v>2301.2199999999993</v>
      </c>
      <c r="I432" s="22">
        <v>2500</v>
      </c>
    </row>
    <row r="433" spans="1:9" x14ac:dyDescent="0.3">
      <c r="A433">
        <v>2025</v>
      </c>
      <c r="B433" s="8">
        <v>24</v>
      </c>
      <c r="C433" s="20" t="s">
        <v>5</v>
      </c>
      <c r="D433" s="20" t="s">
        <v>50</v>
      </c>
      <c r="E433" s="22" t="s">
        <v>232</v>
      </c>
      <c r="F433" s="20" t="s">
        <v>232</v>
      </c>
      <c r="G433" s="22" t="s">
        <v>234</v>
      </c>
      <c r="H433" s="23">
        <v>3000</v>
      </c>
      <c r="I433" s="22">
        <v>2500</v>
      </c>
    </row>
    <row r="434" spans="1:9" x14ac:dyDescent="0.3">
      <c r="A434">
        <v>2025</v>
      </c>
      <c r="B434" s="8">
        <v>24</v>
      </c>
      <c r="C434" s="20" t="s">
        <v>294</v>
      </c>
      <c r="D434" s="20" t="s">
        <v>106</v>
      </c>
      <c r="E434" s="22" t="s">
        <v>232</v>
      </c>
      <c r="F434" s="20" t="s">
        <v>232</v>
      </c>
      <c r="G434" s="22" t="s">
        <v>234</v>
      </c>
      <c r="H434" s="23">
        <v>-1422.0400000000004</v>
      </c>
      <c r="I434" s="22">
        <v>2500</v>
      </c>
    </row>
    <row r="435" spans="1:9" x14ac:dyDescent="0.3">
      <c r="A435">
        <v>2025</v>
      </c>
      <c r="B435" s="8">
        <v>25</v>
      </c>
      <c r="C435" s="20" t="s">
        <v>80</v>
      </c>
      <c r="D435" s="20" t="s">
        <v>54</v>
      </c>
      <c r="E435" s="22" t="s">
        <v>232</v>
      </c>
      <c r="F435" s="20" t="s">
        <v>232</v>
      </c>
      <c r="G435" s="22" t="s">
        <v>234</v>
      </c>
      <c r="H435" s="23">
        <v>3000.8199999999997</v>
      </c>
      <c r="I435" s="22">
        <v>2500</v>
      </c>
    </row>
    <row r="436" spans="1:9" x14ac:dyDescent="0.3">
      <c r="A436">
        <v>2025</v>
      </c>
      <c r="B436" s="8">
        <v>25</v>
      </c>
      <c r="C436" s="20" t="s">
        <v>345</v>
      </c>
      <c r="D436" s="20" t="s">
        <v>230</v>
      </c>
      <c r="E436" s="22" t="s">
        <v>232</v>
      </c>
      <c r="F436" s="20" t="s">
        <v>232</v>
      </c>
      <c r="G436" s="22" t="s">
        <v>234</v>
      </c>
      <c r="H436" s="23">
        <v>1256</v>
      </c>
      <c r="I436" s="22">
        <v>2500</v>
      </c>
    </row>
    <row r="437" spans="1:9" x14ac:dyDescent="0.3">
      <c r="A437">
        <v>2025</v>
      </c>
      <c r="B437" s="8">
        <v>25</v>
      </c>
      <c r="C437" s="20" t="s">
        <v>323</v>
      </c>
      <c r="D437" s="20" t="s">
        <v>20</v>
      </c>
      <c r="E437" s="22" t="s">
        <v>232</v>
      </c>
      <c r="F437" s="20" t="s">
        <v>232</v>
      </c>
      <c r="G437" s="22" t="s">
        <v>234</v>
      </c>
      <c r="H437" s="23">
        <v>3000</v>
      </c>
      <c r="I437" s="22">
        <v>2500</v>
      </c>
    </row>
    <row r="438" spans="1:9" x14ac:dyDescent="0.3">
      <c r="A438">
        <v>2025</v>
      </c>
      <c r="B438" s="8">
        <v>25</v>
      </c>
      <c r="C438" s="20" t="s">
        <v>111</v>
      </c>
      <c r="D438" s="20" t="s">
        <v>63</v>
      </c>
      <c r="E438" s="20" t="s">
        <v>291</v>
      </c>
      <c r="F438" s="20" t="s">
        <v>291</v>
      </c>
      <c r="G438" s="22" t="s">
        <v>234</v>
      </c>
      <c r="H438" s="23">
        <v>3350</v>
      </c>
      <c r="I438" s="22">
        <v>2500</v>
      </c>
    </row>
    <row r="439" spans="1:9" x14ac:dyDescent="0.3">
      <c r="A439">
        <v>2025</v>
      </c>
      <c r="B439" s="8">
        <v>25</v>
      </c>
      <c r="C439" s="20" t="s">
        <v>23</v>
      </c>
      <c r="D439" s="20" t="s">
        <v>34</v>
      </c>
      <c r="E439" s="22" t="s">
        <v>232</v>
      </c>
      <c r="F439" s="20" t="s">
        <v>232</v>
      </c>
      <c r="G439" s="22" t="s">
        <v>234</v>
      </c>
      <c r="H439" s="23">
        <v>2915</v>
      </c>
      <c r="I439" s="22">
        <v>2500</v>
      </c>
    </row>
    <row r="440" spans="1:9" x14ac:dyDescent="0.3">
      <c r="A440">
        <v>2025</v>
      </c>
      <c r="B440" s="8">
        <v>25</v>
      </c>
      <c r="C440" s="20" t="s">
        <v>299</v>
      </c>
      <c r="D440" s="20" t="s">
        <v>56</v>
      </c>
      <c r="E440" s="22" t="s">
        <v>241</v>
      </c>
      <c r="F440" s="20" t="s">
        <v>237</v>
      </c>
      <c r="G440" s="22" t="s">
        <v>234</v>
      </c>
      <c r="H440" s="23">
        <v>0</v>
      </c>
      <c r="I440" s="22">
        <v>2500</v>
      </c>
    </row>
    <row r="441" spans="1:9" x14ac:dyDescent="0.3">
      <c r="A441">
        <v>2025</v>
      </c>
      <c r="B441" s="8">
        <v>25</v>
      </c>
      <c r="C441" s="20" t="s">
        <v>25</v>
      </c>
      <c r="D441" s="20" t="s">
        <v>46</v>
      </c>
      <c r="E441" s="22" t="s">
        <v>232</v>
      </c>
      <c r="F441" s="20" t="s">
        <v>232</v>
      </c>
      <c r="G441" s="22" t="s">
        <v>234</v>
      </c>
      <c r="H441" s="23">
        <v>2133.3599999999988</v>
      </c>
      <c r="I441" s="22">
        <v>2500</v>
      </c>
    </row>
    <row r="442" spans="1:9" x14ac:dyDescent="0.3">
      <c r="A442">
        <v>2025</v>
      </c>
      <c r="B442" s="8">
        <v>25</v>
      </c>
      <c r="C442" s="20" t="s">
        <v>260</v>
      </c>
      <c r="D442" s="20" t="s">
        <v>81</v>
      </c>
      <c r="E442" s="22" t="s">
        <v>232</v>
      </c>
      <c r="F442" s="20" t="s">
        <v>232</v>
      </c>
      <c r="G442" s="22" t="s">
        <v>234</v>
      </c>
      <c r="H442" s="23">
        <v>3000</v>
      </c>
      <c r="I442" s="22">
        <v>2500</v>
      </c>
    </row>
    <row r="443" spans="1:9" x14ac:dyDescent="0.3">
      <c r="A443">
        <v>2025</v>
      </c>
      <c r="B443" s="8">
        <v>25</v>
      </c>
      <c r="C443" s="20" t="s">
        <v>72</v>
      </c>
      <c r="D443" s="20" t="s">
        <v>73</v>
      </c>
      <c r="E443" s="22" t="s">
        <v>241</v>
      </c>
      <c r="F443" s="20" t="s">
        <v>291</v>
      </c>
      <c r="G443" s="22" t="s">
        <v>234</v>
      </c>
      <c r="H443" s="23">
        <v>3305.76</v>
      </c>
      <c r="I443" s="22">
        <v>2500</v>
      </c>
    </row>
    <row r="444" spans="1:9" x14ac:dyDescent="0.3">
      <c r="A444">
        <v>2025</v>
      </c>
      <c r="B444" s="8">
        <v>25</v>
      </c>
      <c r="C444" s="20" t="s">
        <v>292</v>
      </c>
      <c r="D444" s="20" t="s">
        <v>52</v>
      </c>
      <c r="E444" s="22" t="s">
        <v>232</v>
      </c>
      <c r="F444" s="20" t="s">
        <v>232</v>
      </c>
      <c r="G444" s="22" t="s">
        <v>234</v>
      </c>
      <c r="H444" s="23">
        <v>2500</v>
      </c>
      <c r="I444" s="22">
        <v>2500</v>
      </c>
    </row>
    <row r="445" spans="1:9" x14ac:dyDescent="0.3">
      <c r="A445">
        <v>2025</v>
      </c>
      <c r="B445" s="8">
        <v>25</v>
      </c>
      <c r="C445" s="20" t="s">
        <v>105</v>
      </c>
      <c r="D445" s="20" t="s">
        <v>75</v>
      </c>
      <c r="E445" s="22" t="s">
        <v>241</v>
      </c>
      <c r="F445" s="20" t="s">
        <v>291</v>
      </c>
      <c r="G445" s="22" t="s">
        <v>234</v>
      </c>
      <c r="H445" s="23">
        <v>-2500</v>
      </c>
      <c r="I445" s="22">
        <v>2500</v>
      </c>
    </row>
    <row r="446" spans="1:9" x14ac:dyDescent="0.3">
      <c r="A446">
        <v>2025</v>
      </c>
      <c r="B446" s="8">
        <v>25</v>
      </c>
      <c r="C446" s="20" t="s">
        <v>288</v>
      </c>
      <c r="D446" s="20" t="s">
        <v>22</v>
      </c>
      <c r="E446" s="20" t="s">
        <v>232</v>
      </c>
      <c r="F446" s="20" t="s">
        <v>232</v>
      </c>
      <c r="G446" s="22" t="s">
        <v>234</v>
      </c>
      <c r="H446" s="23">
        <v>2500</v>
      </c>
      <c r="I446" s="22">
        <v>2500</v>
      </c>
    </row>
    <row r="447" spans="1:9" x14ac:dyDescent="0.3">
      <c r="A447">
        <v>2025</v>
      </c>
      <c r="B447" s="8">
        <v>25</v>
      </c>
      <c r="C447" s="20" t="s">
        <v>324</v>
      </c>
      <c r="D447" s="20" t="s">
        <v>168</v>
      </c>
      <c r="E447" s="39" t="s">
        <v>232</v>
      </c>
      <c r="F447" s="41" t="s">
        <v>232</v>
      </c>
      <c r="G447" s="22" t="s">
        <v>234</v>
      </c>
      <c r="H447" s="23">
        <v>2496.38</v>
      </c>
      <c r="I447" s="22">
        <v>2500</v>
      </c>
    </row>
    <row r="448" spans="1:9" x14ac:dyDescent="0.3">
      <c r="A448">
        <v>2025</v>
      </c>
      <c r="B448" s="8">
        <v>25</v>
      </c>
      <c r="C448" s="20" t="s">
        <v>244</v>
      </c>
      <c r="D448" s="20" t="s">
        <v>4</v>
      </c>
      <c r="E448" s="22" t="s">
        <v>232</v>
      </c>
      <c r="F448" s="20" t="s">
        <v>232</v>
      </c>
      <c r="G448" s="22" t="s">
        <v>234</v>
      </c>
      <c r="H448" s="23">
        <v>1271.5999999999999</v>
      </c>
      <c r="I448" s="22">
        <v>2500</v>
      </c>
    </row>
    <row r="449" spans="1:9" x14ac:dyDescent="0.3">
      <c r="A449">
        <v>2025</v>
      </c>
      <c r="B449" s="8">
        <v>25</v>
      </c>
      <c r="C449" s="20" t="s">
        <v>35</v>
      </c>
      <c r="D449" s="20" t="s">
        <v>97</v>
      </c>
      <c r="E449" s="22" t="s">
        <v>232</v>
      </c>
      <c r="F449" s="20" t="s">
        <v>232</v>
      </c>
      <c r="G449" s="22" t="s">
        <v>234</v>
      </c>
      <c r="H449" s="23">
        <v>2549</v>
      </c>
      <c r="I449" s="22">
        <v>2500</v>
      </c>
    </row>
    <row r="450" spans="1:9" x14ac:dyDescent="0.3">
      <c r="A450">
        <v>2025</v>
      </c>
      <c r="B450" s="8">
        <v>25</v>
      </c>
      <c r="C450" s="20" t="s">
        <v>37</v>
      </c>
      <c r="D450" s="20" t="s">
        <v>246</v>
      </c>
      <c r="E450" s="22" t="s">
        <v>232</v>
      </c>
      <c r="F450" s="20" t="s">
        <v>291</v>
      </c>
      <c r="G450" s="22" t="s">
        <v>234</v>
      </c>
      <c r="H450" s="23">
        <v>2343.7800000000007</v>
      </c>
      <c r="I450" s="22">
        <v>2500</v>
      </c>
    </row>
    <row r="451" spans="1:9" x14ac:dyDescent="0.3">
      <c r="A451">
        <v>2025</v>
      </c>
      <c r="B451" s="8">
        <v>25</v>
      </c>
      <c r="C451" s="20" t="s">
        <v>331</v>
      </c>
      <c r="D451" s="20" t="s">
        <v>69</v>
      </c>
      <c r="E451" s="22" t="s">
        <v>241</v>
      </c>
      <c r="F451" s="20" t="s">
        <v>291</v>
      </c>
      <c r="G451" s="22" t="s">
        <v>234</v>
      </c>
      <c r="H451" s="23">
        <v>1103.3999999999996</v>
      </c>
      <c r="I451" s="22">
        <v>2500</v>
      </c>
    </row>
    <row r="452" spans="1:9" x14ac:dyDescent="0.3">
      <c r="A452">
        <v>2025</v>
      </c>
      <c r="B452" s="8">
        <v>25</v>
      </c>
      <c r="C452" s="20" t="s">
        <v>293</v>
      </c>
      <c r="D452" s="20" t="s">
        <v>34</v>
      </c>
      <c r="E452" s="22" t="s">
        <v>232</v>
      </c>
      <c r="F452" s="20" t="s">
        <v>237</v>
      </c>
      <c r="G452" s="22" t="s">
        <v>234</v>
      </c>
      <c r="H452" s="23">
        <v>0</v>
      </c>
      <c r="I452" s="22">
        <v>2500</v>
      </c>
    </row>
    <row r="453" spans="1:9" x14ac:dyDescent="0.3">
      <c r="A453">
        <v>2025</v>
      </c>
      <c r="B453" s="8">
        <v>25</v>
      </c>
      <c r="C453" s="20" t="s">
        <v>321</v>
      </c>
      <c r="D453" s="20" t="s">
        <v>40</v>
      </c>
      <c r="E453" s="22" t="s">
        <v>232</v>
      </c>
      <c r="F453" s="20" t="s">
        <v>232</v>
      </c>
      <c r="G453" s="22" t="s">
        <v>234</v>
      </c>
      <c r="H453" s="23">
        <v>263</v>
      </c>
      <c r="I453" s="22">
        <v>2500</v>
      </c>
    </row>
    <row r="454" spans="1:9" x14ac:dyDescent="0.3">
      <c r="A454">
        <v>2025</v>
      </c>
      <c r="B454" s="8">
        <v>25</v>
      </c>
      <c r="C454" s="20" t="s">
        <v>45</v>
      </c>
      <c r="D454" s="20" t="s">
        <v>249</v>
      </c>
      <c r="E454" s="22" t="s">
        <v>232</v>
      </c>
      <c r="F454" s="20" t="s">
        <v>232</v>
      </c>
      <c r="G454" s="22" t="s">
        <v>234</v>
      </c>
      <c r="H454" s="23">
        <v>1969.0599999999995</v>
      </c>
      <c r="I454" s="22">
        <v>2500</v>
      </c>
    </row>
    <row r="455" spans="1:9" x14ac:dyDescent="0.3">
      <c r="A455">
        <v>2025</v>
      </c>
      <c r="B455" s="8">
        <v>25</v>
      </c>
      <c r="C455" s="20" t="s">
        <v>356</v>
      </c>
      <c r="D455" s="20" t="s">
        <v>40</v>
      </c>
      <c r="E455" s="22" t="s">
        <v>232</v>
      </c>
      <c r="F455" s="20" t="s">
        <v>232</v>
      </c>
      <c r="G455" s="22" t="s">
        <v>234</v>
      </c>
      <c r="H455" s="23">
        <v>429</v>
      </c>
      <c r="I455" s="22">
        <v>2500</v>
      </c>
    </row>
    <row r="456" spans="1:9" x14ac:dyDescent="0.3">
      <c r="A456">
        <v>2025</v>
      </c>
      <c r="B456" s="8">
        <v>25</v>
      </c>
      <c r="C456" s="20" t="s">
        <v>5</v>
      </c>
      <c r="D456" s="20" t="s">
        <v>50</v>
      </c>
      <c r="E456" s="22" t="s">
        <v>232</v>
      </c>
      <c r="F456" s="20" t="s">
        <v>232</v>
      </c>
      <c r="G456" s="22" t="s">
        <v>234</v>
      </c>
      <c r="H456" s="23">
        <v>3000</v>
      </c>
      <c r="I456" s="22">
        <v>2500</v>
      </c>
    </row>
    <row r="457" spans="1:9" x14ac:dyDescent="0.3">
      <c r="A457">
        <v>2025</v>
      </c>
      <c r="B457" s="8">
        <v>25</v>
      </c>
      <c r="C457" s="20" t="s">
        <v>294</v>
      </c>
      <c r="D457" s="20" t="s">
        <v>106</v>
      </c>
      <c r="E457" s="22" t="s">
        <v>232</v>
      </c>
      <c r="F457" s="20" t="s">
        <v>232</v>
      </c>
      <c r="G457" s="22" t="s">
        <v>234</v>
      </c>
      <c r="H457" s="23">
        <v>380.11999999999944</v>
      </c>
      <c r="I457" s="22">
        <v>2500</v>
      </c>
    </row>
    <row r="458" spans="1:9" x14ac:dyDescent="0.3">
      <c r="A458">
        <v>2025</v>
      </c>
      <c r="B458" s="8">
        <v>26</v>
      </c>
      <c r="C458" s="20" t="s">
        <v>80</v>
      </c>
      <c r="D458" s="20" t="s">
        <v>54</v>
      </c>
      <c r="E458" s="22" t="s">
        <v>232</v>
      </c>
      <c r="F458" s="20" t="s">
        <v>232</v>
      </c>
      <c r="G458" s="22" t="s">
        <v>234</v>
      </c>
      <c r="H458" s="23">
        <v>127.61000000000013</v>
      </c>
      <c r="I458" s="22">
        <v>2500</v>
      </c>
    </row>
    <row r="459" spans="1:9" x14ac:dyDescent="0.3">
      <c r="A459">
        <v>2025</v>
      </c>
      <c r="B459" s="8">
        <v>26</v>
      </c>
      <c r="C459" s="20" t="s">
        <v>323</v>
      </c>
      <c r="D459" s="20" t="s">
        <v>20</v>
      </c>
      <c r="E459" s="22" t="s">
        <v>232</v>
      </c>
      <c r="F459" s="20" t="s">
        <v>232</v>
      </c>
      <c r="G459" s="22" t="s">
        <v>234</v>
      </c>
      <c r="H459" s="23">
        <v>1517.6400000000003</v>
      </c>
      <c r="I459" s="22">
        <v>2500</v>
      </c>
    </row>
    <row r="460" spans="1:9" x14ac:dyDescent="0.3">
      <c r="A460">
        <v>2025</v>
      </c>
      <c r="B460" s="8">
        <v>26</v>
      </c>
      <c r="C460" s="20" t="s">
        <v>111</v>
      </c>
      <c r="D460" s="20" t="s">
        <v>230</v>
      </c>
      <c r="E460" s="22" t="s">
        <v>232</v>
      </c>
      <c r="F460" s="20" t="s">
        <v>232</v>
      </c>
      <c r="G460" s="22" t="s">
        <v>234</v>
      </c>
      <c r="H460" s="23">
        <v>3000</v>
      </c>
      <c r="I460" s="22">
        <v>2500</v>
      </c>
    </row>
    <row r="461" spans="1:9" x14ac:dyDescent="0.3">
      <c r="A461">
        <v>2025</v>
      </c>
      <c r="B461" s="8">
        <v>26</v>
      </c>
      <c r="C461" s="20" t="s">
        <v>23</v>
      </c>
      <c r="D461" s="20" t="s">
        <v>34</v>
      </c>
      <c r="E461" s="22" t="s">
        <v>232</v>
      </c>
      <c r="F461" s="20" t="s">
        <v>232</v>
      </c>
      <c r="G461" s="22" t="s">
        <v>234</v>
      </c>
      <c r="H461" s="23">
        <v>3000</v>
      </c>
      <c r="I461" s="22">
        <v>2500</v>
      </c>
    </row>
    <row r="462" spans="1:9" x14ac:dyDescent="0.3">
      <c r="A462">
        <v>2025</v>
      </c>
      <c r="B462" s="8">
        <v>26</v>
      </c>
      <c r="C462" s="20" t="s">
        <v>25</v>
      </c>
      <c r="D462" s="20" t="s">
        <v>46</v>
      </c>
      <c r="E462" s="22" t="s">
        <v>232</v>
      </c>
      <c r="F462" s="20" t="s">
        <v>232</v>
      </c>
      <c r="G462" s="22" t="s">
        <v>234</v>
      </c>
      <c r="H462" s="23">
        <v>2849</v>
      </c>
      <c r="I462" s="22">
        <v>2500</v>
      </c>
    </row>
    <row r="463" spans="1:9" x14ac:dyDescent="0.3">
      <c r="A463">
        <v>2025</v>
      </c>
      <c r="B463" s="8">
        <v>26</v>
      </c>
      <c r="C463" s="20" t="s">
        <v>359</v>
      </c>
      <c r="D463" s="20" t="s">
        <v>230</v>
      </c>
      <c r="E463" s="22" t="s">
        <v>232</v>
      </c>
      <c r="F463" s="20" t="s">
        <v>232</v>
      </c>
      <c r="G463" s="22" t="s">
        <v>234</v>
      </c>
      <c r="H463" s="23">
        <v>714.66000000000008</v>
      </c>
      <c r="I463" s="22">
        <v>2500</v>
      </c>
    </row>
    <row r="464" spans="1:9" x14ac:dyDescent="0.3">
      <c r="A464">
        <v>2025</v>
      </c>
      <c r="B464" s="8">
        <v>26</v>
      </c>
      <c r="C464" s="20" t="s">
        <v>260</v>
      </c>
      <c r="D464" s="20" t="s">
        <v>81</v>
      </c>
      <c r="E464" s="22" t="s">
        <v>232</v>
      </c>
      <c r="F464" s="20" t="s">
        <v>232</v>
      </c>
      <c r="G464" s="22" t="s">
        <v>234</v>
      </c>
      <c r="H464" s="23">
        <v>2680.6000000000013</v>
      </c>
      <c r="I464" s="22">
        <v>2500</v>
      </c>
    </row>
    <row r="465" spans="1:9" x14ac:dyDescent="0.3">
      <c r="A465">
        <v>2025</v>
      </c>
      <c r="B465" s="8">
        <v>26</v>
      </c>
      <c r="C465" s="20" t="s">
        <v>72</v>
      </c>
      <c r="D465" s="20" t="s">
        <v>73</v>
      </c>
      <c r="E465" s="22" t="s">
        <v>241</v>
      </c>
      <c r="F465" s="20" t="s">
        <v>291</v>
      </c>
      <c r="G465" s="22" t="s">
        <v>234</v>
      </c>
      <c r="H465" s="23">
        <v>3472.12</v>
      </c>
      <c r="I465" s="22">
        <v>2500</v>
      </c>
    </row>
    <row r="466" spans="1:9" x14ac:dyDescent="0.3">
      <c r="A466">
        <v>2025</v>
      </c>
      <c r="B466" s="8">
        <v>26</v>
      </c>
      <c r="C466" s="20" t="s">
        <v>292</v>
      </c>
      <c r="D466" s="20" t="s">
        <v>52</v>
      </c>
      <c r="E466" s="22" t="s">
        <v>232</v>
      </c>
      <c r="F466" s="20" t="s">
        <v>232</v>
      </c>
      <c r="G466" s="22" t="s">
        <v>234</v>
      </c>
      <c r="H466" s="23">
        <v>2500</v>
      </c>
      <c r="I466" s="22">
        <v>2500</v>
      </c>
    </row>
    <row r="467" spans="1:9" x14ac:dyDescent="0.3">
      <c r="A467">
        <v>2025</v>
      </c>
      <c r="B467" s="8">
        <v>26</v>
      </c>
      <c r="C467" s="20" t="s">
        <v>288</v>
      </c>
      <c r="D467" s="20" t="s">
        <v>22</v>
      </c>
      <c r="E467" s="20" t="s">
        <v>232</v>
      </c>
      <c r="F467" s="20" t="s">
        <v>232</v>
      </c>
      <c r="G467" s="22" t="s">
        <v>234</v>
      </c>
      <c r="H467" s="23">
        <v>2500</v>
      </c>
      <c r="I467" s="22">
        <v>2500</v>
      </c>
    </row>
    <row r="468" spans="1:9" x14ac:dyDescent="0.3">
      <c r="A468">
        <v>2025</v>
      </c>
      <c r="B468" s="8">
        <v>26</v>
      </c>
      <c r="C468" s="20" t="s">
        <v>324</v>
      </c>
      <c r="D468" s="20" t="s">
        <v>168</v>
      </c>
      <c r="E468" s="39" t="s">
        <v>232</v>
      </c>
      <c r="F468" s="41" t="s">
        <v>232</v>
      </c>
      <c r="G468" s="22" t="s">
        <v>234</v>
      </c>
      <c r="H468" s="23">
        <v>-318.14000000000033</v>
      </c>
      <c r="I468" s="22">
        <v>2500</v>
      </c>
    </row>
    <row r="469" spans="1:9" x14ac:dyDescent="0.3">
      <c r="A469">
        <v>2025</v>
      </c>
      <c r="B469" s="8">
        <v>26</v>
      </c>
      <c r="C469" s="20" t="s">
        <v>244</v>
      </c>
      <c r="D469" s="20" t="s">
        <v>16</v>
      </c>
      <c r="E469" s="22" t="s">
        <v>232</v>
      </c>
      <c r="F469" s="20" t="s">
        <v>232</v>
      </c>
      <c r="G469" s="22" t="s">
        <v>234</v>
      </c>
      <c r="H469" s="23">
        <v>3324</v>
      </c>
      <c r="I469" s="22">
        <v>2500</v>
      </c>
    </row>
    <row r="470" spans="1:9" x14ac:dyDescent="0.3">
      <c r="A470">
        <v>2025</v>
      </c>
      <c r="B470" s="8">
        <v>26</v>
      </c>
      <c r="C470" s="20" t="s">
        <v>35</v>
      </c>
      <c r="D470" s="20" t="s">
        <v>97</v>
      </c>
      <c r="E470" s="22" t="s">
        <v>232</v>
      </c>
      <c r="F470" s="20" t="s">
        <v>232</v>
      </c>
      <c r="G470" s="22" t="s">
        <v>234</v>
      </c>
      <c r="H470" s="23">
        <v>2500</v>
      </c>
      <c r="I470" s="22">
        <v>2500</v>
      </c>
    </row>
    <row r="471" spans="1:9" x14ac:dyDescent="0.3">
      <c r="A471">
        <v>2025</v>
      </c>
      <c r="B471" s="8">
        <v>26</v>
      </c>
      <c r="C471" s="20" t="s">
        <v>37</v>
      </c>
      <c r="D471" s="20" t="s">
        <v>246</v>
      </c>
      <c r="E471" s="22" t="s">
        <v>232</v>
      </c>
      <c r="F471" s="20" t="s">
        <v>291</v>
      </c>
      <c r="G471" s="22" t="s">
        <v>234</v>
      </c>
      <c r="H471" s="23">
        <v>902.47000000000025</v>
      </c>
      <c r="I471" s="22">
        <v>2500</v>
      </c>
    </row>
    <row r="472" spans="1:9" x14ac:dyDescent="0.3">
      <c r="A472">
        <v>2025</v>
      </c>
      <c r="B472" s="8">
        <v>26</v>
      </c>
      <c r="C472" s="20" t="s">
        <v>361</v>
      </c>
      <c r="D472" s="20" t="s">
        <v>56</v>
      </c>
      <c r="E472" s="22" t="s">
        <v>241</v>
      </c>
      <c r="F472" s="20" t="s">
        <v>291</v>
      </c>
      <c r="G472" s="22" t="s">
        <v>234</v>
      </c>
      <c r="H472" s="23">
        <v>1249.9999999999995</v>
      </c>
      <c r="I472" s="22">
        <v>2500</v>
      </c>
    </row>
    <row r="473" spans="1:9" x14ac:dyDescent="0.3">
      <c r="A473">
        <v>2025</v>
      </c>
      <c r="B473" s="8">
        <v>26</v>
      </c>
      <c r="C473" s="20" t="s">
        <v>331</v>
      </c>
      <c r="D473" s="20" t="s">
        <v>69</v>
      </c>
      <c r="E473" s="22" t="s">
        <v>241</v>
      </c>
      <c r="F473" s="20" t="s">
        <v>291</v>
      </c>
      <c r="G473" s="22" t="s">
        <v>234</v>
      </c>
      <c r="H473" s="23">
        <v>3871.1199999999981</v>
      </c>
      <c r="I473" s="22">
        <v>2500</v>
      </c>
    </row>
    <row r="474" spans="1:9" x14ac:dyDescent="0.3">
      <c r="A474">
        <v>2025</v>
      </c>
      <c r="B474" s="8">
        <v>26</v>
      </c>
      <c r="C474" s="20" t="s">
        <v>45</v>
      </c>
      <c r="D474" s="20" t="s">
        <v>249</v>
      </c>
      <c r="E474" s="22" t="s">
        <v>232</v>
      </c>
      <c r="F474" s="20" t="s">
        <v>232</v>
      </c>
      <c r="G474" s="22" t="s">
        <v>234</v>
      </c>
      <c r="H474" s="23">
        <v>2300</v>
      </c>
      <c r="I474" s="22">
        <v>2500</v>
      </c>
    </row>
    <row r="475" spans="1:9" x14ac:dyDescent="0.3">
      <c r="A475">
        <v>2025</v>
      </c>
      <c r="B475" s="8">
        <v>26</v>
      </c>
      <c r="C475" s="20" t="s">
        <v>356</v>
      </c>
      <c r="D475" s="20" t="s">
        <v>50</v>
      </c>
      <c r="E475" s="22" t="s">
        <v>232</v>
      </c>
      <c r="F475" s="20" t="s">
        <v>232</v>
      </c>
      <c r="G475" s="22" t="s">
        <v>234</v>
      </c>
      <c r="H475" s="23">
        <v>-1111.4399999999987</v>
      </c>
      <c r="I475" s="22">
        <v>2500</v>
      </c>
    </row>
    <row r="476" spans="1:9" x14ac:dyDescent="0.3">
      <c r="A476">
        <v>2025</v>
      </c>
      <c r="B476" s="8">
        <v>26</v>
      </c>
      <c r="C476" s="20" t="s">
        <v>5</v>
      </c>
      <c r="D476" s="20" t="s">
        <v>28</v>
      </c>
      <c r="E476" s="22" t="s">
        <v>232</v>
      </c>
      <c r="F476" s="20" t="s">
        <v>232</v>
      </c>
      <c r="G476" s="22" t="s">
        <v>234</v>
      </c>
      <c r="H476" s="23">
        <v>2500</v>
      </c>
      <c r="I476" s="22">
        <v>2500</v>
      </c>
    </row>
    <row r="477" spans="1:9" x14ac:dyDescent="0.3">
      <c r="A477">
        <v>2025</v>
      </c>
      <c r="B477" s="8">
        <v>26</v>
      </c>
      <c r="C477" s="20" t="s">
        <v>362</v>
      </c>
      <c r="D477" s="20" t="s">
        <v>50</v>
      </c>
      <c r="E477" s="22" t="s">
        <v>232</v>
      </c>
      <c r="F477" s="20" t="s">
        <v>232</v>
      </c>
      <c r="G477" s="22" t="s">
        <v>234</v>
      </c>
      <c r="H477" s="23">
        <v>1749.4600000000005</v>
      </c>
      <c r="I477" s="22">
        <v>2500</v>
      </c>
    </row>
    <row r="478" spans="1:9" x14ac:dyDescent="0.3">
      <c r="A478">
        <v>2025</v>
      </c>
      <c r="B478" s="8">
        <v>26</v>
      </c>
      <c r="C478" s="20" t="s">
        <v>363</v>
      </c>
      <c r="D478" s="20" t="s">
        <v>8</v>
      </c>
      <c r="E478" s="22" t="s">
        <v>364</v>
      </c>
      <c r="F478" s="22" t="s">
        <v>364</v>
      </c>
      <c r="G478" s="22" t="s">
        <v>234</v>
      </c>
      <c r="H478" s="23">
        <v>1928.5714285714278</v>
      </c>
      <c r="I478" s="22">
        <v>2500</v>
      </c>
    </row>
    <row r="479" spans="1:9" x14ac:dyDescent="0.3">
      <c r="A479">
        <v>2025</v>
      </c>
      <c r="B479" s="8">
        <v>26</v>
      </c>
      <c r="C479" s="20" t="s">
        <v>294</v>
      </c>
      <c r="D479" s="20" t="s">
        <v>106</v>
      </c>
      <c r="E479" s="22" t="s">
        <v>232</v>
      </c>
      <c r="F479" s="20" t="s">
        <v>232</v>
      </c>
      <c r="G479" s="22" t="s">
        <v>234</v>
      </c>
      <c r="H479" s="23">
        <v>1427.2200000000003</v>
      </c>
      <c r="I479" s="22">
        <v>2500</v>
      </c>
    </row>
    <row r="480" spans="1:9" x14ac:dyDescent="0.3">
      <c r="A480">
        <v>2025</v>
      </c>
      <c r="B480" s="8">
        <v>27</v>
      </c>
      <c r="C480" s="20" t="s">
        <v>80</v>
      </c>
      <c r="D480" s="20" t="s">
        <v>46</v>
      </c>
      <c r="E480" s="22" t="s">
        <v>232</v>
      </c>
      <c r="F480" s="20" t="s">
        <v>232</v>
      </c>
      <c r="G480" s="22" t="s">
        <v>234</v>
      </c>
      <c r="H480" s="23">
        <v>2999.54</v>
      </c>
      <c r="I480" s="22">
        <v>2500</v>
      </c>
    </row>
    <row r="481" spans="1:9" x14ac:dyDescent="0.3">
      <c r="A481">
        <v>2025</v>
      </c>
      <c r="B481" s="8">
        <v>27</v>
      </c>
      <c r="C481" s="20" t="s">
        <v>323</v>
      </c>
      <c r="D481" s="20" t="s">
        <v>20</v>
      </c>
      <c r="E481" s="22" t="s">
        <v>232</v>
      </c>
      <c r="F481" s="20" t="s">
        <v>232</v>
      </c>
      <c r="G481" s="22" t="s">
        <v>234</v>
      </c>
      <c r="H481" s="23">
        <v>2789.8999999999996</v>
      </c>
      <c r="I481" s="22">
        <v>2500</v>
      </c>
    </row>
    <row r="482" spans="1:9" x14ac:dyDescent="0.3">
      <c r="A482">
        <v>2025</v>
      </c>
      <c r="B482" s="8">
        <v>27</v>
      </c>
      <c r="C482" s="20" t="s">
        <v>111</v>
      </c>
      <c r="D482" s="20" t="s">
        <v>63</v>
      </c>
      <c r="E482" s="20" t="s">
        <v>291</v>
      </c>
      <c r="F482" s="20" t="s">
        <v>291</v>
      </c>
      <c r="G482" s="22" t="s">
        <v>234</v>
      </c>
      <c r="H482" s="23">
        <v>3000</v>
      </c>
      <c r="I482" s="22">
        <v>2500</v>
      </c>
    </row>
    <row r="483" spans="1:9" x14ac:dyDescent="0.3">
      <c r="A483">
        <v>2025</v>
      </c>
      <c r="B483" s="8">
        <v>27</v>
      </c>
      <c r="C483" s="20" t="s">
        <v>238</v>
      </c>
      <c r="D483" s="20" t="s">
        <v>104</v>
      </c>
      <c r="E483" s="20" t="s">
        <v>364</v>
      </c>
      <c r="F483" s="22" t="s">
        <v>364</v>
      </c>
      <c r="G483" s="22" t="s">
        <v>234</v>
      </c>
      <c r="H483" s="23">
        <v>-251.77999999999997</v>
      </c>
      <c r="I483" s="22">
        <v>2500</v>
      </c>
    </row>
    <row r="484" spans="1:9" x14ac:dyDescent="0.3">
      <c r="A484">
        <v>2025</v>
      </c>
      <c r="B484" s="8">
        <v>27</v>
      </c>
      <c r="C484" s="20" t="s">
        <v>23</v>
      </c>
      <c r="D484" s="20" t="s">
        <v>34</v>
      </c>
      <c r="E484" s="22" t="s">
        <v>232</v>
      </c>
      <c r="F484" s="20" t="s">
        <v>232</v>
      </c>
      <c r="G484" s="22" t="s">
        <v>234</v>
      </c>
      <c r="H484" s="23">
        <v>3000.5199999999986</v>
      </c>
      <c r="I484" s="22">
        <v>2500</v>
      </c>
    </row>
    <row r="485" spans="1:9" x14ac:dyDescent="0.3">
      <c r="A485">
        <v>2025</v>
      </c>
      <c r="B485" s="8">
        <v>27</v>
      </c>
      <c r="C485" s="20" t="s">
        <v>256</v>
      </c>
      <c r="D485" s="20" t="s">
        <v>16</v>
      </c>
      <c r="E485" s="22" t="s">
        <v>232</v>
      </c>
      <c r="F485" s="20" t="s">
        <v>232</v>
      </c>
      <c r="G485" s="22" t="s">
        <v>234</v>
      </c>
      <c r="H485" s="23">
        <v>1388</v>
      </c>
      <c r="I485" s="22">
        <v>2500</v>
      </c>
    </row>
    <row r="486" spans="1:9" x14ac:dyDescent="0.3">
      <c r="A486">
        <v>2025</v>
      </c>
      <c r="B486" s="8">
        <v>27</v>
      </c>
      <c r="C486" s="20" t="s">
        <v>25</v>
      </c>
      <c r="D486" s="20" t="s">
        <v>10</v>
      </c>
      <c r="E486" s="22" t="s">
        <v>232</v>
      </c>
      <c r="F486" s="20" t="s">
        <v>232</v>
      </c>
      <c r="G486" s="22" t="s">
        <v>234</v>
      </c>
      <c r="H486" s="23">
        <v>2815.9</v>
      </c>
      <c r="I486" s="22">
        <v>2500</v>
      </c>
    </row>
    <row r="487" spans="1:9" x14ac:dyDescent="0.3">
      <c r="A487">
        <v>2025</v>
      </c>
      <c r="B487" s="8">
        <v>27</v>
      </c>
      <c r="C487" s="20" t="s">
        <v>359</v>
      </c>
      <c r="D487" s="20" t="s">
        <v>230</v>
      </c>
      <c r="E487" s="22" t="s">
        <v>232</v>
      </c>
      <c r="F487" s="20" t="s">
        <v>232</v>
      </c>
      <c r="G487" s="22" t="s">
        <v>234</v>
      </c>
      <c r="H487" s="23">
        <v>1550.3600000000006</v>
      </c>
      <c r="I487" s="22">
        <v>2500</v>
      </c>
    </row>
    <row r="488" spans="1:9" x14ac:dyDescent="0.3">
      <c r="A488">
        <v>2025</v>
      </c>
      <c r="B488" s="8">
        <v>27</v>
      </c>
      <c r="C488" s="20" t="s">
        <v>260</v>
      </c>
      <c r="D488" s="20" t="s">
        <v>81</v>
      </c>
      <c r="E488" s="22" t="s">
        <v>232</v>
      </c>
      <c r="F488" s="20" t="s">
        <v>232</v>
      </c>
      <c r="G488" s="22" t="s">
        <v>234</v>
      </c>
      <c r="H488" s="23">
        <v>1133.18</v>
      </c>
      <c r="I488" s="22">
        <v>2500</v>
      </c>
    </row>
    <row r="489" spans="1:9" x14ac:dyDescent="0.3">
      <c r="A489">
        <v>2025</v>
      </c>
      <c r="B489" s="8">
        <v>27</v>
      </c>
      <c r="C489" s="20" t="s">
        <v>72</v>
      </c>
      <c r="D489" s="20" t="s">
        <v>73</v>
      </c>
      <c r="E489" s="22" t="s">
        <v>241</v>
      </c>
      <c r="F489" s="20" t="s">
        <v>291</v>
      </c>
      <c r="G489" s="22" t="s">
        <v>234</v>
      </c>
      <c r="H489" s="23">
        <v>3650</v>
      </c>
      <c r="I489" s="22">
        <v>2500</v>
      </c>
    </row>
    <row r="490" spans="1:9" x14ac:dyDescent="0.3">
      <c r="A490">
        <v>2025</v>
      </c>
      <c r="B490" s="8">
        <v>27</v>
      </c>
      <c r="C490" s="20" t="s">
        <v>292</v>
      </c>
      <c r="D490" s="20" t="s">
        <v>52</v>
      </c>
      <c r="E490" s="22" t="s">
        <v>232</v>
      </c>
      <c r="F490" s="20" t="s">
        <v>232</v>
      </c>
      <c r="G490" s="22" t="s">
        <v>234</v>
      </c>
      <c r="H490" s="23">
        <v>2500</v>
      </c>
      <c r="I490" s="22">
        <v>2500</v>
      </c>
    </row>
    <row r="491" spans="1:9" x14ac:dyDescent="0.3">
      <c r="A491">
        <v>2025</v>
      </c>
      <c r="B491" s="8">
        <v>27</v>
      </c>
      <c r="C491" s="20" t="s">
        <v>288</v>
      </c>
      <c r="D491" s="20" t="s">
        <v>22</v>
      </c>
      <c r="E491" s="20" t="s">
        <v>232</v>
      </c>
      <c r="F491" s="20" t="s">
        <v>232</v>
      </c>
      <c r="G491" s="22" t="s">
        <v>234</v>
      </c>
      <c r="H491" s="23">
        <v>2500</v>
      </c>
      <c r="I491" s="22">
        <v>2500</v>
      </c>
    </row>
    <row r="492" spans="1:9" x14ac:dyDescent="0.3">
      <c r="A492">
        <v>2025</v>
      </c>
      <c r="B492" s="8">
        <v>27</v>
      </c>
      <c r="C492" s="20" t="s">
        <v>324</v>
      </c>
      <c r="D492" s="20" t="s">
        <v>168</v>
      </c>
      <c r="E492" s="39" t="s">
        <v>232</v>
      </c>
      <c r="F492" s="41" t="s">
        <v>232</v>
      </c>
      <c r="G492" s="22" t="s">
        <v>234</v>
      </c>
      <c r="H492" s="23">
        <v>-3598.62</v>
      </c>
      <c r="I492" s="22">
        <v>2500</v>
      </c>
    </row>
    <row r="493" spans="1:9" x14ac:dyDescent="0.3">
      <c r="A493">
        <v>2025</v>
      </c>
      <c r="B493" s="8">
        <v>27</v>
      </c>
      <c r="C493" s="20" t="s">
        <v>244</v>
      </c>
      <c r="D493" s="20" t="s">
        <v>4</v>
      </c>
      <c r="E493" s="22" t="s">
        <v>232</v>
      </c>
      <c r="F493" s="20" t="s">
        <v>232</v>
      </c>
      <c r="G493" s="22" t="s">
        <v>234</v>
      </c>
      <c r="H493" s="23">
        <v>587.57999999999993</v>
      </c>
      <c r="I493" s="22">
        <v>2500</v>
      </c>
    </row>
    <row r="494" spans="1:9" x14ac:dyDescent="0.3">
      <c r="A494">
        <v>2025</v>
      </c>
      <c r="B494" s="8">
        <v>27</v>
      </c>
      <c r="C494" s="20" t="s">
        <v>35</v>
      </c>
      <c r="D494" s="20" t="s">
        <v>97</v>
      </c>
      <c r="E494" s="22" t="s">
        <v>232</v>
      </c>
      <c r="F494" s="20" t="s">
        <v>232</v>
      </c>
      <c r="G494" s="22" t="s">
        <v>234</v>
      </c>
      <c r="H494" s="23">
        <v>2460</v>
      </c>
      <c r="I494" s="22">
        <v>2500</v>
      </c>
    </row>
    <row r="495" spans="1:9" x14ac:dyDescent="0.3">
      <c r="A495">
        <v>2025</v>
      </c>
      <c r="B495" s="8">
        <v>27</v>
      </c>
      <c r="C495" s="20" t="s">
        <v>37</v>
      </c>
      <c r="D495" s="20" t="s">
        <v>246</v>
      </c>
      <c r="E495" s="22" t="s">
        <v>232</v>
      </c>
      <c r="F495" s="20" t="s">
        <v>291</v>
      </c>
      <c r="G495" s="22" t="s">
        <v>234</v>
      </c>
      <c r="H495" s="23">
        <v>2500</v>
      </c>
      <c r="I495" s="22">
        <v>2500</v>
      </c>
    </row>
    <row r="496" spans="1:9" x14ac:dyDescent="0.3">
      <c r="A496">
        <v>2025</v>
      </c>
      <c r="B496" s="8">
        <v>27</v>
      </c>
      <c r="C496" s="20" t="s">
        <v>361</v>
      </c>
      <c r="D496" s="20" t="s">
        <v>56</v>
      </c>
      <c r="E496" s="22" t="s">
        <v>241</v>
      </c>
      <c r="F496" s="20" t="s">
        <v>291</v>
      </c>
      <c r="G496" s="22" t="s">
        <v>234</v>
      </c>
      <c r="H496" s="23">
        <v>3000</v>
      </c>
      <c r="I496" s="22">
        <v>2500</v>
      </c>
    </row>
    <row r="497" spans="1:9" x14ac:dyDescent="0.3">
      <c r="A497">
        <v>2025</v>
      </c>
      <c r="B497" s="8">
        <v>27</v>
      </c>
      <c r="C497" s="20" t="s">
        <v>331</v>
      </c>
      <c r="D497" s="20" t="s">
        <v>69</v>
      </c>
      <c r="E497" s="22" t="s">
        <v>241</v>
      </c>
      <c r="F497" s="20" t="s">
        <v>291</v>
      </c>
      <c r="G497" s="22" t="s">
        <v>234</v>
      </c>
      <c r="H497" s="23">
        <v>2936.2999999999997</v>
      </c>
      <c r="I497" s="22">
        <v>2500</v>
      </c>
    </row>
    <row r="498" spans="1:9" x14ac:dyDescent="0.3">
      <c r="A498">
        <v>2025</v>
      </c>
      <c r="B498" s="8">
        <v>27</v>
      </c>
      <c r="C498" s="20" t="s">
        <v>372</v>
      </c>
      <c r="D498" s="20" t="s">
        <v>75</v>
      </c>
      <c r="E498" s="22" t="s">
        <v>241</v>
      </c>
      <c r="F498" s="20" t="s">
        <v>232</v>
      </c>
      <c r="G498" s="22" t="s">
        <v>234</v>
      </c>
      <c r="H498" s="23">
        <v>1071</v>
      </c>
      <c r="I498" s="22">
        <v>2500</v>
      </c>
    </row>
    <row r="499" spans="1:9" x14ac:dyDescent="0.3">
      <c r="A499">
        <v>2025</v>
      </c>
      <c r="B499" s="8">
        <v>27</v>
      </c>
      <c r="C499" s="20" t="s">
        <v>45</v>
      </c>
      <c r="D499" s="20" t="s">
        <v>249</v>
      </c>
      <c r="E499" s="22" t="s">
        <v>232</v>
      </c>
      <c r="F499" s="20" t="s">
        <v>232</v>
      </c>
      <c r="G499" s="22" t="s">
        <v>234</v>
      </c>
      <c r="H499" s="23">
        <v>2300.0599999999995</v>
      </c>
      <c r="I499" s="22">
        <v>2500</v>
      </c>
    </row>
    <row r="500" spans="1:9" x14ac:dyDescent="0.3">
      <c r="A500">
        <v>2025</v>
      </c>
      <c r="B500" s="8">
        <v>27</v>
      </c>
      <c r="C500" s="20" t="s">
        <v>356</v>
      </c>
      <c r="D500" s="20" t="s">
        <v>40</v>
      </c>
      <c r="E500" s="22" t="s">
        <v>232</v>
      </c>
      <c r="F500" s="20" t="s">
        <v>232</v>
      </c>
      <c r="G500" s="22" t="s">
        <v>234</v>
      </c>
      <c r="H500" s="23">
        <v>-3055.7599999999984</v>
      </c>
      <c r="I500" s="22">
        <v>2500</v>
      </c>
    </row>
    <row r="501" spans="1:9" x14ac:dyDescent="0.3">
      <c r="A501">
        <v>2025</v>
      </c>
      <c r="B501" s="8">
        <v>27</v>
      </c>
      <c r="C501" s="20" t="s">
        <v>5</v>
      </c>
      <c r="D501" s="20" t="s">
        <v>28</v>
      </c>
      <c r="E501" s="22" t="s">
        <v>232</v>
      </c>
      <c r="F501" s="20" t="s">
        <v>232</v>
      </c>
      <c r="G501" s="22" t="s">
        <v>234</v>
      </c>
      <c r="H501" s="23">
        <v>1793.6799999999994</v>
      </c>
      <c r="I501" s="22">
        <v>2500</v>
      </c>
    </row>
    <row r="502" spans="1:9" x14ac:dyDescent="0.3">
      <c r="A502">
        <v>2025</v>
      </c>
      <c r="B502" s="8">
        <v>27</v>
      </c>
      <c r="C502" s="20" t="s">
        <v>362</v>
      </c>
      <c r="D502" s="20" t="s">
        <v>50</v>
      </c>
      <c r="E502" s="22" t="s">
        <v>232</v>
      </c>
      <c r="F502" s="20" t="s">
        <v>232</v>
      </c>
      <c r="G502" s="22" t="s">
        <v>234</v>
      </c>
      <c r="H502" s="23">
        <v>3000</v>
      </c>
      <c r="I502" s="22">
        <v>2500</v>
      </c>
    </row>
    <row r="503" spans="1:9" x14ac:dyDescent="0.3">
      <c r="A503">
        <v>2025</v>
      </c>
      <c r="B503" s="8">
        <v>27</v>
      </c>
      <c r="C503" s="20" t="s">
        <v>363</v>
      </c>
      <c r="D503" s="20" t="s">
        <v>8</v>
      </c>
      <c r="E503" s="22" t="s">
        <v>364</v>
      </c>
      <c r="F503" s="22" t="s">
        <v>364</v>
      </c>
      <c r="G503" s="22" t="s">
        <v>234</v>
      </c>
      <c r="H503" s="23">
        <v>3000</v>
      </c>
      <c r="I503" s="22">
        <v>2500</v>
      </c>
    </row>
    <row r="504" spans="1:9" x14ac:dyDescent="0.3">
      <c r="A504">
        <v>2025</v>
      </c>
      <c r="B504" s="8">
        <v>27</v>
      </c>
      <c r="C504" s="20" t="s">
        <v>294</v>
      </c>
      <c r="D504" s="20" t="s">
        <v>106</v>
      </c>
      <c r="E504" s="22" t="s">
        <v>232</v>
      </c>
      <c r="F504" s="20" t="s">
        <v>232</v>
      </c>
      <c r="G504" s="22" t="s">
        <v>234</v>
      </c>
      <c r="H504" s="23">
        <v>-4855.7800000000007</v>
      </c>
      <c r="I504" s="22">
        <v>2500</v>
      </c>
    </row>
    <row r="505" spans="1:9" x14ac:dyDescent="0.3">
      <c r="A505">
        <v>2025</v>
      </c>
      <c r="B505" s="8">
        <v>27</v>
      </c>
      <c r="C505" s="20" t="s">
        <v>98</v>
      </c>
      <c r="D505" s="20" t="s">
        <v>168</v>
      </c>
      <c r="E505" s="22" t="s">
        <v>232</v>
      </c>
      <c r="F505" s="20" t="s">
        <v>232</v>
      </c>
      <c r="G505" s="22" t="s">
        <v>234</v>
      </c>
      <c r="H505" s="23">
        <v>643</v>
      </c>
      <c r="I505" s="22">
        <v>2500</v>
      </c>
    </row>
    <row r="506" spans="1:9" x14ac:dyDescent="0.3">
      <c r="A506">
        <v>2025</v>
      </c>
      <c r="B506" s="8">
        <v>28</v>
      </c>
      <c r="C506" s="20" t="s">
        <v>80</v>
      </c>
      <c r="D506" s="20" t="s">
        <v>54</v>
      </c>
      <c r="E506" s="22" t="s">
        <v>232</v>
      </c>
      <c r="F506" s="20" t="s">
        <v>232</v>
      </c>
      <c r="G506" s="22" t="s">
        <v>234</v>
      </c>
      <c r="H506" s="23">
        <v>2499.6800000000003</v>
      </c>
      <c r="I506" s="22">
        <v>2500</v>
      </c>
    </row>
    <row r="507" spans="1:9" x14ac:dyDescent="0.3">
      <c r="A507">
        <v>2025</v>
      </c>
      <c r="B507" s="8">
        <v>28</v>
      </c>
      <c r="C507" s="20" t="s">
        <v>323</v>
      </c>
      <c r="D507" s="20" t="s">
        <v>20</v>
      </c>
      <c r="E507" s="22" t="s">
        <v>232</v>
      </c>
      <c r="F507" s="20" t="s">
        <v>232</v>
      </c>
      <c r="G507" s="22" t="s">
        <v>234</v>
      </c>
      <c r="H507" s="23">
        <v>815.60000000000036</v>
      </c>
      <c r="I507" s="22">
        <v>2500</v>
      </c>
    </row>
    <row r="508" spans="1:9" x14ac:dyDescent="0.3">
      <c r="A508">
        <v>2025</v>
      </c>
      <c r="B508" s="8">
        <v>28</v>
      </c>
      <c r="C508" s="20" t="s">
        <v>111</v>
      </c>
      <c r="D508" s="20" t="s">
        <v>63</v>
      </c>
      <c r="E508" s="20" t="s">
        <v>291</v>
      </c>
      <c r="F508" s="20" t="s">
        <v>291</v>
      </c>
      <c r="G508" s="22" t="s">
        <v>234</v>
      </c>
      <c r="H508" s="23">
        <v>3600</v>
      </c>
      <c r="I508" s="22">
        <v>2500</v>
      </c>
    </row>
    <row r="509" spans="1:9" x14ac:dyDescent="0.3">
      <c r="A509">
        <v>2025</v>
      </c>
      <c r="B509" s="8">
        <v>28</v>
      </c>
      <c r="C509" s="20" t="s">
        <v>23</v>
      </c>
      <c r="D509" s="20" t="s">
        <v>34</v>
      </c>
      <c r="E509" s="22" t="s">
        <v>232</v>
      </c>
      <c r="F509" s="20" t="s">
        <v>232</v>
      </c>
      <c r="G509" s="22" t="s">
        <v>234</v>
      </c>
      <c r="H509" s="23">
        <v>3000</v>
      </c>
      <c r="I509" s="22">
        <v>2500</v>
      </c>
    </row>
    <row r="510" spans="1:9" x14ac:dyDescent="0.3">
      <c r="A510">
        <v>2025</v>
      </c>
      <c r="B510" s="8">
        <v>28</v>
      </c>
      <c r="C510" s="20" t="s">
        <v>256</v>
      </c>
      <c r="D510" s="20" t="s">
        <v>16</v>
      </c>
      <c r="E510" s="22" t="s">
        <v>232</v>
      </c>
      <c r="F510" s="20" t="s">
        <v>232</v>
      </c>
      <c r="G510" s="22" t="s">
        <v>234</v>
      </c>
      <c r="H510" s="23">
        <v>1088.8999999999987</v>
      </c>
      <c r="I510" s="22">
        <v>2500</v>
      </c>
    </row>
    <row r="511" spans="1:9" x14ac:dyDescent="0.3">
      <c r="A511">
        <v>2025</v>
      </c>
      <c r="B511" s="8">
        <v>28</v>
      </c>
      <c r="C511" s="20" t="s">
        <v>25</v>
      </c>
      <c r="D511" s="20" t="s">
        <v>10</v>
      </c>
      <c r="E511" s="22" t="s">
        <v>232</v>
      </c>
      <c r="F511" s="20" t="s">
        <v>232</v>
      </c>
      <c r="G511" s="22" t="s">
        <v>234</v>
      </c>
      <c r="H511" s="23">
        <v>3098.46</v>
      </c>
      <c r="I511" s="22">
        <v>2500</v>
      </c>
    </row>
    <row r="512" spans="1:9" x14ac:dyDescent="0.3">
      <c r="A512">
        <v>2025</v>
      </c>
      <c r="B512" s="8">
        <v>28</v>
      </c>
      <c r="C512" s="20" t="s">
        <v>359</v>
      </c>
      <c r="D512" s="20" t="s">
        <v>230</v>
      </c>
      <c r="E512" s="22" t="s">
        <v>232</v>
      </c>
      <c r="F512" s="20" t="s">
        <v>232</v>
      </c>
      <c r="G512" s="22" t="s">
        <v>234</v>
      </c>
      <c r="H512" s="23">
        <v>3811.74</v>
      </c>
      <c r="I512" s="22">
        <v>2500</v>
      </c>
    </row>
    <row r="513" spans="1:9" x14ac:dyDescent="0.3">
      <c r="A513">
        <v>2025</v>
      </c>
      <c r="B513" s="8">
        <v>28</v>
      </c>
      <c r="C513" s="20" t="s">
        <v>72</v>
      </c>
      <c r="D513" s="20" t="s">
        <v>73</v>
      </c>
      <c r="E513" s="22" t="s">
        <v>241</v>
      </c>
      <c r="F513" s="20" t="s">
        <v>291</v>
      </c>
      <c r="G513" s="22" t="s">
        <v>234</v>
      </c>
      <c r="H513" s="23">
        <v>2500</v>
      </c>
      <c r="I513" s="22">
        <v>2500</v>
      </c>
    </row>
    <row r="514" spans="1:9" x14ac:dyDescent="0.3">
      <c r="A514">
        <v>2025</v>
      </c>
      <c r="B514" s="8">
        <v>28</v>
      </c>
      <c r="C514" s="20" t="s">
        <v>292</v>
      </c>
      <c r="D514" s="20" t="s">
        <v>52</v>
      </c>
      <c r="E514" s="22" t="s">
        <v>232</v>
      </c>
      <c r="F514" s="20" t="s">
        <v>232</v>
      </c>
      <c r="G514" s="22" t="s">
        <v>234</v>
      </c>
      <c r="H514" s="23">
        <v>2500</v>
      </c>
      <c r="I514" s="22">
        <v>2500</v>
      </c>
    </row>
    <row r="515" spans="1:9" x14ac:dyDescent="0.3">
      <c r="A515">
        <v>2025</v>
      </c>
      <c r="B515" s="8">
        <v>28</v>
      </c>
      <c r="C515" s="20" t="s">
        <v>375</v>
      </c>
      <c r="D515" s="20" t="s">
        <v>40</v>
      </c>
      <c r="E515" s="22" t="s">
        <v>232</v>
      </c>
      <c r="F515" s="20" t="s">
        <v>232</v>
      </c>
      <c r="G515" s="22" t="s">
        <v>234</v>
      </c>
      <c r="H515" s="23">
        <v>2643</v>
      </c>
      <c r="I515" s="22">
        <v>2500</v>
      </c>
    </row>
    <row r="516" spans="1:9" x14ac:dyDescent="0.3">
      <c r="A516">
        <v>2025</v>
      </c>
      <c r="B516" s="8">
        <v>28</v>
      </c>
      <c r="C516" s="20" t="s">
        <v>288</v>
      </c>
      <c r="D516" s="20" t="s">
        <v>22</v>
      </c>
      <c r="E516" s="20" t="s">
        <v>232</v>
      </c>
      <c r="F516" s="20" t="s">
        <v>232</v>
      </c>
      <c r="G516" s="22" t="s">
        <v>234</v>
      </c>
      <c r="H516" s="23">
        <v>2500</v>
      </c>
      <c r="I516" s="22">
        <v>2500</v>
      </c>
    </row>
    <row r="517" spans="1:9" x14ac:dyDescent="0.3">
      <c r="A517">
        <v>2025</v>
      </c>
      <c r="B517" s="8">
        <v>28</v>
      </c>
      <c r="C517" s="20" t="s">
        <v>244</v>
      </c>
      <c r="D517" s="20" t="s">
        <v>4</v>
      </c>
      <c r="E517" s="22" t="s">
        <v>232</v>
      </c>
      <c r="F517" s="20" t="s">
        <v>232</v>
      </c>
      <c r="G517" s="22" t="s">
        <v>234</v>
      </c>
      <c r="H517" s="23">
        <v>146.30000000000007</v>
      </c>
      <c r="I517" s="22">
        <v>2500</v>
      </c>
    </row>
    <row r="518" spans="1:9" x14ac:dyDescent="0.3">
      <c r="A518">
        <v>2025</v>
      </c>
      <c r="B518" s="8">
        <v>28</v>
      </c>
      <c r="C518" s="20" t="s">
        <v>35</v>
      </c>
      <c r="D518" s="20" t="s">
        <v>97</v>
      </c>
      <c r="E518" s="22" t="s">
        <v>232</v>
      </c>
      <c r="F518" s="20" t="s">
        <v>232</v>
      </c>
      <c r="G518" s="22" t="s">
        <v>234</v>
      </c>
      <c r="H518" s="23">
        <v>2522</v>
      </c>
      <c r="I518" s="22">
        <v>2500</v>
      </c>
    </row>
    <row r="519" spans="1:9" x14ac:dyDescent="0.3">
      <c r="A519">
        <v>2025</v>
      </c>
      <c r="B519" s="8">
        <v>28</v>
      </c>
      <c r="C519" s="20" t="s">
        <v>37</v>
      </c>
      <c r="D519" s="20" t="s">
        <v>246</v>
      </c>
      <c r="E519" s="22" t="s">
        <v>232</v>
      </c>
      <c r="F519" s="20" t="s">
        <v>291</v>
      </c>
      <c r="G519" s="22" t="s">
        <v>234</v>
      </c>
      <c r="H519" s="23">
        <v>2500</v>
      </c>
      <c r="I519" s="22">
        <v>2500</v>
      </c>
    </row>
    <row r="520" spans="1:9" x14ac:dyDescent="0.3">
      <c r="A520">
        <v>2025</v>
      </c>
      <c r="B520" s="8">
        <v>28</v>
      </c>
      <c r="C520" s="20" t="s">
        <v>361</v>
      </c>
      <c r="D520" s="20" t="s">
        <v>56</v>
      </c>
      <c r="E520" s="22" t="s">
        <v>241</v>
      </c>
      <c r="F520" s="20" t="s">
        <v>291</v>
      </c>
      <c r="G520" s="22" t="s">
        <v>234</v>
      </c>
      <c r="H520" s="23">
        <v>1928.5</v>
      </c>
      <c r="I520" s="22">
        <v>2500</v>
      </c>
    </row>
    <row r="521" spans="1:9" x14ac:dyDescent="0.3">
      <c r="A521">
        <v>2025</v>
      </c>
      <c r="B521" s="8">
        <v>28</v>
      </c>
      <c r="C521" s="20" t="s">
        <v>331</v>
      </c>
      <c r="D521" s="20" t="s">
        <v>46</v>
      </c>
      <c r="E521" s="22" t="s">
        <v>232</v>
      </c>
      <c r="F521" s="20" t="s">
        <v>291</v>
      </c>
      <c r="G521" s="22" t="s">
        <v>234</v>
      </c>
      <c r="H521" s="23">
        <v>2109</v>
      </c>
      <c r="I521" s="22">
        <v>2500</v>
      </c>
    </row>
    <row r="522" spans="1:9" x14ac:dyDescent="0.3">
      <c r="A522">
        <v>2025</v>
      </c>
      <c r="B522" s="8">
        <v>28</v>
      </c>
      <c r="C522" s="20" t="s">
        <v>372</v>
      </c>
      <c r="D522" s="20" t="s">
        <v>75</v>
      </c>
      <c r="E522" s="22" t="s">
        <v>241</v>
      </c>
      <c r="F522" s="20" t="s">
        <v>291</v>
      </c>
      <c r="G522" s="22" t="s">
        <v>234</v>
      </c>
      <c r="H522" s="23">
        <v>1709.1999999999998</v>
      </c>
      <c r="I522" s="22">
        <v>2500</v>
      </c>
    </row>
    <row r="523" spans="1:9" x14ac:dyDescent="0.3">
      <c r="A523">
        <v>2025</v>
      </c>
      <c r="B523" s="8">
        <v>28</v>
      </c>
      <c r="C523" s="20" t="s">
        <v>45</v>
      </c>
      <c r="D523" s="20" t="s">
        <v>249</v>
      </c>
      <c r="E523" s="22" t="s">
        <v>232</v>
      </c>
      <c r="F523" s="20" t="s">
        <v>232</v>
      </c>
      <c r="G523" s="22" t="s">
        <v>234</v>
      </c>
      <c r="H523" s="23">
        <v>2301</v>
      </c>
      <c r="I523" s="22">
        <v>2500</v>
      </c>
    </row>
    <row r="524" spans="1:9" x14ac:dyDescent="0.3">
      <c r="A524">
        <v>2025</v>
      </c>
      <c r="B524" s="8">
        <v>28</v>
      </c>
      <c r="C524" s="20" t="s">
        <v>5</v>
      </c>
      <c r="D524" s="20" t="s">
        <v>28</v>
      </c>
      <c r="E524" s="22" t="s">
        <v>232</v>
      </c>
      <c r="F524" s="20" t="s">
        <v>232</v>
      </c>
      <c r="G524" s="22" t="s">
        <v>234</v>
      </c>
      <c r="H524" s="23">
        <v>2266.7399999999998</v>
      </c>
      <c r="I524" s="22">
        <v>2500</v>
      </c>
    </row>
    <row r="525" spans="1:9" x14ac:dyDescent="0.3">
      <c r="A525">
        <v>2025</v>
      </c>
      <c r="B525" s="8">
        <v>28</v>
      </c>
      <c r="C525" s="20" t="s">
        <v>362</v>
      </c>
      <c r="D525" s="20" t="s">
        <v>50</v>
      </c>
      <c r="E525" s="22" t="s">
        <v>232</v>
      </c>
      <c r="F525" s="20" t="s">
        <v>232</v>
      </c>
      <c r="G525" s="22" t="s">
        <v>234</v>
      </c>
      <c r="H525" s="23">
        <v>2998.96</v>
      </c>
      <c r="I525" s="22">
        <v>2500</v>
      </c>
    </row>
    <row r="526" spans="1:9" x14ac:dyDescent="0.3">
      <c r="A526">
        <v>2025</v>
      </c>
      <c r="B526" s="8">
        <v>28</v>
      </c>
      <c r="C526" s="20" t="s">
        <v>363</v>
      </c>
      <c r="D526" s="20" t="s">
        <v>8</v>
      </c>
      <c r="E526" s="22" t="s">
        <v>364</v>
      </c>
      <c r="F526" s="22" t="s">
        <v>364</v>
      </c>
      <c r="G526" s="22" t="s">
        <v>234</v>
      </c>
      <c r="H526" s="23">
        <v>3000</v>
      </c>
      <c r="I526" s="22">
        <v>2500</v>
      </c>
    </row>
    <row r="527" spans="1:9" x14ac:dyDescent="0.3">
      <c r="A527">
        <v>2025</v>
      </c>
      <c r="B527" s="8">
        <v>28</v>
      </c>
      <c r="C527" s="20" t="s">
        <v>76</v>
      </c>
      <c r="D527" s="20" t="s">
        <v>104</v>
      </c>
      <c r="E527" s="20" t="s">
        <v>364</v>
      </c>
      <c r="F527" s="22" t="s">
        <v>364</v>
      </c>
      <c r="G527" s="22" t="s">
        <v>234</v>
      </c>
      <c r="H527" s="23">
        <v>1369.9999999999995</v>
      </c>
      <c r="I527" s="22">
        <v>2500</v>
      </c>
    </row>
    <row r="528" spans="1:9" x14ac:dyDescent="0.3">
      <c r="A528">
        <v>2025</v>
      </c>
      <c r="B528" s="8">
        <v>28</v>
      </c>
      <c r="C528" s="20" t="s">
        <v>98</v>
      </c>
      <c r="D528" s="20" t="s">
        <v>168</v>
      </c>
      <c r="E528" s="22" t="s">
        <v>232</v>
      </c>
      <c r="F528" s="20" t="s">
        <v>232</v>
      </c>
      <c r="G528" s="22" t="s">
        <v>234</v>
      </c>
      <c r="H528" s="23">
        <v>3000</v>
      </c>
      <c r="I528" s="22">
        <v>2500</v>
      </c>
    </row>
    <row r="529" spans="1:9" x14ac:dyDescent="0.3">
      <c r="A529">
        <v>2025</v>
      </c>
      <c r="B529" s="8">
        <v>29</v>
      </c>
      <c r="C529" s="20" t="s">
        <v>80</v>
      </c>
      <c r="D529" s="20" t="s">
        <v>54</v>
      </c>
      <c r="E529" s="22" t="s">
        <v>232</v>
      </c>
      <c r="F529" s="20" t="s">
        <v>232</v>
      </c>
      <c r="G529" s="22" t="s">
        <v>234</v>
      </c>
      <c r="H529" s="23">
        <v>2999.58</v>
      </c>
      <c r="I529" s="22">
        <v>2500</v>
      </c>
    </row>
    <row r="530" spans="1:9" x14ac:dyDescent="0.3">
      <c r="A530">
        <v>2025</v>
      </c>
      <c r="B530" s="8">
        <v>29</v>
      </c>
      <c r="C530" s="20" t="s">
        <v>323</v>
      </c>
      <c r="D530" s="20" t="s">
        <v>20</v>
      </c>
      <c r="E530" s="22" t="s">
        <v>232</v>
      </c>
      <c r="F530" s="20" t="s">
        <v>232</v>
      </c>
      <c r="G530" s="22" t="s">
        <v>234</v>
      </c>
      <c r="H530" s="23">
        <v>-0.1999999999998181</v>
      </c>
      <c r="I530" s="22">
        <v>2500</v>
      </c>
    </row>
    <row r="531" spans="1:9" x14ac:dyDescent="0.3">
      <c r="A531">
        <v>2025</v>
      </c>
      <c r="B531" s="8">
        <v>29</v>
      </c>
      <c r="C531" s="20" t="s">
        <v>111</v>
      </c>
      <c r="D531" s="20" t="s">
        <v>63</v>
      </c>
      <c r="E531" s="20" t="s">
        <v>291</v>
      </c>
      <c r="F531" s="20" t="s">
        <v>291</v>
      </c>
      <c r="G531" s="22" t="s">
        <v>234</v>
      </c>
      <c r="H531" s="23">
        <v>3000</v>
      </c>
      <c r="I531" s="22">
        <v>2500</v>
      </c>
    </row>
    <row r="532" spans="1:9" x14ac:dyDescent="0.3">
      <c r="A532">
        <v>2025</v>
      </c>
      <c r="B532" s="8">
        <v>29</v>
      </c>
      <c r="C532" s="20" t="s">
        <v>23</v>
      </c>
      <c r="D532" s="20" t="s">
        <v>106</v>
      </c>
      <c r="E532" s="22" t="s">
        <v>232</v>
      </c>
      <c r="F532" s="20" t="s">
        <v>232</v>
      </c>
      <c r="G532" s="22" t="s">
        <v>234</v>
      </c>
      <c r="H532" s="23">
        <v>2750.1400000000003</v>
      </c>
      <c r="I532" s="22">
        <v>2500</v>
      </c>
    </row>
    <row r="533" spans="1:9" x14ac:dyDescent="0.3">
      <c r="A533">
        <v>2025</v>
      </c>
      <c r="B533" s="8">
        <v>29</v>
      </c>
      <c r="C533" s="20" t="s">
        <v>256</v>
      </c>
      <c r="D533" s="20" t="s">
        <v>16</v>
      </c>
      <c r="E533" s="22" t="s">
        <v>232</v>
      </c>
      <c r="F533" s="20" t="s">
        <v>232</v>
      </c>
      <c r="G533" s="22" t="s">
        <v>234</v>
      </c>
      <c r="H533" s="23">
        <v>-864.4400000000004</v>
      </c>
      <c r="I533" s="22">
        <v>2500</v>
      </c>
    </row>
    <row r="534" spans="1:9" x14ac:dyDescent="0.3">
      <c r="A534">
        <v>2025</v>
      </c>
      <c r="B534" s="8">
        <v>29</v>
      </c>
      <c r="C534" s="20" t="s">
        <v>25</v>
      </c>
      <c r="D534" s="20" t="s">
        <v>10</v>
      </c>
      <c r="E534" s="22" t="s">
        <v>232</v>
      </c>
      <c r="F534" s="20" t="s">
        <v>232</v>
      </c>
      <c r="G534" s="22" t="s">
        <v>234</v>
      </c>
      <c r="H534" s="23">
        <v>740.72000000000025</v>
      </c>
      <c r="I534" s="22">
        <v>2500</v>
      </c>
    </row>
    <row r="535" spans="1:9" x14ac:dyDescent="0.3">
      <c r="A535">
        <v>2025</v>
      </c>
      <c r="B535" s="8">
        <v>29</v>
      </c>
      <c r="C535" s="20" t="s">
        <v>359</v>
      </c>
      <c r="D535" s="20" t="s">
        <v>230</v>
      </c>
      <c r="E535" s="22" t="s">
        <v>232</v>
      </c>
      <c r="F535" s="20" t="s">
        <v>232</v>
      </c>
      <c r="G535" s="22" t="s">
        <v>234</v>
      </c>
      <c r="H535" s="23">
        <v>3000.4799999999996</v>
      </c>
      <c r="I535" s="22">
        <v>2500</v>
      </c>
    </row>
    <row r="536" spans="1:9" x14ac:dyDescent="0.3">
      <c r="A536">
        <v>2025</v>
      </c>
      <c r="B536" s="8">
        <v>29</v>
      </c>
      <c r="C536" s="20" t="s">
        <v>72</v>
      </c>
      <c r="D536" s="20" t="s">
        <v>73</v>
      </c>
      <c r="E536" s="22" t="s">
        <v>241</v>
      </c>
      <c r="F536" s="20" t="s">
        <v>291</v>
      </c>
      <c r="G536" s="22" t="s">
        <v>234</v>
      </c>
      <c r="H536" s="23">
        <v>212.79999999999927</v>
      </c>
      <c r="I536" s="22">
        <v>2500</v>
      </c>
    </row>
    <row r="537" spans="1:9" x14ac:dyDescent="0.3">
      <c r="A537">
        <v>2025</v>
      </c>
      <c r="B537" s="8">
        <v>29</v>
      </c>
      <c r="C537" s="20" t="s">
        <v>292</v>
      </c>
      <c r="D537" s="20" t="s">
        <v>52</v>
      </c>
      <c r="E537" s="22" t="s">
        <v>232</v>
      </c>
      <c r="F537" s="20" t="s">
        <v>232</v>
      </c>
      <c r="G537" s="22" t="s">
        <v>234</v>
      </c>
      <c r="H537" s="23">
        <v>2870</v>
      </c>
      <c r="I537" s="22">
        <v>2500</v>
      </c>
    </row>
    <row r="538" spans="1:9" x14ac:dyDescent="0.3">
      <c r="A538">
        <v>2025</v>
      </c>
      <c r="B538" s="8">
        <v>29</v>
      </c>
      <c r="C538" s="20" t="s">
        <v>375</v>
      </c>
      <c r="D538" s="20" t="s">
        <v>40</v>
      </c>
      <c r="E538" s="22" t="s">
        <v>232</v>
      </c>
      <c r="F538" s="20" t="s">
        <v>232</v>
      </c>
      <c r="G538" s="22" t="s">
        <v>234</v>
      </c>
      <c r="H538" s="23">
        <v>3000</v>
      </c>
      <c r="I538" s="22">
        <v>2500</v>
      </c>
    </row>
    <row r="539" spans="1:9" x14ac:dyDescent="0.3">
      <c r="A539">
        <v>2025</v>
      </c>
      <c r="B539" s="8">
        <v>29</v>
      </c>
      <c r="C539" s="20" t="s">
        <v>57</v>
      </c>
      <c r="D539" s="20" t="s">
        <v>16</v>
      </c>
      <c r="E539" s="20" t="s">
        <v>232</v>
      </c>
      <c r="F539" s="20" t="s">
        <v>232</v>
      </c>
      <c r="G539" s="22" t="s">
        <v>234</v>
      </c>
      <c r="H539" s="23">
        <v>642.70000000000005</v>
      </c>
      <c r="I539" s="22">
        <v>2500</v>
      </c>
    </row>
    <row r="540" spans="1:9" x14ac:dyDescent="0.3">
      <c r="A540">
        <v>2025</v>
      </c>
      <c r="B540" s="8">
        <v>29</v>
      </c>
      <c r="C540" s="20" t="s">
        <v>288</v>
      </c>
      <c r="D540" s="20" t="s">
        <v>22</v>
      </c>
      <c r="E540" s="20" t="s">
        <v>232</v>
      </c>
      <c r="F540" s="20" t="s">
        <v>232</v>
      </c>
      <c r="G540" s="22" t="s">
        <v>234</v>
      </c>
      <c r="H540" s="23">
        <v>3000</v>
      </c>
      <c r="I540" s="22">
        <v>2500</v>
      </c>
    </row>
    <row r="541" spans="1:9" x14ac:dyDescent="0.3">
      <c r="A541">
        <v>2025</v>
      </c>
      <c r="B541" s="8">
        <v>29</v>
      </c>
      <c r="C541" s="20" t="s">
        <v>35</v>
      </c>
      <c r="D541" s="20" t="s">
        <v>97</v>
      </c>
      <c r="E541" s="22" t="s">
        <v>232</v>
      </c>
      <c r="F541" s="20" t="s">
        <v>232</v>
      </c>
      <c r="G541" s="22" t="s">
        <v>234</v>
      </c>
      <c r="H541" s="23">
        <v>2529</v>
      </c>
      <c r="I541" s="22">
        <v>2500</v>
      </c>
    </row>
    <row r="542" spans="1:9" x14ac:dyDescent="0.3">
      <c r="A542">
        <v>2025</v>
      </c>
      <c r="B542" s="8">
        <v>29</v>
      </c>
      <c r="C542" s="20" t="s">
        <v>37</v>
      </c>
      <c r="D542" s="20" t="s">
        <v>69</v>
      </c>
      <c r="E542" s="22" t="s">
        <v>241</v>
      </c>
      <c r="F542" s="20" t="s">
        <v>291</v>
      </c>
      <c r="G542" s="22" t="s">
        <v>234</v>
      </c>
      <c r="H542" s="23">
        <v>2500</v>
      </c>
      <c r="I542" s="22">
        <v>2500</v>
      </c>
    </row>
    <row r="543" spans="1:9" x14ac:dyDescent="0.3">
      <c r="A543">
        <v>2025</v>
      </c>
      <c r="B543" s="8">
        <v>29</v>
      </c>
      <c r="C543" s="20" t="s">
        <v>361</v>
      </c>
      <c r="D543" s="20" t="s">
        <v>56</v>
      </c>
      <c r="E543" s="22" t="s">
        <v>241</v>
      </c>
      <c r="F543" s="20" t="s">
        <v>291</v>
      </c>
      <c r="G543" s="22" t="s">
        <v>234</v>
      </c>
      <c r="H543" s="23">
        <v>1213.8400000000001</v>
      </c>
      <c r="I543" s="22">
        <v>2500</v>
      </c>
    </row>
    <row r="544" spans="1:9" x14ac:dyDescent="0.3">
      <c r="A544">
        <v>2025</v>
      </c>
      <c r="B544" s="8">
        <v>29</v>
      </c>
      <c r="C544" s="20" t="s">
        <v>331</v>
      </c>
      <c r="D544" s="20" t="s">
        <v>46</v>
      </c>
      <c r="E544" s="22" t="s">
        <v>232</v>
      </c>
      <c r="F544" s="20" t="s">
        <v>232</v>
      </c>
      <c r="G544" s="22" t="s">
        <v>234</v>
      </c>
      <c r="H544" s="23">
        <v>2348.8999999999996</v>
      </c>
      <c r="I544" s="22">
        <v>2500</v>
      </c>
    </row>
    <row r="545" spans="1:9" x14ac:dyDescent="0.3">
      <c r="A545">
        <v>2025</v>
      </c>
      <c r="B545" s="8">
        <v>29</v>
      </c>
      <c r="C545" s="20" t="s">
        <v>372</v>
      </c>
      <c r="D545" s="20" t="s">
        <v>4</v>
      </c>
      <c r="E545" s="22" t="s">
        <v>232</v>
      </c>
      <c r="F545" s="20" t="s">
        <v>232</v>
      </c>
      <c r="G545" s="22" t="s">
        <v>234</v>
      </c>
      <c r="H545" s="23">
        <v>774.92000000000098</v>
      </c>
      <c r="I545" s="22">
        <v>2500</v>
      </c>
    </row>
    <row r="546" spans="1:9" x14ac:dyDescent="0.3">
      <c r="A546">
        <v>2025</v>
      </c>
      <c r="B546" s="8">
        <v>29</v>
      </c>
      <c r="C546" s="20" t="s">
        <v>45</v>
      </c>
      <c r="D546" s="20" t="s">
        <v>249</v>
      </c>
      <c r="E546" s="22" t="s">
        <v>232</v>
      </c>
      <c r="F546" s="20" t="s">
        <v>232</v>
      </c>
      <c r="G546" s="22" t="s">
        <v>234</v>
      </c>
      <c r="H546" s="23">
        <v>2300</v>
      </c>
      <c r="I546" s="22">
        <v>2500</v>
      </c>
    </row>
    <row r="547" spans="1:9" x14ac:dyDescent="0.3">
      <c r="A547">
        <v>2025</v>
      </c>
      <c r="B547" s="8">
        <v>29</v>
      </c>
      <c r="C547" s="20" t="s">
        <v>5</v>
      </c>
      <c r="D547" s="20" t="s">
        <v>28</v>
      </c>
      <c r="E547" s="22" t="s">
        <v>232</v>
      </c>
      <c r="F547" s="20" t="s">
        <v>232</v>
      </c>
      <c r="G547" s="22" t="s">
        <v>234</v>
      </c>
      <c r="H547" s="23">
        <v>967.20000000000027</v>
      </c>
      <c r="I547" s="22">
        <v>2500</v>
      </c>
    </row>
    <row r="548" spans="1:9" x14ac:dyDescent="0.3">
      <c r="A548">
        <v>2025</v>
      </c>
      <c r="B548" s="8">
        <v>29</v>
      </c>
      <c r="C548" s="20" t="s">
        <v>362</v>
      </c>
      <c r="D548" s="20" t="s">
        <v>50</v>
      </c>
      <c r="E548" s="22" t="s">
        <v>232</v>
      </c>
      <c r="F548" s="20" t="s">
        <v>232</v>
      </c>
      <c r="G548" s="22" t="s">
        <v>234</v>
      </c>
      <c r="H548" s="23">
        <v>2999.2</v>
      </c>
      <c r="I548" s="22">
        <v>2500</v>
      </c>
    </row>
    <row r="549" spans="1:9" x14ac:dyDescent="0.3">
      <c r="A549">
        <v>2025</v>
      </c>
      <c r="B549" s="8">
        <v>29</v>
      </c>
      <c r="C549" s="20" t="s">
        <v>363</v>
      </c>
      <c r="D549" s="20" t="s">
        <v>8</v>
      </c>
      <c r="E549" s="22" t="s">
        <v>364</v>
      </c>
      <c r="F549" s="22" t="s">
        <v>364</v>
      </c>
      <c r="G549" s="22" t="s">
        <v>234</v>
      </c>
      <c r="H549" s="23">
        <v>1969</v>
      </c>
      <c r="I549" s="22">
        <v>2500</v>
      </c>
    </row>
    <row r="550" spans="1:9" x14ac:dyDescent="0.3">
      <c r="A550">
        <v>2025</v>
      </c>
      <c r="B550" s="8">
        <v>29</v>
      </c>
      <c r="C550" s="20" t="s">
        <v>76</v>
      </c>
      <c r="D550" s="20" t="s">
        <v>104</v>
      </c>
      <c r="E550" s="20" t="s">
        <v>364</v>
      </c>
      <c r="F550" s="22" t="s">
        <v>364</v>
      </c>
      <c r="G550" s="22" t="s">
        <v>234</v>
      </c>
      <c r="H550" s="23">
        <v>3000.5400000000009</v>
      </c>
      <c r="I550" s="22">
        <v>2500</v>
      </c>
    </row>
    <row r="551" spans="1:9" x14ac:dyDescent="0.3">
      <c r="A551">
        <v>2025</v>
      </c>
      <c r="B551" s="8">
        <v>29</v>
      </c>
      <c r="C551" s="20" t="s">
        <v>98</v>
      </c>
      <c r="D551" s="20" t="s">
        <v>168</v>
      </c>
      <c r="E551" s="22" t="s">
        <v>232</v>
      </c>
      <c r="F551" s="20" t="s">
        <v>232</v>
      </c>
      <c r="G551" s="22" t="s">
        <v>234</v>
      </c>
      <c r="H551" s="23">
        <v>3000</v>
      </c>
      <c r="I551" s="22">
        <v>2500</v>
      </c>
    </row>
    <row r="552" spans="1:9" x14ac:dyDescent="0.3">
      <c r="A552">
        <v>2025</v>
      </c>
      <c r="B552" s="8">
        <v>30</v>
      </c>
      <c r="C552" s="20" t="s">
        <v>80</v>
      </c>
      <c r="D552" s="20" t="s">
        <v>81</v>
      </c>
      <c r="E552" s="22" t="s">
        <v>232</v>
      </c>
      <c r="F552" s="20" t="s">
        <v>232</v>
      </c>
      <c r="G552" s="22" t="s">
        <v>234</v>
      </c>
      <c r="H552" s="23">
        <v>2999.24</v>
      </c>
      <c r="I552" s="22">
        <v>2500</v>
      </c>
    </row>
    <row r="553" spans="1:9" x14ac:dyDescent="0.3">
      <c r="A553">
        <v>2025</v>
      </c>
      <c r="B553" s="8">
        <v>30</v>
      </c>
      <c r="C553" s="20" t="s">
        <v>111</v>
      </c>
      <c r="D553" s="20" t="s">
        <v>63</v>
      </c>
      <c r="E553" s="20" t="s">
        <v>291</v>
      </c>
      <c r="F553" s="20" t="s">
        <v>291</v>
      </c>
      <c r="G553" s="22" t="s">
        <v>234</v>
      </c>
      <c r="H553" s="23">
        <v>3600</v>
      </c>
      <c r="I553" s="22">
        <v>2500</v>
      </c>
    </row>
    <row r="554" spans="1:9" x14ac:dyDescent="0.3">
      <c r="A554">
        <v>2025</v>
      </c>
      <c r="B554" s="8">
        <v>30</v>
      </c>
      <c r="C554" s="20" t="s">
        <v>23</v>
      </c>
      <c r="D554" s="20" t="s">
        <v>106</v>
      </c>
      <c r="E554" s="22" t="s">
        <v>232</v>
      </c>
      <c r="F554" s="20" t="s">
        <v>232</v>
      </c>
      <c r="G554" s="22" t="s">
        <v>234</v>
      </c>
      <c r="H554" s="23">
        <v>2500</v>
      </c>
      <c r="I554" s="22">
        <v>2500</v>
      </c>
    </row>
    <row r="555" spans="1:9" x14ac:dyDescent="0.3">
      <c r="A555">
        <v>2025</v>
      </c>
      <c r="B555" s="8">
        <v>30</v>
      </c>
      <c r="C555" s="20" t="s">
        <v>25</v>
      </c>
      <c r="D555" s="20" t="s">
        <v>10</v>
      </c>
      <c r="E555" s="22" t="s">
        <v>232</v>
      </c>
      <c r="F555" s="20" t="s">
        <v>232</v>
      </c>
      <c r="G555" s="22" t="s">
        <v>234</v>
      </c>
      <c r="H555" s="23">
        <v>2484.3999999999996</v>
      </c>
      <c r="I555" s="22">
        <v>2500</v>
      </c>
    </row>
    <row r="556" spans="1:9" x14ac:dyDescent="0.3">
      <c r="A556">
        <v>2025</v>
      </c>
      <c r="B556" s="8">
        <v>30</v>
      </c>
      <c r="C556" s="20" t="s">
        <v>359</v>
      </c>
      <c r="D556" s="20" t="s">
        <v>34</v>
      </c>
      <c r="E556" s="22" t="s">
        <v>232</v>
      </c>
      <c r="F556" s="20" t="s">
        <v>232</v>
      </c>
      <c r="G556" s="22" t="s">
        <v>234</v>
      </c>
      <c r="H556" s="23">
        <v>1885.8600000000006</v>
      </c>
      <c r="I556" s="22">
        <v>2500</v>
      </c>
    </row>
    <row r="557" spans="1:9" x14ac:dyDescent="0.3">
      <c r="A557">
        <v>2025</v>
      </c>
      <c r="B557" s="8">
        <v>30</v>
      </c>
      <c r="C557" s="20" t="s">
        <v>72</v>
      </c>
      <c r="D557" s="20" t="s">
        <v>73</v>
      </c>
      <c r="E557" s="22" t="s">
        <v>241</v>
      </c>
      <c r="F557" s="20" t="s">
        <v>291</v>
      </c>
      <c r="G557" s="22" t="s">
        <v>234</v>
      </c>
      <c r="H557" s="23">
        <v>3724.66</v>
      </c>
      <c r="I557" s="22">
        <v>2500</v>
      </c>
    </row>
    <row r="558" spans="1:9" x14ac:dyDescent="0.3">
      <c r="A558">
        <v>2025</v>
      </c>
      <c r="B558" s="8">
        <v>30</v>
      </c>
      <c r="C558" s="20" t="s">
        <v>292</v>
      </c>
      <c r="D558" s="20" t="s">
        <v>52</v>
      </c>
      <c r="E558" s="22" t="s">
        <v>232</v>
      </c>
      <c r="F558" s="20" t="s">
        <v>232</v>
      </c>
      <c r="G558" s="22" t="s">
        <v>234</v>
      </c>
      <c r="H558" s="23">
        <v>3500</v>
      </c>
      <c r="I558" s="22">
        <v>2500</v>
      </c>
    </row>
    <row r="559" spans="1:9" x14ac:dyDescent="0.3">
      <c r="A559">
        <v>2025</v>
      </c>
      <c r="B559" s="8">
        <v>30</v>
      </c>
      <c r="C559" s="20" t="s">
        <v>375</v>
      </c>
      <c r="D559" s="20" t="s">
        <v>40</v>
      </c>
      <c r="E559" s="22" t="s">
        <v>232</v>
      </c>
      <c r="F559" s="20" t="s">
        <v>232</v>
      </c>
      <c r="G559" s="22" t="s">
        <v>234</v>
      </c>
      <c r="H559" s="23">
        <v>0</v>
      </c>
      <c r="I559" s="22">
        <v>2500</v>
      </c>
    </row>
    <row r="560" spans="1:9" x14ac:dyDescent="0.3">
      <c r="A560">
        <v>2025</v>
      </c>
      <c r="B560" s="8">
        <v>30</v>
      </c>
      <c r="C560" s="20" t="s">
        <v>57</v>
      </c>
      <c r="D560" s="20" t="s">
        <v>16</v>
      </c>
      <c r="E560" s="20" t="s">
        <v>232</v>
      </c>
      <c r="F560" s="20" t="s">
        <v>232</v>
      </c>
      <c r="G560" s="22" t="s">
        <v>234</v>
      </c>
      <c r="H560" s="23">
        <v>3000</v>
      </c>
      <c r="I560" s="22">
        <v>2500</v>
      </c>
    </row>
    <row r="561" spans="1:9" x14ac:dyDescent="0.3">
      <c r="A561">
        <v>2025</v>
      </c>
      <c r="B561" s="8">
        <v>30</v>
      </c>
      <c r="C561" s="20" t="s">
        <v>288</v>
      </c>
      <c r="D561" s="20" t="s">
        <v>22</v>
      </c>
      <c r="E561" s="20" t="s">
        <v>232</v>
      </c>
      <c r="F561" s="20" t="s">
        <v>232</v>
      </c>
      <c r="G561" s="22" t="s">
        <v>234</v>
      </c>
      <c r="H561" s="23">
        <v>3000</v>
      </c>
      <c r="I561" s="22">
        <v>2500</v>
      </c>
    </row>
    <row r="562" spans="1:9" x14ac:dyDescent="0.3">
      <c r="A562">
        <v>2025</v>
      </c>
      <c r="B562" s="8">
        <v>30</v>
      </c>
      <c r="C562" s="20" t="s">
        <v>35</v>
      </c>
      <c r="D562" s="20" t="s">
        <v>97</v>
      </c>
      <c r="E562" s="22" t="s">
        <v>232</v>
      </c>
      <c r="F562" s="20" t="s">
        <v>232</v>
      </c>
      <c r="G562" s="22" t="s">
        <v>234</v>
      </c>
      <c r="H562" s="23">
        <v>2195</v>
      </c>
      <c r="I562" s="22">
        <v>2500</v>
      </c>
    </row>
    <row r="563" spans="1:9" x14ac:dyDescent="0.3">
      <c r="A563">
        <v>2025</v>
      </c>
      <c r="B563" s="8">
        <v>30</v>
      </c>
      <c r="C563" s="20" t="s">
        <v>37</v>
      </c>
      <c r="D563" s="20" t="s">
        <v>246</v>
      </c>
      <c r="E563" s="22" t="s">
        <v>232</v>
      </c>
      <c r="F563" s="20" t="s">
        <v>291</v>
      </c>
      <c r="G563" s="22" t="s">
        <v>234</v>
      </c>
      <c r="H563" s="23">
        <v>3036.16</v>
      </c>
      <c r="I563" s="22">
        <v>2500</v>
      </c>
    </row>
    <row r="564" spans="1:9" x14ac:dyDescent="0.3">
      <c r="A564">
        <v>2025</v>
      </c>
      <c r="B564" s="8">
        <v>30</v>
      </c>
      <c r="C564" s="20" t="s">
        <v>361</v>
      </c>
      <c r="D564" s="20" t="s">
        <v>56</v>
      </c>
      <c r="E564" s="22" t="s">
        <v>241</v>
      </c>
      <c r="F564" s="20" t="s">
        <v>291</v>
      </c>
      <c r="G564" s="22" t="s">
        <v>234</v>
      </c>
      <c r="H564" s="23">
        <v>3000</v>
      </c>
      <c r="I564" s="22">
        <v>2500</v>
      </c>
    </row>
    <row r="565" spans="1:9" x14ac:dyDescent="0.3">
      <c r="A565">
        <v>2025</v>
      </c>
      <c r="B565" s="8">
        <v>30</v>
      </c>
      <c r="C565" s="20" t="s">
        <v>388</v>
      </c>
      <c r="D565" s="20" t="s">
        <v>69</v>
      </c>
      <c r="E565" s="22" t="s">
        <v>241</v>
      </c>
      <c r="F565" s="20" t="s">
        <v>291</v>
      </c>
      <c r="G565" s="22" t="s">
        <v>234</v>
      </c>
      <c r="H565" s="23">
        <v>4849</v>
      </c>
      <c r="I565" s="22">
        <v>2500</v>
      </c>
    </row>
    <row r="566" spans="1:9" x14ac:dyDescent="0.3">
      <c r="A566">
        <v>2025</v>
      </c>
      <c r="B566" s="8">
        <v>30</v>
      </c>
      <c r="C566" s="20" t="s">
        <v>331</v>
      </c>
      <c r="D566" s="20" t="s">
        <v>46</v>
      </c>
      <c r="E566" s="22" t="s">
        <v>232</v>
      </c>
      <c r="F566" s="20" t="s">
        <v>232</v>
      </c>
      <c r="G566" s="22" t="s">
        <v>234</v>
      </c>
      <c r="H566" s="23">
        <v>-117</v>
      </c>
      <c r="I566" s="22">
        <v>2500</v>
      </c>
    </row>
    <row r="567" spans="1:9" x14ac:dyDescent="0.3">
      <c r="A567">
        <v>2025</v>
      </c>
      <c r="B567" s="8">
        <v>30</v>
      </c>
      <c r="C567" s="20" t="s">
        <v>372</v>
      </c>
      <c r="D567" s="20" t="s">
        <v>4</v>
      </c>
      <c r="E567" s="22" t="s">
        <v>232</v>
      </c>
      <c r="F567" s="20" t="s">
        <v>232</v>
      </c>
      <c r="G567" s="22" t="s">
        <v>234</v>
      </c>
      <c r="H567" s="23">
        <v>-2769.16</v>
      </c>
      <c r="I567" s="22">
        <v>2500</v>
      </c>
    </row>
    <row r="568" spans="1:9" x14ac:dyDescent="0.3">
      <c r="A568">
        <v>2025</v>
      </c>
      <c r="B568" s="8">
        <v>30</v>
      </c>
      <c r="C568" s="20" t="s">
        <v>293</v>
      </c>
      <c r="D568" s="20" t="s">
        <v>34</v>
      </c>
      <c r="E568" s="22" t="s">
        <v>232</v>
      </c>
      <c r="F568" s="23" t="s">
        <v>232</v>
      </c>
      <c r="G568" s="22" t="s">
        <v>234</v>
      </c>
      <c r="H568" s="23">
        <v>-500</v>
      </c>
      <c r="I568" s="22">
        <v>2500</v>
      </c>
    </row>
    <row r="569" spans="1:9" x14ac:dyDescent="0.3">
      <c r="A569">
        <v>2025</v>
      </c>
      <c r="B569" s="8">
        <v>30</v>
      </c>
      <c r="C569" s="20" t="s">
        <v>45</v>
      </c>
      <c r="D569" s="20" t="s">
        <v>249</v>
      </c>
      <c r="E569" s="22" t="s">
        <v>232</v>
      </c>
      <c r="F569" s="20" t="s">
        <v>232</v>
      </c>
      <c r="G569" s="22" t="s">
        <v>234</v>
      </c>
      <c r="H569" s="23">
        <v>2299.5600000000004</v>
      </c>
      <c r="I569" s="22">
        <v>2500</v>
      </c>
    </row>
    <row r="570" spans="1:9" x14ac:dyDescent="0.3">
      <c r="A570">
        <v>2025</v>
      </c>
      <c r="B570" s="8">
        <v>30</v>
      </c>
      <c r="C570" s="20" t="s">
        <v>5</v>
      </c>
      <c r="D570" s="20" t="s">
        <v>28</v>
      </c>
      <c r="E570" s="22" t="s">
        <v>232</v>
      </c>
      <c r="F570" s="20" t="s">
        <v>232</v>
      </c>
      <c r="G570" s="22" t="s">
        <v>234</v>
      </c>
      <c r="H570" s="23">
        <v>2399.7800000000007</v>
      </c>
      <c r="I570" s="22">
        <v>2500</v>
      </c>
    </row>
    <row r="571" spans="1:9" x14ac:dyDescent="0.3">
      <c r="A571">
        <v>2025</v>
      </c>
      <c r="B571" s="8">
        <v>30</v>
      </c>
      <c r="C571" s="20" t="s">
        <v>362</v>
      </c>
      <c r="D571" s="20" t="s">
        <v>50</v>
      </c>
      <c r="E571" s="22" t="s">
        <v>232</v>
      </c>
      <c r="F571" s="20" t="s">
        <v>232</v>
      </c>
      <c r="G571" s="22" t="s">
        <v>234</v>
      </c>
      <c r="H571" s="23">
        <v>1999.08</v>
      </c>
      <c r="I571" s="22">
        <v>2500</v>
      </c>
    </row>
    <row r="572" spans="1:9" x14ac:dyDescent="0.3">
      <c r="A572">
        <v>2025</v>
      </c>
      <c r="B572" s="8">
        <v>30</v>
      </c>
      <c r="C572" s="20" t="s">
        <v>76</v>
      </c>
      <c r="D572" s="20" t="s">
        <v>104</v>
      </c>
      <c r="E572" s="20" t="s">
        <v>364</v>
      </c>
      <c r="F572" s="22" t="s">
        <v>364</v>
      </c>
      <c r="G572" s="22" t="s">
        <v>234</v>
      </c>
      <c r="H572" s="23">
        <v>484.98000000000047</v>
      </c>
      <c r="I572" s="22">
        <v>2500</v>
      </c>
    </row>
    <row r="573" spans="1:9" x14ac:dyDescent="0.3">
      <c r="A573">
        <v>2025</v>
      </c>
      <c r="B573" s="8">
        <v>30</v>
      </c>
      <c r="C573" s="20" t="s">
        <v>98</v>
      </c>
      <c r="D573" s="20" t="s">
        <v>168</v>
      </c>
      <c r="E573" s="22" t="s">
        <v>232</v>
      </c>
      <c r="F573" s="20" t="s">
        <v>232</v>
      </c>
      <c r="G573" s="22" t="s">
        <v>234</v>
      </c>
      <c r="H573" s="23">
        <v>3000</v>
      </c>
      <c r="I573" s="22">
        <v>2500</v>
      </c>
    </row>
    <row r="574" spans="1:9" x14ac:dyDescent="0.3">
      <c r="A574">
        <v>2025</v>
      </c>
      <c r="B574" s="8">
        <v>31</v>
      </c>
      <c r="C574" s="20" t="s">
        <v>80</v>
      </c>
      <c r="D574" s="20" t="s">
        <v>81</v>
      </c>
      <c r="E574" s="22" t="s">
        <v>232</v>
      </c>
      <c r="F574" s="20" t="s">
        <v>232</v>
      </c>
      <c r="G574" s="22" t="s">
        <v>234</v>
      </c>
      <c r="H574" s="23">
        <v>3000.38</v>
      </c>
      <c r="I574" s="22">
        <v>2500</v>
      </c>
    </row>
    <row r="575" spans="1:9" x14ac:dyDescent="0.3">
      <c r="A575">
        <v>2025</v>
      </c>
      <c r="B575" s="8">
        <v>31</v>
      </c>
      <c r="C575" s="20" t="s">
        <v>111</v>
      </c>
      <c r="D575" s="20" t="s">
        <v>63</v>
      </c>
      <c r="E575" s="20" t="s">
        <v>291</v>
      </c>
      <c r="F575" s="20" t="s">
        <v>291</v>
      </c>
      <c r="G575" s="22" t="s">
        <v>234</v>
      </c>
      <c r="H575" s="23">
        <v>3000</v>
      </c>
      <c r="I575" s="22">
        <v>2500</v>
      </c>
    </row>
    <row r="576" spans="1:9" x14ac:dyDescent="0.3">
      <c r="A576">
        <v>2025</v>
      </c>
      <c r="B576" s="8">
        <v>31</v>
      </c>
      <c r="C576" s="20" t="s">
        <v>23</v>
      </c>
      <c r="D576" s="20" t="s">
        <v>106</v>
      </c>
      <c r="E576" s="22" t="s">
        <v>232</v>
      </c>
      <c r="F576" s="20" t="s">
        <v>232</v>
      </c>
      <c r="G576" s="22" t="s">
        <v>234</v>
      </c>
      <c r="H576" s="23">
        <v>2500</v>
      </c>
      <c r="I576" s="22">
        <v>2500</v>
      </c>
    </row>
    <row r="577" spans="1:9" x14ac:dyDescent="0.3">
      <c r="A577">
        <v>2025</v>
      </c>
      <c r="B577" s="8">
        <v>31</v>
      </c>
      <c r="C577" s="20" t="s">
        <v>25</v>
      </c>
      <c r="D577" s="20" t="s">
        <v>10</v>
      </c>
      <c r="E577" s="22" t="s">
        <v>232</v>
      </c>
      <c r="F577" s="20" t="s">
        <v>232</v>
      </c>
      <c r="G577" s="22" t="s">
        <v>234</v>
      </c>
      <c r="H577" s="23">
        <v>1835.4999999999993</v>
      </c>
      <c r="I577" s="22">
        <v>2500</v>
      </c>
    </row>
    <row r="578" spans="1:9" x14ac:dyDescent="0.3">
      <c r="A578">
        <v>2025</v>
      </c>
      <c r="B578" s="8">
        <v>31</v>
      </c>
      <c r="C578" s="20" t="s">
        <v>359</v>
      </c>
      <c r="D578" s="20" t="s">
        <v>34</v>
      </c>
      <c r="E578" s="22" t="s">
        <v>232</v>
      </c>
      <c r="F578" s="20" t="s">
        <v>232</v>
      </c>
      <c r="G578" s="22" t="s">
        <v>234</v>
      </c>
      <c r="H578" s="23">
        <v>3265.92</v>
      </c>
      <c r="I578" s="22">
        <v>2500</v>
      </c>
    </row>
    <row r="579" spans="1:9" x14ac:dyDescent="0.3">
      <c r="A579">
        <v>2025</v>
      </c>
      <c r="B579" s="8">
        <v>31</v>
      </c>
      <c r="C579" s="20" t="s">
        <v>72</v>
      </c>
      <c r="D579" s="20" t="s">
        <v>73</v>
      </c>
      <c r="E579" s="22" t="s">
        <v>241</v>
      </c>
      <c r="F579" s="20" t="s">
        <v>291</v>
      </c>
      <c r="G579" s="22" t="s">
        <v>234</v>
      </c>
      <c r="H579" s="23">
        <v>3717.3799999999992</v>
      </c>
      <c r="I579" s="22">
        <v>2500</v>
      </c>
    </row>
    <row r="580" spans="1:9" x14ac:dyDescent="0.3">
      <c r="A580">
        <v>2025</v>
      </c>
      <c r="B580" s="8">
        <v>31</v>
      </c>
      <c r="C580" s="20" t="s">
        <v>292</v>
      </c>
      <c r="D580" s="20" t="s">
        <v>52</v>
      </c>
      <c r="E580" s="22" t="s">
        <v>232</v>
      </c>
      <c r="F580" s="20" t="s">
        <v>232</v>
      </c>
      <c r="G580" s="22" t="s">
        <v>234</v>
      </c>
      <c r="H580" s="23">
        <v>3500</v>
      </c>
      <c r="I580" s="22">
        <v>2500</v>
      </c>
    </row>
    <row r="581" spans="1:9" x14ac:dyDescent="0.3">
      <c r="A581">
        <v>2025</v>
      </c>
      <c r="B581" s="8">
        <v>31</v>
      </c>
      <c r="C581" s="20" t="s">
        <v>375</v>
      </c>
      <c r="D581" s="20" t="s">
        <v>40</v>
      </c>
      <c r="E581" s="22" t="s">
        <v>232</v>
      </c>
      <c r="F581" s="20" t="s">
        <v>232</v>
      </c>
      <c r="G581" s="22" t="s">
        <v>234</v>
      </c>
      <c r="H581" s="23">
        <v>3000</v>
      </c>
      <c r="I581" s="22">
        <v>2500</v>
      </c>
    </row>
    <row r="582" spans="1:9" x14ac:dyDescent="0.3">
      <c r="A582">
        <v>2025</v>
      </c>
      <c r="B582" s="8">
        <v>31</v>
      </c>
      <c r="C582" s="20" t="s">
        <v>57</v>
      </c>
      <c r="D582" s="20" t="s">
        <v>16</v>
      </c>
      <c r="E582" s="20" t="s">
        <v>232</v>
      </c>
      <c r="F582" s="20" t="s">
        <v>232</v>
      </c>
      <c r="G582" s="22" t="s">
        <v>234</v>
      </c>
      <c r="H582" s="23">
        <v>3000</v>
      </c>
      <c r="I582" s="22">
        <v>2500</v>
      </c>
    </row>
    <row r="583" spans="1:9" x14ac:dyDescent="0.3">
      <c r="A583">
        <v>2025</v>
      </c>
      <c r="B583" s="8">
        <v>31</v>
      </c>
      <c r="C583" s="20" t="s">
        <v>288</v>
      </c>
      <c r="D583" s="20" t="s">
        <v>22</v>
      </c>
      <c r="E583" s="20" t="s">
        <v>232</v>
      </c>
      <c r="F583" s="20" t="s">
        <v>232</v>
      </c>
      <c r="G583" s="22" t="s">
        <v>234</v>
      </c>
      <c r="H583" s="23">
        <v>3000</v>
      </c>
      <c r="I583" s="22">
        <v>2500</v>
      </c>
    </row>
    <row r="584" spans="1:9" x14ac:dyDescent="0.3">
      <c r="A584">
        <v>2025</v>
      </c>
      <c r="B584" s="8">
        <v>31</v>
      </c>
      <c r="C584" s="20" t="s">
        <v>35</v>
      </c>
      <c r="D584" s="20" t="s">
        <v>97</v>
      </c>
      <c r="E584" s="22" t="s">
        <v>232</v>
      </c>
      <c r="F584" s="20" t="s">
        <v>232</v>
      </c>
      <c r="G584" s="22" t="s">
        <v>234</v>
      </c>
      <c r="H584" s="23">
        <v>3022</v>
      </c>
      <c r="I584" s="22">
        <v>2500</v>
      </c>
    </row>
    <row r="585" spans="1:9" x14ac:dyDescent="0.3">
      <c r="A585">
        <v>2025</v>
      </c>
      <c r="B585" s="8">
        <v>31</v>
      </c>
      <c r="C585" s="20" t="s">
        <v>37</v>
      </c>
      <c r="D585" s="20" t="s">
        <v>246</v>
      </c>
      <c r="E585" s="22" t="s">
        <v>232</v>
      </c>
      <c r="F585" s="20" t="s">
        <v>291</v>
      </c>
      <c r="G585" s="22" t="s">
        <v>234</v>
      </c>
      <c r="H585" s="23">
        <v>2995.5399999999991</v>
      </c>
      <c r="I585" s="22">
        <v>2500</v>
      </c>
    </row>
    <row r="586" spans="1:9" x14ac:dyDescent="0.3">
      <c r="A586">
        <v>2025</v>
      </c>
      <c r="B586" s="8">
        <v>31</v>
      </c>
      <c r="C586" s="20" t="s">
        <v>361</v>
      </c>
      <c r="D586" s="20" t="s">
        <v>56</v>
      </c>
      <c r="E586" s="22" t="s">
        <v>241</v>
      </c>
      <c r="F586" s="20" t="s">
        <v>291</v>
      </c>
      <c r="G586" s="22" t="s">
        <v>234</v>
      </c>
      <c r="H586" s="23">
        <v>3000</v>
      </c>
      <c r="I586" s="22">
        <v>2500</v>
      </c>
    </row>
    <row r="587" spans="1:9" x14ac:dyDescent="0.3">
      <c r="A587">
        <v>2025</v>
      </c>
      <c r="B587" s="8">
        <v>31</v>
      </c>
      <c r="C587" s="20" t="s">
        <v>388</v>
      </c>
      <c r="D587" s="20" t="s">
        <v>69</v>
      </c>
      <c r="E587" s="22" t="s">
        <v>241</v>
      </c>
      <c r="F587" s="20" t="s">
        <v>291</v>
      </c>
      <c r="G587" s="22" t="s">
        <v>234</v>
      </c>
      <c r="H587" s="23">
        <v>-256</v>
      </c>
      <c r="I587" s="22">
        <v>2500</v>
      </c>
    </row>
    <row r="588" spans="1:9" x14ac:dyDescent="0.3">
      <c r="A588">
        <v>2025</v>
      </c>
      <c r="B588" s="8">
        <v>31</v>
      </c>
      <c r="C588" s="20" t="s">
        <v>331</v>
      </c>
      <c r="D588" s="20" t="s">
        <v>46</v>
      </c>
      <c r="E588" s="22" t="s">
        <v>232</v>
      </c>
      <c r="F588" s="20" t="s">
        <v>232</v>
      </c>
      <c r="G588" s="22" t="s">
        <v>234</v>
      </c>
      <c r="H588" s="23">
        <v>-505.94000000000051</v>
      </c>
      <c r="I588" s="22">
        <v>2500</v>
      </c>
    </row>
    <row r="589" spans="1:9" x14ac:dyDescent="0.3">
      <c r="A589">
        <v>2025</v>
      </c>
      <c r="B589" s="8">
        <v>31</v>
      </c>
      <c r="C589" s="20" t="s">
        <v>372</v>
      </c>
      <c r="D589" s="20" t="s">
        <v>4</v>
      </c>
      <c r="E589" s="22" t="s">
        <v>232</v>
      </c>
      <c r="F589" s="20" t="s">
        <v>232</v>
      </c>
      <c r="G589" s="22" t="s">
        <v>234</v>
      </c>
      <c r="H589" s="23">
        <v>-2478.5</v>
      </c>
      <c r="I589" s="22">
        <v>2500</v>
      </c>
    </row>
    <row r="590" spans="1:9" x14ac:dyDescent="0.3">
      <c r="A590">
        <v>2025</v>
      </c>
      <c r="B590" s="8">
        <v>31</v>
      </c>
      <c r="C590" s="20" t="s">
        <v>293</v>
      </c>
      <c r="D590" s="20" t="s">
        <v>34</v>
      </c>
      <c r="E590" s="22" t="s">
        <v>232</v>
      </c>
      <c r="F590" s="23" t="s">
        <v>232</v>
      </c>
      <c r="G590" s="22" t="s">
        <v>234</v>
      </c>
      <c r="H590" s="23">
        <v>-500</v>
      </c>
      <c r="I590" s="22">
        <v>2500</v>
      </c>
    </row>
    <row r="591" spans="1:9" x14ac:dyDescent="0.3">
      <c r="A591">
        <v>2025</v>
      </c>
      <c r="B591" s="8">
        <v>31</v>
      </c>
      <c r="C591" s="20" t="s">
        <v>45</v>
      </c>
      <c r="D591" s="20" t="s">
        <v>249</v>
      </c>
      <c r="E591" s="22" t="s">
        <v>232</v>
      </c>
      <c r="F591" s="20" t="s">
        <v>232</v>
      </c>
      <c r="G591" s="22" t="s">
        <v>234</v>
      </c>
      <c r="H591" s="23">
        <v>2300.42</v>
      </c>
      <c r="I591" s="22">
        <v>2500</v>
      </c>
    </row>
    <row r="592" spans="1:9" x14ac:dyDescent="0.3">
      <c r="A592">
        <v>2025</v>
      </c>
      <c r="B592" s="8">
        <v>31</v>
      </c>
      <c r="C592" s="20" t="s">
        <v>5</v>
      </c>
      <c r="D592" s="20" t="s">
        <v>28</v>
      </c>
      <c r="E592" s="22" t="s">
        <v>232</v>
      </c>
      <c r="F592" s="20" t="s">
        <v>232</v>
      </c>
      <c r="G592" s="22" t="s">
        <v>234</v>
      </c>
      <c r="H592" s="23">
        <v>2022.2600000000007</v>
      </c>
      <c r="I592" s="22">
        <v>2500</v>
      </c>
    </row>
    <row r="593" spans="1:9" x14ac:dyDescent="0.3">
      <c r="A593">
        <v>2025</v>
      </c>
      <c r="B593" s="8">
        <v>31</v>
      </c>
      <c r="C593" s="20" t="s">
        <v>362</v>
      </c>
      <c r="D593" s="20" t="s">
        <v>50</v>
      </c>
      <c r="E593" s="22" t="s">
        <v>232</v>
      </c>
      <c r="F593" s="20" t="s">
        <v>232</v>
      </c>
      <c r="G593" s="22" t="s">
        <v>234</v>
      </c>
      <c r="H593" s="23">
        <v>3509.34</v>
      </c>
      <c r="I593" s="22">
        <v>2500</v>
      </c>
    </row>
    <row r="594" spans="1:9" x14ac:dyDescent="0.3">
      <c r="A594">
        <v>2025</v>
      </c>
      <c r="B594" s="8">
        <v>31</v>
      </c>
      <c r="C594" s="20" t="s">
        <v>363</v>
      </c>
      <c r="D594" s="20" t="s">
        <v>8</v>
      </c>
      <c r="E594" s="22" t="s">
        <v>364</v>
      </c>
      <c r="F594" s="22" t="s">
        <v>364</v>
      </c>
      <c r="G594" s="22" t="s">
        <v>234</v>
      </c>
      <c r="H594" s="23">
        <v>-500</v>
      </c>
      <c r="I594" s="22">
        <v>2500</v>
      </c>
    </row>
    <row r="595" spans="1:9" x14ac:dyDescent="0.3">
      <c r="A595">
        <v>2025</v>
      </c>
      <c r="B595" s="8">
        <v>31</v>
      </c>
      <c r="C595" s="20" t="s">
        <v>74</v>
      </c>
      <c r="D595" s="20" t="s">
        <v>8</v>
      </c>
      <c r="E595" s="22" t="s">
        <v>364</v>
      </c>
      <c r="F595" s="22" t="s">
        <v>364</v>
      </c>
      <c r="G595" s="22" t="s">
        <v>234</v>
      </c>
      <c r="H595" s="23">
        <v>3000</v>
      </c>
      <c r="I595" s="22">
        <v>2500</v>
      </c>
    </row>
    <row r="596" spans="1:9" x14ac:dyDescent="0.3">
      <c r="A596">
        <v>2025</v>
      </c>
      <c r="B596" s="8">
        <v>31</v>
      </c>
      <c r="C596" s="20" t="s">
        <v>76</v>
      </c>
      <c r="D596" s="20" t="s">
        <v>104</v>
      </c>
      <c r="E596" s="20" t="s">
        <v>364</v>
      </c>
      <c r="F596" s="22" t="s">
        <v>364</v>
      </c>
      <c r="G596" s="22" t="s">
        <v>234</v>
      </c>
      <c r="H596" s="23">
        <v>4064.1800000000003</v>
      </c>
      <c r="I596" s="22">
        <v>2500</v>
      </c>
    </row>
    <row r="597" spans="1:9" x14ac:dyDescent="0.3">
      <c r="A597">
        <v>2025</v>
      </c>
      <c r="B597" s="8">
        <v>31</v>
      </c>
      <c r="C597" s="20" t="s">
        <v>98</v>
      </c>
      <c r="D597" s="20" t="s">
        <v>168</v>
      </c>
      <c r="E597" s="22" t="s">
        <v>232</v>
      </c>
      <c r="F597" s="20" t="s">
        <v>232</v>
      </c>
      <c r="G597" s="22" t="s">
        <v>234</v>
      </c>
      <c r="H597" s="23">
        <v>0</v>
      </c>
      <c r="I597" s="22">
        <v>2500</v>
      </c>
    </row>
    <row r="598" spans="1:9" x14ac:dyDescent="0.3">
      <c r="A598">
        <v>2025</v>
      </c>
      <c r="B598" s="8">
        <v>32</v>
      </c>
      <c r="C598" s="20" t="s">
        <v>80</v>
      </c>
      <c r="D598" s="20" t="s">
        <v>81</v>
      </c>
      <c r="E598" s="22" t="s">
        <v>232</v>
      </c>
      <c r="F598" s="20" t="s">
        <v>232</v>
      </c>
      <c r="G598" s="22" t="s">
        <v>234</v>
      </c>
      <c r="H598" s="23">
        <v>3000.6800000000003</v>
      </c>
      <c r="I598" s="22">
        <v>2500</v>
      </c>
    </row>
    <row r="599" spans="1:9" x14ac:dyDescent="0.3">
      <c r="A599">
        <v>2025</v>
      </c>
      <c r="B599" s="8">
        <v>32</v>
      </c>
      <c r="C599" s="20" t="s">
        <v>111</v>
      </c>
      <c r="D599" s="20" t="s">
        <v>63</v>
      </c>
      <c r="E599" s="20" t="s">
        <v>291</v>
      </c>
      <c r="F599" s="20" t="s">
        <v>291</v>
      </c>
      <c r="G599" s="22" t="s">
        <v>234</v>
      </c>
      <c r="H599" s="23">
        <v>1602.5599999999995</v>
      </c>
      <c r="I599" s="22">
        <v>2500</v>
      </c>
    </row>
    <row r="600" spans="1:9" x14ac:dyDescent="0.3">
      <c r="A600">
        <v>2025</v>
      </c>
      <c r="B600" s="8">
        <v>32</v>
      </c>
      <c r="C600" s="20" t="s">
        <v>19</v>
      </c>
      <c r="D600" s="20" t="s">
        <v>54</v>
      </c>
      <c r="E600" s="22" t="s">
        <v>232</v>
      </c>
      <c r="F600" s="20" t="s">
        <v>232</v>
      </c>
      <c r="G600" s="22" t="s">
        <v>234</v>
      </c>
      <c r="H600" s="23">
        <v>3000</v>
      </c>
      <c r="I600" s="22">
        <v>2500</v>
      </c>
    </row>
    <row r="601" spans="1:9" x14ac:dyDescent="0.3">
      <c r="A601">
        <v>2025</v>
      </c>
      <c r="B601" s="8">
        <v>32</v>
      </c>
      <c r="C601" s="20" t="s">
        <v>396</v>
      </c>
      <c r="D601" s="20" t="s">
        <v>75</v>
      </c>
      <c r="E601" s="22" t="s">
        <v>241</v>
      </c>
      <c r="F601" s="20" t="s">
        <v>291</v>
      </c>
      <c r="G601" s="22" t="s">
        <v>234</v>
      </c>
      <c r="H601" s="23">
        <v>643</v>
      </c>
      <c r="I601" s="22">
        <v>2500</v>
      </c>
    </row>
    <row r="602" spans="1:9" x14ac:dyDescent="0.3">
      <c r="A602">
        <v>2025</v>
      </c>
      <c r="B602" s="8">
        <v>32</v>
      </c>
      <c r="C602" s="20" t="s">
        <v>23</v>
      </c>
      <c r="D602" s="20" t="s">
        <v>106</v>
      </c>
      <c r="E602" s="22" t="s">
        <v>232</v>
      </c>
      <c r="F602" s="20" t="s">
        <v>232</v>
      </c>
      <c r="G602" s="22" t="s">
        <v>234</v>
      </c>
      <c r="H602" s="23">
        <v>2500</v>
      </c>
      <c r="I602" s="22">
        <v>2500</v>
      </c>
    </row>
    <row r="603" spans="1:9" x14ac:dyDescent="0.3">
      <c r="A603">
        <v>2025</v>
      </c>
      <c r="B603" s="8">
        <v>32</v>
      </c>
      <c r="C603" s="20" t="s">
        <v>25</v>
      </c>
      <c r="D603" s="20" t="s">
        <v>10</v>
      </c>
      <c r="E603" s="22" t="s">
        <v>232</v>
      </c>
      <c r="F603" s="20" t="s">
        <v>232</v>
      </c>
      <c r="G603" s="22" t="s">
        <v>234</v>
      </c>
      <c r="H603" s="23">
        <v>1989.0800000000004</v>
      </c>
      <c r="I603" s="22">
        <v>2500</v>
      </c>
    </row>
    <row r="604" spans="1:9" x14ac:dyDescent="0.3">
      <c r="A604">
        <v>2025</v>
      </c>
      <c r="B604" s="8">
        <v>32</v>
      </c>
      <c r="C604" s="20" t="s">
        <v>359</v>
      </c>
      <c r="D604" s="20" t="s">
        <v>34</v>
      </c>
      <c r="E604" s="22" t="s">
        <v>232</v>
      </c>
      <c r="F604" s="20" t="s">
        <v>232</v>
      </c>
      <c r="G604" s="22" t="s">
        <v>234</v>
      </c>
      <c r="H604" s="23">
        <v>2999.1399999999994</v>
      </c>
      <c r="I604" s="22">
        <v>2500</v>
      </c>
    </row>
    <row r="605" spans="1:9" x14ac:dyDescent="0.3">
      <c r="A605">
        <v>2025</v>
      </c>
      <c r="B605" s="8">
        <v>32</v>
      </c>
      <c r="C605" s="20" t="s">
        <v>72</v>
      </c>
      <c r="D605" s="20" t="s">
        <v>73</v>
      </c>
      <c r="E605" s="22" t="s">
        <v>241</v>
      </c>
      <c r="F605" s="20" t="s">
        <v>291</v>
      </c>
      <c r="G605" s="22" t="s">
        <v>234</v>
      </c>
      <c r="H605" s="23">
        <v>2917</v>
      </c>
      <c r="I605" s="22">
        <v>2500</v>
      </c>
    </row>
    <row r="606" spans="1:9" x14ac:dyDescent="0.3">
      <c r="A606">
        <v>2025</v>
      </c>
      <c r="B606" s="8">
        <v>32</v>
      </c>
      <c r="C606" s="20" t="s">
        <v>292</v>
      </c>
      <c r="D606" s="20" t="s">
        <v>52</v>
      </c>
      <c r="E606" s="22" t="s">
        <v>232</v>
      </c>
      <c r="F606" s="20" t="s">
        <v>232</v>
      </c>
      <c r="G606" s="22" t="s">
        <v>234</v>
      </c>
      <c r="H606" s="23">
        <v>3500</v>
      </c>
      <c r="I606" s="22">
        <v>2500</v>
      </c>
    </row>
    <row r="607" spans="1:9" x14ac:dyDescent="0.3">
      <c r="A607">
        <v>2025</v>
      </c>
      <c r="B607" s="8">
        <v>32</v>
      </c>
      <c r="C607" s="20" t="s">
        <v>375</v>
      </c>
      <c r="D607" s="20" t="s">
        <v>40</v>
      </c>
      <c r="E607" s="22" t="s">
        <v>232</v>
      </c>
      <c r="F607" s="20" t="s">
        <v>232</v>
      </c>
      <c r="G607" s="22" t="s">
        <v>234</v>
      </c>
      <c r="H607" s="23">
        <v>3000</v>
      </c>
      <c r="I607" s="22">
        <v>2500</v>
      </c>
    </row>
    <row r="608" spans="1:9" x14ac:dyDescent="0.3">
      <c r="A608">
        <v>2025</v>
      </c>
      <c r="B608" s="8">
        <v>32</v>
      </c>
      <c r="C608" s="20" t="s">
        <v>57</v>
      </c>
      <c r="D608" s="20" t="s">
        <v>16</v>
      </c>
      <c r="E608" s="20" t="s">
        <v>232</v>
      </c>
      <c r="F608" s="20" t="s">
        <v>232</v>
      </c>
      <c r="G608" s="22" t="s">
        <v>234</v>
      </c>
      <c r="H608" s="23">
        <v>3000</v>
      </c>
      <c r="I608" s="22">
        <v>2500</v>
      </c>
    </row>
    <row r="609" spans="1:9" x14ac:dyDescent="0.3">
      <c r="A609">
        <v>2025</v>
      </c>
      <c r="B609" s="8">
        <v>32</v>
      </c>
      <c r="C609" s="20" t="s">
        <v>288</v>
      </c>
      <c r="D609" s="20" t="s">
        <v>22</v>
      </c>
      <c r="E609" s="20" t="s">
        <v>232</v>
      </c>
      <c r="F609" s="20" t="s">
        <v>232</v>
      </c>
      <c r="G609" s="22" t="s">
        <v>234</v>
      </c>
      <c r="H609" s="23">
        <v>3000</v>
      </c>
      <c r="I609" s="22">
        <v>2500</v>
      </c>
    </row>
    <row r="610" spans="1:9" x14ac:dyDescent="0.3">
      <c r="A610">
        <v>2025</v>
      </c>
      <c r="B610" s="8">
        <v>32</v>
      </c>
      <c r="C610" s="20" t="s">
        <v>35</v>
      </c>
      <c r="D610" s="20" t="s">
        <v>97</v>
      </c>
      <c r="E610" s="22" t="s">
        <v>232</v>
      </c>
      <c r="F610" s="20" t="s">
        <v>232</v>
      </c>
      <c r="G610" s="22" t="s">
        <v>234</v>
      </c>
      <c r="H610" s="23">
        <v>2993</v>
      </c>
      <c r="I610" s="22">
        <v>2500</v>
      </c>
    </row>
    <row r="611" spans="1:9" x14ac:dyDescent="0.3">
      <c r="A611">
        <v>2025</v>
      </c>
      <c r="B611" s="8">
        <v>32</v>
      </c>
      <c r="C611" s="20" t="s">
        <v>37</v>
      </c>
      <c r="D611" s="20" t="s">
        <v>246</v>
      </c>
      <c r="E611" s="22" t="s">
        <v>232</v>
      </c>
      <c r="F611" s="20" t="s">
        <v>291</v>
      </c>
      <c r="G611" s="22" t="s">
        <v>234</v>
      </c>
      <c r="H611" s="23">
        <v>3018.7800000000007</v>
      </c>
      <c r="I611" s="22">
        <v>2500</v>
      </c>
    </row>
    <row r="612" spans="1:9" x14ac:dyDescent="0.3">
      <c r="A612">
        <v>2025</v>
      </c>
      <c r="B612" s="8">
        <v>32</v>
      </c>
      <c r="C612" s="20" t="s">
        <v>361</v>
      </c>
      <c r="D612" s="20" t="s">
        <v>56</v>
      </c>
      <c r="E612" s="22" t="s">
        <v>241</v>
      </c>
      <c r="F612" s="20" t="s">
        <v>291</v>
      </c>
      <c r="G612" s="22" t="s">
        <v>234</v>
      </c>
      <c r="H612" s="23">
        <v>2500</v>
      </c>
      <c r="I612" s="22">
        <v>2500</v>
      </c>
    </row>
    <row r="613" spans="1:9" x14ac:dyDescent="0.3">
      <c r="A613">
        <v>2025</v>
      </c>
      <c r="B613" s="8">
        <v>32</v>
      </c>
      <c r="C613" s="20" t="s">
        <v>388</v>
      </c>
      <c r="D613" s="20" t="s">
        <v>69</v>
      </c>
      <c r="E613" s="22" t="s">
        <v>241</v>
      </c>
      <c r="F613" s="20" t="s">
        <v>291</v>
      </c>
      <c r="G613" s="22" t="s">
        <v>234</v>
      </c>
      <c r="H613" s="23">
        <v>1245.1599999999999</v>
      </c>
      <c r="I613" s="22">
        <v>2500</v>
      </c>
    </row>
    <row r="614" spans="1:9" x14ac:dyDescent="0.3">
      <c r="A614">
        <v>2025</v>
      </c>
      <c r="B614" s="8">
        <v>32</v>
      </c>
      <c r="C614" s="20" t="s">
        <v>331</v>
      </c>
      <c r="D614" s="20" t="s">
        <v>46</v>
      </c>
      <c r="E614" s="22" t="s">
        <v>232</v>
      </c>
      <c r="F614" s="20" t="s">
        <v>232</v>
      </c>
      <c r="G614" s="22" t="s">
        <v>234</v>
      </c>
      <c r="H614" s="23">
        <v>-201.42000000000007</v>
      </c>
      <c r="I614" s="22">
        <v>2500</v>
      </c>
    </row>
    <row r="615" spans="1:9" x14ac:dyDescent="0.3">
      <c r="A615">
        <v>2025</v>
      </c>
      <c r="B615" s="8">
        <v>32</v>
      </c>
      <c r="C615" s="20" t="s">
        <v>372</v>
      </c>
      <c r="D615" s="20" t="s">
        <v>4</v>
      </c>
      <c r="E615" s="22" t="s">
        <v>232</v>
      </c>
      <c r="F615" s="20" t="s">
        <v>232</v>
      </c>
      <c r="G615" s="22" t="s">
        <v>234</v>
      </c>
      <c r="H615" s="23">
        <v>-2431</v>
      </c>
      <c r="I615" s="22">
        <v>2500</v>
      </c>
    </row>
    <row r="616" spans="1:9" x14ac:dyDescent="0.3">
      <c r="A616">
        <v>2025</v>
      </c>
      <c r="B616" s="8">
        <v>32</v>
      </c>
      <c r="C616" s="20" t="s">
        <v>293</v>
      </c>
      <c r="D616" s="20" t="s">
        <v>34</v>
      </c>
      <c r="E616" s="22" t="s">
        <v>232</v>
      </c>
      <c r="F616" s="23" t="s">
        <v>232</v>
      </c>
      <c r="G616" s="22" t="s">
        <v>234</v>
      </c>
      <c r="H616" s="23">
        <v>-500</v>
      </c>
      <c r="I616" s="22">
        <v>2500</v>
      </c>
    </row>
    <row r="617" spans="1:9" x14ac:dyDescent="0.3">
      <c r="A617">
        <v>2025</v>
      </c>
      <c r="B617" s="8">
        <v>32</v>
      </c>
      <c r="C617" s="20" t="s">
        <v>45</v>
      </c>
      <c r="D617" s="20" t="s">
        <v>249</v>
      </c>
      <c r="E617" s="22" t="s">
        <v>232</v>
      </c>
      <c r="F617" s="20" t="s">
        <v>232</v>
      </c>
      <c r="G617" s="22" t="s">
        <v>234</v>
      </c>
      <c r="H617" s="23">
        <v>2300.8000000000002</v>
      </c>
      <c r="I617" s="22">
        <v>2500</v>
      </c>
    </row>
    <row r="618" spans="1:9" x14ac:dyDescent="0.3">
      <c r="A618">
        <v>2025</v>
      </c>
      <c r="B618" s="8">
        <v>32</v>
      </c>
      <c r="C618" s="20" t="s">
        <v>5</v>
      </c>
      <c r="D618" s="20" t="s">
        <v>28</v>
      </c>
      <c r="E618" s="22" t="s">
        <v>232</v>
      </c>
      <c r="F618" s="20" t="s">
        <v>232</v>
      </c>
      <c r="G618" s="22" t="s">
        <v>234</v>
      </c>
      <c r="H618" s="23">
        <v>3078.24</v>
      </c>
      <c r="I618" s="22">
        <v>2500</v>
      </c>
    </row>
    <row r="619" spans="1:9" x14ac:dyDescent="0.3">
      <c r="A619">
        <v>2025</v>
      </c>
      <c r="B619" s="8">
        <v>32</v>
      </c>
      <c r="C619" s="20" t="s">
        <v>362</v>
      </c>
      <c r="D619" s="20" t="s">
        <v>50</v>
      </c>
      <c r="E619" s="22" t="s">
        <v>232</v>
      </c>
      <c r="F619" s="20" t="s">
        <v>232</v>
      </c>
      <c r="G619" s="22" t="s">
        <v>234</v>
      </c>
      <c r="H619" s="23">
        <v>3027.2599999999993</v>
      </c>
      <c r="I619" s="22">
        <v>2500</v>
      </c>
    </row>
    <row r="620" spans="1:9" x14ac:dyDescent="0.3">
      <c r="A620">
        <v>2025</v>
      </c>
      <c r="B620" s="8">
        <v>32</v>
      </c>
      <c r="C620" s="20" t="s">
        <v>363</v>
      </c>
      <c r="D620" s="20" t="s">
        <v>8</v>
      </c>
      <c r="E620" s="22" t="s">
        <v>364</v>
      </c>
      <c r="F620" s="22" t="s">
        <v>364</v>
      </c>
      <c r="G620" s="22" t="s">
        <v>234</v>
      </c>
      <c r="H620" s="23">
        <v>-500</v>
      </c>
      <c r="I620" s="22">
        <v>2500</v>
      </c>
    </row>
    <row r="621" spans="1:9" x14ac:dyDescent="0.3">
      <c r="A621">
        <v>2025</v>
      </c>
      <c r="B621" s="8">
        <v>32</v>
      </c>
      <c r="C621" s="20" t="s">
        <v>74</v>
      </c>
      <c r="D621" s="20" t="s">
        <v>104</v>
      </c>
      <c r="E621" s="20" t="s">
        <v>364</v>
      </c>
      <c r="F621" s="22" t="s">
        <v>364</v>
      </c>
      <c r="G621" s="22" t="s">
        <v>234</v>
      </c>
      <c r="H621" s="23">
        <v>3000</v>
      </c>
      <c r="I621" s="22">
        <v>2500</v>
      </c>
    </row>
    <row r="622" spans="1:9" x14ac:dyDescent="0.3">
      <c r="A622">
        <v>2025</v>
      </c>
      <c r="B622" s="8">
        <v>32</v>
      </c>
      <c r="C622" s="20" t="s">
        <v>76</v>
      </c>
      <c r="D622" s="20" t="s">
        <v>8</v>
      </c>
      <c r="E622" s="20" t="s">
        <v>364</v>
      </c>
      <c r="F622" s="22" t="s">
        <v>364</v>
      </c>
      <c r="G622" s="22" t="s">
        <v>234</v>
      </c>
      <c r="H622" s="23">
        <v>3000.6800000000003</v>
      </c>
      <c r="I622" s="22">
        <v>2500</v>
      </c>
    </row>
    <row r="623" spans="1:9" x14ac:dyDescent="0.3">
      <c r="A623">
        <v>2025</v>
      </c>
      <c r="B623" s="8">
        <v>33</v>
      </c>
      <c r="C623" s="20" t="s">
        <v>80</v>
      </c>
      <c r="D623" s="20" t="s">
        <v>81</v>
      </c>
      <c r="E623" s="22" t="s">
        <v>232</v>
      </c>
      <c r="F623" s="20" t="s">
        <v>232</v>
      </c>
      <c r="G623" s="22" t="s">
        <v>234</v>
      </c>
      <c r="H623" s="23">
        <v>3000.5</v>
      </c>
      <c r="I623" s="22">
        <v>2500</v>
      </c>
    </row>
    <row r="624" spans="1:9" x14ac:dyDescent="0.3">
      <c r="A624">
        <v>2025</v>
      </c>
      <c r="B624" s="8">
        <v>33</v>
      </c>
      <c r="C624" s="20" t="s">
        <v>13</v>
      </c>
      <c r="D624" s="20" t="s">
        <v>40</v>
      </c>
      <c r="E624" s="20" t="s">
        <v>232</v>
      </c>
      <c r="F624" s="20" t="s">
        <v>232</v>
      </c>
      <c r="G624" s="22" t="s">
        <v>234</v>
      </c>
      <c r="H624" s="23">
        <v>1500</v>
      </c>
      <c r="I624" s="22">
        <v>2500</v>
      </c>
    </row>
    <row r="625" spans="1:9" x14ac:dyDescent="0.3">
      <c r="A625">
        <v>2025</v>
      </c>
      <c r="B625" s="8">
        <v>33</v>
      </c>
      <c r="C625" s="20" t="s">
        <v>111</v>
      </c>
      <c r="D625" s="20" t="s">
        <v>63</v>
      </c>
      <c r="E625" s="20" t="s">
        <v>291</v>
      </c>
      <c r="F625" s="20" t="s">
        <v>291</v>
      </c>
      <c r="G625" s="22" t="s">
        <v>234</v>
      </c>
      <c r="H625" s="23">
        <v>4275.68</v>
      </c>
      <c r="I625" s="22">
        <v>2500</v>
      </c>
    </row>
    <row r="626" spans="1:9" x14ac:dyDescent="0.3">
      <c r="A626">
        <v>2025</v>
      </c>
      <c r="B626" s="8">
        <v>33</v>
      </c>
      <c r="C626" s="20" t="s">
        <v>19</v>
      </c>
      <c r="D626" s="20" t="s">
        <v>20</v>
      </c>
      <c r="E626" s="22" t="s">
        <v>232</v>
      </c>
      <c r="F626" s="20" t="s">
        <v>232</v>
      </c>
      <c r="G626" s="22" t="s">
        <v>234</v>
      </c>
      <c r="H626" s="23">
        <v>1928.56</v>
      </c>
      <c r="I626" s="22">
        <v>2500</v>
      </c>
    </row>
    <row r="627" spans="1:9" x14ac:dyDescent="0.3">
      <c r="A627">
        <v>2025</v>
      </c>
      <c r="B627" s="8">
        <v>33</v>
      </c>
      <c r="C627" s="20" t="s">
        <v>396</v>
      </c>
      <c r="D627" s="20" t="s">
        <v>75</v>
      </c>
      <c r="E627" s="22" t="s">
        <v>241</v>
      </c>
      <c r="F627" s="20" t="s">
        <v>291</v>
      </c>
      <c r="G627" s="22" t="s">
        <v>234</v>
      </c>
      <c r="H627" s="23">
        <v>2999.76</v>
      </c>
      <c r="I627" s="22">
        <v>2500</v>
      </c>
    </row>
    <row r="628" spans="1:9" x14ac:dyDescent="0.3">
      <c r="A628">
        <v>2025</v>
      </c>
      <c r="B628" s="8">
        <v>33</v>
      </c>
      <c r="C628" s="20" t="s">
        <v>23</v>
      </c>
      <c r="D628" s="20" t="s">
        <v>106</v>
      </c>
      <c r="E628" s="22" t="s">
        <v>232</v>
      </c>
      <c r="F628" s="20" t="s">
        <v>232</v>
      </c>
      <c r="G628" s="22" t="s">
        <v>234</v>
      </c>
      <c r="H628" s="23">
        <v>2500</v>
      </c>
      <c r="I628" s="22">
        <v>2500</v>
      </c>
    </row>
    <row r="629" spans="1:9" x14ac:dyDescent="0.3">
      <c r="A629">
        <v>2025</v>
      </c>
      <c r="B629" s="8">
        <v>33</v>
      </c>
      <c r="C629" s="20" t="s">
        <v>25</v>
      </c>
      <c r="D629" s="20" t="s">
        <v>10</v>
      </c>
      <c r="E629" s="22" t="s">
        <v>232</v>
      </c>
      <c r="F629" s="20" t="s">
        <v>232</v>
      </c>
      <c r="G629" s="22" t="s">
        <v>234</v>
      </c>
      <c r="H629" s="23">
        <v>3695.8199999999997</v>
      </c>
      <c r="I629" s="22">
        <v>2500</v>
      </c>
    </row>
    <row r="630" spans="1:9" x14ac:dyDescent="0.3">
      <c r="A630">
        <v>2025</v>
      </c>
      <c r="B630" s="8">
        <v>33</v>
      </c>
      <c r="C630" s="20" t="s">
        <v>359</v>
      </c>
      <c r="D630" s="20" t="s">
        <v>34</v>
      </c>
      <c r="E630" s="22" t="s">
        <v>232</v>
      </c>
      <c r="F630" s="20" t="s">
        <v>232</v>
      </c>
      <c r="G630" s="22" t="s">
        <v>234</v>
      </c>
      <c r="H630" s="23">
        <v>-400</v>
      </c>
      <c r="I630" s="22">
        <v>2500</v>
      </c>
    </row>
    <row r="631" spans="1:9" x14ac:dyDescent="0.3">
      <c r="A631">
        <v>2025</v>
      </c>
      <c r="B631" s="8">
        <v>33</v>
      </c>
      <c r="C631" s="20" t="s">
        <v>72</v>
      </c>
      <c r="D631" s="20" t="s">
        <v>73</v>
      </c>
      <c r="E631" s="22" t="s">
        <v>241</v>
      </c>
      <c r="F631" s="20" t="s">
        <v>291</v>
      </c>
      <c r="G631" s="22" t="s">
        <v>234</v>
      </c>
      <c r="H631" s="23">
        <v>2500</v>
      </c>
      <c r="I631" s="22">
        <v>2500</v>
      </c>
    </row>
    <row r="632" spans="1:9" x14ac:dyDescent="0.3">
      <c r="A632">
        <v>2025</v>
      </c>
      <c r="B632" s="8">
        <v>33</v>
      </c>
      <c r="C632" s="20" t="s">
        <v>292</v>
      </c>
      <c r="D632" s="20" t="s">
        <v>52</v>
      </c>
      <c r="E632" s="22" t="s">
        <v>232</v>
      </c>
      <c r="F632" s="20" t="s">
        <v>232</v>
      </c>
      <c r="G632" s="22" t="s">
        <v>234</v>
      </c>
      <c r="H632" s="23">
        <v>3500</v>
      </c>
      <c r="I632" s="22">
        <v>2500</v>
      </c>
    </row>
    <row r="633" spans="1:9" x14ac:dyDescent="0.3">
      <c r="A633">
        <v>2025</v>
      </c>
      <c r="B633" s="8">
        <v>33</v>
      </c>
      <c r="C633" s="20" t="s">
        <v>57</v>
      </c>
      <c r="D633" s="20" t="s">
        <v>16</v>
      </c>
      <c r="E633" s="20" t="s">
        <v>232</v>
      </c>
      <c r="F633" s="20" t="s">
        <v>232</v>
      </c>
      <c r="G633" s="22" t="s">
        <v>234</v>
      </c>
      <c r="H633" s="23">
        <v>3000</v>
      </c>
      <c r="I633" s="22">
        <v>2500</v>
      </c>
    </row>
    <row r="634" spans="1:9" x14ac:dyDescent="0.3">
      <c r="A634">
        <v>2025</v>
      </c>
      <c r="B634" s="8">
        <v>33</v>
      </c>
      <c r="C634" s="20" t="s">
        <v>288</v>
      </c>
      <c r="D634" s="20" t="s">
        <v>22</v>
      </c>
      <c r="E634" s="20" t="s">
        <v>232</v>
      </c>
      <c r="F634" s="20" t="s">
        <v>232</v>
      </c>
      <c r="G634" s="22" t="s">
        <v>234</v>
      </c>
      <c r="H634" s="23">
        <v>2500</v>
      </c>
      <c r="I634" s="22">
        <v>2500</v>
      </c>
    </row>
    <row r="635" spans="1:9" x14ac:dyDescent="0.3">
      <c r="A635">
        <v>2025</v>
      </c>
      <c r="B635" s="8">
        <v>33</v>
      </c>
      <c r="C635" s="20" t="s">
        <v>35</v>
      </c>
      <c r="D635" s="20" t="s">
        <v>97</v>
      </c>
      <c r="E635" s="22" t="s">
        <v>232</v>
      </c>
      <c r="F635" s="20" t="s">
        <v>232</v>
      </c>
      <c r="G635" s="22" t="s">
        <v>234</v>
      </c>
      <c r="H635" s="23">
        <v>3038</v>
      </c>
      <c r="I635" s="22">
        <v>2500</v>
      </c>
    </row>
    <row r="636" spans="1:9" x14ac:dyDescent="0.3">
      <c r="A636">
        <v>2025</v>
      </c>
      <c r="B636" s="8">
        <v>33</v>
      </c>
      <c r="C636" s="20" t="s">
        <v>37</v>
      </c>
      <c r="D636" s="20" t="s">
        <v>246</v>
      </c>
      <c r="E636" s="22" t="s">
        <v>232</v>
      </c>
      <c r="F636" s="20" t="s">
        <v>291</v>
      </c>
      <c r="G636" s="22" t="s">
        <v>234</v>
      </c>
      <c r="H636" s="23">
        <v>2913.1400000000003</v>
      </c>
      <c r="I636" s="22">
        <v>2500</v>
      </c>
    </row>
    <row r="637" spans="1:9" x14ac:dyDescent="0.3">
      <c r="A637">
        <v>2025</v>
      </c>
      <c r="B637" s="8">
        <v>33</v>
      </c>
      <c r="C637" s="20" t="s">
        <v>361</v>
      </c>
      <c r="D637" s="20" t="s">
        <v>56</v>
      </c>
      <c r="E637" s="22" t="s">
        <v>241</v>
      </c>
      <c r="F637" s="20" t="s">
        <v>291</v>
      </c>
      <c r="G637" s="22" t="s">
        <v>234</v>
      </c>
      <c r="H637" s="23">
        <v>2500</v>
      </c>
      <c r="I637" s="22">
        <v>2500</v>
      </c>
    </row>
    <row r="638" spans="1:9" x14ac:dyDescent="0.3">
      <c r="A638">
        <v>2025</v>
      </c>
      <c r="B638" s="8">
        <v>33</v>
      </c>
      <c r="C638" s="20" t="s">
        <v>388</v>
      </c>
      <c r="D638" s="20" t="s">
        <v>69</v>
      </c>
      <c r="E638" s="22" t="s">
        <v>241</v>
      </c>
      <c r="F638" s="20" t="s">
        <v>291</v>
      </c>
      <c r="G638" s="22" t="s">
        <v>234</v>
      </c>
      <c r="H638" s="23">
        <v>3245.8</v>
      </c>
      <c r="I638" s="22">
        <v>2500</v>
      </c>
    </row>
    <row r="639" spans="1:9" x14ac:dyDescent="0.3">
      <c r="A639">
        <v>2025</v>
      </c>
      <c r="B639" s="8">
        <v>33</v>
      </c>
      <c r="C639" s="20" t="s">
        <v>293</v>
      </c>
      <c r="D639" s="20" t="s">
        <v>34</v>
      </c>
      <c r="E639" s="22" t="s">
        <v>232</v>
      </c>
      <c r="F639" s="23" t="s">
        <v>232</v>
      </c>
      <c r="G639" s="22" t="s">
        <v>234</v>
      </c>
      <c r="H639" s="23">
        <v>-500</v>
      </c>
      <c r="I639" s="22">
        <v>2500</v>
      </c>
    </row>
    <row r="640" spans="1:9" x14ac:dyDescent="0.3">
      <c r="A640">
        <v>2025</v>
      </c>
      <c r="B640" s="8">
        <v>33</v>
      </c>
      <c r="C640" s="20" t="s">
        <v>45</v>
      </c>
      <c r="D640" s="20" t="s">
        <v>46</v>
      </c>
      <c r="E640" s="22" t="s">
        <v>232</v>
      </c>
      <c r="F640" s="20" t="s">
        <v>232</v>
      </c>
      <c r="G640" s="22" t="s">
        <v>234</v>
      </c>
      <c r="H640" s="23">
        <v>2500</v>
      </c>
      <c r="I640" s="22">
        <v>2500</v>
      </c>
    </row>
    <row r="641" spans="1:9" x14ac:dyDescent="0.3">
      <c r="A641">
        <v>2025</v>
      </c>
      <c r="B641" s="8">
        <v>33</v>
      </c>
      <c r="C641" s="20" t="s">
        <v>5</v>
      </c>
      <c r="D641" s="20" t="s">
        <v>28</v>
      </c>
      <c r="E641" s="22" t="s">
        <v>232</v>
      </c>
      <c r="F641" s="20" t="s">
        <v>232</v>
      </c>
      <c r="G641" s="22" t="s">
        <v>234</v>
      </c>
      <c r="H641" s="23">
        <v>2461.7399999999998</v>
      </c>
      <c r="I641" s="22">
        <v>2500</v>
      </c>
    </row>
    <row r="642" spans="1:9" x14ac:dyDescent="0.3">
      <c r="A642">
        <v>2025</v>
      </c>
      <c r="B642" s="8">
        <v>33</v>
      </c>
      <c r="C642" s="20" t="s">
        <v>362</v>
      </c>
      <c r="D642" s="20" t="s">
        <v>50</v>
      </c>
      <c r="E642" s="22" t="s">
        <v>232</v>
      </c>
      <c r="F642" s="20" t="s">
        <v>232</v>
      </c>
      <c r="G642" s="22" t="s">
        <v>234</v>
      </c>
      <c r="H642" s="23">
        <v>1983.8600000000006</v>
      </c>
      <c r="I642" s="22">
        <v>2500</v>
      </c>
    </row>
    <row r="643" spans="1:9" x14ac:dyDescent="0.3">
      <c r="A643">
        <v>2025</v>
      </c>
      <c r="B643" s="8">
        <v>33</v>
      </c>
      <c r="C643" s="20" t="s">
        <v>363</v>
      </c>
      <c r="D643" s="20" t="s">
        <v>8</v>
      </c>
      <c r="E643" s="22" t="s">
        <v>364</v>
      </c>
      <c r="F643" s="22" t="s">
        <v>364</v>
      </c>
      <c r="G643" s="22" t="s">
        <v>234</v>
      </c>
      <c r="H643" s="23">
        <v>-321</v>
      </c>
      <c r="I643" s="22">
        <v>2500</v>
      </c>
    </row>
    <row r="644" spans="1:9" x14ac:dyDescent="0.3">
      <c r="A644">
        <v>2025</v>
      </c>
      <c r="B644" s="8">
        <v>33</v>
      </c>
      <c r="C644" s="20" t="s">
        <v>74</v>
      </c>
      <c r="D644" s="20" t="s">
        <v>104</v>
      </c>
      <c r="E644" s="20" t="s">
        <v>364</v>
      </c>
      <c r="F644" s="22" t="s">
        <v>364</v>
      </c>
      <c r="G644" s="22" t="s">
        <v>234</v>
      </c>
      <c r="H644" s="23">
        <v>3000</v>
      </c>
      <c r="I644" s="22">
        <v>2500</v>
      </c>
    </row>
    <row r="645" spans="1:9" x14ac:dyDescent="0.3">
      <c r="A645">
        <v>2025</v>
      </c>
      <c r="B645" s="8">
        <v>33</v>
      </c>
      <c r="C645" s="20" t="s">
        <v>76</v>
      </c>
      <c r="D645" s="20" t="s">
        <v>8</v>
      </c>
      <c r="E645" s="20" t="s">
        <v>364</v>
      </c>
      <c r="F645" s="22" t="s">
        <v>364</v>
      </c>
      <c r="G645" s="22" t="s">
        <v>234</v>
      </c>
      <c r="H645" s="23">
        <v>1290</v>
      </c>
      <c r="I645" s="22">
        <v>2500</v>
      </c>
    </row>
    <row r="646" spans="1:9" x14ac:dyDescent="0.3">
      <c r="A646">
        <v>2025</v>
      </c>
      <c r="B646" s="8">
        <v>33</v>
      </c>
      <c r="C646" s="20" t="s">
        <v>98</v>
      </c>
      <c r="D646" s="20" t="s">
        <v>249</v>
      </c>
      <c r="E646" s="22" t="s">
        <v>232</v>
      </c>
      <c r="F646" s="20" t="s">
        <v>232</v>
      </c>
      <c r="G646" s="22" t="s">
        <v>234</v>
      </c>
      <c r="H646" s="23">
        <v>1571.42</v>
      </c>
      <c r="I646" s="22">
        <v>2500</v>
      </c>
    </row>
    <row r="647" spans="1:9" x14ac:dyDescent="0.3">
      <c r="A647">
        <v>2025</v>
      </c>
      <c r="B647" s="8">
        <v>34</v>
      </c>
      <c r="C647" s="20" t="s">
        <v>80</v>
      </c>
      <c r="D647" s="20" t="s">
        <v>81</v>
      </c>
      <c r="E647" s="22" t="s">
        <v>232</v>
      </c>
      <c r="F647" s="20" t="s">
        <v>232</v>
      </c>
      <c r="G647" s="22" t="s">
        <v>234</v>
      </c>
      <c r="H647" s="23">
        <v>3000</v>
      </c>
      <c r="I647" s="22">
        <v>2500</v>
      </c>
    </row>
    <row r="648" spans="1:9" x14ac:dyDescent="0.3">
      <c r="A648">
        <v>2025</v>
      </c>
      <c r="B648" s="8">
        <v>34</v>
      </c>
      <c r="C648" s="20" t="s">
        <v>13</v>
      </c>
      <c r="D648" s="20" t="s">
        <v>40</v>
      </c>
      <c r="E648" s="20" t="s">
        <v>232</v>
      </c>
      <c r="F648" s="20" t="s">
        <v>232</v>
      </c>
      <c r="G648" s="22" t="s">
        <v>234</v>
      </c>
      <c r="H648" s="23">
        <v>3000</v>
      </c>
      <c r="I648" s="22">
        <v>2500</v>
      </c>
    </row>
    <row r="649" spans="1:9" x14ac:dyDescent="0.3">
      <c r="A649">
        <v>2025</v>
      </c>
      <c r="B649" s="8">
        <v>34</v>
      </c>
      <c r="C649" s="20" t="s">
        <v>111</v>
      </c>
      <c r="D649" s="20" t="s">
        <v>63</v>
      </c>
      <c r="E649" s="20" t="s">
        <v>291</v>
      </c>
      <c r="F649" s="20" t="s">
        <v>291</v>
      </c>
      <c r="G649" s="22" t="s">
        <v>234</v>
      </c>
      <c r="H649" s="23">
        <v>3000</v>
      </c>
      <c r="I649" s="22">
        <v>2500</v>
      </c>
    </row>
    <row r="650" spans="1:9" x14ac:dyDescent="0.3">
      <c r="A650">
        <v>2025</v>
      </c>
      <c r="B650" s="8">
        <v>34</v>
      </c>
      <c r="C650" s="20" t="s">
        <v>17</v>
      </c>
      <c r="D650" s="20" t="s">
        <v>4</v>
      </c>
      <c r="E650" s="22" t="s">
        <v>232</v>
      </c>
      <c r="F650" s="20" t="s">
        <v>232</v>
      </c>
      <c r="G650" s="22" t="s">
        <v>234</v>
      </c>
      <c r="H650" s="23">
        <v>2643</v>
      </c>
      <c r="I650" s="22">
        <v>2500</v>
      </c>
    </row>
    <row r="651" spans="1:9" x14ac:dyDescent="0.3">
      <c r="A651">
        <v>2025</v>
      </c>
      <c r="B651" s="8">
        <v>34</v>
      </c>
      <c r="C651" s="20" t="s">
        <v>19</v>
      </c>
      <c r="D651" s="20" t="s">
        <v>20</v>
      </c>
      <c r="E651" s="22" t="s">
        <v>232</v>
      </c>
      <c r="F651" s="20" t="s">
        <v>232</v>
      </c>
      <c r="G651" s="22" t="s">
        <v>234</v>
      </c>
      <c r="H651" s="23">
        <v>3000</v>
      </c>
      <c r="I651" s="22">
        <v>2500</v>
      </c>
    </row>
    <row r="652" spans="1:9" x14ac:dyDescent="0.3">
      <c r="A652">
        <v>2025</v>
      </c>
      <c r="B652" s="8">
        <v>34</v>
      </c>
      <c r="C652" s="20" t="s">
        <v>396</v>
      </c>
      <c r="D652" s="20" t="s">
        <v>75</v>
      </c>
      <c r="E652" s="22" t="s">
        <v>241</v>
      </c>
      <c r="F652" s="20" t="s">
        <v>291</v>
      </c>
      <c r="G652" s="22" t="s">
        <v>234</v>
      </c>
      <c r="H652" s="23">
        <v>3000</v>
      </c>
      <c r="I652" s="22">
        <v>2500</v>
      </c>
    </row>
    <row r="653" spans="1:9" x14ac:dyDescent="0.3">
      <c r="A653">
        <v>2025</v>
      </c>
      <c r="B653" s="8">
        <v>34</v>
      </c>
      <c r="C653" s="20" t="s">
        <v>23</v>
      </c>
      <c r="D653" s="20" t="s">
        <v>106</v>
      </c>
      <c r="E653" s="22" t="s">
        <v>232</v>
      </c>
      <c r="F653" s="20" t="s">
        <v>232</v>
      </c>
      <c r="G653" s="22" t="s">
        <v>234</v>
      </c>
      <c r="H653" s="23">
        <v>2500</v>
      </c>
      <c r="I653" s="22">
        <v>2500</v>
      </c>
    </row>
    <row r="654" spans="1:9" x14ac:dyDescent="0.3">
      <c r="A654">
        <v>2025</v>
      </c>
      <c r="B654" s="8">
        <v>34</v>
      </c>
      <c r="C654" s="20" t="s">
        <v>25</v>
      </c>
      <c r="D654" s="20" t="s">
        <v>10</v>
      </c>
      <c r="E654" s="22" t="s">
        <v>232</v>
      </c>
      <c r="F654" s="20" t="s">
        <v>232</v>
      </c>
      <c r="G654" s="22" t="s">
        <v>234</v>
      </c>
      <c r="H654" s="23">
        <v>2029.96</v>
      </c>
      <c r="I654" s="22">
        <v>2500</v>
      </c>
    </row>
    <row r="655" spans="1:9" x14ac:dyDescent="0.3">
      <c r="A655">
        <v>2025</v>
      </c>
      <c r="B655" s="8">
        <v>34</v>
      </c>
      <c r="C655" s="20" t="s">
        <v>359</v>
      </c>
      <c r="D655" s="20" t="s">
        <v>34</v>
      </c>
      <c r="E655" s="22" t="s">
        <v>232</v>
      </c>
      <c r="F655" s="20" t="s">
        <v>232</v>
      </c>
      <c r="G655" s="22" t="s">
        <v>234</v>
      </c>
      <c r="H655" s="23">
        <v>39.940000000000509</v>
      </c>
      <c r="I655" s="22">
        <v>2500</v>
      </c>
    </row>
    <row r="656" spans="1:9" x14ac:dyDescent="0.3">
      <c r="A656">
        <v>2025</v>
      </c>
      <c r="B656" s="8">
        <v>34</v>
      </c>
      <c r="C656" s="20" t="s">
        <v>72</v>
      </c>
      <c r="D656" s="20" t="s">
        <v>73</v>
      </c>
      <c r="E656" s="22" t="s">
        <v>241</v>
      </c>
      <c r="F656" s="20" t="s">
        <v>291</v>
      </c>
      <c r="G656" s="22" t="s">
        <v>234</v>
      </c>
      <c r="H656" s="23">
        <v>3100</v>
      </c>
      <c r="I656" s="22">
        <v>2500</v>
      </c>
    </row>
    <row r="657" spans="1:9" x14ac:dyDescent="0.3">
      <c r="A657">
        <v>2025</v>
      </c>
      <c r="B657" s="8">
        <v>34</v>
      </c>
      <c r="C657" s="20" t="s">
        <v>292</v>
      </c>
      <c r="D657" s="20" t="s">
        <v>52</v>
      </c>
      <c r="E657" s="22" t="s">
        <v>232</v>
      </c>
      <c r="F657" s="20" t="s">
        <v>232</v>
      </c>
      <c r="G657" s="22" t="s">
        <v>234</v>
      </c>
      <c r="H657" s="23">
        <v>2800</v>
      </c>
      <c r="I657" s="22">
        <v>2500</v>
      </c>
    </row>
    <row r="658" spans="1:9" x14ac:dyDescent="0.3">
      <c r="A658">
        <v>2025</v>
      </c>
      <c r="B658" s="8">
        <v>34</v>
      </c>
      <c r="C658" s="20" t="s">
        <v>57</v>
      </c>
      <c r="D658" s="20" t="s">
        <v>16</v>
      </c>
      <c r="E658" s="20" t="s">
        <v>232</v>
      </c>
      <c r="F658" s="20" t="s">
        <v>232</v>
      </c>
      <c r="G658" s="22" t="s">
        <v>234</v>
      </c>
      <c r="H658" s="23">
        <v>3000.26</v>
      </c>
      <c r="I658" s="22">
        <v>2500</v>
      </c>
    </row>
    <row r="659" spans="1:9" x14ac:dyDescent="0.3">
      <c r="A659">
        <v>2025</v>
      </c>
      <c r="B659" s="8">
        <v>34</v>
      </c>
      <c r="C659" s="20" t="s">
        <v>288</v>
      </c>
      <c r="D659" s="20" t="s">
        <v>22</v>
      </c>
      <c r="E659" s="20" t="s">
        <v>232</v>
      </c>
      <c r="F659" s="20" t="s">
        <v>232</v>
      </c>
      <c r="G659" s="22" t="s">
        <v>234</v>
      </c>
      <c r="H659" s="23">
        <v>2500</v>
      </c>
      <c r="I659" s="22">
        <v>2500</v>
      </c>
    </row>
    <row r="660" spans="1:9" x14ac:dyDescent="0.3">
      <c r="A660">
        <v>2025</v>
      </c>
      <c r="B660" s="8">
        <v>34</v>
      </c>
      <c r="C660" s="20" t="s">
        <v>35</v>
      </c>
      <c r="D660" s="20" t="s">
        <v>97</v>
      </c>
      <c r="E660" s="22" t="s">
        <v>232</v>
      </c>
      <c r="F660" s="20" t="s">
        <v>232</v>
      </c>
      <c r="G660" s="22" t="s">
        <v>234</v>
      </c>
      <c r="H660" s="23">
        <v>2977</v>
      </c>
      <c r="I660" s="22">
        <v>2500</v>
      </c>
    </row>
    <row r="661" spans="1:9" x14ac:dyDescent="0.3">
      <c r="A661">
        <v>2025</v>
      </c>
      <c r="B661" s="8">
        <v>34</v>
      </c>
      <c r="C661" s="20" t="s">
        <v>37</v>
      </c>
      <c r="D661" s="20" t="s">
        <v>30</v>
      </c>
      <c r="E661" s="22" t="s">
        <v>232</v>
      </c>
      <c r="F661" s="20" t="s">
        <v>291</v>
      </c>
      <c r="G661" s="22" t="s">
        <v>234</v>
      </c>
      <c r="H661" s="23">
        <v>2187</v>
      </c>
      <c r="I661" s="22">
        <v>2500</v>
      </c>
    </row>
    <row r="662" spans="1:9" x14ac:dyDescent="0.3">
      <c r="A662">
        <v>2025</v>
      </c>
      <c r="B662" s="8">
        <v>34</v>
      </c>
      <c r="C662" s="20" t="s">
        <v>37</v>
      </c>
      <c r="D662" s="20" t="s">
        <v>168</v>
      </c>
      <c r="E662" s="22" t="s">
        <v>232</v>
      </c>
      <c r="F662" s="20" t="s">
        <v>232</v>
      </c>
      <c r="G662" s="22" t="s">
        <v>234</v>
      </c>
      <c r="H662" s="23">
        <v>-161.57999999999996</v>
      </c>
      <c r="I662" s="22">
        <v>2500</v>
      </c>
    </row>
    <row r="663" spans="1:9" x14ac:dyDescent="0.3">
      <c r="A663">
        <v>2025</v>
      </c>
      <c r="B663" s="8">
        <v>34</v>
      </c>
      <c r="C663" s="20" t="s">
        <v>361</v>
      </c>
      <c r="D663" s="20" t="s">
        <v>56</v>
      </c>
      <c r="E663" s="22" t="s">
        <v>241</v>
      </c>
      <c r="F663" s="20" t="s">
        <v>291</v>
      </c>
      <c r="G663" s="22" t="s">
        <v>234</v>
      </c>
      <c r="H663" s="23">
        <v>2500</v>
      </c>
      <c r="I663" s="22">
        <v>2500</v>
      </c>
    </row>
    <row r="664" spans="1:9" x14ac:dyDescent="0.3">
      <c r="A664">
        <v>2025</v>
      </c>
      <c r="B664" s="8">
        <v>34</v>
      </c>
      <c r="C664" s="20" t="s">
        <v>388</v>
      </c>
      <c r="D664" s="20" t="s">
        <v>69</v>
      </c>
      <c r="E664" s="22" t="s">
        <v>241</v>
      </c>
      <c r="F664" s="20" t="s">
        <v>291</v>
      </c>
      <c r="G664" s="22" t="s">
        <v>234</v>
      </c>
      <c r="H664" s="23">
        <v>4852.3599999999997</v>
      </c>
      <c r="I664" s="22">
        <v>2500</v>
      </c>
    </row>
    <row r="665" spans="1:9" x14ac:dyDescent="0.3">
      <c r="A665">
        <v>2025</v>
      </c>
      <c r="B665" s="8">
        <v>34</v>
      </c>
      <c r="C665" s="20" t="s">
        <v>293</v>
      </c>
      <c r="D665" s="20" t="s">
        <v>34</v>
      </c>
      <c r="E665" s="22" t="s">
        <v>232</v>
      </c>
      <c r="F665" s="23" t="s">
        <v>232</v>
      </c>
      <c r="G665" s="22" t="s">
        <v>234</v>
      </c>
      <c r="H665" s="23">
        <v>-500</v>
      </c>
      <c r="I665" s="22">
        <v>2500</v>
      </c>
    </row>
    <row r="666" spans="1:9" x14ac:dyDescent="0.3">
      <c r="A666">
        <v>2025</v>
      </c>
      <c r="B666" s="8">
        <v>34</v>
      </c>
      <c r="C666" s="20" t="s">
        <v>45</v>
      </c>
      <c r="D666" s="20" t="s">
        <v>46</v>
      </c>
      <c r="E666" s="22" t="s">
        <v>232</v>
      </c>
      <c r="F666" s="20" t="s">
        <v>232</v>
      </c>
      <c r="G666" s="22" t="s">
        <v>234</v>
      </c>
      <c r="H666" s="23">
        <v>2499.3000000000002</v>
      </c>
      <c r="I666" s="22">
        <v>2500</v>
      </c>
    </row>
    <row r="667" spans="1:9" x14ac:dyDescent="0.3">
      <c r="A667">
        <v>2025</v>
      </c>
      <c r="B667" s="8">
        <v>34</v>
      </c>
      <c r="C667" s="20" t="s">
        <v>5</v>
      </c>
      <c r="D667" s="20" t="s">
        <v>28</v>
      </c>
      <c r="E667" s="22" t="s">
        <v>232</v>
      </c>
      <c r="F667" s="20" t="s">
        <v>232</v>
      </c>
      <c r="G667" s="22" t="s">
        <v>234</v>
      </c>
      <c r="H667" s="23">
        <v>1224.7799999999997</v>
      </c>
      <c r="I667" s="22">
        <v>2500</v>
      </c>
    </row>
    <row r="668" spans="1:9" x14ac:dyDescent="0.3">
      <c r="A668">
        <v>2025</v>
      </c>
      <c r="B668" s="8">
        <v>34</v>
      </c>
      <c r="C668" s="20" t="s">
        <v>362</v>
      </c>
      <c r="D668" s="20" t="s">
        <v>50</v>
      </c>
      <c r="E668" s="22" t="s">
        <v>232</v>
      </c>
      <c r="F668" s="20" t="s">
        <v>232</v>
      </c>
      <c r="G668" s="22" t="s">
        <v>234</v>
      </c>
      <c r="H668" s="23">
        <v>2129.6800000000003</v>
      </c>
      <c r="I668" s="22">
        <v>2500</v>
      </c>
    </row>
    <row r="669" spans="1:9" x14ac:dyDescent="0.3">
      <c r="A669">
        <v>2025</v>
      </c>
      <c r="B669" s="8">
        <v>34</v>
      </c>
      <c r="C669" s="20" t="s">
        <v>414</v>
      </c>
      <c r="D669" s="20" t="s">
        <v>168</v>
      </c>
      <c r="E669" s="20" t="s">
        <v>232</v>
      </c>
      <c r="F669" s="20" t="s">
        <v>232</v>
      </c>
      <c r="G669" s="22" t="s">
        <v>234</v>
      </c>
      <c r="H669" s="23">
        <v>1571.42</v>
      </c>
      <c r="I669" s="22">
        <v>2500</v>
      </c>
    </row>
    <row r="670" spans="1:9" x14ac:dyDescent="0.3">
      <c r="A670">
        <v>2025</v>
      </c>
      <c r="B670" s="8">
        <v>34</v>
      </c>
      <c r="C670" s="20" t="s">
        <v>74</v>
      </c>
      <c r="D670" s="20" t="s">
        <v>104</v>
      </c>
      <c r="E670" s="20" t="s">
        <v>364</v>
      </c>
      <c r="F670" s="22" t="s">
        <v>364</v>
      </c>
      <c r="G670" s="22" t="s">
        <v>234</v>
      </c>
      <c r="H670" s="23">
        <v>3000</v>
      </c>
      <c r="I670" s="22">
        <v>2500</v>
      </c>
    </row>
    <row r="671" spans="1:9" x14ac:dyDescent="0.3">
      <c r="A671">
        <v>2025</v>
      </c>
      <c r="B671" s="8">
        <v>34</v>
      </c>
      <c r="C671" s="20" t="s">
        <v>76</v>
      </c>
      <c r="D671" s="20" t="s">
        <v>8</v>
      </c>
      <c r="E671" s="20" t="s">
        <v>364</v>
      </c>
      <c r="F671" s="22" t="s">
        <v>364</v>
      </c>
      <c r="G671" s="22" t="s">
        <v>234</v>
      </c>
      <c r="H671" s="23">
        <v>-1770.8600000000006</v>
      </c>
      <c r="I671" s="22">
        <v>2500</v>
      </c>
    </row>
    <row r="672" spans="1:9" x14ac:dyDescent="0.3">
      <c r="A672">
        <v>2025</v>
      </c>
      <c r="B672" s="8">
        <v>34</v>
      </c>
      <c r="C672" s="20" t="s">
        <v>98</v>
      </c>
      <c r="D672" s="20" t="s">
        <v>249</v>
      </c>
      <c r="E672" s="22" t="s">
        <v>232</v>
      </c>
      <c r="F672" s="20" t="s">
        <v>232</v>
      </c>
      <c r="G672" s="22" t="s">
        <v>234</v>
      </c>
      <c r="H672" s="23">
        <v>3000</v>
      </c>
      <c r="I672" s="22">
        <v>2500</v>
      </c>
    </row>
    <row r="673" spans="1:9" x14ac:dyDescent="0.3">
      <c r="A673">
        <v>2025</v>
      </c>
      <c r="B673" s="8">
        <v>35</v>
      </c>
      <c r="C673" s="20" t="s">
        <v>80</v>
      </c>
      <c r="D673" s="20" t="s">
        <v>81</v>
      </c>
      <c r="E673" s="20" t="s">
        <v>232</v>
      </c>
      <c r="F673" s="20" t="s">
        <v>232</v>
      </c>
      <c r="G673" s="22" t="s">
        <v>234</v>
      </c>
      <c r="H673" s="23">
        <v>3000</v>
      </c>
      <c r="I673" s="22">
        <v>2500</v>
      </c>
    </row>
    <row r="674" spans="1:9" x14ac:dyDescent="0.3">
      <c r="A674">
        <v>2025</v>
      </c>
      <c r="B674" s="8">
        <v>35</v>
      </c>
      <c r="C674" s="20" t="s">
        <v>13</v>
      </c>
      <c r="D674" s="20" t="s">
        <v>40</v>
      </c>
      <c r="E674" s="20" t="s">
        <v>232</v>
      </c>
      <c r="F674" s="20" t="s">
        <v>232</v>
      </c>
      <c r="G674" s="22" t="s">
        <v>234</v>
      </c>
      <c r="H674" s="23">
        <v>3000</v>
      </c>
      <c r="I674" s="22">
        <v>2500</v>
      </c>
    </row>
    <row r="675" spans="1:9" x14ac:dyDescent="0.3">
      <c r="A675">
        <v>2025</v>
      </c>
      <c r="B675" s="8">
        <v>35</v>
      </c>
      <c r="C675" s="20" t="s">
        <v>111</v>
      </c>
      <c r="D675" s="20" t="s">
        <v>63</v>
      </c>
      <c r="E675" s="20" t="s">
        <v>291</v>
      </c>
      <c r="F675" s="20" t="s">
        <v>291</v>
      </c>
      <c r="G675" s="22" t="s">
        <v>234</v>
      </c>
      <c r="H675" s="23">
        <v>1407.7600000000002</v>
      </c>
      <c r="I675" s="22">
        <v>2500</v>
      </c>
    </row>
    <row r="676" spans="1:9" x14ac:dyDescent="0.3">
      <c r="A676">
        <v>2025</v>
      </c>
      <c r="B676" s="8">
        <v>35</v>
      </c>
      <c r="C676" s="20" t="s">
        <v>111</v>
      </c>
      <c r="D676" s="20" t="s">
        <v>63</v>
      </c>
      <c r="E676" s="20" t="s">
        <v>291</v>
      </c>
      <c r="F676" s="20" t="s">
        <v>291</v>
      </c>
      <c r="G676" s="22" t="s">
        <v>234</v>
      </c>
      <c r="H676" s="23">
        <v>2143</v>
      </c>
      <c r="I676" s="22"/>
    </row>
    <row r="677" spans="1:9" x14ac:dyDescent="0.3">
      <c r="A677">
        <v>2025</v>
      </c>
      <c r="B677" s="8">
        <v>35</v>
      </c>
      <c r="C677" s="20" t="s">
        <v>17</v>
      </c>
      <c r="D677" s="20" t="s">
        <v>4</v>
      </c>
      <c r="E677" s="20" t="s">
        <v>232</v>
      </c>
      <c r="F677" s="20" t="s">
        <v>232</v>
      </c>
      <c r="G677" s="22" t="s">
        <v>234</v>
      </c>
      <c r="H677" s="23">
        <v>3000</v>
      </c>
      <c r="I677" s="22">
        <v>2500</v>
      </c>
    </row>
    <row r="678" spans="1:9" x14ac:dyDescent="0.3">
      <c r="A678">
        <v>2025</v>
      </c>
      <c r="B678" s="8">
        <v>35</v>
      </c>
      <c r="C678" s="20" t="s">
        <v>19</v>
      </c>
      <c r="D678" s="20" t="s">
        <v>20</v>
      </c>
      <c r="E678" s="20" t="s">
        <v>232</v>
      </c>
      <c r="F678" s="20" t="s">
        <v>232</v>
      </c>
      <c r="G678" s="22" t="s">
        <v>234</v>
      </c>
      <c r="H678" s="23">
        <v>3000</v>
      </c>
      <c r="I678" s="22">
        <v>2500</v>
      </c>
    </row>
    <row r="679" spans="1:9" x14ac:dyDescent="0.3">
      <c r="A679">
        <v>2025</v>
      </c>
      <c r="B679" s="8">
        <v>35</v>
      </c>
      <c r="C679" s="20" t="s">
        <v>396</v>
      </c>
      <c r="D679" s="20" t="s">
        <v>75</v>
      </c>
      <c r="E679" s="22" t="s">
        <v>241</v>
      </c>
      <c r="F679" s="20" t="s">
        <v>291</v>
      </c>
      <c r="G679" s="22" t="s">
        <v>234</v>
      </c>
      <c r="H679" s="23">
        <v>3000.1200000000008</v>
      </c>
      <c r="I679" s="22">
        <v>2500</v>
      </c>
    </row>
    <row r="680" spans="1:9" x14ac:dyDescent="0.3">
      <c r="A680">
        <v>2025</v>
      </c>
      <c r="B680" s="8">
        <v>35</v>
      </c>
      <c r="C680" s="20" t="s">
        <v>23</v>
      </c>
      <c r="D680" s="20" t="s">
        <v>106</v>
      </c>
      <c r="E680" s="20" t="s">
        <v>232</v>
      </c>
      <c r="F680" s="20" t="s">
        <v>232</v>
      </c>
      <c r="G680" s="22" t="s">
        <v>234</v>
      </c>
      <c r="H680" s="23">
        <v>2500.7599999999984</v>
      </c>
      <c r="I680" s="22">
        <v>2500</v>
      </c>
    </row>
    <row r="681" spans="1:9" x14ac:dyDescent="0.3">
      <c r="A681">
        <v>2025</v>
      </c>
      <c r="B681" s="8">
        <v>35</v>
      </c>
      <c r="C681" s="20" t="s">
        <v>25</v>
      </c>
      <c r="D681" s="20" t="s">
        <v>10</v>
      </c>
      <c r="E681" s="20" t="s">
        <v>232</v>
      </c>
      <c r="F681" s="20" t="s">
        <v>232</v>
      </c>
      <c r="G681" s="22" t="s">
        <v>234</v>
      </c>
      <c r="H681" s="23">
        <v>884.8</v>
      </c>
      <c r="I681" s="22">
        <v>2500</v>
      </c>
    </row>
    <row r="682" spans="1:9" x14ac:dyDescent="0.3">
      <c r="A682">
        <v>2025</v>
      </c>
      <c r="B682" s="8">
        <v>35</v>
      </c>
      <c r="C682" s="20" t="s">
        <v>25</v>
      </c>
      <c r="D682" s="20" t="s">
        <v>67</v>
      </c>
      <c r="E682" s="22" t="s">
        <v>232</v>
      </c>
      <c r="F682" s="20" t="s">
        <v>291</v>
      </c>
      <c r="G682" s="22" t="s">
        <v>234</v>
      </c>
      <c r="H682" s="23">
        <v>714</v>
      </c>
      <c r="I682" s="22"/>
    </row>
    <row r="683" spans="1:9" x14ac:dyDescent="0.3">
      <c r="A683">
        <v>2025</v>
      </c>
      <c r="B683" s="8">
        <v>35</v>
      </c>
      <c r="C683" s="20" t="s">
        <v>9</v>
      </c>
      <c r="D683" s="20" t="s">
        <v>10</v>
      </c>
      <c r="E683" s="20" t="s">
        <v>232</v>
      </c>
      <c r="F683" s="20" t="s">
        <v>232</v>
      </c>
      <c r="G683" s="22" t="s">
        <v>234</v>
      </c>
      <c r="H683" s="23">
        <v>1986</v>
      </c>
      <c r="I683" s="22">
        <v>2500</v>
      </c>
    </row>
    <row r="684" spans="1:9" x14ac:dyDescent="0.3">
      <c r="A684">
        <v>2025</v>
      </c>
      <c r="B684" s="8">
        <v>35</v>
      </c>
      <c r="C684" s="20" t="s">
        <v>359</v>
      </c>
      <c r="D684" s="20" t="s">
        <v>34</v>
      </c>
      <c r="E684" s="20" t="s">
        <v>232</v>
      </c>
      <c r="F684" s="20" t="s">
        <v>232</v>
      </c>
      <c r="G684" s="22" t="s">
        <v>234</v>
      </c>
      <c r="H684" s="23">
        <v>-283.15999999999985</v>
      </c>
      <c r="I684" s="22">
        <v>2500</v>
      </c>
    </row>
    <row r="685" spans="1:9" x14ac:dyDescent="0.3">
      <c r="A685">
        <v>2025</v>
      </c>
      <c r="B685" s="8">
        <v>35</v>
      </c>
      <c r="C685" s="20" t="s">
        <v>72</v>
      </c>
      <c r="D685" s="20" t="s">
        <v>73</v>
      </c>
      <c r="E685" s="22" t="s">
        <v>241</v>
      </c>
      <c r="F685" s="20" t="s">
        <v>291</v>
      </c>
      <c r="G685" s="22" t="s">
        <v>234</v>
      </c>
      <c r="H685" s="23">
        <v>3050</v>
      </c>
      <c r="I685" s="22">
        <v>2500</v>
      </c>
    </row>
    <row r="686" spans="1:9" x14ac:dyDescent="0.3">
      <c r="A686">
        <v>2025</v>
      </c>
      <c r="B686" s="8">
        <v>35</v>
      </c>
      <c r="C686" s="20" t="s">
        <v>292</v>
      </c>
      <c r="D686" s="20" t="s">
        <v>52</v>
      </c>
      <c r="E686" s="20" t="s">
        <v>232</v>
      </c>
      <c r="F686" s="20" t="s">
        <v>232</v>
      </c>
      <c r="G686" s="22" t="s">
        <v>234</v>
      </c>
      <c r="H686" s="23">
        <v>2928</v>
      </c>
      <c r="I686" s="22">
        <v>2500</v>
      </c>
    </row>
    <row r="687" spans="1:9" x14ac:dyDescent="0.3">
      <c r="A687">
        <v>2025</v>
      </c>
      <c r="B687" s="8">
        <v>35</v>
      </c>
      <c r="C687" s="20" t="s">
        <v>105</v>
      </c>
      <c r="D687" s="20" t="s">
        <v>104</v>
      </c>
      <c r="E687" s="22" t="s">
        <v>364</v>
      </c>
      <c r="F687" s="22" t="s">
        <v>364</v>
      </c>
      <c r="G687" s="22" t="s">
        <v>234</v>
      </c>
      <c r="H687" s="23">
        <v>357</v>
      </c>
      <c r="I687" s="22">
        <v>2500</v>
      </c>
    </row>
    <row r="688" spans="1:9" x14ac:dyDescent="0.3">
      <c r="A688">
        <v>2025</v>
      </c>
      <c r="B688" s="8">
        <v>35</v>
      </c>
      <c r="C688" s="20" t="s">
        <v>57</v>
      </c>
      <c r="D688" s="20" t="s">
        <v>16</v>
      </c>
      <c r="E688" s="20" t="s">
        <v>232</v>
      </c>
      <c r="F688" s="20" t="s">
        <v>232</v>
      </c>
      <c r="G688" s="22" t="s">
        <v>234</v>
      </c>
      <c r="H688" s="23">
        <v>3000</v>
      </c>
      <c r="I688" s="22">
        <v>2500</v>
      </c>
    </row>
    <row r="689" spans="1:9" x14ac:dyDescent="0.3">
      <c r="A689">
        <v>2025</v>
      </c>
      <c r="B689" s="8">
        <v>35</v>
      </c>
      <c r="C689" s="20" t="s">
        <v>288</v>
      </c>
      <c r="D689" s="20" t="s">
        <v>22</v>
      </c>
      <c r="E689" s="20" t="s">
        <v>232</v>
      </c>
      <c r="F689" s="20" t="s">
        <v>232</v>
      </c>
      <c r="G689" s="22" t="s">
        <v>234</v>
      </c>
      <c r="H689" s="23">
        <v>2500</v>
      </c>
      <c r="I689" s="22">
        <v>2500</v>
      </c>
    </row>
    <row r="690" spans="1:9" x14ac:dyDescent="0.3">
      <c r="A690">
        <v>2025</v>
      </c>
      <c r="B690" s="8">
        <v>35</v>
      </c>
      <c r="C690" s="20" t="s">
        <v>35</v>
      </c>
      <c r="D690" s="20" t="s">
        <v>97</v>
      </c>
      <c r="E690" s="20" t="s">
        <v>232</v>
      </c>
      <c r="F690" s="20" t="s">
        <v>232</v>
      </c>
      <c r="G690" s="22" t="s">
        <v>234</v>
      </c>
      <c r="H690" s="23">
        <v>2514</v>
      </c>
      <c r="I690" s="22">
        <v>2500</v>
      </c>
    </row>
    <row r="691" spans="1:9" x14ac:dyDescent="0.3">
      <c r="A691">
        <v>2025</v>
      </c>
      <c r="B691" s="8">
        <v>35</v>
      </c>
      <c r="C691" s="20" t="s">
        <v>37</v>
      </c>
      <c r="D691" s="20" t="s">
        <v>30</v>
      </c>
      <c r="E691" s="22" t="s">
        <v>232</v>
      </c>
      <c r="F691" s="20" t="s">
        <v>291</v>
      </c>
      <c r="G691" s="22" t="s">
        <v>234</v>
      </c>
      <c r="H691" s="23">
        <v>2076.08</v>
      </c>
      <c r="I691" s="22">
        <v>2500</v>
      </c>
    </row>
    <row r="692" spans="1:9" x14ac:dyDescent="0.3">
      <c r="A692">
        <v>2025</v>
      </c>
      <c r="B692" s="8">
        <v>35</v>
      </c>
      <c r="C692" s="20" t="s">
        <v>361</v>
      </c>
      <c r="D692" s="20" t="s">
        <v>56</v>
      </c>
      <c r="E692" s="22" t="s">
        <v>241</v>
      </c>
      <c r="F692" s="20" t="s">
        <v>291</v>
      </c>
      <c r="G692" s="22" t="s">
        <v>234</v>
      </c>
      <c r="H692" s="23">
        <v>2500</v>
      </c>
      <c r="I692" s="22">
        <v>2500</v>
      </c>
    </row>
    <row r="693" spans="1:9" x14ac:dyDescent="0.3">
      <c r="A693">
        <v>2025</v>
      </c>
      <c r="B693" s="8">
        <v>35</v>
      </c>
      <c r="C693" s="20" t="s">
        <v>388</v>
      </c>
      <c r="D693" s="20" t="s">
        <v>69</v>
      </c>
      <c r="E693" s="22" t="s">
        <v>241</v>
      </c>
      <c r="F693" s="20" t="s">
        <v>291</v>
      </c>
      <c r="G693" s="22" t="s">
        <v>234</v>
      </c>
      <c r="H693" s="23">
        <v>3901.6399999999994</v>
      </c>
      <c r="I693" s="22">
        <v>2500</v>
      </c>
    </row>
    <row r="694" spans="1:9" x14ac:dyDescent="0.3">
      <c r="A694">
        <v>2025</v>
      </c>
      <c r="B694" s="8">
        <v>35</v>
      </c>
      <c r="C694" s="20" t="s">
        <v>293</v>
      </c>
      <c r="D694" s="20" t="s">
        <v>34</v>
      </c>
      <c r="E694" s="20" t="s">
        <v>232</v>
      </c>
      <c r="F694" s="23" t="s">
        <v>232</v>
      </c>
      <c r="G694" s="22" t="s">
        <v>234</v>
      </c>
      <c r="H694" s="23">
        <v>-358</v>
      </c>
      <c r="I694" s="22">
        <v>2500</v>
      </c>
    </row>
    <row r="695" spans="1:9" x14ac:dyDescent="0.3">
      <c r="A695">
        <v>2025</v>
      </c>
      <c r="B695" s="8">
        <v>35</v>
      </c>
      <c r="C695" s="20" t="s">
        <v>417</v>
      </c>
      <c r="D695" s="20" t="s">
        <v>418</v>
      </c>
      <c r="E695" s="22" t="s">
        <v>364</v>
      </c>
      <c r="F695" s="22" t="s">
        <v>364</v>
      </c>
      <c r="G695" s="22" t="s">
        <v>234</v>
      </c>
      <c r="H695" s="23">
        <v>1109</v>
      </c>
      <c r="I695" s="22">
        <v>2500</v>
      </c>
    </row>
    <row r="696" spans="1:9" x14ac:dyDescent="0.3">
      <c r="A696">
        <v>2025</v>
      </c>
      <c r="B696" s="8">
        <v>35</v>
      </c>
      <c r="C696" s="20" t="s">
        <v>45</v>
      </c>
      <c r="D696" s="20" t="s">
        <v>46</v>
      </c>
      <c r="E696" s="20" t="s">
        <v>232</v>
      </c>
      <c r="F696" s="20" t="s">
        <v>232</v>
      </c>
      <c r="G696" s="22" t="s">
        <v>234</v>
      </c>
      <c r="H696" s="23">
        <v>2999.3799999999983</v>
      </c>
      <c r="I696" s="22">
        <v>2500</v>
      </c>
    </row>
    <row r="697" spans="1:9" x14ac:dyDescent="0.3">
      <c r="A697">
        <v>2025</v>
      </c>
      <c r="B697" s="8">
        <v>35</v>
      </c>
      <c r="C697" s="20" t="s">
        <v>5</v>
      </c>
      <c r="D697" s="20" t="s">
        <v>28</v>
      </c>
      <c r="E697" s="20" t="s">
        <v>232</v>
      </c>
      <c r="F697" s="20" t="s">
        <v>232</v>
      </c>
      <c r="G697" s="22" t="s">
        <v>234</v>
      </c>
      <c r="H697" s="23">
        <v>4255.659999999998</v>
      </c>
      <c r="I697" s="22">
        <v>2500</v>
      </c>
    </row>
    <row r="698" spans="1:9" x14ac:dyDescent="0.3">
      <c r="A698">
        <v>2025</v>
      </c>
      <c r="B698" s="8">
        <v>35</v>
      </c>
      <c r="C698" s="20" t="s">
        <v>362</v>
      </c>
      <c r="D698" s="20" t="s">
        <v>50</v>
      </c>
      <c r="E698" s="20" t="s">
        <v>232</v>
      </c>
      <c r="F698" s="20" t="s">
        <v>232</v>
      </c>
      <c r="G698" s="22" t="s">
        <v>234</v>
      </c>
      <c r="H698" s="23">
        <v>3485.7799999999929</v>
      </c>
      <c r="I698" s="22">
        <v>2500</v>
      </c>
    </row>
    <row r="699" spans="1:9" x14ac:dyDescent="0.3">
      <c r="A699">
        <v>2025</v>
      </c>
      <c r="B699" s="8">
        <v>35</v>
      </c>
      <c r="C699" s="20" t="s">
        <v>414</v>
      </c>
      <c r="D699" s="20" t="s">
        <v>168</v>
      </c>
      <c r="E699" s="20" t="s">
        <v>232</v>
      </c>
      <c r="F699" s="20" t="s">
        <v>232</v>
      </c>
      <c r="G699" s="22" t="s">
        <v>234</v>
      </c>
      <c r="H699" s="23">
        <v>3000</v>
      </c>
      <c r="I699" s="22">
        <v>2500</v>
      </c>
    </row>
    <row r="700" spans="1:9" x14ac:dyDescent="0.3">
      <c r="A700">
        <v>2025</v>
      </c>
      <c r="B700" s="8">
        <v>35</v>
      </c>
      <c r="C700" s="20" t="s">
        <v>74</v>
      </c>
      <c r="D700" s="20" t="s">
        <v>104</v>
      </c>
      <c r="E700" s="20" t="s">
        <v>364</v>
      </c>
      <c r="F700" s="22" t="s">
        <v>364</v>
      </c>
      <c r="G700" s="22" t="s">
        <v>234</v>
      </c>
      <c r="H700" s="23">
        <v>893</v>
      </c>
      <c r="I700" s="22">
        <v>2500</v>
      </c>
    </row>
    <row r="701" spans="1:9" x14ac:dyDescent="0.3">
      <c r="A701">
        <v>2025</v>
      </c>
      <c r="B701" s="8">
        <v>35</v>
      </c>
      <c r="C701" s="20" t="s">
        <v>74</v>
      </c>
      <c r="D701" s="20" t="s">
        <v>77</v>
      </c>
      <c r="E701" s="22" t="s">
        <v>232</v>
      </c>
      <c r="F701" s="20" t="s">
        <v>291</v>
      </c>
      <c r="G701" s="22" t="s">
        <v>234</v>
      </c>
      <c r="H701" s="23">
        <v>2062.5599999999995</v>
      </c>
      <c r="I701" s="22"/>
    </row>
    <row r="702" spans="1:9" x14ac:dyDescent="0.3">
      <c r="A702">
        <v>2025</v>
      </c>
      <c r="B702" s="8">
        <v>35</v>
      </c>
      <c r="C702" s="20" t="s">
        <v>76</v>
      </c>
      <c r="D702" s="20" t="s">
        <v>8</v>
      </c>
      <c r="E702" s="20" t="s">
        <v>364</v>
      </c>
      <c r="F702" s="22" t="s">
        <v>364</v>
      </c>
      <c r="G702" s="22" t="s">
        <v>234</v>
      </c>
      <c r="H702" s="23">
        <v>-399.60000000000036</v>
      </c>
      <c r="I702" s="22">
        <v>2500</v>
      </c>
    </row>
    <row r="703" spans="1:9" x14ac:dyDescent="0.3">
      <c r="A703">
        <v>2025</v>
      </c>
      <c r="B703" s="8">
        <v>35</v>
      </c>
      <c r="C703" s="20" t="s">
        <v>98</v>
      </c>
      <c r="D703" s="44" t="s">
        <v>79</v>
      </c>
      <c r="E703" s="20" t="s">
        <v>291</v>
      </c>
      <c r="F703" s="20" t="s">
        <v>291</v>
      </c>
      <c r="G703" s="22" t="s">
        <v>234</v>
      </c>
      <c r="H703" s="23">
        <v>1370</v>
      </c>
      <c r="I703" s="22">
        <v>2500</v>
      </c>
    </row>
    <row r="704" spans="1:9" x14ac:dyDescent="0.3">
      <c r="A704">
        <v>2025</v>
      </c>
      <c r="B704" s="8">
        <v>36</v>
      </c>
      <c r="C704" s="20" t="s">
        <v>80</v>
      </c>
      <c r="D704" s="20" t="s">
        <v>81</v>
      </c>
      <c r="E704" s="20" t="s">
        <v>232</v>
      </c>
      <c r="F704" s="20" t="s">
        <v>232</v>
      </c>
      <c r="G704" s="22" t="s">
        <v>234</v>
      </c>
      <c r="H704" s="23">
        <v>3000</v>
      </c>
      <c r="I704" s="22">
        <v>2500</v>
      </c>
    </row>
    <row r="705" spans="1:9" x14ac:dyDescent="0.3">
      <c r="A705">
        <v>2025</v>
      </c>
      <c r="B705" s="8">
        <v>36</v>
      </c>
      <c r="C705" s="20" t="s">
        <v>13</v>
      </c>
      <c r="D705" s="20" t="s">
        <v>40</v>
      </c>
      <c r="E705" s="20" t="s">
        <v>232</v>
      </c>
      <c r="F705" s="20" t="s">
        <v>232</v>
      </c>
      <c r="G705" s="22" t="s">
        <v>234</v>
      </c>
      <c r="H705" s="23">
        <v>3000</v>
      </c>
      <c r="I705" s="22">
        <v>2500</v>
      </c>
    </row>
    <row r="706" spans="1:9" x14ac:dyDescent="0.3">
      <c r="A706">
        <v>2025</v>
      </c>
      <c r="B706" s="8">
        <v>36</v>
      </c>
      <c r="C706" s="20" t="s">
        <v>111</v>
      </c>
      <c r="D706" s="20" t="s">
        <v>63</v>
      </c>
      <c r="E706" s="20" t="s">
        <v>291</v>
      </c>
      <c r="F706" s="20" t="s">
        <v>291</v>
      </c>
      <c r="G706" s="22" t="s">
        <v>234</v>
      </c>
      <c r="H706" s="23">
        <v>3000</v>
      </c>
      <c r="I706" s="22">
        <v>2500</v>
      </c>
    </row>
    <row r="707" spans="1:9" x14ac:dyDescent="0.3">
      <c r="A707">
        <v>2025</v>
      </c>
      <c r="B707" s="8">
        <v>36</v>
      </c>
      <c r="C707" s="20" t="s">
        <v>17</v>
      </c>
      <c r="D707" s="20" t="s">
        <v>4</v>
      </c>
      <c r="E707" s="20" t="s">
        <v>232</v>
      </c>
      <c r="F707" s="20" t="s">
        <v>232</v>
      </c>
      <c r="G707" s="22" t="s">
        <v>234</v>
      </c>
      <c r="H707" s="23">
        <v>3000</v>
      </c>
      <c r="I707" s="22">
        <v>2500</v>
      </c>
    </row>
    <row r="708" spans="1:9" x14ac:dyDescent="0.3">
      <c r="A708">
        <v>2025</v>
      </c>
      <c r="B708" s="8">
        <v>36</v>
      </c>
      <c r="C708" s="20" t="s">
        <v>19</v>
      </c>
      <c r="D708" s="20" t="s">
        <v>20</v>
      </c>
      <c r="E708" s="20" t="s">
        <v>232</v>
      </c>
      <c r="F708" s="20" t="s">
        <v>232</v>
      </c>
      <c r="G708" s="22" t="s">
        <v>234</v>
      </c>
      <c r="H708" s="23">
        <v>3000</v>
      </c>
      <c r="I708" s="22">
        <v>2500</v>
      </c>
    </row>
    <row r="709" spans="1:9" x14ac:dyDescent="0.3">
      <c r="A709">
        <v>2025</v>
      </c>
      <c r="B709" s="8">
        <v>36</v>
      </c>
      <c r="C709" s="20" t="s">
        <v>396</v>
      </c>
      <c r="D709" s="20" t="s">
        <v>75</v>
      </c>
      <c r="E709" s="22" t="s">
        <v>241</v>
      </c>
      <c r="F709" s="20" t="s">
        <v>291</v>
      </c>
      <c r="G709" s="22" t="s">
        <v>234</v>
      </c>
      <c r="H709" s="23">
        <v>3000</v>
      </c>
      <c r="I709" s="22">
        <v>2500</v>
      </c>
    </row>
    <row r="710" spans="1:9" x14ac:dyDescent="0.3">
      <c r="A710">
        <v>2025</v>
      </c>
      <c r="B710" s="8">
        <v>36</v>
      </c>
      <c r="C710" s="20" t="s">
        <v>23</v>
      </c>
      <c r="D710" s="20" t="s">
        <v>106</v>
      </c>
      <c r="E710" s="20" t="s">
        <v>232</v>
      </c>
      <c r="F710" s="20" t="s">
        <v>232</v>
      </c>
      <c r="G710" s="22" t="s">
        <v>234</v>
      </c>
      <c r="H710" s="23">
        <v>2497.619999999999</v>
      </c>
      <c r="I710" s="22">
        <v>2500</v>
      </c>
    </row>
    <row r="711" spans="1:9" x14ac:dyDescent="0.3">
      <c r="A711">
        <v>2025</v>
      </c>
      <c r="B711" s="8">
        <v>36</v>
      </c>
      <c r="C711" s="20" t="s">
        <v>25</v>
      </c>
      <c r="D711" s="20" t="s">
        <v>67</v>
      </c>
      <c r="E711" s="20" t="s">
        <v>232</v>
      </c>
      <c r="F711" s="20" t="s">
        <v>291</v>
      </c>
      <c r="G711" s="22" t="s">
        <v>234</v>
      </c>
      <c r="H711" s="23">
        <v>-524.30000000000018</v>
      </c>
      <c r="I711" s="22">
        <v>2500</v>
      </c>
    </row>
    <row r="712" spans="1:9" x14ac:dyDescent="0.3">
      <c r="A712">
        <v>2025</v>
      </c>
      <c r="B712" s="8">
        <v>36</v>
      </c>
      <c r="C712" s="20" t="s">
        <v>9</v>
      </c>
      <c r="D712" s="20" t="s">
        <v>10</v>
      </c>
      <c r="E712" s="20" t="s">
        <v>232</v>
      </c>
      <c r="F712" s="20" t="s">
        <v>232</v>
      </c>
      <c r="G712" s="22" t="s">
        <v>234</v>
      </c>
      <c r="H712" s="23">
        <v>2142.6999999999998</v>
      </c>
      <c r="I712" s="22">
        <v>2500</v>
      </c>
    </row>
    <row r="713" spans="1:9" x14ac:dyDescent="0.3">
      <c r="A713">
        <v>2025</v>
      </c>
      <c r="B713" s="8">
        <v>36</v>
      </c>
      <c r="C713" s="20" t="s">
        <v>70</v>
      </c>
      <c r="D713" s="20" t="s">
        <v>34</v>
      </c>
      <c r="E713" s="20" t="s">
        <v>232</v>
      </c>
      <c r="F713" s="20" t="s">
        <v>232</v>
      </c>
      <c r="G713" s="22" t="s">
        <v>234</v>
      </c>
      <c r="H713" s="23">
        <v>134</v>
      </c>
      <c r="I713" s="22">
        <v>2500</v>
      </c>
    </row>
    <row r="714" spans="1:9" x14ac:dyDescent="0.3">
      <c r="A714">
        <v>2025</v>
      </c>
      <c r="B714" s="8">
        <v>36</v>
      </c>
      <c r="C714" s="20" t="s">
        <v>424</v>
      </c>
      <c r="D714" s="20" t="s">
        <v>418</v>
      </c>
      <c r="E714" s="22" t="s">
        <v>364</v>
      </c>
      <c r="F714" s="22" t="s">
        <v>364</v>
      </c>
      <c r="G714" s="22" t="s">
        <v>234</v>
      </c>
      <c r="H714" s="23">
        <v>1071</v>
      </c>
      <c r="I714" s="22">
        <v>2500</v>
      </c>
    </row>
    <row r="715" spans="1:9" x14ac:dyDescent="0.3">
      <c r="A715">
        <v>2025</v>
      </c>
      <c r="B715" s="8">
        <v>36</v>
      </c>
      <c r="C715" s="20" t="s">
        <v>72</v>
      </c>
      <c r="D715" s="20" t="s">
        <v>73</v>
      </c>
      <c r="E715" s="22" t="s">
        <v>241</v>
      </c>
      <c r="F715" s="20" t="s">
        <v>291</v>
      </c>
      <c r="G715" s="22" t="s">
        <v>234</v>
      </c>
      <c r="H715" s="23">
        <v>2500</v>
      </c>
      <c r="I715" s="22">
        <v>2500</v>
      </c>
    </row>
    <row r="716" spans="1:9" x14ac:dyDescent="0.3">
      <c r="A716">
        <v>2025</v>
      </c>
      <c r="B716" s="8">
        <v>36</v>
      </c>
      <c r="C716" s="20" t="s">
        <v>292</v>
      </c>
      <c r="D716" s="20" t="s">
        <v>52</v>
      </c>
      <c r="E716" s="20" t="s">
        <v>232</v>
      </c>
      <c r="F716" s="20" t="s">
        <v>232</v>
      </c>
      <c r="G716" s="22" t="s">
        <v>234</v>
      </c>
      <c r="H716" s="23">
        <v>3072</v>
      </c>
      <c r="I716" s="22">
        <v>2500</v>
      </c>
    </row>
    <row r="717" spans="1:9" x14ac:dyDescent="0.3">
      <c r="A717">
        <v>2025</v>
      </c>
      <c r="B717" s="8">
        <v>36</v>
      </c>
      <c r="C717" s="20" t="s">
        <v>105</v>
      </c>
      <c r="D717" s="20" t="s">
        <v>104</v>
      </c>
      <c r="E717" s="22" t="s">
        <v>364</v>
      </c>
      <c r="F717" s="22" t="s">
        <v>364</v>
      </c>
      <c r="G717" s="20" t="s">
        <v>425</v>
      </c>
      <c r="H717" s="23">
        <v>3050</v>
      </c>
      <c r="I717" s="22">
        <v>2500</v>
      </c>
    </row>
    <row r="718" spans="1:9" x14ac:dyDescent="0.3">
      <c r="A718">
        <v>2025</v>
      </c>
      <c r="B718" s="8">
        <v>36</v>
      </c>
      <c r="C718" s="20" t="s">
        <v>57</v>
      </c>
      <c r="D718" s="20" t="s">
        <v>16</v>
      </c>
      <c r="E718" s="20" t="s">
        <v>232</v>
      </c>
      <c r="F718" s="20" t="s">
        <v>232</v>
      </c>
      <c r="G718" s="22" t="s">
        <v>234</v>
      </c>
      <c r="H718" s="23">
        <v>3000</v>
      </c>
      <c r="I718" s="22">
        <v>2500</v>
      </c>
    </row>
    <row r="719" spans="1:9" x14ac:dyDescent="0.3">
      <c r="A719">
        <v>2025</v>
      </c>
      <c r="B719" s="8">
        <v>36</v>
      </c>
      <c r="C719" s="20" t="s">
        <v>288</v>
      </c>
      <c r="D719" s="20" t="s">
        <v>22</v>
      </c>
      <c r="E719" s="20" t="s">
        <v>232</v>
      </c>
      <c r="F719" s="20" t="s">
        <v>232</v>
      </c>
      <c r="G719" s="22" t="s">
        <v>234</v>
      </c>
      <c r="H719" s="23">
        <v>2500</v>
      </c>
      <c r="I719" s="22">
        <v>2500</v>
      </c>
    </row>
    <row r="720" spans="1:9" x14ac:dyDescent="0.3">
      <c r="A720">
        <v>2025</v>
      </c>
      <c r="B720" s="8">
        <v>36</v>
      </c>
      <c r="C720" s="20" t="s">
        <v>35</v>
      </c>
      <c r="D720" s="20" t="s">
        <v>97</v>
      </c>
      <c r="E720" s="20" t="s">
        <v>232</v>
      </c>
      <c r="F720" s="20" t="s">
        <v>232</v>
      </c>
      <c r="G720" s="22" t="s">
        <v>234</v>
      </c>
      <c r="H720" s="23">
        <v>2449</v>
      </c>
      <c r="I720" s="22">
        <v>2500</v>
      </c>
    </row>
    <row r="721" spans="1:9" x14ac:dyDescent="0.3">
      <c r="A721">
        <v>2025</v>
      </c>
      <c r="B721" s="8">
        <v>36</v>
      </c>
      <c r="C721" s="20" t="s">
        <v>37</v>
      </c>
      <c r="D721" s="20" t="s">
        <v>30</v>
      </c>
      <c r="E721" s="22" t="s">
        <v>232</v>
      </c>
      <c r="F721" s="20" t="s">
        <v>291</v>
      </c>
      <c r="G721" s="22" t="s">
        <v>234</v>
      </c>
      <c r="H721" s="23">
        <v>-695.01999999999953</v>
      </c>
      <c r="I721" s="22">
        <v>2500</v>
      </c>
    </row>
    <row r="722" spans="1:9" x14ac:dyDescent="0.3">
      <c r="A722">
        <v>2025</v>
      </c>
      <c r="B722" s="8">
        <v>36</v>
      </c>
      <c r="C722" s="20" t="s">
        <v>361</v>
      </c>
      <c r="D722" s="20" t="s">
        <v>56</v>
      </c>
      <c r="E722" s="22" t="s">
        <v>241</v>
      </c>
      <c r="F722" s="20" t="s">
        <v>291</v>
      </c>
      <c r="G722" s="22" t="s">
        <v>234</v>
      </c>
      <c r="H722" s="23">
        <v>2500</v>
      </c>
      <c r="I722" s="22">
        <v>2500</v>
      </c>
    </row>
    <row r="723" spans="1:9" x14ac:dyDescent="0.3">
      <c r="A723">
        <v>2025</v>
      </c>
      <c r="B723" s="8">
        <v>36</v>
      </c>
      <c r="C723" s="20" t="s">
        <v>388</v>
      </c>
      <c r="D723" s="20" t="s">
        <v>69</v>
      </c>
      <c r="E723" s="22" t="s">
        <v>241</v>
      </c>
      <c r="F723" s="20" t="s">
        <v>291</v>
      </c>
      <c r="G723" s="22" t="s">
        <v>234</v>
      </c>
      <c r="H723" s="23">
        <v>1998.7199999999998</v>
      </c>
      <c r="I723" s="22">
        <v>2500</v>
      </c>
    </row>
    <row r="724" spans="1:9" x14ac:dyDescent="0.3">
      <c r="A724">
        <v>2025</v>
      </c>
      <c r="B724" s="8">
        <v>36</v>
      </c>
      <c r="C724" s="20" t="s">
        <v>417</v>
      </c>
      <c r="D724" s="20" t="s">
        <v>428</v>
      </c>
      <c r="E724" s="22" t="s">
        <v>364</v>
      </c>
      <c r="F724" s="22" t="s">
        <v>364</v>
      </c>
      <c r="G724" s="22" t="s">
        <v>234</v>
      </c>
      <c r="H724" s="23">
        <v>2960.34</v>
      </c>
      <c r="I724" s="22">
        <v>2500</v>
      </c>
    </row>
    <row r="725" spans="1:9" x14ac:dyDescent="0.3">
      <c r="A725">
        <v>2025</v>
      </c>
      <c r="B725" s="8">
        <v>36</v>
      </c>
      <c r="C725" s="20" t="s">
        <v>45</v>
      </c>
      <c r="D725" s="20" t="s">
        <v>46</v>
      </c>
      <c r="E725" s="20" t="s">
        <v>232</v>
      </c>
      <c r="F725" s="20" t="s">
        <v>232</v>
      </c>
      <c r="G725" s="22" t="s">
        <v>234</v>
      </c>
      <c r="H725" s="23">
        <v>3000.4799999999996</v>
      </c>
      <c r="I725" s="22">
        <v>2500</v>
      </c>
    </row>
    <row r="726" spans="1:9" x14ac:dyDescent="0.3">
      <c r="A726">
        <v>2025</v>
      </c>
      <c r="B726" s="8">
        <v>36</v>
      </c>
      <c r="C726" s="20" t="s">
        <v>5</v>
      </c>
      <c r="D726" s="20" t="s">
        <v>28</v>
      </c>
      <c r="E726" s="20" t="s">
        <v>232</v>
      </c>
      <c r="F726" s="20" t="s">
        <v>232</v>
      </c>
      <c r="G726" s="22" t="s">
        <v>234</v>
      </c>
      <c r="H726" s="23">
        <v>488.21999999999935</v>
      </c>
      <c r="I726" s="22">
        <v>2500</v>
      </c>
    </row>
    <row r="727" spans="1:9" x14ac:dyDescent="0.3">
      <c r="A727">
        <v>2025</v>
      </c>
      <c r="B727" s="8">
        <v>36</v>
      </c>
      <c r="C727" s="20" t="s">
        <v>362</v>
      </c>
      <c r="D727" s="20" t="s">
        <v>50</v>
      </c>
      <c r="E727" s="20" t="s">
        <v>232</v>
      </c>
      <c r="F727" s="20" t="s">
        <v>232</v>
      </c>
      <c r="G727" s="22" t="s">
        <v>234</v>
      </c>
      <c r="H727" s="23">
        <v>2500.34</v>
      </c>
      <c r="I727" s="22">
        <v>2500</v>
      </c>
    </row>
    <row r="728" spans="1:9" x14ac:dyDescent="0.3">
      <c r="A728">
        <v>2025</v>
      </c>
      <c r="B728" s="8">
        <v>36</v>
      </c>
      <c r="C728" s="20" t="s">
        <v>414</v>
      </c>
      <c r="D728" s="20" t="s">
        <v>168</v>
      </c>
      <c r="E728" s="20" t="s">
        <v>232</v>
      </c>
      <c r="F728" s="20" t="s">
        <v>232</v>
      </c>
      <c r="G728" s="22" t="s">
        <v>234</v>
      </c>
      <c r="H728" s="23">
        <v>2927</v>
      </c>
      <c r="I728" s="22">
        <v>2500</v>
      </c>
    </row>
    <row r="729" spans="1:9" x14ac:dyDescent="0.3">
      <c r="A729">
        <v>2025</v>
      </c>
      <c r="B729" s="8">
        <v>36</v>
      </c>
      <c r="C729" s="20" t="s">
        <v>74</v>
      </c>
      <c r="D729" s="20" t="s">
        <v>77</v>
      </c>
      <c r="E729" s="22" t="s">
        <v>232</v>
      </c>
      <c r="F729" s="20" t="s">
        <v>291</v>
      </c>
      <c r="G729" s="22" t="s">
        <v>234</v>
      </c>
      <c r="H729" s="23">
        <v>2105.34</v>
      </c>
      <c r="I729" s="22">
        <v>2500</v>
      </c>
    </row>
    <row r="730" spans="1:9" x14ac:dyDescent="0.3">
      <c r="A730">
        <v>2025</v>
      </c>
      <c r="B730" s="8">
        <v>36</v>
      </c>
      <c r="C730" s="20" t="s">
        <v>76</v>
      </c>
      <c r="D730" s="20" t="s">
        <v>8</v>
      </c>
      <c r="E730" s="20" t="s">
        <v>364</v>
      </c>
      <c r="F730" s="22" t="s">
        <v>364</v>
      </c>
      <c r="G730" s="22" t="s">
        <v>234</v>
      </c>
      <c r="H730" s="23">
        <v>-760.33999999999969</v>
      </c>
      <c r="I730" s="22">
        <v>2500</v>
      </c>
    </row>
    <row r="731" spans="1:9" x14ac:dyDescent="0.3">
      <c r="A731">
        <v>2025</v>
      </c>
      <c r="B731" s="8">
        <v>36</v>
      </c>
      <c r="C731" s="20" t="s">
        <v>98</v>
      </c>
      <c r="D731" s="44" t="s">
        <v>79</v>
      </c>
      <c r="E731" s="20" t="s">
        <v>291</v>
      </c>
      <c r="F731" s="20" t="s">
        <v>291</v>
      </c>
      <c r="G731" s="22" t="s">
        <v>234</v>
      </c>
      <c r="H731" s="23">
        <v>-2293</v>
      </c>
      <c r="I731" s="22">
        <v>2500</v>
      </c>
    </row>
    <row r="732" spans="1:9" x14ac:dyDescent="0.3">
      <c r="A732">
        <v>2025</v>
      </c>
      <c r="B732" s="8">
        <v>37</v>
      </c>
      <c r="C732" s="20" t="s">
        <v>11</v>
      </c>
      <c r="D732" s="20" t="s">
        <v>54</v>
      </c>
      <c r="E732" s="20" t="s">
        <v>232</v>
      </c>
      <c r="F732" s="20" t="s">
        <v>232</v>
      </c>
      <c r="G732" s="20" t="s">
        <v>234</v>
      </c>
      <c r="H732" s="23">
        <v>2570.86</v>
      </c>
      <c r="I732" s="22">
        <v>2500</v>
      </c>
    </row>
    <row r="733" spans="1:9" x14ac:dyDescent="0.3">
      <c r="A733">
        <v>2025</v>
      </c>
      <c r="B733" s="8">
        <v>37</v>
      </c>
      <c r="C733" s="20" t="s">
        <v>80</v>
      </c>
      <c r="D733" s="20" t="s">
        <v>81</v>
      </c>
      <c r="E733" s="20" t="s">
        <v>232</v>
      </c>
      <c r="F733" s="20" t="s">
        <v>232</v>
      </c>
      <c r="G733" s="22" t="s">
        <v>234</v>
      </c>
      <c r="H733" s="23">
        <v>2999.2799999999997</v>
      </c>
      <c r="I733" s="22">
        <v>2500</v>
      </c>
    </row>
    <row r="734" spans="1:9" x14ac:dyDescent="0.3">
      <c r="A734">
        <v>2025</v>
      </c>
      <c r="B734" s="8">
        <v>37</v>
      </c>
      <c r="C734" s="20" t="s">
        <v>13</v>
      </c>
      <c r="D734" s="20" t="s">
        <v>40</v>
      </c>
      <c r="E734" s="20" t="s">
        <v>232</v>
      </c>
      <c r="F734" s="20" t="s">
        <v>232</v>
      </c>
      <c r="G734" s="22" t="s">
        <v>234</v>
      </c>
      <c r="H734" s="23">
        <v>3000</v>
      </c>
      <c r="I734" s="22">
        <v>2500</v>
      </c>
    </row>
    <row r="735" spans="1:9" x14ac:dyDescent="0.3">
      <c r="A735">
        <v>2025</v>
      </c>
      <c r="B735" s="8">
        <v>37</v>
      </c>
      <c r="C735" s="20" t="s">
        <v>111</v>
      </c>
      <c r="D735" s="20" t="s">
        <v>63</v>
      </c>
      <c r="E735" s="20" t="s">
        <v>291</v>
      </c>
      <c r="F735" s="20" t="s">
        <v>291</v>
      </c>
      <c r="G735" s="20" t="s">
        <v>234</v>
      </c>
      <c r="H735" s="23">
        <v>3000</v>
      </c>
      <c r="I735" s="22">
        <v>2500</v>
      </c>
    </row>
    <row r="736" spans="1:9" x14ac:dyDescent="0.3">
      <c r="A736">
        <v>2025</v>
      </c>
      <c r="B736" s="8">
        <v>37</v>
      </c>
      <c r="C736" s="20" t="s">
        <v>17</v>
      </c>
      <c r="D736" s="20" t="s">
        <v>4</v>
      </c>
      <c r="E736" s="20" t="s">
        <v>232</v>
      </c>
      <c r="F736" s="20" t="s">
        <v>232</v>
      </c>
      <c r="G736" s="20" t="s">
        <v>234</v>
      </c>
      <c r="H736" s="23">
        <v>3647.5</v>
      </c>
      <c r="I736" s="22">
        <v>2500</v>
      </c>
    </row>
    <row r="737" spans="1:9" x14ac:dyDescent="0.3">
      <c r="A737">
        <v>2025</v>
      </c>
      <c r="B737" s="8">
        <v>37</v>
      </c>
      <c r="C737" s="20" t="s">
        <v>19</v>
      </c>
      <c r="D737" s="20" t="s">
        <v>20</v>
      </c>
      <c r="E737" s="20" t="s">
        <v>232</v>
      </c>
      <c r="F737" s="20" t="s">
        <v>232</v>
      </c>
      <c r="G737" s="20" t="s">
        <v>234</v>
      </c>
      <c r="H737" s="23">
        <v>5500</v>
      </c>
      <c r="I737" s="22">
        <v>2500</v>
      </c>
    </row>
    <row r="738" spans="1:9" x14ac:dyDescent="0.3">
      <c r="A738">
        <v>2025</v>
      </c>
      <c r="B738" s="8">
        <v>37</v>
      </c>
      <c r="C738" s="20" t="s">
        <v>396</v>
      </c>
      <c r="D738" s="20" t="s">
        <v>75</v>
      </c>
      <c r="E738" s="22" t="s">
        <v>241</v>
      </c>
      <c r="F738" s="20" t="s">
        <v>291</v>
      </c>
      <c r="G738" s="20" t="s">
        <v>234</v>
      </c>
      <c r="H738" s="23">
        <v>2892.8799999999983</v>
      </c>
      <c r="I738" s="22">
        <v>2500</v>
      </c>
    </row>
    <row r="739" spans="1:9" x14ac:dyDescent="0.3">
      <c r="A739">
        <v>2025</v>
      </c>
      <c r="B739" s="8">
        <v>37</v>
      </c>
      <c r="C739" s="20" t="s">
        <v>23</v>
      </c>
      <c r="D739" s="20" t="s">
        <v>106</v>
      </c>
      <c r="E739" s="20" t="s">
        <v>232</v>
      </c>
      <c r="F739" s="20" t="s">
        <v>232</v>
      </c>
      <c r="G739" s="20" t="s">
        <v>234</v>
      </c>
      <c r="H739" s="23">
        <v>2422.5999999999995</v>
      </c>
      <c r="I739" s="22">
        <v>2500</v>
      </c>
    </row>
    <row r="740" spans="1:9" x14ac:dyDescent="0.3">
      <c r="A740">
        <v>2025</v>
      </c>
      <c r="B740" s="8">
        <v>37</v>
      </c>
      <c r="C740" s="20" t="s">
        <v>25</v>
      </c>
      <c r="D740" s="20" t="s">
        <v>67</v>
      </c>
      <c r="E740" s="20" t="s">
        <v>232</v>
      </c>
      <c r="F740" s="20" t="s">
        <v>291</v>
      </c>
      <c r="G740" s="20" t="s">
        <v>234</v>
      </c>
      <c r="H740" s="23">
        <v>-70.099999999999454</v>
      </c>
      <c r="I740" s="22">
        <v>2500</v>
      </c>
    </row>
    <row r="741" spans="1:9" x14ac:dyDescent="0.3">
      <c r="A741">
        <v>2025</v>
      </c>
      <c r="B741" s="8">
        <v>37</v>
      </c>
      <c r="C741" s="20" t="s">
        <v>9</v>
      </c>
      <c r="D741" s="20" t="s">
        <v>10</v>
      </c>
      <c r="E741" s="20" t="s">
        <v>232</v>
      </c>
      <c r="F741" s="20" t="s">
        <v>232</v>
      </c>
      <c r="G741" s="20" t="s">
        <v>234</v>
      </c>
      <c r="H741" s="23">
        <v>3000</v>
      </c>
      <c r="I741" s="22">
        <v>2500</v>
      </c>
    </row>
    <row r="742" spans="1:9" x14ac:dyDescent="0.3">
      <c r="A742">
        <v>2025</v>
      </c>
      <c r="B742" s="8">
        <v>37</v>
      </c>
      <c r="C742" s="20" t="s">
        <v>70</v>
      </c>
      <c r="D742" s="20" t="s">
        <v>36</v>
      </c>
      <c r="E742" s="22" t="s">
        <v>232</v>
      </c>
      <c r="F742" s="20" t="s">
        <v>291</v>
      </c>
      <c r="G742" s="22" t="s">
        <v>234</v>
      </c>
      <c r="H742" s="23">
        <v>499</v>
      </c>
      <c r="I742" s="22">
        <v>2500</v>
      </c>
    </row>
    <row r="743" spans="1:9" x14ac:dyDescent="0.3">
      <c r="A743">
        <v>2025</v>
      </c>
      <c r="B743" s="8">
        <v>37</v>
      </c>
      <c r="C743" s="20" t="s">
        <v>424</v>
      </c>
      <c r="D743" s="20" t="s">
        <v>418</v>
      </c>
      <c r="E743" s="22" t="s">
        <v>364</v>
      </c>
      <c r="F743" s="22" t="s">
        <v>364</v>
      </c>
      <c r="G743" s="20" t="s">
        <v>234</v>
      </c>
      <c r="H743" s="23">
        <v>-200</v>
      </c>
      <c r="I743" s="22">
        <v>2500</v>
      </c>
    </row>
    <row r="744" spans="1:9" x14ac:dyDescent="0.3">
      <c r="A744">
        <v>2025</v>
      </c>
      <c r="B744" s="8">
        <v>37</v>
      </c>
      <c r="C744" s="20" t="s">
        <v>72</v>
      </c>
      <c r="D744" s="20" t="s">
        <v>73</v>
      </c>
      <c r="E744" s="22" t="s">
        <v>241</v>
      </c>
      <c r="F744" s="20" t="s">
        <v>291</v>
      </c>
      <c r="G744" s="20" t="s">
        <v>234</v>
      </c>
      <c r="H744" s="23">
        <v>2500</v>
      </c>
      <c r="I744" s="22">
        <v>2500</v>
      </c>
    </row>
    <row r="745" spans="1:9" x14ac:dyDescent="0.3">
      <c r="A745">
        <v>2025</v>
      </c>
      <c r="B745" s="8">
        <v>37</v>
      </c>
      <c r="C745" s="20" t="s">
        <v>292</v>
      </c>
      <c r="D745" s="20" t="s">
        <v>52</v>
      </c>
      <c r="E745" s="20" t="s">
        <v>232</v>
      </c>
      <c r="F745" s="20" t="s">
        <v>232</v>
      </c>
      <c r="G745" s="20" t="s">
        <v>234</v>
      </c>
      <c r="H745" s="23">
        <v>3000.08</v>
      </c>
      <c r="I745" s="22">
        <v>2500</v>
      </c>
    </row>
    <row r="746" spans="1:9" x14ac:dyDescent="0.3">
      <c r="A746">
        <v>2025</v>
      </c>
      <c r="B746" s="8">
        <v>37</v>
      </c>
      <c r="C746" s="20" t="s">
        <v>375</v>
      </c>
      <c r="D746" s="20" t="s">
        <v>40</v>
      </c>
      <c r="E746" s="20" t="s">
        <v>232</v>
      </c>
      <c r="F746" s="20" t="s">
        <v>232</v>
      </c>
      <c r="G746" s="20" t="s">
        <v>234</v>
      </c>
      <c r="H746" s="23">
        <v>-1000</v>
      </c>
      <c r="I746" s="22">
        <v>2500</v>
      </c>
    </row>
    <row r="747" spans="1:9" x14ac:dyDescent="0.3">
      <c r="A747">
        <v>2025</v>
      </c>
      <c r="B747" s="8">
        <v>37</v>
      </c>
      <c r="C747" s="20" t="s">
        <v>105</v>
      </c>
      <c r="D747" s="20" t="s">
        <v>104</v>
      </c>
      <c r="E747" s="22" t="s">
        <v>364</v>
      </c>
      <c r="F747" s="22" t="s">
        <v>364</v>
      </c>
      <c r="G747" s="20" t="s">
        <v>425</v>
      </c>
      <c r="H747" s="23">
        <v>3000</v>
      </c>
      <c r="I747" s="22">
        <v>2500</v>
      </c>
    </row>
    <row r="748" spans="1:9" x14ac:dyDescent="0.3">
      <c r="A748">
        <v>2025</v>
      </c>
      <c r="B748" s="8">
        <v>37</v>
      </c>
      <c r="C748" s="20" t="s">
        <v>57</v>
      </c>
      <c r="D748" s="20" t="s">
        <v>16</v>
      </c>
      <c r="E748" s="20" t="s">
        <v>232</v>
      </c>
      <c r="F748" s="20" t="s">
        <v>232</v>
      </c>
      <c r="G748" s="20" t="s">
        <v>234</v>
      </c>
      <c r="H748" s="23">
        <v>3000</v>
      </c>
      <c r="I748" s="22">
        <v>2500</v>
      </c>
    </row>
    <row r="749" spans="1:9" x14ac:dyDescent="0.3">
      <c r="A749">
        <v>2025</v>
      </c>
      <c r="B749" s="8">
        <v>37</v>
      </c>
      <c r="C749" s="20" t="s">
        <v>288</v>
      </c>
      <c r="D749" s="20" t="s">
        <v>22</v>
      </c>
      <c r="E749" s="20" t="s">
        <v>232</v>
      </c>
      <c r="F749" s="20" t="s">
        <v>232</v>
      </c>
      <c r="G749" s="20" t="s">
        <v>234</v>
      </c>
      <c r="H749" s="23">
        <v>2500</v>
      </c>
      <c r="I749" s="22">
        <v>2500</v>
      </c>
    </row>
    <row r="750" spans="1:9" x14ac:dyDescent="0.3">
      <c r="A750">
        <v>2025</v>
      </c>
      <c r="B750" s="8">
        <v>37</v>
      </c>
      <c r="C750" s="20" t="s">
        <v>35</v>
      </c>
      <c r="D750" s="20" t="s">
        <v>97</v>
      </c>
      <c r="E750" s="20" t="s">
        <v>232</v>
      </c>
      <c r="F750" s="20" t="s">
        <v>232</v>
      </c>
      <c r="G750" s="20" t="s">
        <v>234</v>
      </c>
      <c r="H750" s="23">
        <v>2466</v>
      </c>
      <c r="I750" s="22">
        <v>2500</v>
      </c>
    </row>
    <row r="751" spans="1:9" x14ac:dyDescent="0.3">
      <c r="A751">
        <v>2025</v>
      </c>
      <c r="B751" s="8">
        <v>37</v>
      </c>
      <c r="C751" s="20" t="s">
        <v>37</v>
      </c>
      <c r="D751" s="20" t="s">
        <v>30</v>
      </c>
      <c r="E751" s="22" t="s">
        <v>232</v>
      </c>
      <c r="F751" s="20" t="s">
        <v>291</v>
      </c>
      <c r="G751" s="20" t="s">
        <v>234</v>
      </c>
      <c r="H751" s="23">
        <v>3622.9399999999996</v>
      </c>
      <c r="I751" s="22">
        <v>2500</v>
      </c>
    </row>
    <row r="752" spans="1:9" x14ac:dyDescent="0.3">
      <c r="A752">
        <v>2025</v>
      </c>
      <c r="B752" s="8">
        <v>37</v>
      </c>
      <c r="C752" s="20" t="s">
        <v>61</v>
      </c>
      <c r="D752" s="20" t="s">
        <v>34</v>
      </c>
      <c r="E752" s="20" t="s">
        <v>232</v>
      </c>
      <c r="F752" s="20" t="s">
        <v>232</v>
      </c>
      <c r="G752" s="20" t="s">
        <v>234</v>
      </c>
      <c r="H752" s="23">
        <v>858.28</v>
      </c>
      <c r="I752" s="22">
        <v>2500</v>
      </c>
    </row>
    <row r="753" spans="1:9" x14ac:dyDescent="0.3">
      <c r="A753">
        <v>2025</v>
      </c>
      <c r="B753" s="8">
        <v>37</v>
      </c>
      <c r="C753" s="20" t="s">
        <v>361</v>
      </c>
      <c r="D753" s="20" t="s">
        <v>56</v>
      </c>
      <c r="E753" s="22" t="s">
        <v>241</v>
      </c>
      <c r="F753" s="20" t="s">
        <v>291</v>
      </c>
      <c r="G753" s="22" t="s">
        <v>234</v>
      </c>
      <c r="H753" s="23">
        <v>2500</v>
      </c>
      <c r="I753" s="22">
        <v>2500</v>
      </c>
    </row>
    <row r="754" spans="1:9" x14ac:dyDescent="0.3">
      <c r="A754">
        <v>2025</v>
      </c>
      <c r="B754" s="8">
        <v>37</v>
      </c>
      <c r="C754" s="20" t="s">
        <v>388</v>
      </c>
      <c r="D754" s="20" t="s">
        <v>69</v>
      </c>
      <c r="E754" s="22" t="s">
        <v>241</v>
      </c>
      <c r="F754" s="20" t="s">
        <v>291</v>
      </c>
      <c r="G754" s="20" t="s">
        <v>234</v>
      </c>
      <c r="H754" s="23">
        <v>2816.9400000000005</v>
      </c>
      <c r="I754" s="22">
        <v>2500</v>
      </c>
    </row>
    <row r="755" spans="1:9" x14ac:dyDescent="0.3">
      <c r="A755">
        <v>2025</v>
      </c>
      <c r="B755" s="8">
        <v>37</v>
      </c>
      <c r="C755" s="20" t="s">
        <v>434</v>
      </c>
      <c r="D755" s="44" t="s">
        <v>79</v>
      </c>
      <c r="E755" s="20" t="s">
        <v>291</v>
      </c>
      <c r="F755" s="20" t="s">
        <v>291</v>
      </c>
      <c r="G755" s="22" t="s">
        <v>234</v>
      </c>
      <c r="H755" s="23">
        <v>912.44571428571408</v>
      </c>
      <c r="I755" s="22">
        <v>2500</v>
      </c>
    </row>
    <row r="756" spans="1:9" x14ac:dyDescent="0.3">
      <c r="A756">
        <v>2025</v>
      </c>
      <c r="B756" s="8">
        <v>37</v>
      </c>
      <c r="C756" s="20" t="s">
        <v>417</v>
      </c>
      <c r="D756" s="20" t="s">
        <v>428</v>
      </c>
      <c r="E756" s="22" t="s">
        <v>364</v>
      </c>
      <c r="F756" s="22" t="s">
        <v>364</v>
      </c>
      <c r="G756" s="20" t="s">
        <v>234</v>
      </c>
      <c r="H756" s="23">
        <v>3000.6600000000008</v>
      </c>
      <c r="I756" s="22">
        <v>2500</v>
      </c>
    </row>
    <row r="757" spans="1:9" x14ac:dyDescent="0.3">
      <c r="A757">
        <v>2025</v>
      </c>
      <c r="B757" s="8">
        <v>37</v>
      </c>
      <c r="C757" s="20" t="s">
        <v>45</v>
      </c>
      <c r="D757" s="20" t="s">
        <v>46</v>
      </c>
      <c r="E757" s="20" t="s">
        <v>232</v>
      </c>
      <c r="F757" s="20" t="s">
        <v>232</v>
      </c>
      <c r="G757" s="22" t="s">
        <v>234</v>
      </c>
      <c r="H757" s="23">
        <v>3499.6800000000003</v>
      </c>
      <c r="I757" s="22">
        <v>2500</v>
      </c>
    </row>
    <row r="758" spans="1:9" x14ac:dyDescent="0.3">
      <c r="A758">
        <v>2025</v>
      </c>
      <c r="B758" s="8">
        <v>37</v>
      </c>
      <c r="C758" s="20" t="s">
        <v>5</v>
      </c>
      <c r="D758" s="20" t="s">
        <v>28</v>
      </c>
      <c r="E758" s="20" t="s">
        <v>232</v>
      </c>
      <c r="F758" s="20" t="s">
        <v>232</v>
      </c>
      <c r="G758" s="20" t="s">
        <v>234</v>
      </c>
      <c r="H758" s="23">
        <v>3679.24</v>
      </c>
      <c r="I758" s="22">
        <v>2500</v>
      </c>
    </row>
    <row r="759" spans="1:9" x14ac:dyDescent="0.3">
      <c r="A759">
        <v>2025</v>
      </c>
      <c r="B759" s="8">
        <v>37</v>
      </c>
      <c r="C759" s="20" t="s">
        <v>362</v>
      </c>
      <c r="D759" s="20" t="s">
        <v>50</v>
      </c>
      <c r="E759" s="20" t="s">
        <v>232</v>
      </c>
      <c r="F759" s="20" t="s">
        <v>232</v>
      </c>
      <c r="G759" s="20" t="s">
        <v>234</v>
      </c>
      <c r="H759" s="23">
        <v>2469.54</v>
      </c>
      <c r="I759" s="22">
        <v>2500</v>
      </c>
    </row>
    <row r="760" spans="1:9" x14ac:dyDescent="0.3">
      <c r="A760">
        <v>2025</v>
      </c>
      <c r="B760" s="8">
        <v>37</v>
      </c>
      <c r="C760" s="20" t="s">
        <v>414</v>
      </c>
      <c r="D760" s="20" t="s">
        <v>168</v>
      </c>
      <c r="E760" s="20" t="s">
        <v>232</v>
      </c>
      <c r="F760" s="20" t="s">
        <v>232</v>
      </c>
      <c r="G760" s="20" t="s">
        <v>234</v>
      </c>
      <c r="H760" s="23">
        <v>1392.85</v>
      </c>
      <c r="I760" s="22">
        <v>2500</v>
      </c>
    </row>
    <row r="761" spans="1:9" x14ac:dyDescent="0.3">
      <c r="A761">
        <v>2025</v>
      </c>
      <c r="B761" s="8">
        <v>37</v>
      </c>
      <c r="C761" s="20" t="s">
        <v>414</v>
      </c>
      <c r="D761" s="20" t="s">
        <v>59</v>
      </c>
      <c r="E761" s="22" t="s">
        <v>232</v>
      </c>
      <c r="F761" s="20" t="s">
        <v>291</v>
      </c>
      <c r="G761" s="20" t="s">
        <v>234</v>
      </c>
      <c r="H761" s="23">
        <v>892.84999999999991</v>
      </c>
      <c r="I761" s="22"/>
    </row>
    <row r="762" spans="1:9" x14ac:dyDescent="0.3">
      <c r="A762">
        <v>2025</v>
      </c>
      <c r="B762" s="8">
        <v>37</v>
      </c>
      <c r="C762" s="20" t="s">
        <v>74</v>
      </c>
      <c r="D762" s="20" t="s">
        <v>77</v>
      </c>
      <c r="E762" s="22" t="s">
        <v>232</v>
      </c>
      <c r="F762" s="20" t="s">
        <v>291</v>
      </c>
      <c r="G762" s="20" t="s">
        <v>234</v>
      </c>
      <c r="H762" s="23">
        <v>3000</v>
      </c>
      <c r="I762" s="22">
        <v>2500</v>
      </c>
    </row>
    <row r="763" spans="1:9" x14ac:dyDescent="0.3">
      <c r="A763">
        <v>2025</v>
      </c>
      <c r="B763" s="8">
        <v>37</v>
      </c>
      <c r="C763" s="20" t="s">
        <v>132</v>
      </c>
      <c r="D763" s="20" t="s">
        <v>204</v>
      </c>
      <c r="E763" s="22" t="s">
        <v>364</v>
      </c>
      <c r="F763" s="22" t="s">
        <v>364</v>
      </c>
      <c r="G763" s="20" t="s">
        <v>234</v>
      </c>
      <c r="H763" s="23">
        <v>1930.1</v>
      </c>
      <c r="I763" s="22">
        <v>2500</v>
      </c>
    </row>
    <row r="764" spans="1:9" x14ac:dyDescent="0.3">
      <c r="A764">
        <v>2025</v>
      </c>
      <c r="B764" s="8">
        <v>37</v>
      </c>
      <c r="C764" s="20" t="s">
        <v>98</v>
      </c>
      <c r="D764" s="20" t="s">
        <v>168</v>
      </c>
      <c r="E764" s="20" t="s">
        <v>232</v>
      </c>
      <c r="F764" s="20" t="s">
        <v>232</v>
      </c>
      <c r="G764" s="20" t="s">
        <v>234</v>
      </c>
      <c r="H764" s="23">
        <v>1143.5599999999995</v>
      </c>
      <c r="I764" s="22">
        <v>2500</v>
      </c>
    </row>
    <row r="765" spans="1:9" x14ac:dyDescent="0.3">
      <c r="A765">
        <v>2025</v>
      </c>
      <c r="B765" s="8">
        <v>38</v>
      </c>
      <c r="C765" s="20" t="s">
        <v>11</v>
      </c>
      <c r="D765" s="20" t="s">
        <v>54</v>
      </c>
      <c r="E765" s="20" t="s">
        <v>232</v>
      </c>
      <c r="F765" s="20" t="s">
        <v>232</v>
      </c>
      <c r="G765" s="20" t="s">
        <v>234</v>
      </c>
      <c r="H765" s="23">
        <v>2575.9799999999987</v>
      </c>
      <c r="I765" s="22">
        <v>2500</v>
      </c>
    </row>
    <row r="766" spans="1:9" x14ac:dyDescent="0.3">
      <c r="A766">
        <v>2025</v>
      </c>
      <c r="B766" s="8">
        <v>38</v>
      </c>
      <c r="C766" s="20" t="s">
        <v>80</v>
      </c>
      <c r="D766" s="20" t="s">
        <v>81</v>
      </c>
      <c r="E766" s="20" t="s">
        <v>232</v>
      </c>
      <c r="F766" s="20" t="s">
        <v>232</v>
      </c>
      <c r="G766" s="22" t="s">
        <v>234</v>
      </c>
      <c r="H766" s="23">
        <v>2500</v>
      </c>
      <c r="I766" s="22">
        <v>2500</v>
      </c>
    </row>
    <row r="767" spans="1:9" x14ac:dyDescent="0.3">
      <c r="A767">
        <v>2025</v>
      </c>
      <c r="B767" s="8">
        <v>38</v>
      </c>
      <c r="C767" s="20" t="s">
        <v>13</v>
      </c>
      <c r="D767" s="20" t="s">
        <v>40</v>
      </c>
      <c r="E767" s="20" t="s">
        <v>232</v>
      </c>
      <c r="F767" s="20" t="s">
        <v>232</v>
      </c>
      <c r="G767" s="22" t="s">
        <v>234</v>
      </c>
      <c r="H767" s="23">
        <v>3000</v>
      </c>
      <c r="I767" s="22">
        <v>2500</v>
      </c>
    </row>
    <row r="768" spans="1:9" x14ac:dyDescent="0.3">
      <c r="A768">
        <v>2025</v>
      </c>
      <c r="B768" s="8">
        <v>38</v>
      </c>
      <c r="C768" s="20" t="s">
        <v>111</v>
      </c>
      <c r="D768" s="20" t="s">
        <v>63</v>
      </c>
      <c r="E768" s="20" t="s">
        <v>291</v>
      </c>
      <c r="F768" s="20" t="s">
        <v>291</v>
      </c>
      <c r="G768" s="20" t="s">
        <v>234</v>
      </c>
      <c r="H768" s="23">
        <v>2900</v>
      </c>
      <c r="I768" s="22">
        <v>2500</v>
      </c>
    </row>
    <row r="769" spans="1:9" x14ac:dyDescent="0.3">
      <c r="A769">
        <v>2025</v>
      </c>
      <c r="B769" s="8">
        <v>38</v>
      </c>
      <c r="C769" s="20" t="s">
        <v>17</v>
      </c>
      <c r="D769" s="20" t="s">
        <v>4</v>
      </c>
      <c r="E769" s="20" t="s">
        <v>232</v>
      </c>
      <c r="F769" s="20" t="s">
        <v>232</v>
      </c>
      <c r="G769" s="20" t="s">
        <v>234</v>
      </c>
      <c r="H769" s="23">
        <v>3469</v>
      </c>
      <c r="I769" s="22">
        <v>2500</v>
      </c>
    </row>
    <row r="770" spans="1:9" x14ac:dyDescent="0.3">
      <c r="A770">
        <v>2025</v>
      </c>
      <c r="B770" s="8">
        <v>38</v>
      </c>
      <c r="C770" s="20" t="s">
        <v>19</v>
      </c>
      <c r="D770" s="20" t="s">
        <v>20</v>
      </c>
      <c r="E770" s="20" t="s">
        <v>232</v>
      </c>
      <c r="F770" s="20" t="s">
        <v>232</v>
      </c>
      <c r="G770" s="20" t="s">
        <v>234</v>
      </c>
      <c r="H770" s="23">
        <v>3321</v>
      </c>
      <c r="I770" s="22">
        <v>2500</v>
      </c>
    </row>
    <row r="771" spans="1:9" x14ac:dyDescent="0.3">
      <c r="A771">
        <v>2025</v>
      </c>
      <c r="B771" s="8">
        <v>38</v>
      </c>
      <c r="C771" s="20" t="s">
        <v>396</v>
      </c>
      <c r="D771" s="20" t="s">
        <v>75</v>
      </c>
      <c r="E771" s="22" t="s">
        <v>241</v>
      </c>
      <c r="F771" s="20" t="s">
        <v>291</v>
      </c>
      <c r="G771" s="20" t="s">
        <v>234</v>
      </c>
      <c r="H771" s="23">
        <v>2500.9399999999987</v>
      </c>
      <c r="I771" s="22">
        <v>2500</v>
      </c>
    </row>
    <row r="772" spans="1:9" x14ac:dyDescent="0.3">
      <c r="A772">
        <v>2025</v>
      </c>
      <c r="B772" s="8">
        <v>38</v>
      </c>
      <c r="C772" s="20" t="s">
        <v>23</v>
      </c>
      <c r="D772" s="20" t="s">
        <v>106</v>
      </c>
      <c r="E772" s="20" t="s">
        <v>232</v>
      </c>
      <c r="F772" s="20" t="s">
        <v>232</v>
      </c>
      <c r="G772" s="20" t="s">
        <v>234</v>
      </c>
      <c r="H772" s="23">
        <v>1822.5500000000002</v>
      </c>
      <c r="I772" s="22">
        <v>2500</v>
      </c>
    </row>
    <row r="773" spans="1:9" x14ac:dyDescent="0.3">
      <c r="A773">
        <v>2025</v>
      </c>
      <c r="B773" s="8">
        <v>38</v>
      </c>
      <c r="C773" s="20" t="s">
        <v>23</v>
      </c>
      <c r="D773" s="20" t="s">
        <v>36</v>
      </c>
      <c r="E773" s="22" t="s">
        <v>232</v>
      </c>
      <c r="F773" s="20" t="s">
        <v>291</v>
      </c>
      <c r="G773" s="22" t="s">
        <v>234</v>
      </c>
      <c r="H773" s="23">
        <v>714.77999999999884</v>
      </c>
      <c r="I773" s="22">
        <v>2500</v>
      </c>
    </row>
    <row r="774" spans="1:9" x14ac:dyDescent="0.3">
      <c r="A774">
        <v>2025</v>
      </c>
      <c r="B774" s="8">
        <v>38</v>
      </c>
      <c r="C774" s="20" t="s">
        <v>437</v>
      </c>
      <c r="D774" s="20" t="s">
        <v>418</v>
      </c>
      <c r="E774" s="22" t="s">
        <v>364</v>
      </c>
      <c r="F774" s="22" t="s">
        <v>364</v>
      </c>
      <c r="G774" s="20" t="s">
        <v>234</v>
      </c>
      <c r="H774" s="23">
        <v>2500</v>
      </c>
      <c r="I774" s="22">
        <v>2500</v>
      </c>
    </row>
    <row r="775" spans="1:9" x14ac:dyDescent="0.3">
      <c r="A775">
        <v>2025</v>
      </c>
      <c r="B775" s="8">
        <v>38</v>
      </c>
      <c r="C775" s="20" t="s">
        <v>25</v>
      </c>
      <c r="D775" s="20" t="s">
        <v>67</v>
      </c>
      <c r="E775" s="20" t="s">
        <v>232</v>
      </c>
      <c r="F775" s="20" t="s">
        <v>291</v>
      </c>
      <c r="G775" s="20" t="s">
        <v>234</v>
      </c>
      <c r="H775" s="23">
        <v>2090.7000000000007</v>
      </c>
      <c r="I775" s="22">
        <v>2500</v>
      </c>
    </row>
    <row r="776" spans="1:9" x14ac:dyDescent="0.3">
      <c r="A776">
        <v>2025</v>
      </c>
      <c r="B776" s="8">
        <v>38</v>
      </c>
      <c r="C776" s="20" t="s">
        <v>7</v>
      </c>
      <c r="D776" s="20" t="s">
        <v>8</v>
      </c>
      <c r="E776" s="22" t="s">
        <v>364</v>
      </c>
      <c r="F776" s="22" t="s">
        <v>364</v>
      </c>
      <c r="G776" s="20" t="s">
        <v>234</v>
      </c>
      <c r="H776" s="23">
        <v>2500</v>
      </c>
      <c r="I776" s="22">
        <v>2500</v>
      </c>
    </row>
    <row r="777" spans="1:9" x14ac:dyDescent="0.3">
      <c r="A777">
        <v>2025</v>
      </c>
      <c r="B777" s="8">
        <v>38</v>
      </c>
      <c r="C777" s="20" t="s">
        <v>9</v>
      </c>
      <c r="D777" s="20" t="s">
        <v>10</v>
      </c>
      <c r="E777" s="20" t="s">
        <v>232</v>
      </c>
      <c r="F777" s="20" t="s">
        <v>232</v>
      </c>
      <c r="G777" s="20" t="s">
        <v>234</v>
      </c>
      <c r="H777" s="23">
        <v>3000.619999999999</v>
      </c>
      <c r="I777" s="22">
        <v>2500</v>
      </c>
    </row>
    <row r="778" spans="1:9" x14ac:dyDescent="0.3">
      <c r="A778">
        <v>2025</v>
      </c>
      <c r="B778" s="8">
        <v>38</v>
      </c>
      <c r="C778" s="20" t="s">
        <v>424</v>
      </c>
      <c r="D778" s="20" t="s">
        <v>418</v>
      </c>
      <c r="E778" s="22" t="s">
        <v>364</v>
      </c>
      <c r="F778" s="22" t="s">
        <v>364</v>
      </c>
      <c r="G778" s="20" t="s">
        <v>234</v>
      </c>
      <c r="H778" s="23">
        <v>-200</v>
      </c>
      <c r="I778" s="22">
        <v>2500</v>
      </c>
    </row>
    <row r="779" spans="1:9" x14ac:dyDescent="0.3">
      <c r="A779">
        <v>2025</v>
      </c>
      <c r="B779" s="8">
        <v>38</v>
      </c>
      <c r="C779" s="20" t="s">
        <v>440</v>
      </c>
      <c r="D779" s="20" t="s">
        <v>86</v>
      </c>
      <c r="E779" s="22" t="s">
        <v>232</v>
      </c>
      <c r="F779" s="20" t="s">
        <v>291</v>
      </c>
      <c r="G779" s="20" t="s">
        <v>234</v>
      </c>
      <c r="H779" s="23">
        <v>3500.5199999999995</v>
      </c>
      <c r="I779" s="22">
        <v>2500</v>
      </c>
    </row>
    <row r="780" spans="1:9" x14ac:dyDescent="0.3">
      <c r="A780">
        <v>2025</v>
      </c>
      <c r="B780" s="8">
        <v>38</v>
      </c>
      <c r="C780" s="20" t="s">
        <v>72</v>
      </c>
      <c r="D780" s="20" t="s">
        <v>73</v>
      </c>
      <c r="E780" s="22" t="s">
        <v>241</v>
      </c>
      <c r="F780" s="20" t="s">
        <v>291</v>
      </c>
      <c r="G780" s="20" t="s">
        <v>234</v>
      </c>
      <c r="H780" s="23">
        <v>2500</v>
      </c>
      <c r="I780" s="22">
        <v>2500</v>
      </c>
    </row>
    <row r="781" spans="1:9" x14ac:dyDescent="0.3">
      <c r="A781">
        <v>2025</v>
      </c>
      <c r="B781" s="8">
        <v>38</v>
      </c>
      <c r="C781" s="20" t="s">
        <v>292</v>
      </c>
      <c r="D781" s="20" t="s">
        <v>52</v>
      </c>
      <c r="E781" s="20" t="s">
        <v>232</v>
      </c>
      <c r="F781" s="20" t="s">
        <v>232</v>
      </c>
      <c r="G781" s="20" t="s">
        <v>234</v>
      </c>
      <c r="H781" s="23">
        <v>2500</v>
      </c>
      <c r="I781" s="22">
        <v>2500</v>
      </c>
    </row>
    <row r="782" spans="1:9" x14ac:dyDescent="0.3">
      <c r="A782">
        <v>2025</v>
      </c>
      <c r="B782" s="8">
        <v>38</v>
      </c>
      <c r="C782" s="20" t="s">
        <v>105</v>
      </c>
      <c r="D782" s="20" t="s">
        <v>104</v>
      </c>
      <c r="E782" s="22" t="s">
        <v>364</v>
      </c>
      <c r="F782" s="22" t="s">
        <v>364</v>
      </c>
      <c r="G782" s="20" t="s">
        <v>425</v>
      </c>
      <c r="H782" s="23">
        <v>3000</v>
      </c>
      <c r="I782" s="22">
        <v>2500</v>
      </c>
    </row>
    <row r="783" spans="1:9" x14ac:dyDescent="0.3">
      <c r="A783">
        <v>2025</v>
      </c>
      <c r="B783" s="8">
        <v>38</v>
      </c>
      <c r="C783" s="20" t="s">
        <v>57</v>
      </c>
      <c r="D783" s="20" t="s">
        <v>16</v>
      </c>
      <c r="E783" s="20" t="s">
        <v>232</v>
      </c>
      <c r="F783" s="20" t="s">
        <v>232</v>
      </c>
      <c r="G783" s="20" t="s">
        <v>234</v>
      </c>
      <c r="H783" s="23">
        <v>602.84000000000106</v>
      </c>
      <c r="I783" s="22">
        <v>2500</v>
      </c>
    </row>
    <row r="784" spans="1:9" x14ac:dyDescent="0.3">
      <c r="A784">
        <v>2025</v>
      </c>
      <c r="B784" s="8">
        <v>38</v>
      </c>
      <c r="C784" s="20" t="s">
        <v>288</v>
      </c>
      <c r="D784" s="20" t="s">
        <v>22</v>
      </c>
      <c r="E784" s="20" t="s">
        <v>232</v>
      </c>
      <c r="F784" s="20" t="s">
        <v>232</v>
      </c>
      <c r="G784" s="20" t="s">
        <v>234</v>
      </c>
      <c r="H784" s="23">
        <v>2500</v>
      </c>
      <c r="I784" s="22">
        <v>2500</v>
      </c>
    </row>
    <row r="785" spans="1:9" x14ac:dyDescent="0.3">
      <c r="A785">
        <v>2025</v>
      </c>
      <c r="B785" s="8">
        <v>38</v>
      </c>
      <c r="C785" s="20" t="s">
        <v>35</v>
      </c>
      <c r="D785" s="20" t="s">
        <v>97</v>
      </c>
      <c r="E785" s="20" t="s">
        <v>232</v>
      </c>
      <c r="F785" s="20" t="s">
        <v>232</v>
      </c>
      <c r="G785" s="20" t="s">
        <v>234</v>
      </c>
      <c r="H785" s="23">
        <v>517.62999999999988</v>
      </c>
      <c r="I785" s="22">
        <v>2500</v>
      </c>
    </row>
    <row r="786" spans="1:9" x14ac:dyDescent="0.3">
      <c r="A786">
        <v>2025</v>
      </c>
      <c r="B786" s="8">
        <v>38</v>
      </c>
      <c r="C786" s="20" t="s">
        <v>35</v>
      </c>
      <c r="D786" s="20" t="s">
        <v>36</v>
      </c>
      <c r="E786" s="20" t="s">
        <v>232</v>
      </c>
      <c r="F786" s="20" t="s">
        <v>291</v>
      </c>
      <c r="G786" s="20" t="s">
        <v>234</v>
      </c>
      <c r="H786" s="23">
        <v>129.22000000000003</v>
      </c>
      <c r="I786" s="22"/>
    </row>
    <row r="787" spans="1:9" x14ac:dyDescent="0.3">
      <c r="A787">
        <v>2025</v>
      </c>
      <c r="B787" s="8">
        <v>38</v>
      </c>
      <c r="C787" s="20" t="s">
        <v>37</v>
      </c>
      <c r="D787" s="20" t="s">
        <v>30</v>
      </c>
      <c r="E787" s="22" t="s">
        <v>232</v>
      </c>
      <c r="F787" s="20" t="s">
        <v>291</v>
      </c>
      <c r="G787" s="20" t="s">
        <v>234</v>
      </c>
      <c r="H787" s="23">
        <v>2507.9600000000009</v>
      </c>
      <c r="I787" s="22">
        <v>2500</v>
      </c>
    </row>
    <row r="788" spans="1:9" x14ac:dyDescent="0.3">
      <c r="A788">
        <v>2025</v>
      </c>
      <c r="B788" s="8">
        <v>38</v>
      </c>
      <c r="C788" s="20" t="s">
        <v>61</v>
      </c>
      <c r="D788" s="20" t="s">
        <v>34</v>
      </c>
      <c r="E788" s="20" t="s">
        <v>232</v>
      </c>
      <c r="F788" s="20" t="s">
        <v>232</v>
      </c>
      <c r="G788" s="20" t="s">
        <v>234</v>
      </c>
      <c r="H788" s="23">
        <v>3000.1000000000004</v>
      </c>
      <c r="I788" s="22">
        <v>2500</v>
      </c>
    </row>
    <row r="789" spans="1:9" x14ac:dyDescent="0.3">
      <c r="A789">
        <v>2025</v>
      </c>
      <c r="B789" s="8">
        <v>38</v>
      </c>
      <c r="C789" s="20" t="s">
        <v>361</v>
      </c>
      <c r="D789" s="20" t="s">
        <v>56</v>
      </c>
      <c r="E789" s="22" t="s">
        <v>241</v>
      </c>
      <c r="F789" s="20" t="s">
        <v>291</v>
      </c>
      <c r="G789" s="22" t="s">
        <v>234</v>
      </c>
      <c r="H789" s="23">
        <v>2500</v>
      </c>
      <c r="I789" s="22">
        <v>2500</v>
      </c>
    </row>
    <row r="790" spans="1:9" x14ac:dyDescent="0.3">
      <c r="A790">
        <v>2025</v>
      </c>
      <c r="B790" s="8">
        <v>38</v>
      </c>
      <c r="C790" s="20" t="s">
        <v>434</v>
      </c>
      <c r="D790" s="44" t="s">
        <v>79</v>
      </c>
      <c r="E790" s="20" t="s">
        <v>291</v>
      </c>
      <c r="F790" s="20" t="s">
        <v>291</v>
      </c>
      <c r="G790" s="22" t="s">
        <v>234</v>
      </c>
      <c r="H790" s="23">
        <v>1600.62</v>
      </c>
      <c r="I790" s="22">
        <v>2500</v>
      </c>
    </row>
    <row r="791" spans="1:9" x14ac:dyDescent="0.3">
      <c r="A791">
        <v>2025</v>
      </c>
      <c r="B791" s="8">
        <v>38</v>
      </c>
      <c r="C791" s="20" t="s">
        <v>417</v>
      </c>
      <c r="D791" s="20" t="s">
        <v>428</v>
      </c>
      <c r="E791" s="22" t="s">
        <v>364</v>
      </c>
      <c r="F791" s="22" t="s">
        <v>364</v>
      </c>
      <c r="G791" s="20" t="s">
        <v>234</v>
      </c>
      <c r="H791" s="23">
        <v>3000</v>
      </c>
      <c r="I791" s="22">
        <v>2500</v>
      </c>
    </row>
    <row r="792" spans="1:9" x14ac:dyDescent="0.3">
      <c r="A792">
        <v>2025</v>
      </c>
      <c r="B792" s="8">
        <v>38</v>
      </c>
      <c r="C792" s="20" t="s">
        <v>45</v>
      </c>
      <c r="D792" s="20" t="s">
        <v>46</v>
      </c>
      <c r="E792" s="20" t="s">
        <v>232</v>
      </c>
      <c r="F792" s="20" t="s">
        <v>232</v>
      </c>
      <c r="G792" s="22" t="s">
        <v>234</v>
      </c>
      <c r="H792" s="23">
        <v>3499.3399999999992</v>
      </c>
      <c r="I792" s="22">
        <v>2500</v>
      </c>
    </row>
    <row r="793" spans="1:9" x14ac:dyDescent="0.3">
      <c r="A793">
        <v>2025</v>
      </c>
      <c r="B793" s="8">
        <v>38</v>
      </c>
      <c r="C793" s="20" t="s">
        <v>5</v>
      </c>
      <c r="D793" s="20" t="s">
        <v>28</v>
      </c>
      <c r="E793" s="20" t="s">
        <v>232</v>
      </c>
      <c r="F793" s="20" t="s">
        <v>232</v>
      </c>
      <c r="G793" s="20" t="s">
        <v>234</v>
      </c>
      <c r="H793" s="23">
        <v>2689.2200000000003</v>
      </c>
      <c r="I793" s="22">
        <v>2500</v>
      </c>
    </row>
    <row r="794" spans="1:9" x14ac:dyDescent="0.3">
      <c r="A794">
        <v>2025</v>
      </c>
      <c r="B794" s="8">
        <v>38</v>
      </c>
      <c r="C794" s="20" t="s">
        <v>362</v>
      </c>
      <c r="D794" s="20" t="s">
        <v>50</v>
      </c>
      <c r="E794" s="20" t="s">
        <v>232</v>
      </c>
      <c r="F794" s="20" t="s">
        <v>232</v>
      </c>
      <c r="G794" s="20" t="s">
        <v>234</v>
      </c>
      <c r="H794" s="23">
        <v>2851.1000000000004</v>
      </c>
      <c r="I794" s="22">
        <v>2500</v>
      </c>
    </row>
    <row r="795" spans="1:9" x14ac:dyDescent="0.3">
      <c r="A795">
        <v>2025</v>
      </c>
      <c r="B795" s="8">
        <v>38</v>
      </c>
      <c r="C795" s="20" t="s">
        <v>414</v>
      </c>
      <c r="D795" s="20" t="s">
        <v>59</v>
      </c>
      <c r="E795" s="22" t="s">
        <v>232</v>
      </c>
      <c r="F795" s="20" t="s">
        <v>291</v>
      </c>
      <c r="G795" s="20" t="s">
        <v>234</v>
      </c>
      <c r="H795" s="23">
        <v>3000</v>
      </c>
      <c r="I795" s="22">
        <v>2500</v>
      </c>
    </row>
    <row r="796" spans="1:9" x14ac:dyDescent="0.3">
      <c r="A796">
        <v>2025</v>
      </c>
      <c r="B796" s="8">
        <v>38</v>
      </c>
      <c r="C796" s="20" t="s">
        <v>74</v>
      </c>
      <c r="D796" s="20" t="s">
        <v>77</v>
      </c>
      <c r="E796" s="22" t="s">
        <v>232</v>
      </c>
      <c r="F796" s="20" t="s">
        <v>291</v>
      </c>
      <c r="G796" s="20" t="s">
        <v>234</v>
      </c>
      <c r="H796" s="23">
        <v>3000</v>
      </c>
      <c r="I796" s="22">
        <v>2500</v>
      </c>
    </row>
    <row r="797" spans="1:9" x14ac:dyDescent="0.3">
      <c r="A797">
        <v>2025</v>
      </c>
      <c r="B797" s="8">
        <v>38</v>
      </c>
      <c r="C797" s="20" t="s">
        <v>132</v>
      </c>
      <c r="D797" s="20" t="s">
        <v>204</v>
      </c>
      <c r="E797" s="22" t="s">
        <v>364</v>
      </c>
      <c r="F797" s="22" t="s">
        <v>364</v>
      </c>
      <c r="G797" s="20" t="s">
        <v>234</v>
      </c>
      <c r="H797" s="23">
        <v>2500</v>
      </c>
      <c r="I797" s="22">
        <v>2500</v>
      </c>
    </row>
    <row r="798" spans="1:9" x14ac:dyDescent="0.3">
      <c r="A798">
        <v>2025</v>
      </c>
      <c r="B798" s="8">
        <v>38</v>
      </c>
      <c r="C798" s="20" t="s">
        <v>98</v>
      </c>
      <c r="D798" s="20" t="s">
        <v>168</v>
      </c>
      <c r="E798" s="20" t="s">
        <v>232</v>
      </c>
      <c r="F798" s="20" t="s">
        <v>232</v>
      </c>
      <c r="G798" s="20" t="s">
        <v>234</v>
      </c>
      <c r="H798" s="23">
        <v>-3078.7200000000003</v>
      </c>
      <c r="I798" s="22">
        <v>2500</v>
      </c>
    </row>
    <row r="799" spans="1:9" x14ac:dyDescent="0.3">
      <c r="A799">
        <v>2025</v>
      </c>
      <c r="B799" s="8">
        <v>39</v>
      </c>
      <c r="C799" s="20" t="s">
        <v>11</v>
      </c>
      <c r="D799" s="20" t="s">
        <v>54</v>
      </c>
      <c r="E799" s="20" t="s">
        <v>232</v>
      </c>
      <c r="F799" s="20" t="s">
        <v>232</v>
      </c>
      <c r="G799" s="20" t="s">
        <v>234</v>
      </c>
      <c r="H799" s="23">
        <v>2643</v>
      </c>
      <c r="I799" s="22">
        <v>2500</v>
      </c>
    </row>
    <row r="800" spans="1:9" x14ac:dyDescent="0.3">
      <c r="A800">
        <v>2025</v>
      </c>
      <c r="B800" s="8">
        <v>39</v>
      </c>
      <c r="C800" s="20" t="s">
        <v>80</v>
      </c>
      <c r="D800" s="20" t="s">
        <v>81</v>
      </c>
      <c r="E800" s="20" t="s">
        <v>232</v>
      </c>
      <c r="F800" s="20" t="s">
        <v>232</v>
      </c>
      <c r="G800" s="20" t="s">
        <v>234</v>
      </c>
      <c r="H800" s="23">
        <v>2500</v>
      </c>
      <c r="I800" s="22">
        <v>2500</v>
      </c>
    </row>
    <row r="801" spans="1:9" x14ac:dyDescent="0.3">
      <c r="A801">
        <v>2025</v>
      </c>
      <c r="B801" s="8">
        <v>39</v>
      </c>
      <c r="C801" s="20" t="s">
        <v>13</v>
      </c>
      <c r="D801" s="20" t="s">
        <v>40</v>
      </c>
      <c r="E801" s="20" t="s">
        <v>232</v>
      </c>
      <c r="F801" s="20" t="s">
        <v>232</v>
      </c>
      <c r="G801" s="20" t="s">
        <v>234</v>
      </c>
      <c r="H801" s="23">
        <v>3000</v>
      </c>
      <c r="I801" s="22">
        <v>2500</v>
      </c>
    </row>
    <row r="802" spans="1:9" x14ac:dyDescent="0.3">
      <c r="A802">
        <v>2025</v>
      </c>
      <c r="B802" s="8">
        <v>39</v>
      </c>
      <c r="C802" s="20" t="s">
        <v>111</v>
      </c>
      <c r="D802" s="20" t="s">
        <v>63</v>
      </c>
      <c r="E802" s="20" t="s">
        <v>291</v>
      </c>
      <c r="F802" s="20" t="s">
        <v>291</v>
      </c>
      <c r="G802" s="20" t="s">
        <v>234</v>
      </c>
      <c r="H802" s="23">
        <v>2500</v>
      </c>
      <c r="I802" s="22">
        <v>2500</v>
      </c>
    </row>
    <row r="803" spans="1:9" x14ac:dyDescent="0.3">
      <c r="A803">
        <v>2025</v>
      </c>
      <c r="B803" s="8">
        <v>39</v>
      </c>
      <c r="C803" s="20" t="s">
        <v>17</v>
      </c>
      <c r="D803" s="20" t="s">
        <v>69</v>
      </c>
      <c r="E803" s="22" t="s">
        <v>241</v>
      </c>
      <c r="F803" s="20" t="s">
        <v>291</v>
      </c>
      <c r="G803" s="20" t="s">
        <v>234</v>
      </c>
      <c r="H803" s="23">
        <v>3000</v>
      </c>
      <c r="I803" s="22">
        <v>2500</v>
      </c>
    </row>
    <row r="804" spans="1:9" x14ac:dyDescent="0.3">
      <c r="A804">
        <v>2025</v>
      </c>
      <c r="B804" s="8">
        <v>39</v>
      </c>
      <c r="C804" s="20" t="s">
        <v>19</v>
      </c>
      <c r="D804" s="20" t="s">
        <v>20</v>
      </c>
      <c r="E804" s="20" t="s">
        <v>232</v>
      </c>
      <c r="F804" s="20" t="s">
        <v>232</v>
      </c>
      <c r="G804" s="20" t="s">
        <v>234</v>
      </c>
      <c r="H804" s="23">
        <v>3500</v>
      </c>
      <c r="I804" s="22">
        <v>2500</v>
      </c>
    </row>
    <row r="805" spans="1:9" x14ac:dyDescent="0.3">
      <c r="A805">
        <v>2025</v>
      </c>
      <c r="B805" s="8">
        <v>39</v>
      </c>
      <c r="C805" s="20" t="s">
        <v>396</v>
      </c>
      <c r="D805" s="20" t="s">
        <v>75</v>
      </c>
      <c r="E805" s="22" t="s">
        <v>241</v>
      </c>
      <c r="F805" s="20" t="s">
        <v>291</v>
      </c>
      <c r="G805" s="20" t="s">
        <v>234</v>
      </c>
      <c r="H805" s="23">
        <v>1479.2200000000007</v>
      </c>
      <c r="I805" s="22">
        <v>2500</v>
      </c>
    </row>
    <row r="806" spans="1:9" x14ac:dyDescent="0.3">
      <c r="A806">
        <v>2025</v>
      </c>
      <c r="B806" s="8">
        <v>39</v>
      </c>
      <c r="C806" s="20" t="s">
        <v>444</v>
      </c>
      <c r="D806" s="20" t="s">
        <v>4</v>
      </c>
      <c r="E806" s="20" t="s">
        <v>232</v>
      </c>
      <c r="F806" s="20" t="s">
        <v>232</v>
      </c>
      <c r="G806" s="20" t="s">
        <v>234</v>
      </c>
      <c r="H806" s="23">
        <v>2326.62</v>
      </c>
      <c r="I806" s="22">
        <v>2500</v>
      </c>
    </row>
    <row r="807" spans="1:9" x14ac:dyDescent="0.3">
      <c r="A807">
        <v>2025</v>
      </c>
      <c r="B807" s="8">
        <v>39</v>
      </c>
      <c r="C807" s="20" t="s">
        <v>23</v>
      </c>
      <c r="D807" s="20" t="s">
        <v>106</v>
      </c>
      <c r="E807" s="20" t="s">
        <v>232</v>
      </c>
      <c r="F807" s="20" t="s">
        <v>232</v>
      </c>
      <c r="G807" s="20" t="s">
        <v>234</v>
      </c>
      <c r="H807" s="23">
        <v>2491.34</v>
      </c>
      <c r="I807" s="22">
        <v>2500</v>
      </c>
    </row>
    <row r="808" spans="1:9" x14ac:dyDescent="0.3">
      <c r="A808">
        <v>2025</v>
      </c>
      <c r="B808" s="8">
        <v>39</v>
      </c>
      <c r="C808" s="20" t="s">
        <v>25</v>
      </c>
      <c r="D808" s="20" t="s">
        <v>67</v>
      </c>
      <c r="E808" s="20" t="s">
        <v>232</v>
      </c>
      <c r="F808" s="20" t="s">
        <v>291</v>
      </c>
      <c r="G808" s="20" t="s">
        <v>234</v>
      </c>
      <c r="H808" s="23">
        <v>2887.362000000001</v>
      </c>
      <c r="I808" s="22">
        <v>2500</v>
      </c>
    </row>
    <row r="809" spans="1:9" x14ac:dyDescent="0.3">
      <c r="A809">
        <v>2025</v>
      </c>
      <c r="B809" s="8">
        <v>39</v>
      </c>
      <c r="C809" s="20" t="s">
        <v>7</v>
      </c>
      <c r="D809" s="20" t="s">
        <v>8</v>
      </c>
      <c r="E809" s="22" t="s">
        <v>364</v>
      </c>
      <c r="F809" s="22" t="s">
        <v>364</v>
      </c>
      <c r="G809" s="20" t="s">
        <v>425</v>
      </c>
      <c r="H809" s="23">
        <v>2877.7142857142858</v>
      </c>
      <c r="I809" s="22">
        <v>2500</v>
      </c>
    </row>
    <row r="810" spans="1:9" x14ac:dyDescent="0.3">
      <c r="A810">
        <v>2025</v>
      </c>
      <c r="B810" s="8">
        <v>39</v>
      </c>
      <c r="C810" s="20" t="s">
        <v>9</v>
      </c>
      <c r="D810" s="20" t="s">
        <v>10</v>
      </c>
      <c r="E810" s="20" t="s">
        <v>232</v>
      </c>
      <c r="F810" s="20" t="s">
        <v>232</v>
      </c>
      <c r="G810" s="20" t="s">
        <v>234</v>
      </c>
      <c r="H810" s="23">
        <v>3000.8199999999988</v>
      </c>
      <c r="I810" s="22">
        <v>2500</v>
      </c>
    </row>
    <row r="811" spans="1:9" x14ac:dyDescent="0.3">
      <c r="A811">
        <v>2025</v>
      </c>
      <c r="B811" s="9">
        <v>39</v>
      </c>
      <c r="C811" s="30" t="s">
        <v>424</v>
      </c>
      <c r="D811" s="30" t="s">
        <v>418</v>
      </c>
      <c r="E811" s="22" t="s">
        <v>364</v>
      </c>
      <c r="F811" s="22" t="s">
        <v>364</v>
      </c>
      <c r="G811" s="20" t="s">
        <v>234</v>
      </c>
      <c r="H811" s="23">
        <v>-200</v>
      </c>
      <c r="I811" s="22">
        <v>2500</v>
      </c>
    </row>
    <row r="812" spans="1:9" x14ac:dyDescent="0.3">
      <c r="A812">
        <v>2025</v>
      </c>
      <c r="B812" s="8">
        <v>39</v>
      </c>
      <c r="C812" s="20" t="s">
        <v>440</v>
      </c>
      <c r="D812" s="20" t="s">
        <v>86</v>
      </c>
      <c r="E812" s="22" t="s">
        <v>232</v>
      </c>
      <c r="F812" s="20" t="s">
        <v>291</v>
      </c>
      <c r="G812" s="20" t="s">
        <v>234</v>
      </c>
      <c r="H812" s="23">
        <v>-656.74000000000069</v>
      </c>
      <c r="I812" s="22">
        <v>2500</v>
      </c>
    </row>
    <row r="813" spans="1:9" x14ac:dyDescent="0.3">
      <c r="A813">
        <v>2025</v>
      </c>
      <c r="B813" s="8">
        <v>39</v>
      </c>
      <c r="C813" s="20" t="s">
        <v>72</v>
      </c>
      <c r="D813" s="20" t="s">
        <v>73</v>
      </c>
      <c r="E813" s="22" t="s">
        <v>241</v>
      </c>
      <c r="F813" s="20" t="s">
        <v>291</v>
      </c>
      <c r="G813" s="20" t="s">
        <v>234</v>
      </c>
      <c r="H813" s="23">
        <v>2500</v>
      </c>
      <c r="I813" s="22">
        <v>2500</v>
      </c>
    </row>
    <row r="814" spans="1:9" x14ac:dyDescent="0.3">
      <c r="A814">
        <v>2025</v>
      </c>
      <c r="B814" s="8">
        <v>39</v>
      </c>
      <c r="C814" s="20" t="s">
        <v>292</v>
      </c>
      <c r="D814" s="20" t="s">
        <v>52</v>
      </c>
      <c r="E814" s="20" t="s">
        <v>232</v>
      </c>
      <c r="F814" s="20" t="s">
        <v>232</v>
      </c>
      <c r="G814" s="20" t="s">
        <v>234</v>
      </c>
      <c r="H814" s="23">
        <v>2500</v>
      </c>
      <c r="I814" s="22">
        <v>2500</v>
      </c>
    </row>
    <row r="815" spans="1:9" x14ac:dyDescent="0.3">
      <c r="A815">
        <v>2025</v>
      </c>
      <c r="B815" s="8">
        <v>39</v>
      </c>
      <c r="C815" s="20" t="s">
        <v>105</v>
      </c>
      <c r="D815" s="20" t="s">
        <v>418</v>
      </c>
      <c r="E815" s="22" t="s">
        <v>364</v>
      </c>
      <c r="F815" s="22" t="s">
        <v>364</v>
      </c>
      <c r="G815" s="20" t="s">
        <v>425</v>
      </c>
      <c r="H815" s="23">
        <v>3000</v>
      </c>
      <c r="I815" s="22">
        <v>2500</v>
      </c>
    </row>
    <row r="816" spans="1:9" x14ac:dyDescent="0.3">
      <c r="A816">
        <v>2025</v>
      </c>
      <c r="B816" s="8">
        <v>39</v>
      </c>
      <c r="C816" s="20" t="s">
        <v>57</v>
      </c>
      <c r="D816" s="20" t="s">
        <v>16</v>
      </c>
      <c r="E816" s="20" t="s">
        <v>232</v>
      </c>
      <c r="F816" s="20" t="s">
        <v>232</v>
      </c>
      <c r="G816" s="20" t="s">
        <v>234</v>
      </c>
      <c r="H816" s="23">
        <v>4236</v>
      </c>
      <c r="I816" s="22">
        <v>2500</v>
      </c>
    </row>
    <row r="817" spans="1:9" x14ac:dyDescent="0.3">
      <c r="A817">
        <v>2025</v>
      </c>
      <c r="B817" s="8">
        <v>39</v>
      </c>
      <c r="C817" s="20" t="s">
        <v>288</v>
      </c>
      <c r="D817" s="20" t="s">
        <v>22</v>
      </c>
      <c r="E817" s="20" t="s">
        <v>232</v>
      </c>
      <c r="F817" s="20" t="s">
        <v>232</v>
      </c>
      <c r="G817" s="20" t="s">
        <v>234</v>
      </c>
      <c r="H817" s="23">
        <v>2500</v>
      </c>
      <c r="I817" s="22">
        <v>2500</v>
      </c>
    </row>
    <row r="818" spans="1:9" x14ac:dyDescent="0.3">
      <c r="A818">
        <v>2025</v>
      </c>
      <c r="B818" s="8">
        <v>39</v>
      </c>
      <c r="C818" s="20" t="s">
        <v>35</v>
      </c>
      <c r="D818" s="20" t="s">
        <v>36</v>
      </c>
      <c r="E818" s="20" t="s">
        <v>232</v>
      </c>
      <c r="F818" s="20" t="s">
        <v>291</v>
      </c>
      <c r="G818" s="20" t="s">
        <v>234</v>
      </c>
      <c r="H818" s="23">
        <v>2828.16</v>
      </c>
      <c r="I818" s="22">
        <v>2500</v>
      </c>
    </row>
    <row r="819" spans="1:9" x14ac:dyDescent="0.3">
      <c r="A819">
        <v>2025</v>
      </c>
      <c r="B819" s="8">
        <v>39</v>
      </c>
      <c r="C819" s="20" t="s">
        <v>35</v>
      </c>
      <c r="D819" s="20" t="s">
        <v>97</v>
      </c>
      <c r="E819" s="22" t="s">
        <v>232</v>
      </c>
      <c r="F819" s="20" t="s">
        <v>232</v>
      </c>
      <c r="G819" s="20" t="s">
        <v>234</v>
      </c>
      <c r="H819" s="23">
        <v>457.12</v>
      </c>
      <c r="I819" s="22"/>
    </row>
    <row r="820" spans="1:9" x14ac:dyDescent="0.3">
      <c r="A820">
        <v>2025</v>
      </c>
      <c r="B820" s="8">
        <v>39</v>
      </c>
      <c r="C820" s="20" t="s">
        <v>37</v>
      </c>
      <c r="D820" s="20" t="s">
        <v>30</v>
      </c>
      <c r="E820" s="22" t="s">
        <v>232</v>
      </c>
      <c r="F820" s="20" t="s">
        <v>291</v>
      </c>
      <c r="G820" s="20" t="s">
        <v>234</v>
      </c>
      <c r="H820" s="23">
        <v>1425.2599999999998</v>
      </c>
      <c r="I820" s="22">
        <v>2500</v>
      </c>
    </row>
    <row r="821" spans="1:9" x14ac:dyDescent="0.3">
      <c r="A821">
        <v>2025</v>
      </c>
      <c r="B821" s="8">
        <v>39</v>
      </c>
      <c r="C821" s="20" t="s">
        <v>61</v>
      </c>
      <c r="D821" s="20" t="s">
        <v>34</v>
      </c>
      <c r="E821" s="20" t="s">
        <v>232</v>
      </c>
      <c r="F821" s="20" t="s">
        <v>232</v>
      </c>
      <c r="G821" s="20" t="s">
        <v>234</v>
      </c>
      <c r="H821" s="23">
        <v>3000.9600000000009</v>
      </c>
      <c r="I821" s="22">
        <v>2500</v>
      </c>
    </row>
    <row r="822" spans="1:9" x14ac:dyDescent="0.3">
      <c r="A822">
        <v>2025</v>
      </c>
      <c r="B822" s="8">
        <v>39</v>
      </c>
      <c r="C822" s="20" t="s">
        <v>361</v>
      </c>
      <c r="D822" s="20" t="s">
        <v>56</v>
      </c>
      <c r="E822" s="22" t="s">
        <v>241</v>
      </c>
      <c r="F822" s="20" t="s">
        <v>291</v>
      </c>
      <c r="G822" s="20" t="s">
        <v>234</v>
      </c>
      <c r="H822" s="23">
        <v>3125.08</v>
      </c>
      <c r="I822" s="22">
        <v>2500</v>
      </c>
    </row>
    <row r="823" spans="1:9" x14ac:dyDescent="0.3">
      <c r="A823">
        <v>2025</v>
      </c>
      <c r="B823" s="9">
        <v>39</v>
      </c>
      <c r="C823" s="30" t="s">
        <v>434</v>
      </c>
      <c r="D823" s="44" t="s">
        <v>79</v>
      </c>
      <c r="E823" s="20" t="s">
        <v>291</v>
      </c>
      <c r="F823" s="20" t="s">
        <v>291</v>
      </c>
      <c r="G823" s="22" t="s">
        <v>234</v>
      </c>
      <c r="H823" s="23">
        <v>-779</v>
      </c>
      <c r="I823" s="22">
        <v>2500</v>
      </c>
    </row>
    <row r="824" spans="1:9" x14ac:dyDescent="0.3">
      <c r="A824">
        <v>2025</v>
      </c>
      <c r="B824" s="8">
        <v>39</v>
      </c>
      <c r="C824" s="41" t="s">
        <v>434</v>
      </c>
      <c r="D824" s="41" t="s">
        <v>42</v>
      </c>
      <c r="E824" s="41" t="s">
        <v>232</v>
      </c>
      <c r="F824" s="41" t="s">
        <v>232</v>
      </c>
      <c r="G824" s="20" t="s">
        <v>234</v>
      </c>
      <c r="H824" s="23">
        <v>2964.76</v>
      </c>
      <c r="I824" s="22"/>
    </row>
    <row r="825" spans="1:9" x14ac:dyDescent="0.3">
      <c r="A825">
        <v>2025</v>
      </c>
      <c r="B825" s="8">
        <v>39</v>
      </c>
      <c r="C825" s="20" t="s">
        <v>417</v>
      </c>
      <c r="D825" s="20" t="s">
        <v>428</v>
      </c>
      <c r="E825" s="22" t="s">
        <v>364</v>
      </c>
      <c r="F825" s="22" t="s">
        <v>364</v>
      </c>
      <c r="G825" s="20" t="s">
        <v>234</v>
      </c>
      <c r="H825" s="23">
        <v>1087.1599999999999</v>
      </c>
      <c r="I825" s="22">
        <v>2500</v>
      </c>
    </row>
    <row r="826" spans="1:9" x14ac:dyDescent="0.3">
      <c r="A826">
        <v>2025</v>
      </c>
      <c r="B826" s="8">
        <v>39</v>
      </c>
      <c r="C826" s="20" t="s">
        <v>45</v>
      </c>
      <c r="D826" s="20" t="s">
        <v>46</v>
      </c>
      <c r="E826" s="20" t="s">
        <v>232</v>
      </c>
      <c r="F826" s="20" t="s">
        <v>232</v>
      </c>
      <c r="G826" s="20" t="s">
        <v>234</v>
      </c>
      <c r="H826" s="23">
        <v>2499.3600000000006</v>
      </c>
      <c r="I826" s="22">
        <v>2500</v>
      </c>
    </row>
    <row r="827" spans="1:9" x14ac:dyDescent="0.3">
      <c r="A827">
        <v>2025</v>
      </c>
      <c r="B827" s="8">
        <v>39</v>
      </c>
      <c r="C827" s="20" t="s">
        <v>5</v>
      </c>
      <c r="D827" s="20" t="s">
        <v>28</v>
      </c>
      <c r="E827" s="20" t="s">
        <v>232</v>
      </c>
      <c r="F827" s="20" t="s">
        <v>232</v>
      </c>
      <c r="G827" s="20" t="s">
        <v>234</v>
      </c>
      <c r="H827" s="23">
        <v>2144.38</v>
      </c>
      <c r="I827" s="22">
        <v>2500</v>
      </c>
    </row>
    <row r="828" spans="1:9" x14ac:dyDescent="0.3">
      <c r="A828">
        <v>2025</v>
      </c>
      <c r="B828" s="8">
        <v>39</v>
      </c>
      <c r="C828" s="20" t="s">
        <v>49</v>
      </c>
      <c r="D828" s="20" t="s">
        <v>104</v>
      </c>
      <c r="E828" s="20" t="s">
        <v>364</v>
      </c>
      <c r="F828" s="22" t="s">
        <v>364</v>
      </c>
      <c r="G828" s="20" t="s">
        <v>234</v>
      </c>
      <c r="H828" s="23">
        <v>1928.5600000000004</v>
      </c>
      <c r="I828" s="22">
        <v>2500</v>
      </c>
    </row>
    <row r="829" spans="1:9" x14ac:dyDescent="0.3">
      <c r="A829">
        <v>2025</v>
      </c>
      <c r="B829" s="8">
        <v>39</v>
      </c>
      <c r="C829" s="20" t="s">
        <v>362</v>
      </c>
      <c r="D829" s="20" t="s">
        <v>50</v>
      </c>
      <c r="E829" s="20" t="s">
        <v>232</v>
      </c>
      <c r="F829" s="20" t="s">
        <v>232</v>
      </c>
      <c r="G829" s="20" t="s">
        <v>234</v>
      </c>
      <c r="H829" s="23">
        <v>2298.5200000000004</v>
      </c>
      <c r="I829" s="22">
        <v>2500</v>
      </c>
    </row>
    <row r="830" spans="1:9" x14ac:dyDescent="0.3">
      <c r="A830">
        <v>2025</v>
      </c>
      <c r="B830" s="8">
        <v>39</v>
      </c>
      <c r="C830" s="20" t="s">
        <v>414</v>
      </c>
      <c r="D830" s="20" t="s">
        <v>59</v>
      </c>
      <c r="E830" s="22" t="s">
        <v>232</v>
      </c>
      <c r="F830" s="20" t="s">
        <v>291</v>
      </c>
      <c r="G830" s="20" t="s">
        <v>234</v>
      </c>
      <c r="H830" s="23">
        <v>893</v>
      </c>
      <c r="I830" s="22">
        <v>2500</v>
      </c>
    </row>
    <row r="831" spans="1:9" x14ac:dyDescent="0.3">
      <c r="A831">
        <v>2025</v>
      </c>
      <c r="B831" s="8">
        <v>39</v>
      </c>
      <c r="C831" s="20" t="s">
        <v>414</v>
      </c>
      <c r="D831" s="20" t="s">
        <v>204</v>
      </c>
      <c r="E831" s="22" t="s">
        <v>364</v>
      </c>
      <c r="F831" s="22" t="s">
        <v>364</v>
      </c>
      <c r="G831" s="20" t="s">
        <v>234</v>
      </c>
      <c r="H831" s="23">
        <v>893</v>
      </c>
      <c r="I831" s="22"/>
    </row>
    <row r="832" spans="1:9" x14ac:dyDescent="0.3">
      <c r="A832">
        <v>2025</v>
      </c>
      <c r="B832" s="8">
        <v>39</v>
      </c>
      <c r="C832" s="20" t="s">
        <v>74</v>
      </c>
      <c r="D832" s="20" t="s">
        <v>77</v>
      </c>
      <c r="E832" s="22" t="s">
        <v>232</v>
      </c>
      <c r="F832" s="20" t="s">
        <v>291</v>
      </c>
      <c r="G832" s="20" t="s">
        <v>234</v>
      </c>
      <c r="H832" s="23">
        <v>2500</v>
      </c>
      <c r="I832" s="22">
        <v>2500</v>
      </c>
    </row>
    <row r="833" spans="1:9" x14ac:dyDescent="0.3">
      <c r="A833">
        <v>2025</v>
      </c>
      <c r="B833" s="8">
        <v>39</v>
      </c>
      <c r="C833" s="20" t="s">
        <v>132</v>
      </c>
      <c r="D833" s="20" t="s">
        <v>204</v>
      </c>
      <c r="E833" s="22" t="s">
        <v>364</v>
      </c>
      <c r="F833" s="22" t="s">
        <v>364</v>
      </c>
      <c r="G833" s="20" t="s">
        <v>234</v>
      </c>
      <c r="H833" s="23">
        <v>2500</v>
      </c>
      <c r="I833" s="22">
        <v>2500</v>
      </c>
    </row>
    <row r="834" spans="1:9" x14ac:dyDescent="0.3">
      <c r="A834">
        <v>2025</v>
      </c>
      <c r="B834" s="8">
        <v>39</v>
      </c>
      <c r="C834" s="20" t="s">
        <v>51</v>
      </c>
      <c r="D834" s="44" t="s">
        <v>79</v>
      </c>
      <c r="E834" s="20" t="s">
        <v>291</v>
      </c>
      <c r="F834" s="20" t="s">
        <v>291</v>
      </c>
      <c r="G834" s="22" t="s">
        <v>234</v>
      </c>
      <c r="H834" s="23">
        <v>1286</v>
      </c>
      <c r="I834" s="22">
        <v>2500</v>
      </c>
    </row>
    <row r="835" spans="1:9" x14ac:dyDescent="0.3">
      <c r="A835">
        <v>2025</v>
      </c>
      <c r="B835" s="8">
        <v>39</v>
      </c>
      <c r="C835" s="20" t="s">
        <v>98</v>
      </c>
      <c r="D835" s="20" t="s">
        <v>168</v>
      </c>
      <c r="E835" s="20" t="s">
        <v>232</v>
      </c>
      <c r="F835" s="20" t="s">
        <v>232</v>
      </c>
      <c r="G835" s="20" t="s">
        <v>234</v>
      </c>
      <c r="H835" s="23">
        <v>2072.1400000000003</v>
      </c>
      <c r="I835" s="22">
        <v>2500</v>
      </c>
    </row>
    <row r="836" spans="1:9" x14ac:dyDescent="0.3">
      <c r="A836">
        <v>2025</v>
      </c>
      <c r="B836" s="8">
        <v>40</v>
      </c>
      <c r="C836" s="20" t="s">
        <v>11</v>
      </c>
      <c r="D836" s="20" t="s">
        <v>54</v>
      </c>
      <c r="E836" s="20" t="s">
        <v>232</v>
      </c>
      <c r="F836" s="20" t="s">
        <v>232</v>
      </c>
      <c r="G836" s="20" t="s">
        <v>234</v>
      </c>
      <c r="H836" s="23">
        <v>2280.71</v>
      </c>
      <c r="I836" s="22">
        <v>2500</v>
      </c>
    </row>
    <row r="837" spans="1:9" x14ac:dyDescent="0.3">
      <c r="A837">
        <v>2025</v>
      </c>
      <c r="B837" s="8">
        <v>40</v>
      </c>
      <c r="C837" s="20" t="s">
        <v>11</v>
      </c>
      <c r="D837" s="44" t="s">
        <v>79</v>
      </c>
      <c r="E837" s="20" t="s">
        <v>291</v>
      </c>
      <c r="F837" s="20" t="s">
        <v>291</v>
      </c>
      <c r="G837" s="20" t="s">
        <v>234</v>
      </c>
      <c r="H837" s="23">
        <v>718.65999999999985</v>
      </c>
      <c r="I837" s="22"/>
    </row>
    <row r="838" spans="1:9" x14ac:dyDescent="0.3">
      <c r="A838">
        <v>2025</v>
      </c>
      <c r="B838" s="8">
        <v>40</v>
      </c>
      <c r="C838" s="20" t="s">
        <v>80</v>
      </c>
      <c r="D838" s="20" t="s">
        <v>81</v>
      </c>
      <c r="E838" s="20" t="s">
        <v>232</v>
      </c>
      <c r="F838" s="20" t="s">
        <v>232</v>
      </c>
      <c r="G838" s="20" t="s">
        <v>234</v>
      </c>
      <c r="H838" s="23">
        <v>2500</v>
      </c>
      <c r="I838" s="22">
        <v>2500</v>
      </c>
    </row>
    <row r="839" spans="1:9" x14ac:dyDescent="0.3">
      <c r="A839">
        <v>2025</v>
      </c>
      <c r="B839" s="8">
        <v>40</v>
      </c>
      <c r="C839" s="20" t="s">
        <v>13</v>
      </c>
      <c r="D839" s="20" t="s">
        <v>40</v>
      </c>
      <c r="E839" s="20" t="s">
        <v>232</v>
      </c>
      <c r="F839" s="20" t="s">
        <v>232</v>
      </c>
      <c r="G839" s="20" t="s">
        <v>234</v>
      </c>
      <c r="H839" s="23">
        <v>3000</v>
      </c>
      <c r="I839" s="22">
        <v>2500</v>
      </c>
    </row>
    <row r="840" spans="1:9" x14ac:dyDescent="0.3">
      <c r="A840">
        <v>2025</v>
      </c>
      <c r="B840" s="8">
        <v>40</v>
      </c>
      <c r="C840" s="20" t="s">
        <v>111</v>
      </c>
      <c r="D840" s="20" t="s">
        <v>63</v>
      </c>
      <c r="E840" s="20" t="s">
        <v>291</v>
      </c>
      <c r="F840" s="20" t="s">
        <v>291</v>
      </c>
      <c r="G840" s="20" t="s">
        <v>234</v>
      </c>
      <c r="H840" s="23">
        <v>2500</v>
      </c>
      <c r="I840" s="22">
        <v>2500</v>
      </c>
    </row>
    <row r="841" spans="1:9" x14ac:dyDescent="0.3">
      <c r="A841">
        <v>2025</v>
      </c>
      <c r="B841" s="8">
        <v>40</v>
      </c>
      <c r="C841" s="20" t="s">
        <v>17</v>
      </c>
      <c r="D841" s="20" t="s">
        <v>69</v>
      </c>
      <c r="E841" s="22" t="s">
        <v>241</v>
      </c>
      <c r="F841" s="20" t="s">
        <v>291</v>
      </c>
      <c r="G841" s="20" t="s">
        <v>234</v>
      </c>
      <c r="H841" s="23">
        <v>2250</v>
      </c>
      <c r="I841" s="22">
        <v>2500</v>
      </c>
    </row>
    <row r="842" spans="1:9" x14ac:dyDescent="0.3">
      <c r="A842">
        <v>2025</v>
      </c>
      <c r="B842" s="8">
        <v>40</v>
      </c>
      <c r="C842" s="20" t="s">
        <v>19</v>
      </c>
      <c r="D842" s="20" t="s">
        <v>20</v>
      </c>
      <c r="E842" s="20" t="s">
        <v>232</v>
      </c>
      <c r="F842" s="20" t="s">
        <v>232</v>
      </c>
      <c r="G842" s="20" t="s">
        <v>234</v>
      </c>
      <c r="H842" s="23">
        <v>3143</v>
      </c>
      <c r="I842" s="22">
        <v>2500</v>
      </c>
    </row>
    <row r="843" spans="1:9" x14ac:dyDescent="0.3">
      <c r="A843">
        <v>2025</v>
      </c>
      <c r="B843" s="8">
        <v>40</v>
      </c>
      <c r="C843" s="20" t="s">
        <v>444</v>
      </c>
      <c r="D843" s="20" t="s">
        <v>4</v>
      </c>
      <c r="E843" s="20" t="s">
        <v>232</v>
      </c>
      <c r="F843" s="20" t="s">
        <v>232</v>
      </c>
      <c r="G843" s="20" t="s">
        <v>234</v>
      </c>
      <c r="H843" s="23">
        <v>714.41999999999985</v>
      </c>
      <c r="I843" s="22">
        <v>2500</v>
      </c>
    </row>
    <row r="844" spans="1:9" x14ac:dyDescent="0.3">
      <c r="A844">
        <v>2025</v>
      </c>
      <c r="B844" s="8">
        <v>40</v>
      </c>
      <c r="C844" s="20" t="s">
        <v>444</v>
      </c>
      <c r="D844" s="20" t="s">
        <v>44</v>
      </c>
      <c r="E844" s="22" t="s">
        <v>232</v>
      </c>
      <c r="F844" s="20" t="s">
        <v>291</v>
      </c>
      <c r="G844" s="20" t="s">
        <v>234</v>
      </c>
      <c r="H844" s="23">
        <v>2285.7199999999993</v>
      </c>
      <c r="I844" s="22">
        <v>2500</v>
      </c>
    </row>
    <row r="845" spans="1:9" x14ac:dyDescent="0.3">
      <c r="A845">
        <v>2025</v>
      </c>
      <c r="B845" s="8">
        <v>40</v>
      </c>
      <c r="C845" s="20" t="s">
        <v>23</v>
      </c>
      <c r="D845" s="20" t="s">
        <v>106</v>
      </c>
      <c r="E845" s="20" t="s">
        <v>232</v>
      </c>
      <c r="F845" s="20" t="s">
        <v>232</v>
      </c>
      <c r="G845" s="20" t="s">
        <v>234</v>
      </c>
      <c r="H845" s="23">
        <v>2003.739999999998</v>
      </c>
      <c r="I845" s="22">
        <v>2500</v>
      </c>
    </row>
    <row r="846" spans="1:9" x14ac:dyDescent="0.3">
      <c r="A846">
        <v>2025</v>
      </c>
      <c r="B846" s="8">
        <v>40</v>
      </c>
      <c r="C846" s="20" t="s">
        <v>25</v>
      </c>
      <c r="D846" s="20" t="s">
        <v>67</v>
      </c>
      <c r="E846" s="20" t="s">
        <v>232</v>
      </c>
      <c r="F846" s="20" t="s">
        <v>291</v>
      </c>
      <c r="G846" s="20" t="s">
        <v>234</v>
      </c>
      <c r="H846" s="23">
        <v>1661.9799999999996</v>
      </c>
      <c r="I846" s="22">
        <v>2500</v>
      </c>
    </row>
    <row r="847" spans="1:9" x14ac:dyDescent="0.3">
      <c r="A847">
        <v>2025</v>
      </c>
      <c r="B847" s="8">
        <v>40</v>
      </c>
      <c r="C847" s="20" t="s">
        <v>7</v>
      </c>
      <c r="D847" s="20" t="s">
        <v>8</v>
      </c>
      <c r="E847" s="22" t="s">
        <v>364</v>
      </c>
      <c r="F847" s="22" t="s">
        <v>364</v>
      </c>
      <c r="G847" s="20" t="s">
        <v>425</v>
      </c>
      <c r="H847" s="23">
        <v>3099.7000000000007</v>
      </c>
      <c r="I847" s="22">
        <v>2500</v>
      </c>
    </row>
    <row r="848" spans="1:9" x14ac:dyDescent="0.3">
      <c r="A848">
        <v>2025</v>
      </c>
      <c r="B848" s="8">
        <v>40</v>
      </c>
      <c r="C848" s="20" t="s">
        <v>9</v>
      </c>
      <c r="D848" s="20" t="s">
        <v>10</v>
      </c>
      <c r="E848" s="20" t="s">
        <v>232</v>
      </c>
      <c r="F848" s="20" t="s">
        <v>232</v>
      </c>
      <c r="G848" s="20" t="s">
        <v>234</v>
      </c>
      <c r="H848" s="23">
        <v>2999.4400000000005</v>
      </c>
      <c r="I848" s="22">
        <v>2500</v>
      </c>
    </row>
    <row r="849" spans="1:9" x14ac:dyDescent="0.3">
      <c r="A849">
        <v>2025</v>
      </c>
      <c r="B849" s="8">
        <v>40</v>
      </c>
      <c r="C849" s="20" t="s">
        <v>70</v>
      </c>
      <c r="D849" s="20" t="s">
        <v>44</v>
      </c>
      <c r="E849" s="22" t="s">
        <v>232</v>
      </c>
      <c r="F849" s="20" t="s">
        <v>291</v>
      </c>
      <c r="G849" s="20" t="s">
        <v>234</v>
      </c>
      <c r="H849" s="23">
        <v>1612</v>
      </c>
      <c r="I849" s="22">
        <v>2500</v>
      </c>
    </row>
    <row r="850" spans="1:9" x14ac:dyDescent="0.3">
      <c r="A850">
        <v>2025</v>
      </c>
      <c r="B850" s="8">
        <v>40</v>
      </c>
      <c r="C850" s="20" t="s">
        <v>424</v>
      </c>
      <c r="D850" s="20" t="s">
        <v>418</v>
      </c>
      <c r="E850" s="22" t="s">
        <v>364</v>
      </c>
      <c r="F850" s="22" t="s">
        <v>364</v>
      </c>
      <c r="G850" s="20" t="s">
        <v>234</v>
      </c>
      <c r="H850" s="23">
        <v>-200</v>
      </c>
      <c r="I850" s="22">
        <v>2500</v>
      </c>
    </row>
    <row r="851" spans="1:9" x14ac:dyDescent="0.3">
      <c r="A851">
        <v>2025</v>
      </c>
      <c r="B851" s="8">
        <v>40</v>
      </c>
      <c r="C851" s="20" t="s">
        <v>440</v>
      </c>
      <c r="D851" s="20" t="s">
        <v>86</v>
      </c>
      <c r="E851" s="22" t="s">
        <v>232</v>
      </c>
      <c r="F851" s="20" t="s">
        <v>291</v>
      </c>
      <c r="G851" s="20" t="s">
        <v>234</v>
      </c>
      <c r="H851" s="23">
        <v>42.720000000000709</v>
      </c>
      <c r="I851" s="22">
        <v>2500</v>
      </c>
    </row>
    <row r="852" spans="1:9" x14ac:dyDescent="0.3">
      <c r="A852">
        <v>2025</v>
      </c>
      <c r="B852" s="8">
        <v>40</v>
      </c>
      <c r="C852" s="20" t="s">
        <v>72</v>
      </c>
      <c r="D852" s="20" t="s">
        <v>73</v>
      </c>
      <c r="E852" s="22" t="s">
        <v>241</v>
      </c>
      <c r="F852" s="20" t="s">
        <v>291</v>
      </c>
      <c r="G852" s="20" t="s">
        <v>234</v>
      </c>
      <c r="H852" s="23">
        <v>2500</v>
      </c>
      <c r="I852" s="22">
        <v>2500</v>
      </c>
    </row>
    <row r="853" spans="1:9" x14ac:dyDescent="0.3">
      <c r="A853">
        <v>2025</v>
      </c>
      <c r="B853" s="8">
        <v>40</v>
      </c>
      <c r="C853" s="20" t="s">
        <v>292</v>
      </c>
      <c r="D853" s="20" t="s">
        <v>52</v>
      </c>
      <c r="E853" s="20" t="s">
        <v>232</v>
      </c>
      <c r="F853" s="20" t="s">
        <v>232</v>
      </c>
      <c r="G853" s="20" t="s">
        <v>234</v>
      </c>
      <c r="H853" s="23">
        <v>2500</v>
      </c>
      <c r="I853" s="22">
        <v>2500</v>
      </c>
    </row>
    <row r="854" spans="1:9" x14ac:dyDescent="0.3">
      <c r="A854">
        <v>2025</v>
      </c>
      <c r="B854" s="8">
        <v>40</v>
      </c>
      <c r="C854" s="20" t="s">
        <v>105</v>
      </c>
      <c r="D854" s="20" t="s">
        <v>204</v>
      </c>
      <c r="E854" s="22" t="s">
        <v>364</v>
      </c>
      <c r="F854" s="22" t="s">
        <v>364</v>
      </c>
      <c r="G854" s="20" t="s">
        <v>425</v>
      </c>
      <c r="H854" s="23">
        <v>2000</v>
      </c>
      <c r="I854" s="22">
        <v>2500</v>
      </c>
    </row>
    <row r="855" spans="1:9" x14ac:dyDescent="0.3">
      <c r="A855">
        <v>2025</v>
      </c>
      <c r="B855" s="8">
        <v>40</v>
      </c>
      <c r="C855" s="20" t="s">
        <v>454</v>
      </c>
      <c r="D855" s="20" t="s">
        <v>4</v>
      </c>
      <c r="E855" s="20" t="s">
        <v>232</v>
      </c>
      <c r="F855" s="20" t="s">
        <v>232</v>
      </c>
      <c r="G855" s="20" t="s">
        <v>234</v>
      </c>
      <c r="H855" s="23">
        <v>1714.28</v>
      </c>
      <c r="I855" s="22">
        <v>2500</v>
      </c>
    </row>
    <row r="856" spans="1:9" x14ac:dyDescent="0.3">
      <c r="A856">
        <v>2025</v>
      </c>
      <c r="B856" s="8">
        <v>40</v>
      </c>
      <c r="C856" s="20" t="s">
        <v>57</v>
      </c>
      <c r="D856" s="20" t="s">
        <v>16</v>
      </c>
      <c r="E856" s="20" t="s">
        <v>232</v>
      </c>
      <c r="F856" s="20" t="s">
        <v>232</v>
      </c>
      <c r="G856" s="20" t="s">
        <v>234</v>
      </c>
      <c r="H856" s="23">
        <v>2499.2600000000002</v>
      </c>
      <c r="I856" s="22">
        <v>2500</v>
      </c>
    </row>
    <row r="857" spans="1:9" x14ac:dyDescent="0.3">
      <c r="A857">
        <v>2025</v>
      </c>
      <c r="B857" s="8">
        <v>40</v>
      </c>
      <c r="C857" s="20" t="s">
        <v>35</v>
      </c>
      <c r="D857" s="20" t="s">
        <v>36</v>
      </c>
      <c r="E857" s="20" t="s">
        <v>232</v>
      </c>
      <c r="F857" s="20" t="s">
        <v>291</v>
      </c>
      <c r="G857" s="20" t="s">
        <v>234</v>
      </c>
      <c r="H857" s="23">
        <v>2542</v>
      </c>
      <c r="I857" s="22">
        <v>2500</v>
      </c>
    </row>
    <row r="858" spans="1:9" x14ac:dyDescent="0.3">
      <c r="A858">
        <v>2025</v>
      </c>
      <c r="B858" s="8">
        <v>40</v>
      </c>
      <c r="C858" s="20" t="s">
        <v>37</v>
      </c>
      <c r="D858" s="20" t="s">
        <v>30</v>
      </c>
      <c r="E858" s="22" t="s">
        <v>232</v>
      </c>
      <c r="F858" s="20" t="s">
        <v>291</v>
      </c>
      <c r="G858" s="20" t="s">
        <v>234</v>
      </c>
      <c r="H858" s="23">
        <v>3066.14</v>
      </c>
      <c r="I858" s="22">
        <v>2500</v>
      </c>
    </row>
    <row r="859" spans="1:9" x14ac:dyDescent="0.3">
      <c r="A859">
        <v>2025</v>
      </c>
      <c r="B859" s="8">
        <v>40</v>
      </c>
      <c r="C859" s="20" t="s">
        <v>61</v>
      </c>
      <c r="D859" s="20" t="s">
        <v>34</v>
      </c>
      <c r="E859" s="20" t="s">
        <v>232</v>
      </c>
      <c r="F859" s="20" t="s">
        <v>232</v>
      </c>
      <c r="G859" s="20" t="s">
        <v>234</v>
      </c>
      <c r="H859" s="23">
        <v>3000</v>
      </c>
      <c r="I859" s="22">
        <v>2500</v>
      </c>
    </row>
    <row r="860" spans="1:9" x14ac:dyDescent="0.3">
      <c r="A860">
        <v>2025</v>
      </c>
      <c r="B860" s="8">
        <v>40</v>
      </c>
      <c r="C860" s="20" t="s">
        <v>361</v>
      </c>
      <c r="D860" s="20" t="s">
        <v>56</v>
      </c>
      <c r="E860" s="22" t="s">
        <v>241</v>
      </c>
      <c r="F860" s="20" t="s">
        <v>291</v>
      </c>
      <c r="G860" s="20" t="s">
        <v>234</v>
      </c>
      <c r="H860" s="23">
        <v>3125</v>
      </c>
      <c r="I860" s="22">
        <v>2500</v>
      </c>
    </row>
    <row r="861" spans="1:9" x14ac:dyDescent="0.3">
      <c r="A861">
        <v>2025</v>
      </c>
      <c r="B861" s="8">
        <v>40</v>
      </c>
      <c r="C861" s="20" t="s">
        <v>417</v>
      </c>
      <c r="D861" s="20" t="s">
        <v>428</v>
      </c>
      <c r="E861" s="22" t="s">
        <v>364</v>
      </c>
      <c r="F861" s="22" t="s">
        <v>364</v>
      </c>
      <c r="G861" s="20" t="s">
        <v>234</v>
      </c>
      <c r="H861" s="23">
        <v>3956.3400000000011</v>
      </c>
      <c r="I861" s="22">
        <v>2500</v>
      </c>
    </row>
    <row r="862" spans="1:9" x14ac:dyDescent="0.3">
      <c r="A862">
        <v>2025</v>
      </c>
      <c r="B862" s="8">
        <v>40</v>
      </c>
      <c r="C862" s="20" t="s">
        <v>45</v>
      </c>
      <c r="D862" s="20" t="s">
        <v>46</v>
      </c>
      <c r="E862" s="20" t="s">
        <v>232</v>
      </c>
      <c r="F862" s="20" t="s">
        <v>232</v>
      </c>
      <c r="G862" s="20" t="s">
        <v>234</v>
      </c>
      <c r="H862" s="23">
        <v>3202.6800000000003</v>
      </c>
      <c r="I862" s="22">
        <v>2500</v>
      </c>
    </row>
    <row r="863" spans="1:9" x14ac:dyDescent="0.3">
      <c r="A863">
        <v>2025</v>
      </c>
      <c r="B863" s="8">
        <v>40</v>
      </c>
      <c r="C863" s="20" t="s">
        <v>5</v>
      </c>
      <c r="D863" s="20" t="s">
        <v>28</v>
      </c>
      <c r="E863" s="20" t="s">
        <v>232</v>
      </c>
      <c r="F863" s="20" t="s">
        <v>232</v>
      </c>
      <c r="G863" s="20" t="s">
        <v>234</v>
      </c>
      <c r="H863" s="23">
        <v>2239.84</v>
      </c>
      <c r="I863" s="22">
        <v>2500</v>
      </c>
    </row>
    <row r="864" spans="1:9" x14ac:dyDescent="0.3">
      <c r="A864">
        <v>2025</v>
      </c>
      <c r="B864" s="8">
        <v>40</v>
      </c>
      <c r="C864" s="20" t="s">
        <v>49</v>
      </c>
      <c r="D864" s="20" t="s">
        <v>104</v>
      </c>
      <c r="E864" s="20" t="s">
        <v>364</v>
      </c>
      <c r="F864" s="22" t="s">
        <v>364</v>
      </c>
      <c r="G864" s="20" t="s">
        <v>234</v>
      </c>
      <c r="H864" s="23">
        <v>3000</v>
      </c>
      <c r="I864" s="22">
        <v>2500</v>
      </c>
    </row>
    <row r="865" spans="1:9" x14ac:dyDescent="0.3">
      <c r="A865">
        <v>2025</v>
      </c>
      <c r="B865" s="8">
        <v>40</v>
      </c>
      <c r="C865" s="20" t="s">
        <v>362</v>
      </c>
      <c r="D865" s="20" t="s">
        <v>50</v>
      </c>
      <c r="E865" s="20" t="s">
        <v>232</v>
      </c>
      <c r="F865" s="20" t="s">
        <v>232</v>
      </c>
      <c r="G865" s="20" t="s">
        <v>234</v>
      </c>
      <c r="H865" s="23">
        <v>1781</v>
      </c>
      <c r="I865" s="22">
        <v>2500</v>
      </c>
    </row>
    <row r="866" spans="1:9" x14ac:dyDescent="0.3">
      <c r="A866">
        <v>2025</v>
      </c>
      <c r="B866" s="8">
        <v>40</v>
      </c>
      <c r="C866" s="20" t="s">
        <v>414</v>
      </c>
      <c r="D866" s="20" t="s">
        <v>59</v>
      </c>
      <c r="E866" s="22" t="s">
        <v>232</v>
      </c>
      <c r="F866" s="20" t="s">
        <v>291</v>
      </c>
      <c r="G866" s="20" t="s">
        <v>234</v>
      </c>
      <c r="H866" s="23">
        <v>714.2800000000002</v>
      </c>
      <c r="I866" s="22">
        <v>2500</v>
      </c>
    </row>
    <row r="867" spans="1:9" x14ac:dyDescent="0.3">
      <c r="A867">
        <v>2025</v>
      </c>
      <c r="B867" s="8">
        <v>40</v>
      </c>
      <c r="C867" s="20" t="s">
        <v>414</v>
      </c>
      <c r="D867" s="20" t="s">
        <v>204</v>
      </c>
      <c r="E867" s="22" t="s">
        <v>364</v>
      </c>
      <c r="F867" s="22" t="s">
        <v>364</v>
      </c>
      <c r="G867" s="20" t="s">
        <v>234</v>
      </c>
      <c r="H867" s="23">
        <v>1071.1400000000001</v>
      </c>
      <c r="I867" s="22"/>
    </row>
    <row r="868" spans="1:9" x14ac:dyDescent="0.3">
      <c r="A868">
        <v>2025</v>
      </c>
      <c r="B868" s="8">
        <v>40</v>
      </c>
      <c r="C868" s="20" t="s">
        <v>74</v>
      </c>
      <c r="D868" s="20" t="s">
        <v>77</v>
      </c>
      <c r="E868" s="22" t="s">
        <v>232</v>
      </c>
      <c r="F868" s="20" t="s">
        <v>291</v>
      </c>
      <c r="G868" s="20" t="s">
        <v>234</v>
      </c>
      <c r="H868" s="23">
        <v>2499.2999999999993</v>
      </c>
      <c r="I868" s="22">
        <v>2500</v>
      </c>
    </row>
    <row r="869" spans="1:9" x14ac:dyDescent="0.3">
      <c r="A869">
        <v>2025</v>
      </c>
      <c r="B869" s="8">
        <v>40</v>
      </c>
      <c r="C869" s="20" t="s">
        <v>132</v>
      </c>
      <c r="D869" s="20" t="s">
        <v>204</v>
      </c>
      <c r="E869" s="22" t="s">
        <v>364</v>
      </c>
      <c r="F869" s="20" t="s">
        <v>232</v>
      </c>
      <c r="G869" s="20" t="s">
        <v>234</v>
      </c>
      <c r="H869" s="23">
        <v>566</v>
      </c>
      <c r="I869" s="22">
        <v>2500</v>
      </c>
    </row>
    <row r="870" spans="1:9" x14ac:dyDescent="0.3">
      <c r="A870">
        <v>2025</v>
      </c>
      <c r="B870" s="8">
        <v>40</v>
      </c>
      <c r="C870" s="20" t="s">
        <v>51</v>
      </c>
      <c r="D870" s="44" t="s">
        <v>79</v>
      </c>
      <c r="E870" s="20" t="s">
        <v>291</v>
      </c>
      <c r="F870" s="20" t="s">
        <v>291</v>
      </c>
      <c r="G870" s="20" t="s">
        <v>234</v>
      </c>
      <c r="H870" s="23">
        <v>3000</v>
      </c>
      <c r="I870" s="22">
        <v>2500</v>
      </c>
    </row>
    <row r="871" spans="1:9" x14ac:dyDescent="0.3">
      <c r="A871">
        <v>2025</v>
      </c>
      <c r="B871" s="8">
        <v>40</v>
      </c>
      <c r="C871" s="20" t="s">
        <v>98</v>
      </c>
      <c r="D871" s="20" t="s">
        <v>168</v>
      </c>
      <c r="E871" s="20" t="s">
        <v>232</v>
      </c>
      <c r="F871" s="20" t="s">
        <v>232</v>
      </c>
      <c r="G871" s="20" t="s">
        <v>234</v>
      </c>
      <c r="H871" s="23">
        <v>4653.7799999999988</v>
      </c>
      <c r="I871" s="22">
        <v>2500</v>
      </c>
    </row>
    <row r="872" spans="1:9" x14ac:dyDescent="0.3">
      <c r="A872">
        <v>2025</v>
      </c>
      <c r="B872" s="8">
        <v>41</v>
      </c>
      <c r="C872" s="20" t="s">
        <v>11</v>
      </c>
      <c r="D872" s="44" t="s">
        <v>79</v>
      </c>
      <c r="E872" s="20" t="s">
        <v>291</v>
      </c>
      <c r="F872" s="20" t="s">
        <v>291</v>
      </c>
      <c r="G872" s="20" t="s">
        <v>234</v>
      </c>
      <c r="H872" s="23">
        <v>3000</v>
      </c>
      <c r="I872" s="22">
        <v>2500</v>
      </c>
    </row>
    <row r="873" spans="1:9" x14ac:dyDescent="0.3">
      <c r="A873">
        <v>2025</v>
      </c>
      <c r="B873" s="8">
        <v>41</v>
      </c>
      <c r="C873" s="20" t="s">
        <v>80</v>
      </c>
      <c r="D873" s="20" t="s">
        <v>81</v>
      </c>
      <c r="E873" s="20" t="s">
        <v>232</v>
      </c>
      <c r="F873" s="20" t="s">
        <v>232</v>
      </c>
      <c r="G873" s="20" t="s">
        <v>234</v>
      </c>
      <c r="H873" s="23">
        <v>2499.6999999999998</v>
      </c>
      <c r="I873" s="22">
        <v>2500</v>
      </c>
    </row>
    <row r="874" spans="1:9" x14ac:dyDescent="0.3">
      <c r="A874">
        <v>2025</v>
      </c>
      <c r="B874" s="8">
        <v>41</v>
      </c>
      <c r="C874" s="20" t="s">
        <v>13</v>
      </c>
      <c r="D874" s="20" t="s">
        <v>40</v>
      </c>
      <c r="E874" s="20" t="s">
        <v>232</v>
      </c>
      <c r="F874" s="20" t="s">
        <v>232</v>
      </c>
      <c r="G874" s="20" t="s">
        <v>234</v>
      </c>
      <c r="H874" s="23">
        <v>3000</v>
      </c>
      <c r="I874" s="22">
        <v>2500</v>
      </c>
    </row>
    <row r="875" spans="1:9" x14ac:dyDescent="0.3">
      <c r="A875">
        <v>2025</v>
      </c>
      <c r="B875" s="8">
        <v>41</v>
      </c>
      <c r="C875" s="20" t="s">
        <v>111</v>
      </c>
      <c r="D875" s="20" t="s">
        <v>63</v>
      </c>
      <c r="E875" s="20" t="s">
        <v>291</v>
      </c>
      <c r="F875" s="20" t="s">
        <v>291</v>
      </c>
      <c r="G875" s="20" t="s">
        <v>234</v>
      </c>
      <c r="H875" s="23">
        <v>2500</v>
      </c>
      <c r="I875" s="22">
        <v>2500</v>
      </c>
    </row>
    <row r="876" spans="1:9" x14ac:dyDescent="0.3">
      <c r="A876">
        <v>2025</v>
      </c>
      <c r="B876" s="8">
        <v>41</v>
      </c>
      <c r="C876" s="20" t="s">
        <v>17</v>
      </c>
      <c r="D876" s="20" t="s">
        <v>69</v>
      </c>
      <c r="E876" s="22" t="s">
        <v>241</v>
      </c>
      <c r="F876" s="20" t="s">
        <v>291</v>
      </c>
      <c r="G876" s="20" t="s">
        <v>234</v>
      </c>
      <c r="H876" s="23">
        <v>3100</v>
      </c>
      <c r="I876" s="22">
        <v>2500</v>
      </c>
    </row>
    <row r="877" spans="1:9" x14ac:dyDescent="0.3">
      <c r="A877">
        <v>2025</v>
      </c>
      <c r="B877" s="8">
        <v>41</v>
      </c>
      <c r="C877" s="20" t="s">
        <v>19</v>
      </c>
      <c r="D877" s="20" t="s">
        <v>20</v>
      </c>
      <c r="E877" s="20" t="s">
        <v>232</v>
      </c>
      <c r="F877" s="20" t="s">
        <v>232</v>
      </c>
      <c r="G877" s="20" t="s">
        <v>234</v>
      </c>
      <c r="H877" s="23">
        <v>1892.85</v>
      </c>
      <c r="I877" s="22">
        <v>2500</v>
      </c>
    </row>
    <row r="878" spans="1:9" x14ac:dyDescent="0.3">
      <c r="A878">
        <v>2025</v>
      </c>
      <c r="B878" s="8">
        <v>41</v>
      </c>
      <c r="C878" s="20" t="s">
        <v>444</v>
      </c>
      <c r="D878" s="20" t="s">
        <v>44</v>
      </c>
      <c r="E878" s="22" t="s">
        <v>232</v>
      </c>
      <c r="F878" s="20" t="s">
        <v>291</v>
      </c>
      <c r="G878" s="20" t="s">
        <v>234</v>
      </c>
      <c r="H878" s="23">
        <v>3000.8999999999996</v>
      </c>
      <c r="I878" s="22">
        <v>2500</v>
      </c>
    </row>
    <row r="879" spans="1:9" x14ac:dyDescent="0.3">
      <c r="A879">
        <v>2025</v>
      </c>
      <c r="B879" s="8">
        <v>41</v>
      </c>
      <c r="C879" s="20" t="s">
        <v>23</v>
      </c>
      <c r="D879" s="20" t="s">
        <v>22</v>
      </c>
      <c r="E879" s="20" t="s">
        <v>232</v>
      </c>
      <c r="F879" s="20" t="s">
        <v>232</v>
      </c>
      <c r="G879" s="20" t="s">
        <v>234</v>
      </c>
      <c r="H879" s="23">
        <v>3205.42</v>
      </c>
      <c r="I879" s="22">
        <v>2500</v>
      </c>
    </row>
    <row r="880" spans="1:9" x14ac:dyDescent="0.3">
      <c r="A880">
        <v>2025</v>
      </c>
      <c r="B880" s="8">
        <v>41</v>
      </c>
      <c r="C880" s="20" t="s">
        <v>25</v>
      </c>
      <c r="D880" s="20" t="s">
        <v>67</v>
      </c>
      <c r="E880" s="20" t="s">
        <v>232</v>
      </c>
      <c r="F880" s="20" t="s">
        <v>291</v>
      </c>
      <c r="G880" s="20" t="s">
        <v>234</v>
      </c>
      <c r="H880" s="23">
        <v>3117.12</v>
      </c>
      <c r="I880" s="22">
        <v>2500</v>
      </c>
    </row>
    <row r="881" spans="1:9" x14ac:dyDescent="0.3">
      <c r="A881">
        <v>2025</v>
      </c>
      <c r="B881" s="8">
        <v>41</v>
      </c>
      <c r="C881" s="20" t="s">
        <v>7</v>
      </c>
      <c r="D881" s="20" t="s">
        <v>8</v>
      </c>
      <c r="E881" s="22" t="s">
        <v>364</v>
      </c>
      <c r="F881" s="22" t="s">
        <v>364</v>
      </c>
      <c r="G881" s="20" t="s">
        <v>425</v>
      </c>
      <c r="H881" s="23">
        <v>3102.7999999999993</v>
      </c>
      <c r="I881" s="22">
        <v>2500</v>
      </c>
    </row>
    <row r="882" spans="1:9" x14ac:dyDescent="0.3">
      <c r="A882">
        <v>2025</v>
      </c>
      <c r="B882" s="8">
        <v>41</v>
      </c>
      <c r="C882" s="20" t="s">
        <v>9</v>
      </c>
      <c r="D882" s="20" t="s">
        <v>10</v>
      </c>
      <c r="E882" s="20" t="s">
        <v>232</v>
      </c>
      <c r="F882" s="20" t="s">
        <v>232</v>
      </c>
      <c r="G882" s="20" t="s">
        <v>234</v>
      </c>
      <c r="H882" s="23">
        <v>2999.0800000000008</v>
      </c>
      <c r="I882" s="22">
        <v>2500</v>
      </c>
    </row>
    <row r="883" spans="1:9" x14ac:dyDescent="0.3">
      <c r="A883">
        <v>2025</v>
      </c>
      <c r="B883" s="8">
        <v>41</v>
      </c>
      <c r="C883" s="20" t="s">
        <v>70</v>
      </c>
      <c r="D883" s="20" t="s">
        <v>44</v>
      </c>
      <c r="E883" s="22" t="s">
        <v>232</v>
      </c>
      <c r="F883" s="20" t="s">
        <v>291</v>
      </c>
      <c r="G883" s="20" t="s">
        <v>234</v>
      </c>
      <c r="H883" s="23">
        <v>639</v>
      </c>
      <c r="I883" s="22">
        <v>2500</v>
      </c>
    </row>
    <row r="884" spans="1:9" x14ac:dyDescent="0.3">
      <c r="A884">
        <v>2025</v>
      </c>
      <c r="B884" s="8">
        <v>41</v>
      </c>
      <c r="C884" s="20" t="s">
        <v>105</v>
      </c>
      <c r="D884" s="20" t="s">
        <v>204</v>
      </c>
      <c r="E884" s="22" t="s">
        <v>364</v>
      </c>
      <c r="F884" s="22" t="s">
        <v>364</v>
      </c>
      <c r="G884" s="20" t="s">
        <v>425</v>
      </c>
      <c r="H884" s="23">
        <v>-2000</v>
      </c>
      <c r="I884" s="22">
        <v>2500</v>
      </c>
    </row>
    <row r="885" spans="1:9" x14ac:dyDescent="0.3">
      <c r="A885">
        <v>2025</v>
      </c>
      <c r="B885" s="8">
        <v>41</v>
      </c>
      <c r="C885" s="20" t="s">
        <v>440</v>
      </c>
      <c r="D885" s="20" t="s">
        <v>86</v>
      </c>
      <c r="E885" s="22" t="s">
        <v>232</v>
      </c>
      <c r="F885" s="20" t="s">
        <v>291</v>
      </c>
      <c r="G885" s="20" t="s">
        <v>234</v>
      </c>
      <c r="H885" s="23">
        <v>304.4699999999998</v>
      </c>
      <c r="I885" s="22">
        <v>2500</v>
      </c>
    </row>
    <row r="886" spans="1:9" x14ac:dyDescent="0.3">
      <c r="A886">
        <v>2025</v>
      </c>
      <c r="B886" s="8">
        <v>41</v>
      </c>
      <c r="C886" s="20" t="s">
        <v>72</v>
      </c>
      <c r="D886" s="20" t="s">
        <v>73</v>
      </c>
      <c r="E886" s="22" t="s">
        <v>241</v>
      </c>
      <c r="F886" s="20" t="s">
        <v>291</v>
      </c>
      <c r="G886" s="20" t="s">
        <v>234</v>
      </c>
      <c r="H886" s="23">
        <v>2329.5</v>
      </c>
      <c r="I886" s="22">
        <v>2500</v>
      </c>
    </row>
    <row r="887" spans="1:9" x14ac:dyDescent="0.3">
      <c r="A887">
        <v>2025</v>
      </c>
      <c r="B887" s="8">
        <v>41</v>
      </c>
      <c r="C887" s="20" t="s">
        <v>292</v>
      </c>
      <c r="D887" s="20" t="s">
        <v>52</v>
      </c>
      <c r="E887" s="20" t="s">
        <v>232</v>
      </c>
      <c r="F887" s="20" t="s">
        <v>232</v>
      </c>
      <c r="G887" s="20" t="s">
        <v>234</v>
      </c>
      <c r="H887" s="23">
        <v>2500</v>
      </c>
      <c r="I887" s="22">
        <v>2500</v>
      </c>
    </row>
    <row r="888" spans="1:9" x14ac:dyDescent="0.3">
      <c r="A888">
        <v>2025</v>
      </c>
      <c r="B888" s="8">
        <v>41</v>
      </c>
      <c r="C888" s="20" t="s">
        <v>424</v>
      </c>
      <c r="D888" s="20" t="s">
        <v>418</v>
      </c>
      <c r="E888" s="22" t="s">
        <v>364</v>
      </c>
      <c r="F888" s="22" t="s">
        <v>364</v>
      </c>
      <c r="G888" s="20" t="s">
        <v>234</v>
      </c>
      <c r="H888" s="23">
        <v>-200</v>
      </c>
      <c r="I888" s="22">
        <v>2500</v>
      </c>
    </row>
    <row r="889" spans="1:9" x14ac:dyDescent="0.3">
      <c r="A889">
        <v>2025</v>
      </c>
      <c r="B889" s="8">
        <v>41</v>
      </c>
      <c r="C889" s="20" t="s">
        <v>454</v>
      </c>
      <c r="D889" s="20" t="s">
        <v>4</v>
      </c>
      <c r="E889" s="20" t="s">
        <v>232</v>
      </c>
      <c r="F889" s="20" t="s">
        <v>232</v>
      </c>
      <c r="G889" s="20" t="s">
        <v>234</v>
      </c>
      <c r="H889" s="23">
        <v>2856.96</v>
      </c>
      <c r="I889" s="22">
        <v>2500</v>
      </c>
    </row>
    <row r="890" spans="1:9" x14ac:dyDescent="0.3">
      <c r="A890">
        <v>2025</v>
      </c>
      <c r="B890" s="8">
        <v>41</v>
      </c>
      <c r="C890" s="20" t="s">
        <v>57</v>
      </c>
      <c r="D890" s="20" t="s">
        <v>16</v>
      </c>
      <c r="E890" s="20" t="s">
        <v>232</v>
      </c>
      <c r="F890" s="20" t="s">
        <v>232</v>
      </c>
      <c r="G890" s="20" t="s">
        <v>234</v>
      </c>
      <c r="H890" s="23">
        <v>2499.380000000001</v>
      </c>
      <c r="I890" s="22">
        <v>2500</v>
      </c>
    </row>
    <row r="891" spans="1:9" x14ac:dyDescent="0.3">
      <c r="A891">
        <v>2025</v>
      </c>
      <c r="B891" s="8">
        <v>41</v>
      </c>
      <c r="C891" s="20" t="s">
        <v>35</v>
      </c>
      <c r="D891" s="20" t="s">
        <v>36</v>
      </c>
      <c r="E891" s="20" t="s">
        <v>232</v>
      </c>
      <c r="F891" s="20" t="s">
        <v>291</v>
      </c>
      <c r="G891" s="20" t="s">
        <v>234</v>
      </c>
      <c r="H891" s="23">
        <v>2481</v>
      </c>
      <c r="I891" s="22">
        <v>2500</v>
      </c>
    </row>
    <row r="892" spans="1:9" x14ac:dyDescent="0.3">
      <c r="A892">
        <v>2025</v>
      </c>
      <c r="B892" s="8">
        <v>41</v>
      </c>
      <c r="C892" s="20" t="s">
        <v>37</v>
      </c>
      <c r="D892" s="20" t="s">
        <v>30</v>
      </c>
      <c r="E892" s="22" t="s">
        <v>232</v>
      </c>
      <c r="F892" s="20" t="s">
        <v>291</v>
      </c>
      <c r="G892" s="20" t="s">
        <v>234</v>
      </c>
      <c r="H892" s="23">
        <v>-2213.2399999999998</v>
      </c>
      <c r="I892" s="22">
        <v>2500</v>
      </c>
    </row>
    <row r="893" spans="1:9" x14ac:dyDescent="0.3">
      <c r="A893">
        <v>2025</v>
      </c>
      <c r="B893" s="8">
        <v>41</v>
      </c>
      <c r="C893" s="20" t="s">
        <v>61</v>
      </c>
      <c r="D893" s="20" t="s">
        <v>34</v>
      </c>
      <c r="E893" s="20" t="s">
        <v>232</v>
      </c>
      <c r="F893" s="20" t="s">
        <v>232</v>
      </c>
      <c r="G893" s="20" t="s">
        <v>234</v>
      </c>
      <c r="H893" s="23">
        <v>3566.8240000000005</v>
      </c>
      <c r="I893" s="22">
        <v>2500</v>
      </c>
    </row>
    <row r="894" spans="1:9" x14ac:dyDescent="0.3">
      <c r="A894">
        <v>2025</v>
      </c>
      <c r="B894" s="8">
        <v>41</v>
      </c>
      <c r="C894" s="20" t="s">
        <v>361</v>
      </c>
      <c r="D894" s="20" t="s">
        <v>56</v>
      </c>
      <c r="E894" s="22" t="s">
        <v>241</v>
      </c>
      <c r="F894" s="20" t="s">
        <v>291</v>
      </c>
      <c r="G894" s="20" t="s">
        <v>234</v>
      </c>
      <c r="H894" s="23">
        <v>14.379999999999999</v>
      </c>
      <c r="I894" s="22">
        <v>2500</v>
      </c>
    </row>
    <row r="895" spans="1:9" x14ac:dyDescent="0.3">
      <c r="A895">
        <v>2025</v>
      </c>
      <c r="B895" s="8">
        <v>41</v>
      </c>
      <c r="C895" s="20" t="s">
        <v>417</v>
      </c>
      <c r="D895" s="20" t="s">
        <v>428</v>
      </c>
      <c r="E895" s="22" t="s">
        <v>364</v>
      </c>
      <c r="F895" s="22" t="s">
        <v>364</v>
      </c>
      <c r="G895" s="20" t="s">
        <v>234</v>
      </c>
      <c r="H895" s="23">
        <v>3000.1800000000003</v>
      </c>
      <c r="I895" s="22">
        <v>2500</v>
      </c>
    </row>
    <row r="896" spans="1:9" x14ac:dyDescent="0.3">
      <c r="A896">
        <v>2025</v>
      </c>
      <c r="B896" s="8">
        <v>41</v>
      </c>
      <c r="C896" s="20" t="s">
        <v>45</v>
      </c>
      <c r="D896" s="20" t="s">
        <v>46</v>
      </c>
      <c r="E896" s="20" t="s">
        <v>232</v>
      </c>
      <c r="F896" s="20" t="s">
        <v>232</v>
      </c>
      <c r="G896" s="20" t="s">
        <v>234</v>
      </c>
      <c r="H896" s="23">
        <v>3000.6000000000004</v>
      </c>
      <c r="I896" s="22">
        <v>2500</v>
      </c>
    </row>
    <row r="897" spans="1:9" x14ac:dyDescent="0.3">
      <c r="A897">
        <v>2025</v>
      </c>
      <c r="B897" s="8">
        <v>41</v>
      </c>
      <c r="C897" s="20" t="s">
        <v>5</v>
      </c>
      <c r="D897" s="20" t="s">
        <v>28</v>
      </c>
      <c r="E897" s="20" t="s">
        <v>232</v>
      </c>
      <c r="F897" s="20" t="s">
        <v>232</v>
      </c>
      <c r="G897" s="20" t="s">
        <v>234</v>
      </c>
      <c r="H897" s="23">
        <v>1003.9000000000001</v>
      </c>
      <c r="I897" s="22">
        <v>2500</v>
      </c>
    </row>
    <row r="898" spans="1:9" x14ac:dyDescent="0.3">
      <c r="A898">
        <v>2025</v>
      </c>
      <c r="B898" s="8">
        <v>41</v>
      </c>
      <c r="C898" s="20" t="s">
        <v>49</v>
      </c>
      <c r="D898" s="20" t="s">
        <v>104</v>
      </c>
      <c r="E898" s="20" t="s">
        <v>364</v>
      </c>
      <c r="F898" s="22" t="s">
        <v>364</v>
      </c>
      <c r="G898" s="20" t="s">
        <v>234</v>
      </c>
      <c r="H898" s="23">
        <v>2285.71</v>
      </c>
      <c r="I898" s="22">
        <v>2500</v>
      </c>
    </row>
    <row r="899" spans="1:9" x14ac:dyDescent="0.3">
      <c r="A899">
        <v>2025</v>
      </c>
      <c r="B899" s="8">
        <v>41</v>
      </c>
      <c r="C899" s="20" t="s">
        <v>362</v>
      </c>
      <c r="D899" s="20" t="s">
        <v>50</v>
      </c>
      <c r="E899" s="20" t="s">
        <v>232</v>
      </c>
      <c r="F899" s="20" t="s">
        <v>232</v>
      </c>
      <c r="G899" s="20" t="s">
        <v>234</v>
      </c>
      <c r="H899" s="23">
        <v>-1113.2799999999997</v>
      </c>
      <c r="I899" s="22">
        <v>2500</v>
      </c>
    </row>
    <row r="900" spans="1:9" x14ac:dyDescent="0.3">
      <c r="A900">
        <v>2025</v>
      </c>
      <c r="B900" s="8">
        <v>41</v>
      </c>
      <c r="C900" s="20" t="s">
        <v>414</v>
      </c>
      <c r="D900" s="20" t="s">
        <v>59</v>
      </c>
      <c r="E900" s="22" t="s">
        <v>232</v>
      </c>
      <c r="F900" s="20" t="s">
        <v>291</v>
      </c>
      <c r="G900" s="20" t="s">
        <v>234</v>
      </c>
      <c r="H900" s="23">
        <v>2500</v>
      </c>
      <c r="I900" s="22">
        <v>2500</v>
      </c>
    </row>
    <row r="901" spans="1:9" x14ac:dyDescent="0.3">
      <c r="A901">
        <v>2025</v>
      </c>
      <c r="B901" s="8">
        <v>41</v>
      </c>
      <c r="C901" s="20" t="s">
        <v>74</v>
      </c>
      <c r="D901" s="20" t="s">
        <v>77</v>
      </c>
      <c r="E901" s="22" t="s">
        <v>232</v>
      </c>
      <c r="F901" s="20" t="s">
        <v>291</v>
      </c>
      <c r="G901" s="20" t="s">
        <v>234</v>
      </c>
      <c r="H901" s="23">
        <v>2499.0200000000004</v>
      </c>
      <c r="I901" s="22">
        <v>2500</v>
      </c>
    </row>
    <row r="902" spans="1:9" x14ac:dyDescent="0.3">
      <c r="A902">
        <v>2025</v>
      </c>
      <c r="B902" s="8">
        <v>41</v>
      </c>
      <c r="C902" s="20" t="s">
        <v>51</v>
      </c>
      <c r="D902" s="20" t="s">
        <v>106</v>
      </c>
      <c r="E902" s="20" t="s">
        <v>232</v>
      </c>
      <c r="F902" s="20" t="s">
        <v>232</v>
      </c>
      <c r="G902" s="20" t="s">
        <v>234</v>
      </c>
      <c r="H902" s="23">
        <v>3000</v>
      </c>
      <c r="I902" s="22">
        <v>2500</v>
      </c>
    </row>
    <row r="903" spans="1:9" x14ac:dyDescent="0.3">
      <c r="A903">
        <v>2025</v>
      </c>
      <c r="B903" s="8">
        <v>41</v>
      </c>
      <c r="C903" s="20" t="s">
        <v>98</v>
      </c>
      <c r="D903" s="20" t="s">
        <v>168</v>
      </c>
      <c r="E903" s="20" t="s">
        <v>232</v>
      </c>
      <c r="F903" s="20" t="s">
        <v>232</v>
      </c>
      <c r="G903" s="20" t="s">
        <v>234</v>
      </c>
      <c r="H903" s="23">
        <v>2500.4399999999996</v>
      </c>
      <c r="I903" s="22">
        <v>2500</v>
      </c>
    </row>
    <row r="904" spans="1:9" x14ac:dyDescent="0.3">
      <c r="A904">
        <v>2025</v>
      </c>
      <c r="B904" s="8">
        <v>41</v>
      </c>
      <c r="C904" s="20" t="s">
        <v>78</v>
      </c>
      <c r="D904" s="44" t="s">
        <v>79</v>
      </c>
      <c r="E904" s="20" t="s">
        <v>291</v>
      </c>
      <c r="F904" s="20" t="s">
        <v>291</v>
      </c>
      <c r="G904" s="20" t="s">
        <v>234</v>
      </c>
      <c r="H904" s="23">
        <v>1163.5400000000004</v>
      </c>
      <c r="I904" s="22">
        <v>2500</v>
      </c>
    </row>
    <row r="905" spans="1:9" x14ac:dyDescent="0.3">
      <c r="A905">
        <v>2025</v>
      </c>
      <c r="B905" s="8">
        <v>41</v>
      </c>
      <c r="C905" s="20" t="s">
        <v>462</v>
      </c>
      <c r="D905" s="20" t="s">
        <v>418</v>
      </c>
      <c r="E905" s="20" t="s">
        <v>364</v>
      </c>
      <c r="F905" s="22" t="s">
        <v>364</v>
      </c>
      <c r="G905" s="20" t="s">
        <v>234</v>
      </c>
      <c r="H905" s="23">
        <v>1929.14</v>
      </c>
      <c r="I905" s="22">
        <v>2500</v>
      </c>
    </row>
    <row r="906" spans="1:9" x14ac:dyDescent="0.3">
      <c r="A906">
        <v>2025</v>
      </c>
      <c r="B906" s="8">
        <v>42</v>
      </c>
      <c r="C906" s="20" t="s">
        <v>11</v>
      </c>
      <c r="D906" s="20" t="s">
        <v>56</v>
      </c>
      <c r="E906" s="22" t="s">
        <v>241</v>
      </c>
      <c r="F906" s="20" t="s">
        <v>291</v>
      </c>
      <c r="G906" s="20" t="s">
        <v>234</v>
      </c>
      <c r="H906" s="23">
        <v>2715</v>
      </c>
      <c r="I906" s="22">
        <v>2500</v>
      </c>
    </row>
    <row r="907" spans="1:9" x14ac:dyDescent="0.3">
      <c r="A907">
        <v>2025</v>
      </c>
      <c r="B907" s="8">
        <v>42</v>
      </c>
      <c r="C907" s="20" t="s">
        <v>80</v>
      </c>
      <c r="D907" s="20" t="s">
        <v>81</v>
      </c>
      <c r="E907" s="20" t="s">
        <v>232</v>
      </c>
      <c r="F907" s="20" t="s">
        <v>232</v>
      </c>
      <c r="G907" s="20" t="s">
        <v>234</v>
      </c>
      <c r="H907" s="23">
        <v>0</v>
      </c>
      <c r="I907" s="22">
        <v>2500</v>
      </c>
    </row>
    <row r="908" spans="1:9" x14ac:dyDescent="0.3">
      <c r="A908">
        <v>2025</v>
      </c>
      <c r="B908" s="8">
        <v>42</v>
      </c>
      <c r="C908" s="20" t="s">
        <v>13</v>
      </c>
      <c r="D908" s="20" t="s">
        <v>40</v>
      </c>
      <c r="E908" s="20" t="s">
        <v>232</v>
      </c>
      <c r="F908" s="20" t="s">
        <v>232</v>
      </c>
      <c r="G908" s="20" t="s">
        <v>234</v>
      </c>
      <c r="H908" s="23">
        <v>820</v>
      </c>
      <c r="I908" s="22">
        <v>2500</v>
      </c>
    </row>
    <row r="909" spans="1:9" x14ac:dyDescent="0.3">
      <c r="A909">
        <v>2025</v>
      </c>
      <c r="B909" s="8">
        <v>42</v>
      </c>
      <c r="C909" s="20" t="s">
        <v>111</v>
      </c>
      <c r="D909" s="20" t="s">
        <v>63</v>
      </c>
      <c r="E909" s="20" t="s">
        <v>291</v>
      </c>
      <c r="F909" s="20" t="s">
        <v>291</v>
      </c>
      <c r="G909" s="20" t="s">
        <v>234</v>
      </c>
      <c r="H909" s="23">
        <v>2500</v>
      </c>
      <c r="I909" s="22">
        <v>2500</v>
      </c>
    </row>
    <row r="910" spans="1:9" x14ac:dyDescent="0.3">
      <c r="A910">
        <v>2025</v>
      </c>
      <c r="B910" s="8">
        <v>42</v>
      </c>
      <c r="C910" s="20" t="s">
        <v>17</v>
      </c>
      <c r="D910" s="20" t="s">
        <v>69</v>
      </c>
      <c r="E910" s="22" t="s">
        <v>241</v>
      </c>
      <c r="F910" s="20" t="s">
        <v>291</v>
      </c>
      <c r="G910" s="20" t="s">
        <v>234</v>
      </c>
      <c r="H910" s="23">
        <v>2500</v>
      </c>
      <c r="I910" s="22">
        <v>2500</v>
      </c>
    </row>
    <row r="911" spans="1:9" x14ac:dyDescent="0.3">
      <c r="A911">
        <v>2025</v>
      </c>
      <c r="B911" s="8">
        <v>42</v>
      </c>
      <c r="C911" s="20" t="s">
        <v>19</v>
      </c>
      <c r="D911" s="20" t="s">
        <v>20</v>
      </c>
      <c r="E911" s="20" t="s">
        <v>232</v>
      </c>
      <c r="F911" s="20" t="s">
        <v>232</v>
      </c>
      <c r="G911" s="20" t="s">
        <v>234</v>
      </c>
      <c r="H911" s="23">
        <v>3500</v>
      </c>
      <c r="I911" s="22">
        <v>2500</v>
      </c>
    </row>
    <row r="912" spans="1:9" x14ac:dyDescent="0.3">
      <c r="A912">
        <v>2025</v>
      </c>
      <c r="B912" s="8">
        <v>42</v>
      </c>
      <c r="C912" s="20" t="s">
        <v>444</v>
      </c>
      <c r="D912" s="20" t="s">
        <v>44</v>
      </c>
      <c r="E912" s="22" t="s">
        <v>232</v>
      </c>
      <c r="F912" s="20" t="s">
        <v>291</v>
      </c>
      <c r="G912" s="20" t="s">
        <v>234</v>
      </c>
      <c r="H912" s="23">
        <v>1943</v>
      </c>
      <c r="I912" s="22">
        <v>2500</v>
      </c>
    </row>
    <row r="913" spans="1:9" x14ac:dyDescent="0.3">
      <c r="A913">
        <v>2025</v>
      </c>
      <c r="B913" s="8">
        <v>42</v>
      </c>
      <c r="C913" s="20" t="s">
        <v>23</v>
      </c>
      <c r="D913" s="20" t="s">
        <v>97</v>
      </c>
      <c r="E913" s="20" t="s">
        <v>232</v>
      </c>
      <c r="F913" s="20" t="s">
        <v>232</v>
      </c>
      <c r="G913" s="20" t="s">
        <v>234</v>
      </c>
      <c r="H913" s="23">
        <v>3002.0400000000009</v>
      </c>
      <c r="I913" s="22">
        <v>2500</v>
      </c>
    </row>
    <row r="914" spans="1:9" x14ac:dyDescent="0.3">
      <c r="A914">
        <v>2025</v>
      </c>
      <c r="B914" s="8">
        <v>42</v>
      </c>
      <c r="C914" s="20" t="s">
        <v>25</v>
      </c>
      <c r="D914" s="20" t="s">
        <v>67</v>
      </c>
      <c r="E914" s="20" t="s">
        <v>232</v>
      </c>
      <c r="F914" s="20" t="s">
        <v>291</v>
      </c>
      <c r="G914" s="20" t="s">
        <v>234</v>
      </c>
      <c r="H914" s="23">
        <v>2500</v>
      </c>
      <c r="I914" s="22">
        <v>2500</v>
      </c>
    </row>
    <row r="915" spans="1:9" x14ac:dyDescent="0.3">
      <c r="A915">
        <v>2025</v>
      </c>
      <c r="B915" s="8">
        <v>42</v>
      </c>
      <c r="C915" s="20" t="s">
        <v>7</v>
      </c>
      <c r="D915" s="20" t="s">
        <v>8</v>
      </c>
      <c r="E915" s="22" t="s">
        <v>364</v>
      </c>
      <c r="F915" s="22" t="s">
        <v>364</v>
      </c>
      <c r="G915" s="20" t="s">
        <v>425</v>
      </c>
      <c r="H915" s="23">
        <v>3099.1800000000003</v>
      </c>
      <c r="I915" s="22">
        <v>2500</v>
      </c>
    </row>
    <row r="916" spans="1:9" x14ac:dyDescent="0.3">
      <c r="A916">
        <v>2025</v>
      </c>
      <c r="B916" s="8">
        <v>42</v>
      </c>
      <c r="C916" s="20" t="s">
        <v>9</v>
      </c>
      <c r="D916" s="20" t="s">
        <v>10</v>
      </c>
      <c r="E916" s="20" t="s">
        <v>232</v>
      </c>
      <c r="F916" s="20" t="s">
        <v>232</v>
      </c>
      <c r="G916" s="20" t="s">
        <v>234</v>
      </c>
      <c r="H916" s="23">
        <v>2999.2200000000003</v>
      </c>
      <c r="I916" s="22">
        <v>2500</v>
      </c>
    </row>
    <row r="917" spans="1:9" x14ac:dyDescent="0.3">
      <c r="A917">
        <v>2025</v>
      </c>
      <c r="B917" s="8">
        <v>42</v>
      </c>
      <c r="C917" s="20" t="s">
        <v>70</v>
      </c>
      <c r="D917" s="20" t="s">
        <v>44</v>
      </c>
      <c r="E917" s="22" t="s">
        <v>232</v>
      </c>
      <c r="F917" s="20" t="s">
        <v>291</v>
      </c>
      <c r="G917" s="20" t="s">
        <v>234</v>
      </c>
      <c r="H917" s="23">
        <v>465.26</v>
      </c>
      <c r="I917" s="22">
        <v>2500</v>
      </c>
    </row>
    <row r="918" spans="1:9" x14ac:dyDescent="0.3">
      <c r="A918">
        <v>2025</v>
      </c>
      <c r="B918" s="8">
        <v>42</v>
      </c>
      <c r="C918" s="20" t="s">
        <v>105</v>
      </c>
      <c r="D918" s="20" t="s">
        <v>204</v>
      </c>
      <c r="E918" s="22" t="s">
        <v>364</v>
      </c>
      <c r="F918" s="22" t="s">
        <v>364</v>
      </c>
      <c r="G918" s="20" t="s">
        <v>425</v>
      </c>
      <c r="H918" s="23">
        <v>3000</v>
      </c>
      <c r="I918" s="22">
        <v>2500</v>
      </c>
    </row>
    <row r="919" spans="1:9" x14ac:dyDescent="0.3">
      <c r="A919">
        <v>2025</v>
      </c>
      <c r="B919" s="8">
        <v>42</v>
      </c>
      <c r="C919" s="20" t="s">
        <v>440</v>
      </c>
      <c r="D919" s="20" t="s">
        <v>86</v>
      </c>
      <c r="E919" s="22" t="s">
        <v>232</v>
      </c>
      <c r="F919" s="20" t="s">
        <v>291</v>
      </c>
      <c r="G919" s="20" t="s">
        <v>234</v>
      </c>
      <c r="H919" s="23">
        <v>-620</v>
      </c>
      <c r="I919" s="22">
        <v>2500</v>
      </c>
    </row>
    <row r="920" spans="1:9" x14ac:dyDescent="0.3">
      <c r="A920">
        <v>2025</v>
      </c>
      <c r="B920" s="8">
        <v>42</v>
      </c>
      <c r="C920" s="20" t="s">
        <v>72</v>
      </c>
      <c r="D920" s="20" t="s">
        <v>73</v>
      </c>
      <c r="E920" s="22" t="s">
        <v>241</v>
      </c>
      <c r="F920" s="20" t="s">
        <v>291</v>
      </c>
      <c r="G920" s="20" t="s">
        <v>234</v>
      </c>
      <c r="H920" s="23">
        <v>2595</v>
      </c>
      <c r="I920" s="22">
        <v>2500</v>
      </c>
    </row>
    <row r="921" spans="1:9" x14ac:dyDescent="0.3">
      <c r="A921">
        <v>2025</v>
      </c>
      <c r="B921" s="8">
        <v>42</v>
      </c>
      <c r="C921" s="20" t="s">
        <v>292</v>
      </c>
      <c r="D921" s="20" t="s">
        <v>52</v>
      </c>
      <c r="E921" s="20" t="s">
        <v>232</v>
      </c>
      <c r="F921" s="20" t="s">
        <v>232</v>
      </c>
      <c r="G921" s="20" t="s">
        <v>234</v>
      </c>
      <c r="H921" s="23">
        <v>2500</v>
      </c>
      <c r="I921" s="22">
        <v>2500</v>
      </c>
    </row>
    <row r="922" spans="1:9" x14ac:dyDescent="0.3">
      <c r="A922">
        <v>2025</v>
      </c>
      <c r="B922" s="8">
        <v>42</v>
      </c>
      <c r="C922" s="20" t="s">
        <v>424</v>
      </c>
      <c r="D922" s="20" t="s">
        <v>418</v>
      </c>
      <c r="E922" s="22" t="s">
        <v>364</v>
      </c>
      <c r="F922" s="22" t="s">
        <v>364</v>
      </c>
      <c r="G922" s="20" t="s">
        <v>234</v>
      </c>
      <c r="H922" s="23">
        <v>-200</v>
      </c>
      <c r="I922" s="22">
        <v>2500</v>
      </c>
    </row>
    <row r="923" spans="1:9" x14ac:dyDescent="0.3">
      <c r="A923">
        <v>2025</v>
      </c>
      <c r="B923" s="8">
        <v>42</v>
      </c>
      <c r="C923" s="20" t="s">
        <v>454</v>
      </c>
      <c r="D923" s="20" t="s">
        <v>4</v>
      </c>
      <c r="E923" s="20" t="s">
        <v>232</v>
      </c>
      <c r="F923" s="20" t="s">
        <v>232</v>
      </c>
      <c r="G923" s="20" t="s">
        <v>234</v>
      </c>
      <c r="H923" s="23">
        <v>-780.24</v>
      </c>
      <c r="I923" s="22">
        <v>2500</v>
      </c>
    </row>
    <row r="924" spans="1:9" x14ac:dyDescent="0.3">
      <c r="A924">
        <v>2025</v>
      </c>
      <c r="B924" s="8">
        <v>42</v>
      </c>
      <c r="C924" s="20" t="s">
        <v>57</v>
      </c>
      <c r="D924" s="20" t="s">
        <v>16</v>
      </c>
      <c r="E924" s="20" t="s">
        <v>232</v>
      </c>
      <c r="F924" s="20" t="s">
        <v>232</v>
      </c>
      <c r="G924" s="20" t="s">
        <v>234</v>
      </c>
      <c r="H924" s="23">
        <v>2500</v>
      </c>
      <c r="I924" s="22">
        <v>2500</v>
      </c>
    </row>
    <row r="925" spans="1:9" x14ac:dyDescent="0.3">
      <c r="A925">
        <v>2025</v>
      </c>
      <c r="B925" s="8">
        <v>42</v>
      </c>
      <c r="C925" s="20" t="s">
        <v>35</v>
      </c>
      <c r="D925" s="20" t="s">
        <v>36</v>
      </c>
      <c r="E925" s="20" t="s">
        <v>232</v>
      </c>
      <c r="F925" s="20" t="s">
        <v>291</v>
      </c>
      <c r="G925" s="20" t="s">
        <v>234</v>
      </c>
      <c r="H925" s="23">
        <v>1885.5199999999986</v>
      </c>
      <c r="I925" s="22">
        <v>2500</v>
      </c>
    </row>
    <row r="926" spans="1:9" x14ac:dyDescent="0.3">
      <c r="A926">
        <v>2025</v>
      </c>
      <c r="B926" s="8">
        <v>42</v>
      </c>
      <c r="C926" s="20" t="s">
        <v>61</v>
      </c>
      <c r="D926" s="20" t="s">
        <v>34</v>
      </c>
      <c r="E926" s="20" t="s">
        <v>232</v>
      </c>
      <c r="F926" s="20" t="s">
        <v>232</v>
      </c>
      <c r="G926" s="20" t="s">
        <v>234</v>
      </c>
      <c r="H926" s="23">
        <v>3818.0199999999995</v>
      </c>
      <c r="I926" s="22">
        <v>2500</v>
      </c>
    </row>
    <row r="927" spans="1:9" x14ac:dyDescent="0.3">
      <c r="A927">
        <v>2025</v>
      </c>
      <c r="B927" s="8">
        <v>42</v>
      </c>
      <c r="C927" s="20" t="s">
        <v>417</v>
      </c>
      <c r="D927" s="20" t="s">
        <v>428</v>
      </c>
      <c r="E927" s="22" t="s">
        <v>364</v>
      </c>
      <c r="F927" s="22" t="s">
        <v>364</v>
      </c>
      <c r="G927" s="20" t="s">
        <v>234</v>
      </c>
      <c r="H927" s="23">
        <v>3000</v>
      </c>
      <c r="I927" s="22">
        <v>2500</v>
      </c>
    </row>
    <row r="928" spans="1:9" x14ac:dyDescent="0.3">
      <c r="A928">
        <v>2025</v>
      </c>
      <c r="B928" s="8">
        <v>42</v>
      </c>
      <c r="C928" s="20" t="s">
        <v>45</v>
      </c>
      <c r="D928" s="20" t="s">
        <v>46</v>
      </c>
      <c r="E928" s="20" t="s">
        <v>232</v>
      </c>
      <c r="F928" s="20" t="s">
        <v>232</v>
      </c>
      <c r="G928" s="20" t="s">
        <v>234</v>
      </c>
      <c r="H928" s="23">
        <v>2999.5199999999995</v>
      </c>
      <c r="I928" s="22">
        <v>2500</v>
      </c>
    </row>
    <row r="929" spans="1:9" x14ac:dyDescent="0.3">
      <c r="A929">
        <v>2025</v>
      </c>
      <c r="B929" s="8">
        <v>42</v>
      </c>
      <c r="C929" s="20" t="s">
        <v>5</v>
      </c>
      <c r="D929" s="20" t="s">
        <v>28</v>
      </c>
      <c r="E929" s="20" t="s">
        <v>232</v>
      </c>
      <c r="F929" s="20" t="s">
        <v>232</v>
      </c>
      <c r="G929" s="20" t="s">
        <v>234</v>
      </c>
      <c r="H929" s="23">
        <v>2598.0599999999995</v>
      </c>
      <c r="I929" s="22">
        <v>2500</v>
      </c>
    </row>
    <row r="930" spans="1:9" x14ac:dyDescent="0.3">
      <c r="A930">
        <v>2025</v>
      </c>
      <c r="B930" s="8">
        <v>42</v>
      </c>
      <c r="C930" s="20" t="s">
        <v>49</v>
      </c>
      <c r="D930" s="20" t="s">
        <v>104</v>
      </c>
      <c r="E930" s="20" t="s">
        <v>364</v>
      </c>
      <c r="F930" s="22" t="s">
        <v>364</v>
      </c>
      <c r="G930" s="20" t="s">
        <v>234</v>
      </c>
      <c r="H930" s="23">
        <v>0</v>
      </c>
      <c r="I930" s="22">
        <v>2500</v>
      </c>
    </row>
    <row r="931" spans="1:9" x14ac:dyDescent="0.3">
      <c r="A931">
        <v>2025</v>
      </c>
      <c r="B931" s="8">
        <v>42</v>
      </c>
      <c r="C931" s="20" t="s">
        <v>362</v>
      </c>
      <c r="D931" s="20" t="s">
        <v>50</v>
      </c>
      <c r="E931" s="20" t="s">
        <v>232</v>
      </c>
      <c r="F931" s="20" t="s">
        <v>232</v>
      </c>
      <c r="G931" s="20" t="s">
        <v>234</v>
      </c>
      <c r="H931" s="23">
        <v>5703.42</v>
      </c>
      <c r="I931" s="22">
        <v>2500</v>
      </c>
    </row>
    <row r="932" spans="1:9" x14ac:dyDescent="0.3">
      <c r="A932">
        <v>2025</v>
      </c>
      <c r="B932" s="8">
        <v>42</v>
      </c>
      <c r="C932" s="20" t="s">
        <v>414</v>
      </c>
      <c r="D932" s="20" t="s">
        <v>59</v>
      </c>
      <c r="E932" s="22" t="s">
        <v>232</v>
      </c>
      <c r="F932" s="20" t="s">
        <v>291</v>
      </c>
      <c r="G932" s="20" t="s">
        <v>234</v>
      </c>
      <c r="H932" s="23">
        <v>2500</v>
      </c>
      <c r="I932" s="22">
        <v>2500</v>
      </c>
    </row>
    <row r="933" spans="1:9" x14ac:dyDescent="0.3">
      <c r="A933">
        <v>2025</v>
      </c>
      <c r="B933" s="8">
        <v>42</v>
      </c>
      <c r="C933" s="20" t="s">
        <v>74</v>
      </c>
      <c r="D933" s="20" t="s">
        <v>77</v>
      </c>
      <c r="E933" s="22" t="s">
        <v>232</v>
      </c>
      <c r="F933" s="20" t="s">
        <v>291</v>
      </c>
      <c r="G933" s="20" t="s">
        <v>234</v>
      </c>
      <c r="H933" s="23">
        <v>2500</v>
      </c>
      <c r="I933" s="22">
        <v>2500</v>
      </c>
    </row>
    <row r="934" spans="1:9" x14ac:dyDescent="0.3">
      <c r="A934">
        <v>2025</v>
      </c>
      <c r="B934" s="8">
        <v>42</v>
      </c>
      <c r="C934" s="20" t="s">
        <v>51</v>
      </c>
      <c r="D934" s="20" t="s">
        <v>106</v>
      </c>
      <c r="E934" s="20" t="s">
        <v>232</v>
      </c>
      <c r="F934" s="20" t="s">
        <v>232</v>
      </c>
      <c r="G934" s="20" t="s">
        <v>234</v>
      </c>
      <c r="H934" s="23">
        <v>3000</v>
      </c>
      <c r="I934" s="22">
        <v>2500</v>
      </c>
    </row>
    <row r="935" spans="1:9" x14ac:dyDescent="0.3">
      <c r="A935">
        <v>2025</v>
      </c>
      <c r="B935" s="8">
        <v>42</v>
      </c>
      <c r="C935" s="20" t="s">
        <v>98</v>
      </c>
      <c r="D935" s="20" t="s">
        <v>168</v>
      </c>
      <c r="E935" s="20" t="s">
        <v>232</v>
      </c>
      <c r="F935" s="20" t="s">
        <v>232</v>
      </c>
      <c r="G935" s="20" t="s">
        <v>234</v>
      </c>
      <c r="H935" s="23">
        <v>-321.60000000000036</v>
      </c>
      <c r="I935" s="22">
        <v>2500</v>
      </c>
    </row>
    <row r="936" spans="1:9" x14ac:dyDescent="0.3">
      <c r="A936">
        <v>2025</v>
      </c>
      <c r="B936" s="8">
        <v>42</v>
      </c>
      <c r="C936" s="20" t="s">
        <v>78</v>
      </c>
      <c r="D936" s="44" t="s">
        <v>79</v>
      </c>
      <c r="E936" s="20" t="s">
        <v>291</v>
      </c>
      <c r="F936" s="20" t="s">
        <v>291</v>
      </c>
      <c r="G936" s="20" t="s">
        <v>234</v>
      </c>
      <c r="H936" s="23">
        <v>3700.5999999999995</v>
      </c>
      <c r="I936" s="22">
        <v>2500</v>
      </c>
    </row>
    <row r="937" spans="1:9" x14ac:dyDescent="0.3">
      <c r="A937">
        <v>2025</v>
      </c>
      <c r="B937" s="8">
        <v>42</v>
      </c>
      <c r="C937" s="20" t="s">
        <v>462</v>
      </c>
      <c r="D937" s="20" t="s">
        <v>418</v>
      </c>
      <c r="E937" s="20" t="s">
        <v>364</v>
      </c>
      <c r="F937" s="22" t="s">
        <v>364</v>
      </c>
      <c r="G937" s="20" t="s">
        <v>234</v>
      </c>
      <c r="H937" s="23">
        <v>1329.3799999999997</v>
      </c>
      <c r="I937" s="22">
        <v>2500</v>
      </c>
    </row>
    <row r="938" spans="1:9" x14ac:dyDescent="0.3">
      <c r="A938">
        <v>2025</v>
      </c>
      <c r="B938" s="8">
        <v>42</v>
      </c>
      <c r="C938" s="20" t="s">
        <v>37</v>
      </c>
      <c r="D938" s="20" t="s">
        <v>40</v>
      </c>
      <c r="E938" s="20" t="s">
        <v>232</v>
      </c>
      <c r="F938" s="20" t="s">
        <v>232</v>
      </c>
      <c r="G938" s="20" t="s">
        <v>234</v>
      </c>
      <c r="H938" s="23">
        <v>2411.1800000000003</v>
      </c>
      <c r="I938" s="22">
        <v>2500</v>
      </c>
    </row>
    <row r="939" spans="1:9" x14ac:dyDescent="0.3">
      <c r="A939">
        <v>2025</v>
      </c>
      <c r="B939" s="8">
        <v>42</v>
      </c>
      <c r="C939" s="20" t="s">
        <v>60</v>
      </c>
      <c r="D939" s="41" t="s">
        <v>42</v>
      </c>
      <c r="E939" s="20" t="s">
        <v>232</v>
      </c>
      <c r="F939" s="20" t="s">
        <v>232</v>
      </c>
      <c r="G939" s="20" t="s">
        <v>234</v>
      </c>
      <c r="H939" s="23">
        <v>643</v>
      </c>
      <c r="I939" s="22">
        <v>2500</v>
      </c>
    </row>
    <row r="940" spans="1:9" x14ac:dyDescent="0.3">
      <c r="A940">
        <v>2025</v>
      </c>
      <c r="B940" s="8">
        <v>42</v>
      </c>
      <c r="C940" s="20" t="s">
        <v>13</v>
      </c>
      <c r="D940" s="20" t="s">
        <v>30</v>
      </c>
      <c r="E940" s="20" t="s">
        <v>232</v>
      </c>
      <c r="F940" s="20" t="s">
        <v>291</v>
      </c>
      <c r="G940" s="20" t="s">
        <v>234</v>
      </c>
      <c r="H940" s="23">
        <v>2180</v>
      </c>
      <c r="I940" s="22"/>
    </row>
    <row r="941" spans="1:9" x14ac:dyDescent="0.3">
      <c r="A941">
        <v>2025</v>
      </c>
      <c r="B941" s="8">
        <v>42</v>
      </c>
      <c r="C941" s="20" t="s">
        <v>49</v>
      </c>
      <c r="D941" s="20" t="s">
        <v>75</v>
      </c>
      <c r="E941" s="22" t="s">
        <v>241</v>
      </c>
      <c r="F941" s="20" t="s">
        <v>291</v>
      </c>
      <c r="G941" s="20" t="s">
        <v>234</v>
      </c>
      <c r="H941" s="23">
        <v>2200</v>
      </c>
      <c r="I941" s="22">
        <v>2500</v>
      </c>
    </row>
    <row r="942" spans="1:9" x14ac:dyDescent="0.3">
      <c r="A942">
        <v>2025</v>
      </c>
      <c r="B942" s="8">
        <v>42</v>
      </c>
      <c r="C942" s="20" t="s">
        <v>396</v>
      </c>
      <c r="D942" s="20" t="s">
        <v>75</v>
      </c>
      <c r="E942" s="22" t="s">
        <v>241</v>
      </c>
      <c r="F942" s="20" t="s">
        <v>291</v>
      </c>
      <c r="G942" s="20" t="s">
        <v>234</v>
      </c>
      <c r="H942" s="23">
        <v>-1016</v>
      </c>
      <c r="I942" s="22">
        <v>2500</v>
      </c>
    </row>
    <row r="943" spans="1:9" x14ac:dyDescent="0.3">
      <c r="A943">
        <v>2025</v>
      </c>
      <c r="B943" s="8">
        <v>43</v>
      </c>
      <c r="C943" s="20" t="s">
        <v>11</v>
      </c>
      <c r="D943" s="20" t="s">
        <v>86</v>
      </c>
      <c r="E943" s="20" t="s">
        <v>232</v>
      </c>
      <c r="F943" s="20" t="s">
        <v>291</v>
      </c>
      <c r="G943" s="20" t="s">
        <v>234</v>
      </c>
      <c r="H943" s="23">
        <v>2500</v>
      </c>
      <c r="I943" s="22">
        <v>2500</v>
      </c>
    </row>
    <row r="944" spans="1:9" x14ac:dyDescent="0.3">
      <c r="A944">
        <v>2025</v>
      </c>
      <c r="B944" s="8">
        <v>43</v>
      </c>
      <c r="C944" s="20" t="s">
        <v>80</v>
      </c>
      <c r="D944" s="20" t="s">
        <v>81</v>
      </c>
      <c r="E944" s="20" t="s">
        <v>232</v>
      </c>
      <c r="F944" s="20" t="s">
        <v>232</v>
      </c>
      <c r="G944" s="20" t="s">
        <v>234</v>
      </c>
      <c r="H944" s="23">
        <v>2500</v>
      </c>
      <c r="I944" s="22">
        <v>2500</v>
      </c>
    </row>
    <row r="945" spans="1:9" x14ac:dyDescent="0.3">
      <c r="A945">
        <v>2025</v>
      </c>
      <c r="B945" s="8">
        <v>43</v>
      </c>
      <c r="C945" s="20" t="s">
        <v>13</v>
      </c>
      <c r="D945" s="20" t="s">
        <v>4</v>
      </c>
      <c r="E945" s="20" t="s">
        <v>232</v>
      </c>
      <c r="F945" s="20" t="s">
        <v>232</v>
      </c>
      <c r="G945" s="20" t="s">
        <v>234</v>
      </c>
      <c r="H945" s="23">
        <v>0</v>
      </c>
      <c r="I945" s="22">
        <v>2500</v>
      </c>
    </row>
    <row r="946" spans="1:9" x14ac:dyDescent="0.3">
      <c r="A946">
        <v>2025</v>
      </c>
      <c r="B946" s="8">
        <v>43</v>
      </c>
      <c r="C946" s="20" t="s">
        <v>111</v>
      </c>
      <c r="D946" s="20" t="s">
        <v>63</v>
      </c>
      <c r="E946" s="20" t="s">
        <v>291</v>
      </c>
      <c r="F946" s="20" t="s">
        <v>291</v>
      </c>
      <c r="G946" s="20" t="s">
        <v>234</v>
      </c>
      <c r="H946" s="23">
        <v>2500</v>
      </c>
      <c r="I946" s="22">
        <v>2500</v>
      </c>
    </row>
    <row r="947" spans="1:9" x14ac:dyDescent="0.3">
      <c r="A947">
        <v>2025</v>
      </c>
      <c r="B947" s="8">
        <v>43</v>
      </c>
      <c r="C947" s="20" t="s">
        <v>17</v>
      </c>
      <c r="D947" s="20" t="s">
        <v>69</v>
      </c>
      <c r="E947" s="22" t="s">
        <v>241</v>
      </c>
      <c r="F947" s="20" t="s">
        <v>291</v>
      </c>
      <c r="G947" s="20" t="s">
        <v>234</v>
      </c>
      <c r="H947" s="23">
        <v>2500</v>
      </c>
      <c r="I947" s="22">
        <v>2500</v>
      </c>
    </row>
    <row r="948" spans="1:9" x14ac:dyDescent="0.3">
      <c r="A948">
        <v>2025</v>
      </c>
      <c r="B948" s="8">
        <v>43</v>
      </c>
      <c r="C948" s="20" t="s">
        <v>19</v>
      </c>
      <c r="D948" s="20" t="s">
        <v>20</v>
      </c>
      <c r="E948" s="20" t="s">
        <v>232</v>
      </c>
      <c r="F948" s="20" t="s">
        <v>232</v>
      </c>
      <c r="G948" s="20" t="s">
        <v>234</v>
      </c>
      <c r="H948" s="23">
        <v>3500</v>
      </c>
      <c r="I948" s="22">
        <v>2500</v>
      </c>
    </row>
    <row r="949" spans="1:9" x14ac:dyDescent="0.3">
      <c r="A949">
        <v>2025</v>
      </c>
      <c r="B949" s="8">
        <v>43</v>
      </c>
      <c r="C949" s="20" t="s">
        <v>444</v>
      </c>
      <c r="D949" s="20" t="s">
        <v>44</v>
      </c>
      <c r="E949" s="22" t="s">
        <v>232</v>
      </c>
      <c r="F949" s="20" t="s">
        <v>291</v>
      </c>
      <c r="G949" s="20" t="s">
        <v>234</v>
      </c>
      <c r="H949" s="23">
        <v>3000</v>
      </c>
      <c r="I949" s="22">
        <v>2500</v>
      </c>
    </row>
    <row r="950" spans="1:9" x14ac:dyDescent="0.3">
      <c r="A950">
        <v>2025</v>
      </c>
      <c r="B950" s="8">
        <v>43</v>
      </c>
      <c r="C950" s="20" t="s">
        <v>23</v>
      </c>
      <c r="D950" s="20" t="s">
        <v>97</v>
      </c>
      <c r="E950" s="20" t="s">
        <v>232</v>
      </c>
      <c r="F950" s="20" t="s">
        <v>232</v>
      </c>
      <c r="G950" s="20" t="s">
        <v>234</v>
      </c>
      <c r="H950" s="23">
        <v>3472.880000000001</v>
      </c>
      <c r="I950" s="22">
        <v>2500</v>
      </c>
    </row>
    <row r="951" spans="1:9" x14ac:dyDescent="0.3">
      <c r="A951">
        <v>2025</v>
      </c>
      <c r="B951" s="8">
        <v>43</v>
      </c>
      <c r="C951" s="20" t="s">
        <v>25</v>
      </c>
      <c r="D951" s="20" t="s">
        <v>67</v>
      </c>
      <c r="E951" s="20" t="s">
        <v>232</v>
      </c>
      <c r="F951" s="20" t="s">
        <v>291</v>
      </c>
      <c r="G951" s="20" t="s">
        <v>234</v>
      </c>
      <c r="H951" s="23">
        <v>1971.3199999999997</v>
      </c>
      <c r="I951" s="22">
        <v>2500</v>
      </c>
    </row>
    <row r="952" spans="1:9" x14ac:dyDescent="0.3">
      <c r="A952">
        <v>2025</v>
      </c>
      <c r="B952" s="8">
        <v>43</v>
      </c>
      <c r="C952" s="20" t="s">
        <v>7</v>
      </c>
      <c r="D952" s="20" t="s">
        <v>8</v>
      </c>
      <c r="E952" s="22" t="s">
        <v>364</v>
      </c>
      <c r="F952" s="22" t="s">
        <v>364</v>
      </c>
      <c r="G952" s="20" t="s">
        <v>425</v>
      </c>
      <c r="H952" s="23">
        <v>3100.7999999999993</v>
      </c>
      <c r="I952" s="22">
        <v>2500</v>
      </c>
    </row>
    <row r="953" spans="1:9" x14ac:dyDescent="0.3">
      <c r="A953">
        <v>2025</v>
      </c>
      <c r="B953" s="8">
        <v>43</v>
      </c>
      <c r="C953" s="20" t="s">
        <v>9</v>
      </c>
      <c r="D953" s="20" t="s">
        <v>10</v>
      </c>
      <c r="E953" s="20" t="s">
        <v>232</v>
      </c>
      <c r="F953" s="20" t="s">
        <v>232</v>
      </c>
      <c r="G953" s="20" t="s">
        <v>234</v>
      </c>
      <c r="H953" s="23">
        <v>2999.0599999999995</v>
      </c>
      <c r="I953" s="22">
        <v>2500</v>
      </c>
    </row>
    <row r="954" spans="1:9" x14ac:dyDescent="0.3">
      <c r="A954">
        <v>2025</v>
      </c>
      <c r="B954" s="8">
        <v>43</v>
      </c>
      <c r="C954" s="20" t="s">
        <v>105</v>
      </c>
      <c r="D954" s="20" t="s">
        <v>204</v>
      </c>
      <c r="E954" s="22" t="s">
        <v>364</v>
      </c>
      <c r="F954" s="22" t="s">
        <v>364</v>
      </c>
      <c r="G954" s="20" t="s">
        <v>425</v>
      </c>
      <c r="H954" s="23">
        <v>3000</v>
      </c>
      <c r="I954" s="22">
        <v>2500</v>
      </c>
    </row>
    <row r="955" spans="1:9" x14ac:dyDescent="0.3">
      <c r="A955">
        <v>2025</v>
      </c>
      <c r="B955" s="8">
        <v>43</v>
      </c>
      <c r="C955" s="20" t="s">
        <v>72</v>
      </c>
      <c r="D955" s="20" t="s">
        <v>73</v>
      </c>
      <c r="E955" s="22" t="s">
        <v>241</v>
      </c>
      <c r="F955" s="20" t="s">
        <v>291</v>
      </c>
      <c r="G955" s="20" t="s">
        <v>234</v>
      </c>
      <c r="H955" s="23">
        <v>3200</v>
      </c>
      <c r="I955" s="22">
        <v>2500</v>
      </c>
    </row>
    <row r="956" spans="1:9" x14ac:dyDescent="0.3">
      <c r="A956">
        <v>2025</v>
      </c>
      <c r="B956" s="8">
        <v>43</v>
      </c>
      <c r="C956" s="20" t="s">
        <v>292</v>
      </c>
      <c r="D956" s="20" t="s">
        <v>52</v>
      </c>
      <c r="E956" s="20" t="s">
        <v>232</v>
      </c>
      <c r="F956" s="20" t="s">
        <v>232</v>
      </c>
      <c r="G956" s="20" t="s">
        <v>234</v>
      </c>
      <c r="H956" s="23">
        <v>326</v>
      </c>
      <c r="I956" s="22">
        <v>2500</v>
      </c>
    </row>
    <row r="957" spans="1:9" x14ac:dyDescent="0.3">
      <c r="A957">
        <v>2025</v>
      </c>
      <c r="B957" s="8">
        <v>43</v>
      </c>
      <c r="C957" s="20" t="s">
        <v>57</v>
      </c>
      <c r="D957" s="20" t="s">
        <v>16</v>
      </c>
      <c r="E957" s="20" t="s">
        <v>232</v>
      </c>
      <c r="F957" s="20" t="s">
        <v>232</v>
      </c>
      <c r="G957" s="20" t="s">
        <v>234</v>
      </c>
      <c r="H957" s="23">
        <v>2500</v>
      </c>
      <c r="I957" s="22">
        <v>2500</v>
      </c>
    </row>
    <row r="958" spans="1:9" x14ac:dyDescent="0.3">
      <c r="A958">
        <v>2025</v>
      </c>
      <c r="B958" s="8">
        <v>43</v>
      </c>
      <c r="C958" s="20" t="s">
        <v>35</v>
      </c>
      <c r="D958" s="20" t="s">
        <v>36</v>
      </c>
      <c r="E958" s="20" t="s">
        <v>232</v>
      </c>
      <c r="F958" s="20" t="s">
        <v>291</v>
      </c>
      <c r="G958" s="20" t="s">
        <v>234</v>
      </c>
      <c r="H958" s="23">
        <v>2510.3200000000002</v>
      </c>
      <c r="I958" s="22">
        <v>2500</v>
      </c>
    </row>
    <row r="959" spans="1:9" x14ac:dyDescent="0.3">
      <c r="A959">
        <v>2025</v>
      </c>
      <c r="B959" s="8">
        <v>43</v>
      </c>
      <c r="C959" s="20" t="s">
        <v>61</v>
      </c>
      <c r="D959" s="20" t="s">
        <v>34</v>
      </c>
      <c r="E959" s="20" t="s">
        <v>232</v>
      </c>
      <c r="F959" s="20" t="s">
        <v>232</v>
      </c>
      <c r="G959" s="20" t="s">
        <v>234</v>
      </c>
      <c r="H959" s="23">
        <v>3556</v>
      </c>
      <c r="I959" s="22">
        <v>2500</v>
      </c>
    </row>
    <row r="960" spans="1:9" x14ac:dyDescent="0.3">
      <c r="A960">
        <v>2025</v>
      </c>
      <c r="B960" s="8">
        <v>43</v>
      </c>
      <c r="C960" s="20" t="s">
        <v>417</v>
      </c>
      <c r="D960" s="20" t="s">
        <v>428</v>
      </c>
      <c r="E960" s="22" t="s">
        <v>364</v>
      </c>
      <c r="F960" s="22" t="s">
        <v>364</v>
      </c>
      <c r="G960" s="20" t="s">
        <v>234</v>
      </c>
      <c r="H960" s="23">
        <v>3000.1399999999994</v>
      </c>
      <c r="I960" s="22">
        <v>2500</v>
      </c>
    </row>
    <row r="961" spans="1:9" x14ac:dyDescent="0.3">
      <c r="A961">
        <v>2025</v>
      </c>
      <c r="B961" s="8">
        <v>43</v>
      </c>
      <c r="C961" s="20" t="s">
        <v>45</v>
      </c>
      <c r="D961" s="20" t="s">
        <v>46</v>
      </c>
      <c r="E961" s="20" t="s">
        <v>232</v>
      </c>
      <c r="F961" s="20" t="s">
        <v>232</v>
      </c>
      <c r="G961" s="20" t="s">
        <v>234</v>
      </c>
      <c r="H961" s="23">
        <v>2656</v>
      </c>
      <c r="I961" s="22">
        <v>2500</v>
      </c>
    </row>
    <row r="962" spans="1:9" x14ac:dyDescent="0.3">
      <c r="A962">
        <v>2025</v>
      </c>
      <c r="B962" s="8">
        <v>43</v>
      </c>
      <c r="C962" s="20" t="s">
        <v>5</v>
      </c>
      <c r="D962" s="20" t="s">
        <v>28</v>
      </c>
      <c r="E962" s="20" t="s">
        <v>232</v>
      </c>
      <c r="F962" s="20" t="s">
        <v>232</v>
      </c>
      <c r="G962" s="20" t="s">
        <v>234</v>
      </c>
      <c r="H962" s="23">
        <v>2906.62</v>
      </c>
      <c r="I962" s="22">
        <v>2500</v>
      </c>
    </row>
    <row r="963" spans="1:9" x14ac:dyDescent="0.3">
      <c r="A963">
        <v>2025</v>
      </c>
      <c r="B963" s="8">
        <v>43</v>
      </c>
      <c r="C963" s="20" t="s">
        <v>362</v>
      </c>
      <c r="D963" s="20" t="s">
        <v>50</v>
      </c>
      <c r="E963" s="20" t="s">
        <v>232</v>
      </c>
      <c r="F963" s="20" t="s">
        <v>232</v>
      </c>
      <c r="G963" s="20" t="s">
        <v>234</v>
      </c>
      <c r="H963" s="23">
        <v>0</v>
      </c>
      <c r="I963" s="22">
        <v>2500</v>
      </c>
    </row>
    <row r="964" spans="1:9" x14ac:dyDescent="0.3">
      <c r="A964">
        <v>2025</v>
      </c>
      <c r="B964" s="8">
        <v>43</v>
      </c>
      <c r="C964" s="20" t="s">
        <v>414</v>
      </c>
      <c r="D964" s="20" t="s">
        <v>59</v>
      </c>
      <c r="E964" s="22" t="s">
        <v>232</v>
      </c>
      <c r="F964" s="20" t="s">
        <v>291</v>
      </c>
      <c r="G964" s="20" t="s">
        <v>234</v>
      </c>
      <c r="H964" s="23">
        <v>2500</v>
      </c>
      <c r="I964" s="22">
        <v>2500</v>
      </c>
    </row>
    <row r="965" spans="1:9" x14ac:dyDescent="0.3">
      <c r="A965">
        <v>2025</v>
      </c>
      <c r="B965" s="8">
        <v>43</v>
      </c>
      <c r="C965" s="20" t="s">
        <v>74</v>
      </c>
      <c r="D965" s="20" t="s">
        <v>77</v>
      </c>
      <c r="E965" s="22" t="s">
        <v>232</v>
      </c>
      <c r="F965" s="20" t="s">
        <v>291</v>
      </c>
      <c r="G965" s="20" t="s">
        <v>234</v>
      </c>
      <c r="H965" s="23">
        <v>2500</v>
      </c>
      <c r="I965" s="22">
        <v>2500</v>
      </c>
    </row>
    <row r="966" spans="1:9" x14ac:dyDescent="0.3">
      <c r="A966">
        <v>2025</v>
      </c>
      <c r="B966" s="8">
        <v>43</v>
      </c>
      <c r="C966" s="20" t="s">
        <v>51</v>
      </c>
      <c r="D966" s="20" t="s">
        <v>106</v>
      </c>
      <c r="E966" s="20" t="s">
        <v>232</v>
      </c>
      <c r="F966" s="20" t="s">
        <v>232</v>
      </c>
      <c r="G966" s="20" t="s">
        <v>234</v>
      </c>
      <c r="H966" s="23">
        <v>3130</v>
      </c>
      <c r="I966" s="22">
        <v>2500</v>
      </c>
    </row>
    <row r="967" spans="1:9" x14ac:dyDescent="0.3">
      <c r="A967">
        <v>2025</v>
      </c>
      <c r="B967" s="8">
        <v>43</v>
      </c>
      <c r="C967" s="20" t="s">
        <v>98</v>
      </c>
      <c r="D967" s="20" t="s">
        <v>168</v>
      </c>
      <c r="E967" s="20" t="s">
        <v>232</v>
      </c>
      <c r="F967" s="20" t="s">
        <v>232</v>
      </c>
      <c r="G967" s="20" t="s">
        <v>234</v>
      </c>
      <c r="H967" s="23">
        <v>118.5</v>
      </c>
      <c r="I967" s="22">
        <v>2500</v>
      </c>
    </row>
    <row r="968" spans="1:9" x14ac:dyDescent="0.3">
      <c r="A968">
        <v>2025</v>
      </c>
      <c r="B968" s="8">
        <v>43</v>
      </c>
      <c r="C968" s="20" t="s">
        <v>78</v>
      </c>
      <c r="D968" s="44" t="s">
        <v>79</v>
      </c>
      <c r="E968" s="20" t="s">
        <v>291</v>
      </c>
      <c r="F968" s="20" t="s">
        <v>291</v>
      </c>
      <c r="G968" s="20" t="s">
        <v>234</v>
      </c>
      <c r="H968" s="23">
        <v>3000</v>
      </c>
      <c r="I968" s="22">
        <v>2500</v>
      </c>
    </row>
    <row r="969" spans="1:9" x14ac:dyDescent="0.3">
      <c r="A969">
        <v>2025</v>
      </c>
      <c r="B969" s="8">
        <v>43</v>
      </c>
      <c r="C969" s="20" t="s">
        <v>462</v>
      </c>
      <c r="D969" s="20" t="s">
        <v>418</v>
      </c>
      <c r="E969" s="20" t="s">
        <v>364</v>
      </c>
      <c r="F969" s="22" t="s">
        <v>364</v>
      </c>
      <c r="G969" s="20" t="s">
        <v>234</v>
      </c>
      <c r="H969" s="23">
        <v>-5263.7000000000007</v>
      </c>
      <c r="I969" s="22">
        <v>2500</v>
      </c>
    </row>
    <row r="970" spans="1:9" x14ac:dyDescent="0.3">
      <c r="A970">
        <v>2025</v>
      </c>
      <c r="B970" s="8">
        <v>43</v>
      </c>
      <c r="C970" s="20" t="s">
        <v>37</v>
      </c>
      <c r="D970" s="20" t="s">
        <v>40</v>
      </c>
      <c r="E970" s="20" t="s">
        <v>232</v>
      </c>
      <c r="F970" s="20" t="s">
        <v>232</v>
      </c>
      <c r="G970" s="20" t="s">
        <v>234</v>
      </c>
      <c r="H970" s="23">
        <v>3857</v>
      </c>
      <c r="I970" s="22">
        <v>2500</v>
      </c>
    </row>
    <row r="971" spans="1:9" x14ac:dyDescent="0.3">
      <c r="A971">
        <v>2025</v>
      </c>
      <c r="B971" s="8">
        <v>43</v>
      </c>
      <c r="C971" s="20" t="s">
        <v>60</v>
      </c>
      <c r="D971" s="41" t="s">
        <v>42</v>
      </c>
      <c r="E971" s="20" t="s">
        <v>232</v>
      </c>
      <c r="F971" s="20" t="s">
        <v>232</v>
      </c>
      <c r="G971" s="20" t="s">
        <v>234</v>
      </c>
      <c r="H971" s="23">
        <v>2572</v>
      </c>
      <c r="I971" s="22">
        <v>2500</v>
      </c>
    </row>
    <row r="972" spans="1:9" x14ac:dyDescent="0.3">
      <c r="A972">
        <v>2025</v>
      </c>
      <c r="B972" s="8">
        <v>43</v>
      </c>
      <c r="C972" s="20" t="s">
        <v>13</v>
      </c>
      <c r="D972" s="20" t="s">
        <v>30</v>
      </c>
      <c r="E972" s="20" t="s">
        <v>232</v>
      </c>
      <c r="F972" s="20" t="s">
        <v>291</v>
      </c>
      <c r="G972" s="20" t="s">
        <v>234</v>
      </c>
      <c r="H972" s="23">
        <v>2750</v>
      </c>
      <c r="I972" s="22"/>
    </row>
    <row r="973" spans="1:9" x14ac:dyDescent="0.3">
      <c r="A973">
        <v>2025</v>
      </c>
      <c r="B973" s="8">
        <v>43</v>
      </c>
      <c r="C973" s="20" t="s">
        <v>49</v>
      </c>
      <c r="D973" s="20" t="s">
        <v>75</v>
      </c>
      <c r="E973" s="22" t="s">
        <v>241</v>
      </c>
      <c r="F973" s="20" t="s">
        <v>291</v>
      </c>
      <c r="G973" s="20" t="s">
        <v>234</v>
      </c>
      <c r="H973" s="23">
        <v>4000</v>
      </c>
      <c r="I973" s="22">
        <v>2500</v>
      </c>
    </row>
    <row r="974" spans="1:9" x14ac:dyDescent="0.3">
      <c r="A974">
        <v>2025</v>
      </c>
      <c r="B974" s="8">
        <v>43</v>
      </c>
      <c r="C974" s="20" t="s">
        <v>396</v>
      </c>
      <c r="D974" s="20" t="s">
        <v>75</v>
      </c>
      <c r="E974" s="22" t="s">
        <v>241</v>
      </c>
      <c r="F974" s="20" t="s">
        <v>291</v>
      </c>
      <c r="G974" s="20" t="s">
        <v>234</v>
      </c>
      <c r="H974" s="23">
        <v>-500</v>
      </c>
      <c r="I974" s="22">
        <v>2500</v>
      </c>
    </row>
    <row r="975" spans="1:9" x14ac:dyDescent="0.3">
      <c r="A975">
        <v>2025</v>
      </c>
      <c r="B975" s="8">
        <v>43</v>
      </c>
      <c r="C975" s="20" t="s">
        <v>477</v>
      </c>
      <c r="D975" s="20" t="s">
        <v>56</v>
      </c>
      <c r="E975" s="22" t="s">
        <v>241</v>
      </c>
      <c r="F975" s="20" t="s">
        <v>291</v>
      </c>
      <c r="G975" s="20" t="s">
        <v>234</v>
      </c>
      <c r="H975" s="23">
        <v>2142.5700000000011</v>
      </c>
      <c r="I975" s="22">
        <v>2500</v>
      </c>
    </row>
    <row r="976" spans="1:9" x14ac:dyDescent="0.3">
      <c r="A976">
        <v>2025</v>
      </c>
      <c r="B976" s="8">
        <v>43</v>
      </c>
      <c r="C976" s="20" t="s">
        <v>477</v>
      </c>
      <c r="D976" s="20" t="s">
        <v>4</v>
      </c>
      <c r="E976" s="20" t="s">
        <v>232</v>
      </c>
      <c r="F976" s="20" t="s">
        <v>232</v>
      </c>
      <c r="G976" s="20" t="s">
        <v>234</v>
      </c>
      <c r="H976" s="23">
        <v>0</v>
      </c>
      <c r="I976" s="22"/>
    </row>
    <row r="977" spans="1:9" x14ac:dyDescent="0.3">
      <c r="A977">
        <v>2025</v>
      </c>
      <c r="B977" s="8">
        <v>43</v>
      </c>
      <c r="C977" s="20" t="s">
        <v>47</v>
      </c>
      <c r="D977" s="20" t="s">
        <v>106</v>
      </c>
      <c r="E977" s="20" t="s">
        <v>232</v>
      </c>
      <c r="F977" s="20" t="s">
        <v>232</v>
      </c>
      <c r="G977" s="20" t="s">
        <v>234</v>
      </c>
      <c r="H977" s="23">
        <v>642.78000000000009</v>
      </c>
      <c r="I977" s="22">
        <v>2500</v>
      </c>
    </row>
    <row r="978" spans="1:9" x14ac:dyDescent="0.3">
      <c r="A978">
        <v>2025</v>
      </c>
      <c r="B978" s="8">
        <v>43</v>
      </c>
      <c r="C978" s="20" t="s">
        <v>288</v>
      </c>
      <c r="D978" s="20" t="s">
        <v>22</v>
      </c>
      <c r="E978" s="20" t="s">
        <v>232</v>
      </c>
      <c r="F978" s="20" t="s">
        <v>232</v>
      </c>
      <c r="G978" s="20" t="s">
        <v>234</v>
      </c>
      <c r="H978" s="23">
        <v>-500</v>
      </c>
      <c r="I978" s="22">
        <v>2500</v>
      </c>
    </row>
    <row r="979" spans="1:9" x14ac:dyDescent="0.3">
      <c r="A979">
        <v>2025</v>
      </c>
      <c r="B979" s="8">
        <v>44</v>
      </c>
      <c r="C979" s="20" t="s">
        <v>60</v>
      </c>
      <c r="D979" s="41" t="s">
        <v>42</v>
      </c>
      <c r="E979" s="20" t="s">
        <v>232</v>
      </c>
      <c r="F979" s="20" t="s">
        <v>232</v>
      </c>
      <c r="G979" s="20" t="s">
        <v>234</v>
      </c>
      <c r="H979" s="23">
        <v>3000</v>
      </c>
      <c r="I979" s="22">
        <v>2500</v>
      </c>
    </row>
    <row r="980" spans="1:9" x14ac:dyDescent="0.3">
      <c r="A980">
        <v>2025</v>
      </c>
      <c r="B980" s="8">
        <v>44</v>
      </c>
      <c r="C980" s="20" t="s">
        <v>23</v>
      </c>
      <c r="D980" s="20" t="s">
        <v>97</v>
      </c>
      <c r="E980" s="20" t="s">
        <v>232</v>
      </c>
      <c r="F980" s="20" t="s">
        <v>232</v>
      </c>
      <c r="G980" s="20" t="s">
        <v>234</v>
      </c>
      <c r="H980" s="23">
        <v>2766.9000000000015</v>
      </c>
      <c r="I980" s="22">
        <v>2500</v>
      </c>
    </row>
    <row r="981" spans="1:9" x14ac:dyDescent="0.3">
      <c r="A981">
        <v>2025</v>
      </c>
      <c r="B981" s="8">
        <v>44</v>
      </c>
      <c r="C981" s="20" t="s">
        <v>19</v>
      </c>
      <c r="D981" s="20" t="s">
        <v>20</v>
      </c>
      <c r="E981" s="20" t="s">
        <v>232</v>
      </c>
      <c r="F981" s="20" t="s">
        <v>232</v>
      </c>
      <c r="G981" s="20" t="s">
        <v>234</v>
      </c>
      <c r="H981" s="23">
        <v>3500</v>
      </c>
      <c r="I981" s="22">
        <v>2500</v>
      </c>
    </row>
    <row r="982" spans="1:9" x14ac:dyDescent="0.3">
      <c r="A982">
        <v>2025</v>
      </c>
      <c r="B982" s="8">
        <v>44</v>
      </c>
      <c r="C982" s="20" t="s">
        <v>47</v>
      </c>
      <c r="D982" s="20" t="s">
        <v>106</v>
      </c>
      <c r="E982" s="20" t="s">
        <v>232</v>
      </c>
      <c r="F982" s="20" t="s">
        <v>232</v>
      </c>
      <c r="G982" s="20" t="s">
        <v>234</v>
      </c>
      <c r="H982" s="23">
        <v>2442</v>
      </c>
      <c r="I982" s="22">
        <v>2500</v>
      </c>
    </row>
    <row r="983" spans="1:9" x14ac:dyDescent="0.3">
      <c r="A983">
        <v>2025</v>
      </c>
      <c r="B983" s="8">
        <v>44</v>
      </c>
      <c r="C983" s="20" t="s">
        <v>49</v>
      </c>
      <c r="D983" s="20" t="s">
        <v>4</v>
      </c>
      <c r="E983" s="20" t="s">
        <v>232</v>
      </c>
      <c r="F983" s="20" t="s">
        <v>232</v>
      </c>
      <c r="G983" s="20" t="s">
        <v>234</v>
      </c>
      <c r="H983" s="23">
        <v>1801</v>
      </c>
      <c r="I983" s="22">
        <v>2500</v>
      </c>
    </row>
    <row r="984" spans="1:9" x14ac:dyDescent="0.3">
      <c r="A984">
        <v>2025</v>
      </c>
      <c r="B984" s="8">
        <v>44</v>
      </c>
      <c r="C984" s="20" t="s">
        <v>9</v>
      </c>
      <c r="D984" s="20" t="s">
        <v>10</v>
      </c>
      <c r="E984" s="20" t="s">
        <v>232</v>
      </c>
      <c r="F984" s="20" t="s">
        <v>232</v>
      </c>
      <c r="G984" s="20" t="s">
        <v>234</v>
      </c>
      <c r="H984" s="23">
        <v>2999.2000000000007</v>
      </c>
      <c r="I984" s="22">
        <v>2500</v>
      </c>
    </row>
    <row r="985" spans="1:9" x14ac:dyDescent="0.3">
      <c r="A985">
        <v>2025</v>
      </c>
      <c r="B985" s="8">
        <v>44</v>
      </c>
      <c r="C985" s="20" t="s">
        <v>51</v>
      </c>
      <c r="D985" s="20" t="s">
        <v>106</v>
      </c>
      <c r="E985" s="20" t="s">
        <v>232</v>
      </c>
      <c r="F985" s="20" t="s">
        <v>232</v>
      </c>
      <c r="G985" s="20" t="s">
        <v>234</v>
      </c>
      <c r="H985" s="23">
        <v>2500</v>
      </c>
      <c r="I985" s="22">
        <v>2500</v>
      </c>
    </row>
    <row r="986" spans="1:9" x14ac:dyDescent="0.3">
      <c r="A986">
        <v>2025</v>
      </c>
      <c r="B986" s="8">
        <v>44</v>
      </c>
      <c r="C986" s="20" t="s">
        <v>57</v>
      </c>
      <c r="D986" s="20" t="s">
        <v>16</v>
      </c>
      <c r="E986" s="20" t="s">
        <v>232</v>
      </c>
      <c r="F986" s="20" t="s">
        <v>232</v>
      </c>
      <c r="G986" s="20" t="s">
        <v>234</v>
      </c>
      <c r="H986" s="23">
        <v>2500</v>
      </c>
      <c r="I986" s="22">
        <v>2500</v>
      </c>
    </row>
    <row r="987" spans="1:9" x14ac:dyDescent="0.3">
      <c r="A987">
        <v>2025</v>
      </c>
      <c r="B987" s="8">
        <v>44</v>
      </c>
      <c r="C987" s="20" t="s">
        <v>61</v>
      </c>
      <c r="D987" s="20" t="s">
        <v>34</v>
      </c>
      <c r="E987" s="20" t="s">
        <v>232</v>
      </c>
      <c r="F987" s="20" t="s">
        <v>232</v>
      </c>
      <c r="G987" s="20" t="s">
        <v>234</v>
      </c>
      <c r="H987" s="23">
        <v>3199.0199999999986</v>
      </c>
      <c r="I987" s="22">
        <v>2500</v>
      </c>
    </row>
    <row r="988" spans="1:9" x14ac:dyDescent="0.3">
      <c r="A988">
        <v>2025</v>
      </c>
      <c r="B988" s="8">
        <v>44</v>
      </c>
      <c r="C988" s="20" t="s">
        <v>45</v>
      </c>
      <c r="D988" s="20" t="s">
        <v>46</v>
      </c>
      <c r="E988" s="20" t="s">
        <v>232</v>
      </c>
      <c r="F988" s="20" t="s">
        <v>232</v>
      </c>
      <c r="G988" s="20" t="s">
        <v>234</v>
      </c>
      <c r="H988" s="23">
        <v>2500</v>
      </c>
      <c r="I988" s="22">
        <v>2500</v>
      </c>
    </row>
    <row r="989" spans="1:9" x14ac:dyDescent="0.3">
      <c r="A989">
        <v>2025</v>
      </c>
      <c r="B989" s="8">
        <v>44</v>
      </c>
      <c r="C989" s="20" t="s">
        <v>3</v>
      </c>
      <c r="D989" s="20" t="s">
        <v>4</v>
      </c>
      <c r="E989" s="20" t="s">
        <v>232</v>
      </c>
      <c r="F989" s="20" t="s">
        <v>232</v>
      </c>
      <c r="G989" s="20" t="s">
        <v>425</v>
      </c>
      <c r="H989" s="23">
        <v>2213.52</v>
      </c>
      <c r="I989" s="22">
        <v>2500</v>
      </c>
    </row>
    <row r="990" spans="1:9" x14ac:dyDescent="0.3">
      <c r="A990">
        <v>2025</v>
      </c>
      <c r="B990" s="8">
        <v>44</v>
      </c>
      <c r="C990" s="20" t="s">
        <v>37</v>
      </c>
      <c r="D990" s="20" t="s">
        <v>40</v>
      </c>
      <c r="E990" s="20" t="s">
        <v>232</v>
      </c>
      <c r="F990" s="20" t="s">
        <v>232</v>
      </c>
      <c r="G990" s="20" t="s">
        <v>234</v>
      </c>
      <c r="H990" s="23">
        <v>2600.08</v>
      </c>
      <c r="I990" s="22">
        <v>2500</v>
      </c>
    </row>
    <row r="991" spans="1:9" x14ac:dyDescent="0.3">
      <c r="A991">
        <v>2025</v>
      </c>
      <c r="B991" s="8">
        <v>44</v>
      </c>
      <c r="C991" s="20" t="s">
        <v>5</v>
      </c>
      <c r="D991" s="20" t="s">
        <v>28</v>
      </c>
      <c r="E991" s="20" t="s">
        <v>232</v>
      </c>
      <c r="F991" s="20" t="s">
        <v>232</v>
      </c>
      <c r="G991" s="20" t="s">
        <v>234</v>
      </c>
      <c r="H991" s="23">
        <v>3035.8600000000006</v>
      </c>
      <c r="I991" s="22">
        <v>2500</v>
      </c>
    </row>
    <row r="992" spans="1:9" x14ac:dyDescent="0.3">
      <c r="A992">
        <v>2025</v>
      </c>
      <c r="B992" s="8">
        <v>44</v>
      </c>
      <c r="C992" s="20" t="s">
        <v>98</v>
      </c>
      <c r="D992" s="20" t="s">
        <v>168</v>
      </c>
      <c r="E992" s="20" t="s">
        <v>232</v>
      </c>
      <c r="F992" s="20" t="s">
        <v>232</v>
      </c>
      <c r="G992" s="20" t="s">
        <v>234</v>
      </c>
      <c r="H992" s="23">
        <v>4719.76</v>
      </c>
      <c r="I992" s="22">
        <v>2500</v>
      </c>
    </row>
    <row r="993" spans="1:9" x14ac:dyDescent="0.3">
      <c r="A993">
        <v>2025</v>
      </c>
      <c r="B993" s="8">
        <v>44</v>
      </c>
      <c r="C993" s="20" t="s">
        <v>13</v>
      </c>
      <c r="D993" s="20" t="s">
        <v>4</v>
      </c>
      <c r="E993" s="20" t="s">
        <v>232</v>
      </c>
      <c r="F993" s="20" t="s">
        <v>232</v>
      </c>
      <c r="G993" s="20" t="s">
        <v>234</v>
      </c>
      <c r="H993" s="23">
        <v>562.40000000000009</v>
      </c>
      <c r="I993" s="22">
        <v>2500</v>
      </c>
    </row>
    <row r="994" spans="1:9" x14ac:dyDescent="0.3">
      <c r="A994">
        <v>2025</v>
      </c>
      <c r="B994" s="8">
        <v>44</v>
      </c>
      <c r="C994" s="20" t="s">
        <v>80</v>
      </c>
      <c r="D994" s="20" t="s">
        <v>81</v>
      </c>
      <c r="E994" s="20" t="s">
        <v>232</v>
      </c>
      <c r="F994" s="20" t="s">
        <v>232</v>
      </c>
      <c r="G994" s="20" t="s">
        <v>234</v>
      </c>
      <c r="H994" s="23">
        <v>2500</v>
      </c>
      <c r="I994" s="22">
        <v>2500</v>
      </c>
    </row>
    <row r="995" spans="1:9" x14ac:dyDescent="0.3">
      <c r="A995">
        <v>2025</v>
      </c>
      <c r="B995" s="8">
        <v>44</v>
      </c>
      <c r="C995" s="20" t="s">
        <v>288</v>
      </c>
      <c r="D995" s="20" t="s">
        <v>22</v>
      </c>
      <c r="E995" s="20" t="s">
        <v>232</v>
      </c>
      <c r="F995" s="20" t="s">
        <v>232</v>
      </c>
      <c r="G995" s="20" t="s">
        <v>234</v>
      </c>
      <c r="H995" s="23">
        <v>-500</v>
      </c>
      <c r="I995" s="22">
        <v>2500</v>
      </c>
    </row>
    <row r="996" spans="1:9" x14ac:dyDescent="0.3">
      <c r="A996">
        <v>2025</v>
      </c>
      <c r="B996" s="8">
        <v>44</v>
      </c>
      <c r="C996" s="20" t="s">
        <v>11</v>
      </c>
      <c r="D996" s="20" t="s">
        <v>86</v>
      </c>
      <c r="E996" s="20" t="s">
        <v>232</v>
      </c>
      <c r="F996" s="20" t="s">
        <v>291</v>
      </c>
      <c r="G996" s="20" t="s">
        <v>234</v>
      </c>
      <c r="H996" s="23">
        <v>2143</v>
      </c>
      <c r="I996" s="22">
        <v>2500</v>
      </c>
    </row>
    <row r="997" spans="1:9" x14ac:dyDescent="0.3">
      <c r="A997">
        <v>2025</v>
      </c>
      <c r="B997" s="8">
        <v>44</v>
      </c>
      <c r="C997" s="20" t="s">
        <v>13</v>
      </c>
      <c r="D997" s="20" t="s">
        <v>30</v>
      </c>
      <c r="E997" s="20" t="s">
        <v>232</v>
      </c>
      <c r="F997" s="20" t="s">
        <v>291</v>
      </c>
      <c r="G997" s="20" t="s">
        <v>234</v>
      </c>
      <c r="H997" s="23">
        <v>1937</v>
      </c>
      <c r="I997" s="22"/>
    </row>
    <row r="998" spans="1:9" x14ac:dyDescent="0.3">
      <c r="A998">
        <v>2025</v>
      </c>
      <c r="B998" s="8">
        <v>44</v>
      </c>
      <c r="C998" s="20" t="s">
        <v>477</v>
      </c>
      <c r="D998" s="20" t="s">
        <v>56</v>
      </c>
      <c r="E998" s="22" t="s">
        <v>241</v>
      </c>
      <c r="F998" s="20" t="s">
        <v>291</v>
      </c>
      <c r="G998" s="20" t="s">
        <v>234</v>
      </c>
      <c r="H998" s="23">
        <v>2650</v>
      </c>
      <c r="I998" s="22">
        <v>2500</v>
      </c>
    </row>
    <row r="999" spans="1:9" x14ac:dyDescent="0.3">
      <c r="A999">
        <v>2025</v>
      </c>
      <c r="B999" s="8">
        <v>44</v>
      </c>
      <c r="C999" s="20" t="s">
        <v>111</v>
      </c>
      <c r="D999" s="20" t="s">
        <v>63</v>
      </c>
      <c r="E999" s="20" t="s">
        <v>291</v>
      </c>
      <c r="F999" s="20" t="s">
        <v>291</v>
      </c>
      <c r="G999" s="20" t="s">
        <v>234</v>
      </c>
      <c r="H999" s="23">
        <v>2500</v>
      </c>
      <c r="I999" s="22">
        <v>2500</v>
      </c>
    </row>
    <row r="1000" spans="1:9" x14ac:dyDescent="0.3">
      <c r="A1000">
        <v>2025</v>
      </c>
      <c r="B1000" s="8">
        <v>44</v>
      </c>
      <c r="C1000" s="20" t="s">
        <v>17</v>
      </c>
      <c r="D1000" s="20" t="s">
        <v>69</v>
      </c>
      <c r="E1000" s="22" t="s">
        <v>241</v>
      </c>
      <c r="F1000" s="20" t="s">
        <v>291</v>
      </c>
      <c r="G1000" s="20" t="s">
        <v>234</v>
      </c>
      <c r="H1000" s="23">
        <v>2500</v>
      </c>
      <c r="I1000" s="22">
        <v>2500</v>
      </c>
    </row>
    <row r="1001" spans="1:9" x14ac:dyDescent="0.3">
      <c r="A1001">
        <v>2025</v>
      </c>
      <c r="B1001" s="8">
        <v>44</v>
      </c>
      <c r="C1001" s="20" t="s">
        <v>396</v>
      </c>
      <c r="D1001" s="20" t="s">
        <v>75</v>
      </c>
      <c r="E1001" s="22" t="s">
        <v>241</v>
      </c>
      <c r="F1001" s="20" t="s">
        <v>291</v>
      </c>
      <c r="G1001" s="20" t="s">
        <v>234</v>
      </c>
      <c r="H1001" s="23">
        <v>-500</v>
      </c>
      <c r="I1001" s="22">
        <v>2500</v>
      </c>
    </row>
    <row r="1002" spans="1:9" x14ac:dyDescent="0.3">
      <c r="A1002">
        <v>2025</v>
      </c>
      <c r="B1002" s="8">
        <v>44</v>
      </c>
      <c r="C1002" s="20" t="s">
        <v>444</v>
      </c>
      <c r="D1002" s="20" t="s">
        <v>44</v>
      </c>
      <c r="E1002" s="22" t="s">
        <v>232</v>
      </c>
      <c r="F1002" s="20" t="s">
        <v>291</v>
      </c>
      <c r="G1002" s="20" t="s">
        <v>234</v>
      </c>
      <c r="H1002" s="23">
        <v>2499.1800000000003</v>
      </c>
      <c r="I1002" s="22">
        <v>2500</v>
      </c>
    </row>
    <row r="1003" spans="1:9" x14ac:dyDescent="0.3">
      <c r="A1003">
        <v>2025</v>
      </c>
      <c r="B1003" s="8">
        <v>44</v>
      </c>
      <c r="C1003" s="20" t="s">
        <v>25</v>
      </c>
      <c r="D1003" s="20" t="s">
        <v>67</v>
      </c>
      <c r="E1003" s="20" t="s">
        <v>232</v>
      </c>
      <c r="F1003" s="20" t="s">
        <v>291</v>
      </c>
      <c r="G1003" s="20" t="s">
        <v>234</v>
      </c>
      <c r="H1003" s="23">
        <v>1955.34</v>
      </c>
      <c r="I1003" s="22">
        <v>2500</v>
      </c>
    </row>
    <row r="1004" spans="1:9" x14ac:dyDescent="0.3">
      <c r="A1004">
        <v>2025</v>
      </c>
      <c r="B1004" s="8">
        <v>44</v>
      </c>
      <c r="C1004" s="20" t="s">
        <v>72</v>
      </c>
      <c r="D1004" s="20" t="s">
        <v>73</v>
      </c>
      <c r="E1004" s="22" t="s">
        <v>241</v>
      </c>
      <c r="F1004" s="20" t="s">
        <v>291</v>
      </c>
      <c r="G1004" s="20" t="s">
        <v>234</v>
      </c>
      <c r="H1004" s="23">
        <v>3200</v>
      </c>
      <c r="I1004" s="22">
        <v>2500</v>
      </c>
    </row>
    <row r="1005" spans="1:9" x14ac:dyDescent="0.3">
      <c r="A1005">
        <v>2025</v>
      </c>
      <c r="B1005" s="8">
        <v>44</v>
      </c>
      <c r="C1005" s="20" t="s">
        <v>35</v>
      </c>
      <c r="D1005" s="20" t="s">
        <v>36</v>
      </c>
      <c r="E1005" s="20" t="s">
        <v>232</v>
      </c>
      <c r="F1005" s="20" t="s">
        <v>291</v>
      </c>
      <c r="G1005" s="20" t="s">
        <v>234</v>
      </c>
      <c r="H1005" s="23">
        <v>3385</v>
      </c>
      <c r="I1005" s="22">
        <v>2500</v>
      </c>
    </row>
    <row r="1006" spans="1:9" x14ac:dyDescent="0.3">
      <c r="A1006">
        <v>2025</v>
      </c>
      <c r="B1006" s="8">
        <v>44</v>
      </c>
      <c r="C1006" s="20" t="s">
        <v>361</v>
      </c>
      <c r="D1006" s="20" t="s">
        <v>56</v>
      </c>
      <c r="E1006" s="22" t="s">
        <v>241</v>
      </c>
      <c r="F1006" s="20" t="s">
        <v>291</v>
      </c>
      <c r="G1006" s="20" t="s">
        <v>234</v>
      </c>
      <c r="H1006" s="23">
        <v>-500</v>
      </c>
      <c r="I1006" s="22">
        <v>2500</v>
      </c>
    </row>
    <row r="1007" spans="1:9" x14ac:dyDescent="0.3">
      <c r="A1007">
        <v>2025</v>
      </c>
      <c r="B1007" s="8">
        <v>44</v>
      </c>
      <c r="C1007" s="20" t="s">
        <v>49</v>
      </c>
      <c r="D1007" s="20" t="s">
        <v>75</v>
      </c>
      <c r="E1007" s="22" t="s">
        <v>241</v>
      </c>
      <c r="F1007" s="20" t="s">
        <v>291</v>
      </c>
      <c r="G1007" s="20" t="s">
        <v>234</v>
      </c>
      <c r="H1007" s="23">
        <v>1899</v>
      </c>
      <c r="I1007" s="22"/>
    </row>
    <row r="1008" spans="1:9" x14ac:dyDescent="0.3">
      <c r="A1008">
        <v>2025</v>
      </c>
      <c r="B1008" s="8">
        <v>44</v>
      </c>
      <c r="C1008" s="20" t="s">
        <v>414</v>
      </c>
      <c r="D1008" s="20" t="s">
        <v>59</v>
      </c>
      <c r="E1008" s="22" t="s">
        <v>232</v>
      </c>
      <c r="F1008" s="20" t="s">
        <v>291</v>
      </c>
      <c r="G1008" s="20" t="s">
        <v>234</v>
      </c>
      <c r="H1008" s="23">
        <v>3451</v>
      </c>
      <c r="I1008" s="22">
        <v>2500</v>
      </c>
    </row>
    <row r="1009" spans="1:9" x14ac:dyDescent="0.3">
      <c r="A1009">
        <v>2025</v>
      </c>
      <c r="B1009" s="8">
        <v>44</v>
      </c>
      <c r="C1009" s="20" t="s">
        <v>74</v>
      </c>
      <c r="D1009" s="20" t="s">
        <v>77</v>
      </c>
      <c r="E1009" s="22" t="s">
        <v>232</v>
      </c>
      <c r="F1009" s="20" t="s">
        <v>291</v>
      </c>
      <c r="G1009" s="20" t="s">
        <v>234</v>
      </c>
      <c r="H1009" s="23">
        <v>2499.7799999999997</v>
      </c>
      <c r="I1009" s="22">
        <v>2500</v>
      </c>
    </row>
    <row r="1010" spans="1:9" x14ac:dyDescent="0.3">
      <c r="A1010">
        <v>2025</v>
      </c>
      <c r="B1010" s="8">
        <v>44</v>
      </c>
      <c r="C1010" s="20" t="s">
        <v>78</v>
      </c>
      <c r="D1010" s="44" t="s">
        <v>79</v>
      </c>
      <c r="E1010" s="20" t="s">
        <v>291</v>
      </c>
      <c r="F1010" s="20" t="s">
        <v>291</v>
      </c>
      <c r="G1010" s="20" t="s">
        <v>234</v>
      </c>
      <c r="H1010" s="23">
        <v>2542.7799999999997</v>
      </c>
      <c r="I1010" s="22">
        <v>2500</v>
      </c>
    </row>
    <row r="1011" spans="1:9" x14ac:dyDescent="0.3">
      <c r="A1011">
        <v>2025</v>
      </c>
      <c r="B1011" s="8">
        <v>45</v>
      </c>
      <c r="C1011" s="20" t="s">
        <v>49</v>
      </c>
      <c r="D1011" s="20" t="s">
        <v>4</v>
      </c>
      <c r="E1011" s="20" t="s">
        <v>232</v>
      </c>
      <c r="F1011" s="20" t="s">
        <v>232</v>
      </c>
      <c r="G1011" s="20" t="s">
        <v>234</v>
      </c>
      <c r="H1011" s="23">
        <v>3700</v>
      </c>
      <c r="I1011" s="22">
        <v>2500</v>
      </c>
    </row>
    <row r="1012" spans="1:9" x14ac:dyDescent="0.3">
      <c r="A1012">
        <v>2025</v>
      </c>
      <c r="B1012" s="8">
        <v>45</v>
      </c>
      <c r="C1012" s="20" t="s">
        <v>47</v>
      </c>
      <c r="D1012" s="20" t="s">
        <v>106</v>
      </c>
      <c r="E1012" s="20" t="s">
        <v>232</v>
      </c>
      <c r="F1012" s="20" t="s">
        <v>232</v>
      </c>
      <c r="G1012" s="20" t="s">
        <v>234</v>
      </c>
      <c r="H1012" s="23">
        <v>3000</v>
      </c>
      <c r="I1012" s="22">
        <v>2500</v>
      </c>
    </row>
    <row r="1013" spans="1:9" x14ac:dyDescent="0.3">
      <c r="A1013">
        <v>2025</v>
      </c>
      <c r="B1013" s="8">
        <v>45</v>
      </c>
      <c r="C1013" s="20" t="s">
        <v>60</v>
      </c>
      <c r="D1013" s="41" t="s">
        <v>42</v>
      </c>
      <c r="E1013" s="20" t="s">
        <v>232</v>
      </c>
      <c r="F1013" s="20" t="s">
        <v>232</v>
      </c>
      <c r="G1013" s="20" t="s">
        <v>234</v>
      </c>
      <c r="H1013" s="23">
        <v>3000</v>
      </c>
      <c r="I1013" s="22">
        <v>2500</v>
      </c>
    </row>
    <row r="1014" spans="1:9" x14ac:dyDescent="0.3">
      <c r="A1014">
        <v>2025</v>
      </c>
      <c r="B1014" s="8">
        <v>45</v>
      </c>
      <c r="C1014" s="20" t="s">
        <v>19</v>
      </c>
      <c r="D1014" s="20" t="s">
        <v>20</v>
      </c>
      <c r="E1014" s="20" t="s">
        <v>232</v>
      </c>
      <c r="F1014" s="20" t="s">
        <v>232</v>
      </c>
      <c r="G1014" s="20" t="s">
        <v>234</v>
      </c>
      <c r="H1014" s="23">
        <v>3500</v>
      </c>
      <c r="I1014" s="22">
        <v>2500</v>
      </c>
    </row>
    <row r="1015" spans="1:9" x14ac:dyDescent="0.3">
      <c r="A1015">
        <v>2025</v>
      </c>
      <c r="B1015" s="8">
        <v>45</v>
      </c>
      <c r="C1015" s="20" t="s">
        <v>51</v>
      </c>
      <c r="D1015" s="20" t="s">
        <v>106</v>
      </c>
      <c r="E1015" s="20" t="s">
        <v>232</v>
      </c>
      <c r="F1015" s="20" t="s">
        <v>232</v>
      </c>
      <c r="G1015" s="20" t="s">
        <v>234</v>
      </c>
      <c r="H1015" s="23">
        <v>3000</v>
      </c>
      <c r="I1015" s="22">
        <v>2500</v>
      </c>
    </row>
    <row r="1016" spans="1:9" x14ac:dyDescent="0.3">
      <c r="A1016">
        <v>2025</v>
      </c>
      <c r="B1016" s="8">
        <v>45</v>
      </c>
      <c r="C1016" s="20" t="s">
        <v>45</v>
      </c>
      <c r="D1016" s="20" t="s">
        <v>46</v>
      </c>
      <c r="E1016" s="20" t="s">
        <v>232</v>
      </c>
      <c r="F1016" s="20" t="s">
        <v>232</v>
      </c>
      <c r="G1016" s="20" t="s">
        <v>234</v>
      </c>
      <c r="H1016" s="23">
        <v>2500</v>
      </c>
      <c r="I1016" s="22">
        <v>2500</v>
      </c>
    </row>
    <row r="1017" spans="1:9" x14ac:dyDescent="0.3">
      <c r="A1017">
        <v>2025</v>
      </c>
      <c r="B1017" s="8">
        <v>45</v>
      </c>
      <c r="C1017" s="20" t="s">
        <v>37</v>
      </c>
      <c r="D1017" s="20" t="s">
        <v>40</v>
      </c>
      <c r="E1017" s="20" t="s">
        <v>232</v>
      </c>
      <c r="F1017" s="20" t="s">
        <v>232</v>
      </c>
      <c r="G1017" s="20" t="s">
        <v>234</v>
      </c>
      <c r="H1017" s="23">
        <v>2500</v>
      </c>
      <c r="I1017" s="22">
        <v>2500</v>
      </c>
    </row>
    <row r="1018" spans="1:9" x14ac:dyDescent="0.3">
      <c r="A1018">
        <v>2025</v>
      </c>
      <c r="B1018" s="8">
        <v>45</v>
      </c>
      <c r="C1018" s="20" t="s">
        <v>61</v>
      </c>
      <c r="D1018" s="20" t="s">
        <v>34</v>
      </c>
      <c r="E1018" s="20" t="s">
        <v>232</v>
      </c>
      <c r="F1018" s="20" t="s">
        <v>232</v>
      </c>
      <c r="G1018" s="20" t="s">
        <v>234</v>
      </c>
      <c r="H1018" s="23">
        <v>3200.42</v>
      </c>
      <c r="I1018" s="22">
        <v>2500</v>
      </c>
    </row>
    <row r="1019" spans="1:9" x14ac:dyDescent="0.3">
      <c r="A1019">
        <v>2025</v>
      </c>
      <c r="B1019" s="8">
        <v>45</v>
      </c>
      <c r="C1019" s="20" t="s">
        <v>9</v>
      </c>
      <c r="D1019" s="20" t="s">
        <v>10</v>
      </c>
      <c r="E1019" s="20" t="s">
        <v>232</v>
      </c>
      <c r="F1019" s="20" t="s">
        <v>232</v>
      </c>
      <c r="G1019" s="20" t="s">
        <v>234</v>
      </c>
      <c r="H1019" s="23">
        <v>3000.1800000000003</v>
      </c>
      <c r="I1019" s="22">
        <v>2500</v>
      </c>
    </row>
    <row r="1020" spans="1:9" x14ac:dyDescent="0.3">
      <c r="A1020">
        <v>2025</v>
      </c>
      <c r="B1020" s="8">
        <v>45</v>
      </c>
      <c r="C1020" s="20" t="s">
        <v>57</v>
      </c>
      <c r="D1020" s="20" t="s">
        <v>16</v>
      </c>
      <c r="E1020" s="20" t="s">
        <v>232</v>
      </c>
      <c r="F1020" s="20" t="s">
        <v>232</v>
      </c>
      <c r="G1020" s="20" t="s">
        <v>234</v>
      </c>
      <c r="H1020" s="23">
        <v>1071.3314285714287</v>
      </c>
      <c r="I1020" s="22">
        <v>2500</v>
      </c>
    </row>
    <row r="1021" spans="1:9" x14ac:dyDescent="0.3">
      <c r="A1021">
        <v>2025</v>
      </c>
      <c r="B1021" s="8">
        <v>45</v>
      </c>
      <c r="C1021" s="20" t="s">
        <v>3</v>
      </c>
      <c r="D1021" s="20" t="s">
        <v>4</v>
      </c>
      <c r="E1021" s="20" t="s">
        <v>232</v>
      </c>
      <c r="F1021" s="20" t="s">
        <v>232</v>
      </c>
      <c r="G1021" s="20" t="s">
        <v>425</v>
      </c>
      <c r="H1021" s="23">
        <v>6910.0600000000013</v>
      </c>
      <c r="I1021" s="22">
        <v>2500</v>
      </c>
    </row>
    <row r="1022" spans="1:9" x14ac:dyDescent="0.3">
      <c r="A1022">
        <v>2025</v>
      </c>
      <c r="B1022" s="8">
        <v>45</v>
      </c>
      <c r="C1022" s="20" t="s">
        <v>5</v>
      </c>
      <c r="D1022" s="41" t="s">
        <v>42</v>
      </c>
      <c r="E1022" s="20" t="s">
        <v>232</v>
      </c>
      <c r="F1022" s="20" t="s">
        <v>232</v>
      </c>
      <c r="G1022" s="20" t="s">
        <v>234</v>
      </c>
      <c r="H1022" s="23">
        <v>2432.21</v>
      </c>
      <c r="I1022" s="22">
        <v>2500</v>
      </c>
    </row>
    <row r="1023" spans="1:9" x14ac:dyDescent="0.3">
      <c r="A1023">
        <v>2025</v>
      </c>
      <c r="B1023" s="8">
        <v>45</v>
      </c>
      <c r="C1023" s="20" t="s">
        <v>98</v>
      </c>
      <c r="D1023" s="20" t="s">
        <v>168</v>
      </c>
      <c r="E1023" s="20" t="s">
        <v>232</v>
      </c>
      <c r="F1023" s="20" t="s">
        <v>232</v>
      </c>
      <c r="G1023" s="20" t="s">
        <v>234</v>
      </c>
      <c r="H1023" s="23">
        <v>300</v>
      </c>
      <c r="I1023" s="22">
        <v>2500</v>
      </c>
    </row>
    <row r="1024" spans="1:9" x14ac:dyDescent="0.3">
      <c r="A1024">
        <v>2025</v>
      </c>
      <c r="B1024" s="8">
        <v>45</v>
      </c>
      <c r="C1024" s="20" t="s">
        <v>80</v>
      </c>
      <c r="D1024" s="20" t="s">
        <v>81</v>
      </c>
      <c r="E1024" s="20" t="s">
        <v>232</v>
      </c>
      <c r="F1024" s="20" t="s">
        <v>232</v>
      </c>
      <c r="G1024" s="20" t="s">
        <v>234</v>
      </c>
      <c r="H1024" s="23">
        <v>2500</v>
      </c>
      <c r="I1024" s="22">
        <v>2500</v>
      </c>
    </row>
    <row r="1025" spans="1:9" x14ac:dyDescent="0.3">
      <c r="A1025">
        <v>2025</v>
      </c>
      <c r="B1025" s="8">
        <v>45</v>
      </c>
      <c r="C1025" s="20" t="s">
        <v>288</v>
      </c>
      <c r="D1025" s="20" t="s">
        <v>22</v>
      </c>
      <c r="E1025" s="20" t="s">
        <v>232</v>
      </c>
      <c r="F1025" s="20" t="s">
        <v>232</v>
      </c>
      <c r="G1025" s="20" t="s">
        <v>234</v>
      </c>
      <c r="H1025" s="23">
        <v>-500</v>
      </c>
      <c r="I1025" s="22">
        <v>2500</v>
      </c>
    </row>
    <row r="1026" spans="1:9" x14ac:dyDescent="0.3">
      <c r="A1026">
        <v>2025</v>
      </c>
      <c r="B1026" s="8">
        <v>45</v>
      </c>
      <c r="C1026" s="20" t="s">
        <v>23</v>
      </c>
      <c r="D1026" s="20" t="s">
        <v>97</v>
      </c>
      <c r="E1026" s="20" t="s">
        <v>232</v>
      </c>
      <c r="F1026" s="20" t="s">
        <v>232</v>
      </c>
      <c r="G1026" s="20" t="s">
        <v>234</v>
      </c>
      <c r="H1026" s="23">
        <v>3139.0199999999995</v>
      </c>
      <c r="I1026" s="22">
        <v>2500</v>
      </c>
    </row>
    <row r="1027" spans="1:9" x14ac:dyDescent="0.3">
      <c r="A1027">
        <v>2025</v>
      </c>
      <c r="B1027" s="8">
        <v>45</v>
      </c>
      <c r="C1027" s="20" t="s">
        <v>292</v>
      </c>
      <c r="D1027" s="20" t="s">
        <v>52</v>
      </c>
      <c r="E1027" s="20" t="s">
        <v>232</v>
      </c>
      <c r="F1027" s="20" t="s">
        <v>232</v>
      </c>
      <c r="G1027" s="20" t="s">
        <v>234</v>
      </c>
      <c r="H1027" s="23">
        <v>-500</v>
      </c>
      <c r="I1027" s="22">
        <v>2500</v>
      </c>
    </row>
    <row r="1028" spans="1:9" x14ac:dyDescent="0.3">
      <c r="A1028">
        <v>2025</v>
      </c>
      <c r="B1028" s="8">
        <v>45</v>
      </c>
      <c r="C1028" s="20" t="s">
        <v>13</v>
      </c>
      <c r="D1028" s="20" t="s">
        <v>30</v>
      </c>
      <c r="E1028" s="20" t="s">
        <v>232</v>
      </c>
      <c r="F1028" s="20" t="s">
        <v>291</v>
      </c>
      <c r="G1028" s="20" t="s">
        <v>234</v>
      </c>
      <c r="H1028" s="23">
        <v>2500</v>
      </c>
      <c r="I1028" s="22">
        <v>2500</v>
      </c>
    </row>
    <row r="1029" spans="1:9" x14ac:dyDescent="0.3">
      <c r="A1029">
        <v>2025</v>
      </c>
      <c r="B1029" s="8">
        <v>45</v>
      </c>
      <c r="C1029" s="20" t="s">
        <v>11</v>
      </c>
      <c r="D1029" s="20" t="s">
        <v>86</v>
      </c>
      <c r="E1029" s="20" t="s">
        <v>232</v>
      </c>
      <c r="F1029" s="20" t="s">
        <v>291</v>
      </c>
      <c r="G1029" s="20" t="s">
        <v>234</v>
      </c>
      <c r="H1029" s="23">
        <v>2500</v>
      </c>
      <c r="I1029" s="22">
        <v>2500</v>
      </c>
    </row>
    <row r="1030" spans="1:9" x14ac:dyDescent="0.3">
      <c r="A1030">
        <v>2025</v>
      </c>
      <c r="B1030" s="8">
        <v>45</v>
      </c>
      <c r="C1030" s="20" t="s">
        <v>35</v>
      </c>
      <c r="D1030" s="20" t="s">
        <v>36</v>
      </c>
      <c r="E1030" s="20" t="s">
        <v>232</v>
      </c>
      <c r="F1030" s="20" t="s">
        <v>291</v>
      </c>
      <c r="G1030" s="20" t="s">
        <v>234</v>
      </c>
      <c r="H1030" s="23">
        <v>3000</v>
      </c>
      <c r="I1030" s="22">
        <v>2500</v>
      </c>
    </row>
    <row r="1031" spans="1:9" x14ac:dyDescent="0.3">
      <c r="A1031">
        <v>2025</v>
      </c>
      <c r="B1031" s="8">
        <v>45</v>
      </c>
      <c r="C1031" s="20" t="s">
        <v>25</v>
      </c>
      <c r="D1031" s="20" t="s">
        <v>67</v>
      </c>
      <c r="E1031" s="20" t="s">
        <v>232</v>
      </c>
      <c r="F1031" s="20" t="s">
        <v>291</v>
      </c>
      <c r="G1031" s="20" t="s">
        <v>234</v>
      </c>
      <c r="H1031" s="23">
        <v>2970.4</v>
      </c>
      <c r="I1031" s="22">
        <v>2500</v>
      </c>
    </row>
    <row r="1032" spans="1:9" x14ac:dyDescent="0.3">
      <c r="A1032">
        <v>2025</v>
      </c>
      <c r="B1032" s="8">
        <v>45</v>
      </c>
      <c r="C1032" s="20" t="s">
        <v>487</v>
      </c>
      <c r="D1032" s="20" t="s">
        <v>44</v>
      </c>
      <c r="E1032" s="22" t="s">
        <v>232</v>
      </c>
      <c r="F1032" s="20" t="s">
        <v>291</v>
      </c>
      <c r="G1032" s="20" t="s">
        <v>234</v>
      </c>
      <c r="H1032" s="23">
        <v>1499.99</v>
      </c>
      <c r="I1032" s="22">
        <v>2500</v>
      </c>
    </row>
    <row r="1033" spans="1:9" x14ac:dyDescent="0.3">
      <c r="A1033">
        <v>2025</v>
      </c>
      <c r="B1033" s="8">
        <v>45</v>
      </c>
      <c r="C1033" s="20" t="s">
        <v>74</v>
      </c>
      <c r="D1033" s="20" t="s">
        <v>77</v>
      </c>
      <c r="E1033" s="22" t="s">
        <v>232</v>
      </c>
      <c r="F1033" s="20" t="s">
        <v>291</v>
      </c>
      <c r="G1033" s="20" t="s">
        <v>234</v>
      </c>
      <c r="H1033" s="23">
        <v>1786.0500000000002</v>
      </c>
      <c r="I1033" s="22">
        <v>2500</v>
      </c>
    </row>
    <row r="1034" spans="1:9" x14ac:dyDescent="0.3">
      <c r="A1034">
        <v>2025</v>
      </c>
      <c r="B1034" s="8">
        <v>45</v>
      </c>
      <c r="C1034" s="20" t="s">
        <v>444</v>
      </c>
      <c r="D1034" s="20" t="s">
        <v>44</v>
      </c>
      <c r="E1034" s="22" t="s">
        <v>232</v>
      </c>
      <c r="F1034" s="20" t="s">
        <v>291</v>
      </c>
      <c r="G1034" s="20" t="s">
        <v>234</v>
      </c>
      <c r="H1034" s="23">
        <v>-0.42000000000007276</v>
      </c>
      <c r="I1034" s="22">
        <v>2500</v>
      </c>
    </row>
    <row r="1035" spans="1:9" x14ac:dyDescent="0.3">
      <c r="A1035">
        <v>2025</v>
      </c>
      <c r="B1035" s="8">
        <v>45</v>
      </c>
      <c r="C1035" s="20" t="s">
        <v>111</v>
      </c>
      <c r="D1035" s="20" t="s">
        <v>63</v>
      </c>
      <c r="E1035" s="20" t="s">
        <v>291</v>
      </c>
      <c r="F1035" s="20" t="s">
        <v>291</v>
      </c>
      <c r="G1035" s="20" t="s">
        <v>234</v>
      </c>
      <c r="H1035" s="23">
        <v>2080</v>
      </c>
      <c r="I1035" s="22">
        <v>2500</v>
      </c>
    </row>
    <row r="1036" spans="1:9" x14ac:dyDescent="0.3">
      <c r="A1036">
        <v>2025</v>
      </c>
      <c r="B1036" s="8">
        <v>45</v>
      </c>
      <c r="C1036" s="20" t="s">
        <v>78</v>
      </c>
      <c r="D1036" s="44" t="s">
        <v>79</v>
      </c>
      <c r="E1036" s="20" t="s">
        <v>291</v>
      </c>
      <c r="F1036" s="20" t="s">
        <v>291</v>
      </c>
      <c r="G1036" s="20" t="s">
        <v>234</v>
      </c>
      <c r="H1036" s="23">
        <v>3293.44</v>
      </c>
      <c r="I1036" s="22">
        <v>2500</v>
      </c>
    </row>
    <row r="1037" spans="1:9" x14ac:dyDescent="0.3">
      <c r="A1037">
        <v>2025</v>
      </c>
      <c r="B1037" s="8">
        <v>45</v>
      </c>
      <c r="C1037" s="20" t="s">
        <v>72</v>
      </c>
      <c r="D1037" s="20" t="s">
        <v>73</v>
      </c>
      <c r="E1037" s="22" t="s">
        <v>241</v>
      </c>
      <c r="F1037" s="20" t="s">
        <v>291</v>
      </c>
      <c r="G1037" s="20" t="s">
        <v>234</v>
      </c>
      <c r="H1037" s="23">
        <v>3200</v>
      </c>
      <c r="I1037" s="22">
        <v>2500</v>
      </c>
    </row>
    <row r="1038" spans="1:9" x14ac:dyDescent="0.3">
      <c r="A1038">
        <v>2025</v>
      </c>
      <c r="B1038" s="8">
        <v>45</v>
      </c>
      <c r="C1038" s="20" t="s">
        <v>17</v>
      </c>
      <c r="D1038" s="20" t="s">
        <v>69</v>
      </c>
      <c r="E1038" s="22" t="s">
        <v>241</v>
      </c>
      <c r="F1038" s="20" t="s">
        <v>291</v>
      </c>
      <c r="G1038" s="20" t="s">
        <v>234</v>
      </c>
      <c r="H1038" s="23">
        <v>2500</v>
      </c>
      <c r="I1038" s="22">
        <v>2500</v>
      </c>
    </row>
    <row r="1039" spans="1:9" x14ac:dyDescent="0.3">
      <c r="A1039">
        <v>2025</v>
      </c>
      <c r="B1039" s="8">
        <v>45</v>
      </c>
      <c r="C1039" s="20" t="s">
        <v>477</v>
      </c>
      <c r="D1039" s="20" t="s">
        <v>56</v>
      </c>
      <c r="E1039" s="22" t="s">
        <v>241</v>
      </c>
      <c r="F1039" s="20" t="s">
        <v>291</v>
      </c>
      <c r="G1039" s="20" t="s">
        <v>234</v>
      </c>
      <c r="H1039" s="23">
        <v>3000</v>
      </c>
      <c r="I1039" s="22">
        <v>2500</v>
      </c>
    </row>
    <row r="1040" spans="1:9" x14ac:dyDescent="0.3">
      <c r="A1040">
        <v>2025</v>
      </c>
      <c r="B1040" s="8">
        <v>45</v>
      </c>
      <c r="C1040" s="20" t="s">
        <v>396</v>
      </c>
      <c r="D1040" s="20" t="s">
        <v>75</v>
      </c>
      <c r="E1040" s="22" t="s">
        <v>241</v>
      </c>
      <c r="F1040" s="20" t="s">
        <v>291</v>
      </c>
      <c r="G1040" s="20" t="s">
        <v>234</v>
      </c>
      <c r="H1040" s="23">
        <v>-500</v>
      </c>
      <c r="I1040" s="22">
        <v>2500</v>
      </c>
    </row>
    <row r="1041" spans="1:9" x14ac:dyDescent="0.3">
      <c r="A1041">
        <v>2025</v>
      </c>
      <c r="B1041" s="8">
        <v>45</v>
      </c>
      <c r="C1041" s="20" t="s">
        <v>361</v>
      </c>
      <c r="D1041" s="20" t="s">
        <v>56</v>
      </c>
      <c r="E1041" s="22" t="s">
        <v>241</v>
      </c>
      <c r="F1041" s="20" t="s">
        <v>291</v>
      </c>
      <c r="G1041" s="20" t="s">
        <v>234</v>
      </c>
      <c r="H1041" s="23">
        <v>-500</v>
      </c>
      <c r="I1041" s="22">
        <v>2500</v>
      </c>
    </row>
    <row r="1042" spans="1:9" x14ac:dyDescent="0.3">
      <c r="A1042">
        <v>2025</v>
      </c>
      <c r="B1042" s="8">
        <v>45</v>
      </c>
      <c r="C1042" s="20" t="s">
        <v>7</v>
      </c>
      <c r="D1042" s="20" t="s">
        <v>8</v>
      </c>
      <c r="E1042" s="20" t="s">
        <v>364</v>
      </c>
      <c r="F1042" s="22" t="s">
        <v>364</v>
      </c>
      <c r="G1042" s="20" t="s">
        <v>425</v>
      </c>
      <c r="H1042" s="23">
        <v>3100</v>
      </c>
      <c r="I1042" s="22">
        <v>2500</v>
      </c>
    </row>
    <row r="1043" spans="1:9" x14ac:dyDescent="0.3">
      <c r="A1043">
        <v>2025</v>
      </c>
      <c r="B1043" s="8">
        <v>45</v>
      </c>
      <c r="C1043" s="20" t="s">
        <v>105</v>
      </c>
      <c r="D1043" s="20" t="s">
        <v>204</v>
      </c>
      <c r="E1043" s="20" t="s">
        <v>364</v>
      </c>
      <c r="F1043" s="22" t="s">
        <v>364</v>
      </c>
      <c r="G1043" s="20" t="s">
        <v>425</v>
      </c>
      <c r="H1043" s="23">
        <v>3000</v>
      </c>
      <c r="I1043" s="22">
        <v>2500</v>
      </c>
    </row>
    <row r="1044" spans="1:9" x14ac:dyDescent="0.3">
      <c r="A1044">
        <v>2025</v>
      </c>
      <c r="B1044" s="8">
        <v>45</v>
      </c>
      <c r="C1044" s="20" t="s">
        <v>417</v>
      </c>
      <c r="D1044" s="20" t="s">
        <v>428</v>
      </c>
      <c r="E1044" s="20" t="s">
        <v>364</v>
      </c>
      <c r="F1044" s="22" t="s">
        <v>364</v>
      </c>
      <c r="G1044" s="20" t="s">
        <v>234</v>
      </c>
      <c r="H1044" s="23">
        <v>1640</v>
      </c>
      <c r="I1044" s="22">
        <v>2500</v>
      </c>
    </row>
    <row r="1045" spans="1:9" x14ac:dyDescent="0.3">
      <c r="A1045">
        <v>2025</v>
      </c>
      <c r="B1045" s="8">
        <v>45</v>
      </c>
      <c r="C1045" s="20" t="s">
        <v>76</v>
      </c>
      <c r="D1045" s="20" t="s">
        <v>104</v>
      </c>
      <c r="E1045" s="20" t="s">
        <v>364</v>
      </c>
      <c r="F1045" s="22" t="s">
        <v>364</v>
      </c>
      <c r="G1045" s="20" t="s">
        <v>234</v>
      </c>
      <c r="H1045" s="23">
        <v>857</v>
      </c>
      <c r="I1045" s="22">
        <v>2500</v>
      </c>
    </row>
    <row r="1046" spans="1:9" x14ac:dyDescent="0.3">
      <c r="A1046">
        <v>2025</v>
      </c>
      <c r="B1046" s="8">
        <v>46</v>
      </c>
      <c r="C1046" s="20" t="s">
        <v>13</v>
      </c>
      <c r="D1046" s="20" t="s">
        <v>30</v>
      </c>
      <c r="E1046" s="20" t="s">
        <v>232</v>
      </c>
      <c r="F1046" s="20" t="s">
        <v>291</v>
      </c>
      <c r="G1046" s="20" t="s">
        <v>234</v>
      </c>
      <c r="H1046" s="23">
        <v>2600</v>
      </c>
      <c r="I1046" s="22">
        <v>2500</v>
      </c>
    </row>
    <row r="1047" spans="1:9" x14ac:dyDescent="0.3">
      <c r="A1047">
        <v>2025</v>
      </c>
      <c r="B1047" s="8">
        <v>46</v>
      </c>
      <c r="C1047" s="20" t="s">
        <v>11</v>
      </c>
      <c r="D1047" s="20" t="s">
        <v>86</v>
      </c>
      <c r="E1047" s="20" t="s">
        <v>232</v>
      </c>
      <c r="F1047" s="20" t="s">
        <v>291</v>
      </c>
      <c r="G1047" s="20" t="s">
        <v>234</v>
      </c>
      <c r="H1047" s="23">
        <v>2500</v>
      </c>
      <c r="I1047" s="22">
        <v>2500</v>
      </c>
    </row>
    <row r="1048" spans="1:9" x14ac:dyDescent="0.3">
      <c r="A1048">
        <v>2025</v>
      </c>
      <c r="B1048" s="8">
        <v>46</v>
      </c>
      <c r="C1048" s="20" t="s">
        <v>35</v>
      </c>
      <c r="D1048" s="20" t="s">
        <v>36</v>
      </c>
      <c r="E1048" s="20" t="s">
        <v>232</v>
      </c>
      <c r="F1048" s="20" t="s">
        <v>291</v>
      </c>
      <c r="G1048" s="20" t="s">
        <v>234</v>
      </c>
      <c r="H1048" s="23">
        <v>3000</v>
      </c>
      <c r="I1048" s="22">
        <v>2500</v>
      </c>
    </row>
    <row r="1049" spans="1:9" x14ac:dyDescent="0.3">
      <c r="A1049">
        <v>2025</v>
      </c>
      <c r="B1049" s="8">
        <v>46</v>
      </c>
      <c r="C1049" s="20" t="s">
        <v>25</v>
      </c>
      <c r="D1049" s="20" t="s">
        <v>67</v>
      </c>
      <c r="E1049" s="20" t="s">
        <v>232</v>
      </c>
      <c r="F1049" s="20" t="s">
        <v>291</v>
      </c>
      <c r="G1049" s="20" t="s">
        <v>234</v>
      </c>
      <c r="H1049" s="23">
        <v>1822.3600000000006</v>
      </c>
      <c r="I1049" s="22">
        <v>2500</v>
      </c>
    </row>
    <row r="1050" spans="1:9" x14ac:dyDescent="0.3">
      <c r="A1050">
        <v>2025</v>
      </c>
      <c r="B1050" s="8">
        <v>46</v>
      </c>
      <c r="C1050" s="20" t="s">
        <v>487</v>
      </c>
      <c r="D1050" s="20" t="s">
        <v>44</v>
      </c>
      <c r="E1050" s="22" t="s">
        <v>232</v>
      </c>
      <c r="F1050" s="20" t="s">
        <v>291</v>
      </c>
      <c r="G1050" s="20" t="s">
        <v>234</v>
      </c>
      <c r="H1050" s="23">
        <v>2464.659999999998</v>
      </c>
      <c r="I1050" s="22">
        <v>2500</v>
      </c>
    </row>
    <row r="1051" spans="1:9" x14ac:dyDescent="0.3">
      <c r="A1051">
        <v>2025</v>
      </c>
      <c r="B1051" s="8">
        <v>46</v>
      </c>
      <c r="C1051" s="20" t="s">
        <v>74</v>
      </c>
      <c r="D1051" s="20" t="s">
        <v>77</v>
      </c>
      <c r="E1051" s="22" t="s">
        <v>232</v>
      </c>
      <c r="F1051" s="20" t="s">
        <v>291</v>
      </c>
      <c r="G1051" s="20" t="s">
        <v>234</v>
      </c>
      <c r="H1051" s="23">
        <v>2680.8200000000006</v>
      </c>
      <c r="I1051" s="22">
        <v>2500</v>
      </c>
    </row>
    <row r="1052" spans="1:9" x14ac:dyDescent="0.3">
      <c r="A1052">
        <v>2025</v>
      </c>
      <c r="B1052" s="8">
        <v>46</v>
      </c>
      <c r="C1052" s="20" t="s">
        <v>111</v>
      </c>
      <c r="D1052" s="20" t="s">
        <v>63</v>
      </c>
      <c r="E1052" s="20" t="s">
        <v>291</v>
      </c>
      <c r="F1052" s="20" t="s">
        <v>291</v>
      </c>
      <c r="G1052" s="20" t="s">
        <v>234</v>
      </c>
      <c r="H1052" s="23">
        <v>2500</v>
      </c>
      <c r="I1052" s="22">
        <v>2500</v>
      </c>
    </row>
    <row r="1053" spans="1:9" x14ac:dyDescent="0.3">
      <c r="A1053">
        <v>2025</v>
      </c>
      <c r="B1053" s="8">
        <v>46</v>
      </c>
      <c r="C1053" s="20" t="s">
        <v>78</v>
      </c>
      <c r="D1053" s="44" t="s">
        <v>79</v>
      </c>
      <c r="E1053" s="20" t="s">
        <v>291</v>
      </c>
      <c r="F1053" s="20" t="s">
        <v>291</v>
      </c>
      <c r="G1053" s="20" t="s">
        <v>234</v>
      </c>
      <c r="H1053" s="23">
        <v>666</v>
      </c>
      <c r="I1053" s="22">
        <v>2500</v>
      </c>
    </row>
    <row r="1054" spans="1:9" x14ac:dyDescent="0.3">
      <c r="A1054">
        <v>2025</v>
      </c>
      <c r="B1054" s="8">
        <v>46</v>
      </c>
      <c r="C1054" s="20" t="s">
        <v>72</v>
      </c>
      <c r="D1054" s="20" t="s">
        <v>73</v>
      </c>
      <c r="E1054" s="22" t="s">
        <v>241</v>
      </c>
      <c r="F1054" s="20" t="s">
        <v>291</v>
      </c>
      <c r="G1054" s="20" t="s">
        <v>234</v>
      </c>
      <c r="H1054" s="23">
        <v>3200</v>
      </c>
      <c r="I1054" s="22">
        <v>2500</v>
      </c>
    </row>
    <row r="1055" spans="1:9" x14ac:dyDescent="0.3">
      <c r="A1055">
        <v>2025</v>
      </c>
      <c r="B1055" s="8">
        <v>46</v>
      </c>
      <c r="C1055" s="20" t="s">
        <v>17</v>
      </c>
      <c r="D1055" s="20" t="s">
        <v>69</v>
      </c>
      <c r="E1055" s="22" t="s">
        <v>241</v>
      </c>
      <c r="F1055" s="20" t="s">
        <v>291</v>
      </c>
      <c r="G1055" s="20" t="s">
        <v>234</v>
      </c>
      <c r="H1055" s="23">
        <v>2500</v>
      </c>
      <c r="I1055" s="22">
        <v>2500</v>
      </c>
    </row>
    <row r="1056" spans="1:9" x14ac:dyDescent="0.3">
      <c r="A1056">
        <v>2025</v>
      </c>
      <c r="B1056" s="8">
        <v>46</v>
      </c>
      <c r="C1056" s="20" t="s">
        <v>477</v>
      </c>
      <c r="D1056" s="20" t="s">
        <v>56</v>
      </c>
      <c r="E1056" s="22" t="s">
        <v>241</v>
      </c>
      <c r="F1056" s="20" t="s">
        <v>291</v>
      </c>
      <c r="G1056" s="20" t="s">
        <v>234</v>
      </c>
      <c r="H1056" s="23">
        <v>-743</v>
      </c>
      <c r="I1056" s="22">
        <v>2500</v>
      </c>
    </row>
    <row r="1057" spans="1:9" x14ac:dyDescent="0.3">
      <c r="A1057">
        <v>2025</v>
      </c>
      <c r="B1057" s="8">
        <v>46</v>
      </c>
      <c r="C1057" s="20" t="s">
        <v>396</v>
      </c>
      <c r="D1057" s="20" t="s">
        <v>75</v>
      </c>
      <c r="E1057" s="22" t="s">
        <v>241</v>
      </c>
      <c r="F1057" s="20" t="s">
        <v>291</v>
      </c>
      <c r="G1057" s="20" t="s">
        <v>234</v>
      </c>
      <c r="H1057" s="23">
        <v>-500</v>
      </c>
      <c r="I1057" s="22">
        <v>2500</v>
      </c>
    </row>
    <row r="1058" spans="1:9" x14ac:dyDescent="0.3">
      <c r="A1058">
        <v>2025</v>
      </c>
      <c r="B1058" s="8">
        <v>46</v>
      </c>
      <c r="C1058" s="20" t="s">
        <v>361</v>
      </c>
      <c r="D1058" s="20" t="s">
        <v>56</v>
      </c>
      <c r="E1058" s="22" t="s">
        <v>241</v>
      </c>
      <c r="F1058" s="20" t="s">
        <v>291</v>
      </c>
      <c r="G1058" s="20" t="s">
        <v>234</v>
      </c>
      <c r="H1058" s="23">
        <v>-500</v>
      </c>
      <c r="I1058" s="22">
        <v>2500</v>
      </c>
    </row>
    <row r="1059" spans="1:9" x14ac:dyDescent="0.3">
      <c r="A1059">
        <v>2025</v>
      </c>
      <c r="B1059" s="8">
        <v>46</v>
      </c>
      <c r="C1059" s="20" t="s">
        <v>49</v>
      </c>
      <c r="D1059" s="20" t="s">
        <v>4</v>
      </c>
      <c r="E1059" s="20" t="s">
        <v>232</v>
      </c>
      <c r="F1059" s="20" t="s">
        <v>232</v>
      </c>
      <c r="G1059" s="20" t="s">
        <v>234</v>
      </c>
      <c r="H1059" s="23">
        <v>3700</v>
      </c>
      <c r="I1059" s="22">
        <v>2500</v>
      </c>
    </row>
    <row r="1060" spans="1:9" x14ac:dyDescent="0.3">
      <c r="A1060">
        <v>2025</v>
      </c>
      <c r="B1060" s="8">
        <v>46</v>
      </c>
      <c r="C1060" s="20" t="s">
        <v>47</v>
      </c>
      <c r="D1060" s="20" t="s">
        <v>106</v>
      </c>
      <c r="E1060" s="20" t="s">
        <v>232</v>
      </c>
      <c r="F1060" s="20" t="s">
        <v>232</v>
      </c>
      <c r="G1060" s="20" t="s">
        <v>234</v>
      </c>
      <c r="H1060" s="23">
        <v>3000</v>
      </c>
      <c r="I1060" s="22">
        <v>2500</v>
      </c>
    </row>
    <row r="1061" spans="1:9" x14ac:dyDescent="0.3">
      <c r="A1061">
        <v>2025</v>
      </c>
      <c r="B1061" s="8">
        <v>46</v>
      </c>
      <c r="C1061" s="20" t="s">
        <v>60</v>
      </c>
      <c r="D1061" s="41" t="s">
        <v>42</v>
      </c>
      <c r="E1061" s="20" t="s">
        <v>232</v>
      </c>
      <c r="F1061" s="20" t="s">
        <v>232</v>
      </c>
      <c r="G1061" s="20" t="s">
        <v>234</v>
      </c>
      <c r="H1061" s="23">
        <v>3000</v>
      </c>
      <c r="I1061" s="22">
        <v>2500</v>
      </c>
    </row>
    <row r="1062" spans="1:9" x14ac:dyDescent="0.3">
      <c r="A1062">
        <v>2025</v>
      </c>
      <c r="B1062" s="8">
        <v>46</v>
      </c>
      <c r="C1062" s="20" t="s">
        <v>19</v>
      </c>
      <c r="D1062" s="20" t="s">
        <v>20</v>
      </c>
      <c r="E1062" s="20" t="s">
        <v>232</v>
      </c>
      <c r="F1062" s="20" t="s">
        <v>232</v>
      </c>
      <c r="G1062" s="20" t="s">
        <v>234</v>
      </c>
      <c r="H1062" s="23">
        <v>3500</v>
      </c>
      <c r="I1062" s="22">
        <v>2500</v>
      </c>
    </row>
    <row r="1063" spans="1:9" x14ac:dyDescent="0.3">
      <c r="A1063">
        <v>2025</v>
      </c>
      <c r="B1063" s="8">
        <v>46</v>
      </c>
      <c r="C1063" s="20" t="s">
        <v>51</v>
      </c>
      <c r="D1063" s="20" t="s">
        <v>106</v>
      </c>
      <c r="E1063" s="20" t="s">
        <v>232</v>
      </c>
      <c r="F1063" s="20" t="s">
        <v>232</v>
      </c>
      <c r="G1063" s="20" t="s">
        <v>234</v>
      </c>
      <c r="H1063" s="23">
        <v>2500</v>
      </c>
      <c r="I1063" s="22">
        <v>2500</v>
      </c>
    </row>
    <row r="1064" spans="1:9" x14ac:dyDescent="0.3">
      <c r="A1064">
        <v>2025</v>
      </c>
      <c r="B1064" s="8">
        <v>46</v>
      </c>
      <c r="C1064" s="20" t="s">
        <v>45</v>
      </c>
      <c r="D1064" s="20" t="s">
        <v>46</v>
      </c>
      <c r="E1064" s="20" t="s">
        <v>232</v>
      </c>
      <c r="F1064" s="20" t="s">
        <v>232</v>
      </c>
      <c r="G1064" s="20" t="s">
        <v>234</v>
      </c>
      <c r="H1064" s="23">
        <v>2500.4800000000014</v>
      </c>
      <c r="I1064" s="22">
        <v>2500</v>
      </c>
    </row>
    <row r="1065" spans="1:9" x14ac:dyDescent="0.3">
      <c r="A1065">
        <v>2025</v>
      </c>
      <c r="B1065" s="8">
        <v>46</v>
      </c>
      <c r="C1065" s="20" t="s">
        <v>37</v>
      </c>
      <c r="D1065" s="20" t="s">
        <v>40</v>
      </c>
      <c r="E1065" s="20" t="s">
        <v>232</v>
      </c>
      <c r="F1065" s="20" t="s">
        <v>232</v>
      </c>
      <c r="G1065" s="20" t="s">
        <v>234</v>
      </c>
      <c r="H1065" s="23">
        <v>2500</v>
      </c>
      <c r="I1065" s="22">
        <v>2500</v>
      </c>
    </row>
    <row r="1066" spans="1:9" x14ac:dyDescent="0.3">
      <c r="A1066">
        <v>2025</v>
      </c>
      <c r="B1066" s="8">
        <v>46</v>
      </c>
      <c r="C1066" s="20" t="s">
        <v>61</v>
      </c>
      <c r="D1066" s="20" t="s">
        <v>34</v>
      </c>
      <c r="E1066" s="20" t="s">
        <v>232</v>
      </c>
      <c r="F1066" s="20" t="s">
        <v>232</v>
      </c>
      <c r="G1066" s="20" t="s">
        <v>234</v>
      </c>
      <c r="H1066" s="23">
        <v>3200</v>
      </c>
      <c r="I1066" s="22">
        <v>2500</v>
      </c>
    </row>
    <row r="1067" spans="1:9" x14ac:dyDescent="0.3">
      <c r="A1067">
        <v>2025</v>
      </c>
      <c r="B1067" s="8">
        <v>46</v>
      </c>
      <c r="C1067" s="20" t="s">
        <v>9</v>
      </c>
      <c r="D1067" s="20" t="s">
        <v>10</v>
      </c>
      <c r="E1067" s="20" t="s">
        <v>232</v>
      </c>
      <c r="F1067" s="20" t="s">
        <v>232</v>
      </c>
      <c r="G1067" s="20" t="s">
        <v>425</v>
      </c>
      <c r="H1067" s="23">
        <v>105</v>
      </c>
      <c r="I1067" s="22">
        <v>2500</v>
      </c>
    </row>
    <row r="1068" spans="1:9" x14ac:dyDescent="0.3">
      <c r="A1068">
        <v>2025</v>
      </c>
      <c r="B1068" s="8">
        <v>46</v>
      </c>
      <c r="C1068" s="20" t="s">
        <v>9</v>
      </c>
      <c r="D1068" s="20" t="s">
        <v>10</v>
      </c>
      <c r="E1068" s="20" t="s">
        <v>232</v>
      </c>
      <c r="F1068" s="20" t="s">
        <v>232</v>
      </c>
      <c r="G1068" s="20" t="s">
        <v>234</v>
      </c>
      <c r="H1068" s="23">
        <v>2537.2799999999997</v>
      </c>
      <c r="I1068" s="22"/>
    </row>
    <row r="1069" spans="1:9" x14ac:dyDescent="0.3">
      <c r="A1069">
        <v>2025</v>
      </c>
      <c r="B1069" s="8">
        <v>46</v>
      </c>
      <c r="C1069" s="20" t="s">
        <v>57</v>
      </c>
      <c r="D1069" s="20" t="s">
        <v>16</v>
      </c>
      <c r="E1069" s="20" t="s">
        <v>232</v>
      </c>
      <c r="F1069" s="20" t="s">
        <v>232</v>
      </c>
      <c r="G1069" s="20" t="s">
        <v>234</v>
      </c>
      <c r="H1069" s="23">
        <v>-70.47999999999999</v>
      </c>
      <c r="I1069" s="22">
        <v>2500</v>
      </c>
    </row>
    <row r="1070" spans="1:9" x14ac:dyDescent="0.3">
      <c r="A1070">
        <v>2025</v>
      </c>
      <c r="B1070" s="8">
        <v>46</v>
      </c>
      <c r="C1070" s="20" t="s">
        <v>3</v>
      </c>
      <c r="D1070" s="20" t="s">
        <v>4</v>
      </c>
      <c r="E1070" s="20" t="s">
        <v>232</v>
      </c>
      <c r="F1070" s="20" t="s">
        <v>232</v>
      </c>
      <c r="G1070" s="20" t="s">
        <v>425</v>
      </c>
      <c r="H1070" s="23">
        <v>4395</v>
      </c>
      <c r="I1070" s="22">
        <v>2500</v>
      </c>
    </row>
    <row r="1071" spans="1:9" x14ac:dyDescent="0.3">
      <c r="A1071">
        <v>2025</v>
      </c>
      <c r="B1071" s="8">
        <v>46</v>
      </c>
      <c r="C1071" s="20" t="s">
        <v>5</v>
      </c>
      <c r="D1071" s="41" t="s">
        <v>42</v>
      </c>
      <c r="E1071" s="20" t="s">
        <v>232</v>
      </c>
      <c r="F1071" s="20" t="s">
        <v>232</v>
      </c>
      <c r="G1071" s="20" t="s">
        <v>234</v>
      </c>
      <c r="H1071" s="23">
        <v>3050.42</v>
      </c>
      <c r="I1071" s="22">
        <v>2500</v>
      </c>
    </row>
    <row r="1072" spans="1:9" x14ac:dyDescent="0.3">
      <c r="A1072">
        <v>2025</v>
      </c>
      <c r="B1072" s="8">
        <v>46</v>
      </c>
      <c r="C1072" s="20" t="s">
        <v>98</v>
      </c>
      <c r="D1072" s="20" t="s">
        <v>168</v>
      </c>
      <c r="E1072" s="20" t="s">
        <v>232</v>
      </c>
      <c r="F1072" s="20" t="s">
        <v>232</v>
      </c>
      <c r="G1072" s="20" t="s">
        <v>234</v>
      </c>
      <c r="H1072" s="23">
        <v>3198</v>
      </c>
      <c r="I1072" s="22">
        <v>2500</v>
      </c>
    </row>
    <row r="1073" spans="1:9" x14ac:dyDescent="0.3">
      <c r="A1073">
        <v>2025</v>
      </c>
      <c r="B1073" s="8">
        <v>46</v>
      </c>
      <c r="C1073" s="20" t="s">
        <v>80</v>
      </c>
      <c r="D1073" s="20" t="s">
        <v>81</v>
      </c>
      <c r="E1073" s="20" t="s">
        <v>232</v>
      </c>
      <c r="F1073" s="20" t="s">
        <v>232</v>
      </c>
      <c r="G1073" s="20" t="s">
        <v>234</v>
      </c>
      <c r="H1073" s="23">
        <v>2500</v>
      </c>
      <c r="I1073" s="22">
        <v>2500</v>
      </c>
    </row>
    <row r="1074" spans="1:9" x14ac:dyDescent="0.3">
      <c r="A1074">
        <v>2025</v>
      </c>
      <c r="B1074" s="8">
        <v>46</v>
      </c>
      <c r="C1074" s="20" t="s">
        <v>288</v>
      </c>
      <c r="D1074" s="20" t="s">
        <v>22</v>
      </c>
      <c r="E1074" s="20" t="s">
        <v>232</v>
      </c>
      <c r="F1074" s="20" t="s">
        <v>232</v>
      </c>
      <c r="G1074" s="20" t="s">
        <v>234</v>
      </c>
      <c r="H1074" s="23">
        <v>-500</v>
      </c>
      <c r="I1074" s="22">
        <v>2500</v>
      </c>
    </row>
    <row r="1075" spans="1:9" x14ac:dyDescent="0.3">
      <c r="A1075">
        <v>2025</v>
      </c>
      <c r="B1075" s="8">
        <v>46</v>
      </c>
      <c r="C1075" s="20" t="s">
        <v>23</v>
      </c>
      <c r="D1075" s="20" t="s">
        <v>97</v>
      </c>
      <c r="E1075" s="20" t="s">
        <v>232</v>
      </c>
      <c r="F1075" s="20" t="s">
        <v>232</v>
      </c>
      <c r="G1075" s="20" t="s">
        <v>234</v>
      </c>
      <c r="H1075" s="23">
        <v>3196.6400000000012</v>
      </c>
      <c r="I1075" s="22">
        <v>2500</v>
      </c>
    </row>
    <row r="1076" spans="1:9" x14ac:dyDescent="0.3">
      <c r="A1076">
        <v>2025</v>
      </c>
      <c r="B1076" s="8">
        <v>46</v>
      </c>
      <c r="C1076" s="20" t="s">
        <v>292</v>
      </c>
      <c r="D1076" s="20" t="s">
        <v>52</v>
      </c>
      <c r="E1076" s="20" t="s">
        <v>232</v>
      </c>
      <c r="F1076" s="20" t="s">
        <v>232</v>
      </c>
      <c r="G1076" s="20" t="s">
        <v>234</v>
      </c>
      <c r="H1076" s="23">
        <v>-500</v>
      </c>
      <c r="I1076" s="22">
        <v>2500</v>
      </c>
    </row>
    <row r="1077" spans="1:9" x14ac:dyDescent="0.3">
      <c r="A1077">
        <v>2025</v>
      </c>
      <c r="B1077" s="8">
        <v>46</v>
      </c>
      <c r="C1077" s="20" t="s">
        <v>7</v>
      </c>
      <c r="D1077" s="20" t="s">
        <v>8</v>
      </c>
      <c r="E1077" s="20" t="s">
        <v>364</v>
      </c>
      <c r="F1077" s="22" t="s">
        <v>364</v>
      </c>
      <c r="G1077" s="20" t="s">
        <v>425</v>
      </c>
      <c r="H1077" s="23">
        <v>3102.16</v>
      </c>
      <c r="I1077" s="22">
        <v>2500</v>
      </c>
    </row>
    <row r="1078" spans="1:9" x14ac:dyDescent="0.3">
      <c r="A1078">
        <v>2025</v>
      </c>
      <c r="B1078" s="8">
        <v>46</v>
      </c>
      <c r="C1078" s="20" t="s">
        <v>105</v>
      </c>
      <c r="D1078" s="20" t="s">
        <v>204</v>
      </c>
      <c r="E1078" s="20" t="s">
        <v>364</v>
      </c>
      <c r="F1078" s="22" t="s">
        <v>364</v>
      </c>
      <c r="G1078" s="20" t="s">
        <v>425</v>
      </c>
      <c r="H1078" s="23">
        <v>3000</v>
      </c>
      <c r="I1078" s="22">
        <v>2500</v>
      </c>
    </row>
    <row r="1079" spans="1:9" x14ac:dyDescent="0.3">
      <c r="A1079">
        <v>2025</v>
      </c>
      <c r="B1079" s="8">
        <v>46</v>
      </c>
      <c r="C1079" s="20" t="s">
        <v>417</v>
      </c>
      <c r="D1079" s="20" t="s">
        <v>428</v>
      </c>
      <c r="E1079" s="20" t="s">
        <v>364</v>
      </c>
      <c r="F1079" s="22" t="s">
        <v>364</v>
      </c>
      <c r="G1079" s="20" t="s">
        <v>234</v>
      </c>
      <c r="H1079" s="23">
        <v>3072</v>
      </c>
      <c r="I1079" s="22">
        <v>2500</v>
      </c>
    </row>
    <row r="1080" spans="1:9" x14ac:dyDescent="0.3">
      <c r="A1080">
        <v>2025</v>
      </c>
      <c r="B1080" s="8">
        <v>46</v>
      </c>
      <c r="C1080" s="20" t="s">
        <v>76</v>
      </c>
      <c r="D1080" s="20" t="s">
        <v>104</v>
      </c>
      <c r="E1080" s="20" t="s">
        <v>364</v>
      </c>
      <c r="F1080" s="22" t="s">
        <v>364</v>
      </c>
      <c r="G1080" s="20" t="s">
        <v>234</v>
      </c>
      <c r="H1080" s="23">
        <v>2700.5399999999991</v>
      </c>
      <c r="I1080" s="22">
        <v>2500</v>
      </c>
    </row>
    <row r="1081" spans="1:9" x14ac:dyDescent="0.3">
      <c r="A1081">
        <v>2025</v>
      </c>
      <c r="B1081" s="8">
        <v>46</v>
      </c>
      <c r="C1081" s="20" t="s">
        <v>362</v>
      </c>
      <c r="D1081" s="20" t="s">
        <v>50</v>
      </c>
      <c r="E1081" s="20" t="s">
        <v>232</v>
      </c>
      <c r="F1081" s="20" t="s">
        <v>232</v>
      </c>
      <c r="G1081" s="20" t="s">
        <v>234</v>
      </c>
      <c r="H1081" s="23">
        <v>0</v>
      </c>
      <c r="I1081" s="22">
        <v>2500</v>
      </c>
    </row>
    <row r="1082" spans="1:9" x14ac:dyDescent="0.3">
      <c r="A1082">
        <v>2025</v>
      </c>
      <c r="B1082" s="8">
        <v>47</v>
      </c>
      <c r="C1082" s="20" t="s">
        <v>13</v>
      </c>
      <c r="D1082" s="20" t="s">
        <v>30</v>
      </c>
      <c r="E1082" s="20" t="s">
        <v>232</v>
      </c>
      <c r="F1082" s="20" t="s">
        <v>291</v>
      </c>
      <c r="G1082" s="20" t="s">
        <v>234</v>
      </c>
      <c r="H1082" s="23">
        <v>1428.57</v>
      </c>
      <c r="I1082" s="22">
        <v>2500</v>
      </c>
    </row>
    <row r="1083" spans="1:9" x14ac:dyDescent="0.3">
      <c r="A1083">
        <v>2025</v>
      </c>
      <c r="B1083" s="8">
        <v>47</v>
      </c>
      <c r="C1083" s="20" t="s">
        <v>11</v>
      </c>
      <c r="D1083" s="20" t="s">
        <v>86</v>
      </c>
      <c r="E1083" s="20" t="s">
        <v>232</v>
      </c>
      <c r="F1083" s="20" t="s">
        <v>291</v>
      </c>
      <c r="G1083" s="20" t="s">
        <v>234</v>
      </c>
      <c r="H1083" s="23">
        <v>1428.57</v>
      </c>
      <c r="I1083" s="22">
        <v>2500</v>
      </c>
    </row>
    <row r="1084" spans="1:9" x14ac:dyDescent="0.3">
      <c r="A1084">
        <v>2025</v>
      </c>
      <c r="B1084" s="8">
        <v>47</v>
      </c>
      <c r="C1084" s="20" t="s">
        <v>35</v>
      </c>
      <c r="D1084" s="20" t="s">
        <v>36</v>
      </c>
      <c r="E1084" s="20" t="s">
        <v>232</v>
      </c>
      <c r="F1084" s="20" t="s">
        <v>291</v>
      </c>
      <c r="G1084" s="20" t="s">
        <v>234</v>
      </c>
      <c r="H1084" s="23">
        <v>2128.17</v>
      </c>
      <c r="I1084" s="22">
        <v>2500</v>
      </c>
    </row>
    <row r="1085" spans="1:9" x14ac:dyDescent="0.3">
      <c r="A1085">
        <v>2025</v>
      </c>
      <c r="B1085" s="8">
        <v>47</v>
      </c>
      <c r="C1085" s="20" t="s">
        <v>25</v>
      </c>
      <c r="D1085" s="20" t="s">
        <v>67</v>
      </c>
      <c r="E1085" s="20" t="s">
        <v>232</v>
      </c>
      <c r="F1085" s="20" t="s">
        <v>291</v>
      </c>
      <c r="G1085" s="20" t="s">
        <v>234</v>
      </c>
      <c r="H1085" s="23">
        <v>478.17000000000007</v>
      </c>
      <c r="I1085" s="22">
        <v>2500</v>
      </c>
    </row>
    <row r="1086" spans="1:9" x14ac:dyDescent="0.3">
      <c r="A1086">
        <v>2025</v>
      </c>
      <c r="B1086" s="8">
        <v>47</v>
      </c>
      <c r="C1086" s="20" t="s">
        <v>487</v>
      </c>
      <c r="D1086" s="20" t="s">
        <v>44</v>
      </c>
      <c r="E1086" s="22" t="s">
        <v>232</v>
      </c>
      <c r="F1086" s="20" t="s">
        <v>291</v>
      </c>
      <c r="G1086" s="20" t="s">
        <v>234</v>
      </c>
      <c r="H1086" s="23">
        <v>-386.68000000000006</v>
      </c>
      <c r="I1086" s="22">
        <v>2500</v>
      </c>
    </row>
    <row r="1087" spans="1:9" x14ac:dyDescent="0.3">
      <c r="A1087">
        <v>2025</v>
      </c>
      <c r="B1087" s="8">
        <v>47</v>
      </c>
      <c r="C1087" s="20" t="s">
        <v>74</v>
      </c>
      <c r="D1087" s="20" t="s">
        <v>75</v>
      </c>
      <c r="E1087" s="22" t="s">
        <v>241</v>
      </c>
      <c r="F1087" s="20" t="s">
        <v>291</v>
      </c>
      <c r="G1087" s="20" t="s">
        <v>234</v>
      </c>
      <c r="H1087" s="23">
        <v>1845.3799999999994</v>
      </c>
      <c r="I1087" s="22">
        <v>2500</v>
      </c>
    </row>
    <row r="1088" spans="1:9" x14ac:dyDescent="0.3">
      <c r="A1088">
        <v>2025</v>
      </c>
      <c r="B1088" s="8">
        <v>47</v>
      </c>
      <c r="C1088" s="20" t="s">
        <v>111</v>
      </c>
      <c r="D1088" s="20" t="s">
        <v>63</v>
      </c>
      <c r="E1088" s="20" t="s">
        <v>291</v>
      </c>
      <c r="F1088" s="20" t="s">
        <v>291</v>
      </c>
      <c r="G1088" s="20" t="s">
        <v>234</v>
      </c>
      <c r="H1088" s="23">
        <v>2500</v>
      </c>
      <c r="I1088" s="22">
        <v>2500</v>
      </c>
    </row>
    <row r="1089" spans="1:9" x14ac:dyDescent="0.3">
      <c r="A1089">
        <v>2025</v>
      </c>
      <c r="B1089" s="8">
        <v>47</v>
      </c>
      <c r="C1089" s="20" t="s">
        <v>78</v>
      </c>
      <c r="D1089" s="44" t="s">
        <v>79</v>
      </c>
      <c r="E1089" s="20" t="s">
        <v>291</v>
      </c>
      <c r="F1089" s="20" t="s">
        <v>291</v>
      </c>
      <c r="G1089" s="20" t="s">
        <v>234</v>
      </c>
      <c r="H1089" s="23">
        <v>3000.26</v>
      </c>
      <c r="I1089" s="22">
        <v>2500</v>
      </c>
    </row>
    <row r="1090" spans="1:9" x14ac:dyDescent="0.3">
      <c r="A1090">
        <v>2025</v>
      </c>
      <c r="B1090" s="8">
        <v>47</v>
      </c>
      <c r="C1090" s="20" t="s">
        <v>72</v>
      </c>
      <c r="D1090" s="20" t="s">
        <v>73</v>
      </c>
      <c r="E1090" s="22" t="s">
        <v>241</v>
      </c>
      <c r="F1090" s="20" t="s">
        <v>291</v>
      </c>
      <c r="G1090" s="20" t="s">
        <v>234</v>
      </c>
      <c r="H1090" s="23">
        <v>3200</v>
      </c>
      <c r="I1090" s="22">
        <v>2500</v>
      </c>
    </row>
    <row r="1091" spans="1:9" x14ac:dyDescent="0.3">
      <c r="A1091">
        <v>2025</v>
      </c>
      <c r="B1091" s="8">
        <v>47</v>
      </c>
      <c r="C1091" s="20" t="s">
        <v>17</v>
      </c>
      <c r="D1091" s="20" t="s">
        <v>69</v>
      </c>
      <c r="E1091" s="22" t="s">
        <v>241</v>
      </c>
      <c r="F1091" s="20" t="s">
        <v>291</v>
      </c>
      <c r="G1091" s="20" t="s">
        <v>234</v>
      </c>
      <c r="H1091" s="23">
        <v>2345.9400000000005</v>
      </c>
      <c r="I1091" s="22">
        <v>2500</v>
      </c>
    </row>
    <row r="1092" spans="1:9" x14ac:dyDescent="0.3">
      <c r="A1092">
        <v>2025</v>
      </c>
      <c r="B1092" s="8">
        <v>47</v>
      </c>
      <c r="C1092" s="20" t="s">
        <v>396</v>
      </c>
      <c r="D1092" s="20" t="s">
        <v>75</v>
      </c>
      <c r="E1092" s="22" t="s">
        <v>241</v>
      </c>
      <c r="F1092" s="20" t="s">
        <v>291</v>
      </c>
      <c r="G1092" s="20" t="s">
        <v>234</v>
      </c>
      <c r="H1092" s="23">
        <v>-500</v>
      </c>
      <c r="I1092" s="22">
        <v>2500</v>
      </c>
    </row>
    <row r="1093" spans="1:9" x14ac:dyDescent="0.3">
      <c r="A1093">
        <v>2025</v>
      </c>
      <c r="B1093" s="8">
        <v>47</v>
      </c>
      <c r="C1093" s="20" t="s">
        <v>361</v>
      </c>
      <c r="D1093" s="20" t="s">
        <v>56</v>
      </c>
      <c r="E1093" s="22" t="s">
        <v>241</v>
      </c>
      <c r="F1093" s="20" t="s">
        <v>291</v>
      </c>
      <c r="G1093" s="20" t="s">
        <v>234</v>
      </c>
      <c r="H1093" s="23">
        <v>-500</v>
      </c>
      <c r="I1093" s="22">
        <v>2500</v>
      </c>
    </row>
    <row r="1094" spans="1:9" x14ac:dyDescent="0.3">
      <c r="A1094">
        <v>2025</v>
      </c>
      <c r="B1094" s="8">
        <v>47</v>
      </c>
      <c r="C1094" s="20" t="s">
        <v>76</v>
      </c>
      <c r="D1094" s="20" t="s">
        <v>56</v>
      </c>
      <c r="E1094" s="22" t="s">
        <v>241</v>
      </c>
      <c r="F1094" s="20" t="s">
        <v>291</v>
      </c>
      <c r="G1094" s="20" t="s">
        <v>234</v>
      </c>
      <c r="H1094" s="23">
        <v>2285.17</v>
      </c>
      <c r="I1094" s="22">
        <v>2500</v>
      </c>
    </row>
    <row r="1095" spans="1:9" x14ac:dyDescent="0.3">
      <c r="A1095">
        <v>2025</v>
      </c>
      <c r="B1095" s="8">
        <v>47</v>
      </c>
      <c r="C1095" s="20" t="s">
        <v>49</v>
      </c>
      <c r="D1095" s="20" t="s">
        <v>50</v>
      </c>
      <c r="E1095" s="20" t="s">
        <v>232</v>
      </c>
      <c r="F1095" s="20" t="s">
        <v>232</v>
      </c>
      <c r="G1095" s="20" t="s">
        <v>234</v>
      </c>
      <c r="H1095" s="23">
        <v>3700</v>
      </c>
      <c r="I1095" s="22">
        <v>2500</v>
      </c>
    </row>
    <row r="1096" spans="1:9" x14ac:dyDescent="0.3">
      <c r="A1096">
        <v>2025</v>
      </c>
      <c r="B1096" s="8">
        <v>47</v>
      </c>
      <c r="C1096" s="20" t="s">
        <v>47</v>
      </c>
      <c r="D1096" s="20" t="s">
        <v>106</v>
      </c>
      <c r="E1096" s="20" t="s">
        <v>232</v>
      </c>
      <c r="F1096" s="20" t="s">
        <v>232</v>
      </c>
      <c r="G1096" s="20" t="s">
        <v>234</v>
      </c>
      <c r="H1096" s="23">
        <v>3000.2199999999993</v>
      </c>
      <c r="I1096" s="22">
        <v>2500</v>
      </c>
    </row>
    <row r="1097" spans="1:9" x14ac:dyDescent="0.3">
      <c r="A1097">
        <v>2025</v>
      </c>
      <c r="B1097" s="8">
        <v>47</v>
      </c>
      <c r="C1097" s="20" t="s">
        <v>60</v>
      </c>
      <c r="D1097" s="41" t="s">
        <v>42</v>
      </c>
      <c r="E1097" s="20" t="s">
        <v>232</v>
      </c>
      <c r="F1097" s="20" t="s">
        <v>232</v>
      </c>
      <c r="G1097" s="20" t="s">
        <v>234</v>
      </c>
      <c r="H1097" s="23">
        <v>3000</v>
      </c>
      <c r="I1097" s="22">
        <v>2500</v>
      </c>
    </row>
    <row r="1098" spans="1:9" x14ac:dyDescent="0.3">
      <c r="A1098">
        <v>2025</v>
      </c>
      <c r="B1098" s="8">
        <v>47</v>
      </c>
      <c r="C1098" s="20" t="s">
        <v>19</v>
      </c>
      <c r="D1098" s="20" t="s">
        <v>20</v>
      </c>
      <c r="E1098" s="20" t="s">
        <v>232</v>
      </c>
      <c r="F1098" s="20" t="s">
        <v>232</v>
      </c>
      <c r="G1098" s="20" t="s">
        <v>234</v>
      </c>
      <c r="H1098" s="23">
        <v>3500</v>
      </c>
      <c r="I1098" s="22">
        <v>2500</v>
      </c>
    </row>
    <row r="1099" spans="1:9" x14ac:dyDescent="0.3">
      <c r="A1099">
        <v>2025</v>
      </c>
      <c r="B1099" s="8">
        <v>47</v>
      </c>
      <c r="C1099" s="20" t="s">
        <v>51</v>
      </c>
      <c r="D1099" s="20" t="s">
        <v>52</v>
      </c>
      <c r="E1099" s="20" t="s">
        <v>232</v>
      </c>
      <c r="F1099" s="20" t="s">
        <v>232</v>
      </c>
      <c r="G1099" s="20" t="s">
        <v>234</v>
      </c>
      <c r="H1099" s="23">
        <v>2500</v>
      </c>
      <c r="I1099" s="22">
        <v>2500</v>
      </c>
    </row>
    <row r="1100" spans="1:9" x14ac:dyDescent="0.3">
      <c r="A1100">
        <v>2025</v>
      </c>
      <c r="B1100" s="8">
        <v>47</v>
      </c>
      <c r="C1100" s="20" t="s">
        <v>45</v>
      </c>
      <c r="D1100" s="20" t="s">
        <v>46</v>
      </c>
      <c r="E1100" s="20" t="s">
        <v>232</v>
      </c>
      <c r="F1100" s="20" t="s">
        <v>232</v>
      </c>
      <c r="G1100" s="20" t="s">
        <v>234</v>
      </c>
      <c r="H1100" s="23">
        <v>958.54</v>
      </c>
      <c r="I1100" s="22">
        <v>2500</v>
      </c>
    </row>
    <row r="1101" spans="1:9" x14ac:dyDescent="0.3">
      <c r="A1101">
        <v>2025</v>
      </c>
      <c r="B1101" s="8">
        <v>47</v>
      </c>
      <c r="C1101" s="20" t="s">
        <v>37</v>
      </c>
      <c r="D1101" s="20" t="s">
        <v>40</v>
      </c>
      <c r="E1101" s="20" t="s">
        <v>232</v>
      </c>
      <c r="F1101" s="20" t="s">
        <v>232</v>
      </c>
      <c r="G1101" s="20" t="s">
        <v>234</v>
      </c>
      <c r="H1101" s="23">
        <v>2480.1000000000004</v>
      </c>
      <c r="I1101" s="22">
        <v>2500</v>
      </c>
    </row>
    <row r="1102" spans="1:9" x14ac:dyDescent="0.3">
      <c r="A1102">
        <v>2025</v>
      </c>
      <c r="B1102" s="8">
        <v>47</v>
      </c>
      <c r="C1102" s="20" t="s">
        <v>61</v>
      </c>
      <c r="D1102" s="20" t="s">
        <v>34</v>
      </c>
      <c r="E1102" s="20" t="s">
        <v>232</v>
      </c>
      <c r="F1102" s="20" t="s">
        <v>232</v>
      </c>
      <c r="G1102" s="20" t="s">
        <v>234</v>
      </c>
      <c r="H1102" s="23">
        <v>2261.1400000000003</v>
      </c>
      <c r="I1102" s="22">
        <v>2500</v>
      </c>
    </row>
    <row r="1103" spans="1:9" x14ac:dyDescent="0.3">
      <c r="A1103">
        <v>2025</v>
      </c>
      <c r="B1103" s="8">
        <v>47</v>
      </c>
      <c r="C1103" s="20" t="s">
        <v>9</v>
      </c>
      <c r="D1103" s="20" t="s">
        <v>10</v>
      </c>
      <c r="E1103" s="20" t="s">
        <v>232</v>
      </c>
      <c r="F1103" s="20" t="s">
        <v>232</v>
      </c>
      <c r="G1103" s="20" t="s">
        <v>425</v>
      </c>
      <c r="H1103" s="23">
        <v>1249.5200000000004</v>
      </c>
      <c r="I1103" s="22">
        <v>2500</v>
      </c>
    </row>
    <row r="1104" spans="1:9" x14ac:dyDescent="0.3">
      <c r="A1104">
        <v>2025</v>
      </c>
      <c r="B1104" s="8">
        <v>47</v>
      </c>
      <c r="C1104" s="20" t="s">
        <v>9</v>
      </c>
      <c r="D1104" s="20" t="s">
        <v>10</v>
      </c>
      <c r="E1104" s="20" t="s">
        <v>232</v>
      </c>
      <c r="F1104" s="20" t="s">
        <v>232</v>
      </c>
      <c r="G1104" s="20" t="s">
        <v>234</v>
      </c>
      <c r="H1104" s="23">
        <v>1250</v>
      </c>
      <c r="I1104" s="22"/>
    </row>
    <row r="1105" spans="1:9" x14ac:dyDescent="0.3">
      <c r="A1105">
        <v>2025</v>
      </c>
      <c r="B1105" s="8">
        <v>47</v>
      </c>
      <c r="C1105" s="20" t="s">
        <v>3</v>
      </c>
      <c r="D1105" s="20" t="s">
        <v>4</v>
      </c>
      <c r="E1105" s="20" t="s">
        <v>232</v>
      </c>
      <c r="F1105" s="20" t="s">
        <v>232</v>
      </c>
      <c r="G1105" s="20" t="s">
        <v>425</v>
      </c>
      <c r="H1105" s="23">
        <v>2477.0200000000004</v>
      </c>
      <c r="I1105" s="22">
        <v>2500</v>
      </c>
    </row>
    <row r="1106" spans="1:9" x14ac:dyDescent="0.3">
      <c r="A1106">
        <v>2025</v>
      </c>
      <c r="B1106" s="8">
        <v>47</v>
      </c>
      <c r="C1106" s="20" t="s">
        <v>5</v>
      </c>
      <c r="D1106" s="41" t="s">
        <v>42</v>
      </c>
      <c r="E1106" s="20" t="s">
        <v>232</v>
      </c>
      <c r="F1106" s="20" t="s">
        <v>232</v>
      </c>
      <c r="G1106" s="20" t="s">
        <v>234</v>
      </c>
      <c r="H1106" s="23">
        <v>3025</v>
      </c>
      <c r="I1106" s="22">
        <v>2500</v>
      </c>
    </row>
    <row r="1107" spans="1:9" x14ac:dyDescent="0.3">
      <c r="A1107">
        <v>2025</v>
      </c>
      <c r="B1107" s="8">
        <v>47</v>
      </c>
      <c r="C1107" s="20" t="s">
        <v>98</v>
      </c>
      <c r="D1107" s="20" t="s">
        <v>168</v>
      </c>
      <c r="E1107" s="20" t="s">
        <v>232</v>
      </c>
      <c r="F1107" s="20" t="s">
        <v>232</v>
      </c>
      <c r="G1107" s="20" t="s">
        <v>234</v>
      </c>
      <c r="H1107" s="23">
        <v>2799</v>
      </c>
      <c r="I1107" s="22">
        <v>2500</v>
      </c>
    </row>
    <row r="1108" spans="1:9" x14ac:dyDescent="0.3">
      <c r="A1108">
        <v>2025</v>
      </c>
      <c r="B1108" s="8">
        <v>47</v>
      </c>
      <c r="C1108" s="20" t="s">
        <v>80</v>
      </c>
      <c r="D1108" s="20" t="s">
        <v>81</v>
      </c>
      <c r="E1108" s="20" t="s">
        <v>232</v>
      </c>
      <c r="F1108" s="20" t="s">
        <v>232</v>
      </c>
      <c r="G1108" s="20" t="s">
        <v>234</v>
      </c>
      <c r="H1108" s="23">
        <v>2500</v>
      </c>
      <c r="I1108" s="22">
        <v>2500</v>
      </c>
    </row>
    <row r="1109" spans="1:9" x14ac:dyDescent="0.3">
      <c r="A1109">
        <v>2025</v>
      </c>
      <c r="B1109" s="8">
        <v>47</v>
      </c>
      <c r="C1109" s="20" t="s">
        <v>23</v>
      </c>
      <c r="D1109" s="20" t="s">
        <v>97</v>
      </c>
      <c r="E1109" s="20" t="s">
        <v>232</v>
      </c>
      <c r="F1109" s="20" t="s">
        <v>232</v>
      </c>
      <c r="G1109" s="20" t="s">
        <v>234</v>
      </c>
      <c r="H1109" s="23">
        <v>1947.7000000000007</v>
      </c>
      <c r="I1109" s="22">
        <v>2500</v>
      </c>
    </row>
    <row r="1110" spans="1:9" x14ac:dyDescent="0.3">
      <c r="A1110">
        <v>2025</v>
      </c>
      <c r="B1110" s="8">
        <v>47</v>
      </c>
      <c r="C1110" s="20" t="s">
        <v>292</v>
      </c>
      <c r="D1110" s="20" t="s">
        <v>52</v>
      </c>
      <c r="E1110" s="20" t="s">
        <v>232</v>
      </c>
      <c r="F1110" s="20" t="s">
        <v>232</v>
      </c>
      <c r="G1110" s="20" t="s">
        <v>234</v>
      </c>
      <c r="H1110" s="23">
        <v>-500</v>
      </c>
      <c r="I1110" s="22">
        <v>2500</v>
      </c>
    </row>
    <row r="1111" spans="1:9" x14ac:dyDescent="0.3">
      <c r="A1111">
        <v>2025</v>
      </c>
      <c r="B1111" s="8">
        <v>47</v>
      </c>
      <c r="C1111" s="20" t="s">
        <v>362</v>
      </c>
      <c r="D1111" s="20" t="s">
        <v>50</v>
      </c>
      <c r="E1111" s="20" t="s">
        <v>232</v>
      </c>
      <c r="F1111" s="20" t="s">
        <v>232</v>
      </c>
      <c r="G1111" s="20" t="s">
        <v>234</v>
      </c>
      <c r="H1111" s="23">
        <v>-500</v>
      </c>
      <c r="I1111" s="22">
        <v>2500</v>
      </c>
    </row>
    <row r="1112" spans="1:9" x14ac:dyDescent="0.3">
      <c r="A1112">
        <v>2025</v>
      </c>
      <c r="B1112" s="8">
        <v>47</v>
      </c>
      <c r="C1112" s="20" t="s">
        <v>7</v>
      </c>
      <c r="D1112" s="20" t="s">
        <v>8</v>
      </c>
      <c r="E1112" s="20" t="s">
        <v>364</v>
      </c>
      <c r="F1112" s="22" t="s">
        <v>364</v>
      </c>
      <c r="G1112" s="20" t="s">
        <v>425</v>
      </c>
      <c r="H1112" s="23">
        <v>3100</v>
      </c>
      <c r="I1112" s="22">
        <v>2500</v>
      </c>
    </row>
    <row r="1113" spans="1:9" x14ac:dyDescent="0.3">
      <c r="A1113">
        <v>2025</v>
      </c>
      <c r="B1113" s="8">
        <v>47</v>
      </c>
      <c r="C1113" s="20" t="s">
        <v>105</v>
      </c>
      <c r="D1113" s="20" t="s">
        <v>204</v>
      </c>
      <c r="E1113" s="20" t="s">
        <v>364</v>
      </c>
      <c r="F1113" s="22" t="s">
        <v>364</v>
      </c>
      <c r="G1113" s="20" t="s">
        <v>425</v>
      </c>
      <c r="H1113" s="23">
        <v>2500</v>
      </c>
      <c r="I1113" s="22">
        <v>2500</v>
      </c>
    </row>
    <row r="1114" spans="1:9" x14ac:dyDescent="0.3">
      <c r="A1114">
        <v>2025</v>
      </c>
      <c r="B1114" s="8">
        <v>47</v>
      </c>
      <c r="C1114" s="20" t="s">
        <v>417</v>
      </c>
      <c r="D1114" s="20" t="s">
        <v>428</v>
      </c>
      <c r="E1114" s="20" t="s">
        <v>364</v>
      </c>
      <c r="F1114" s="22" t="s">
        <v>364</v>
      </c>
      <c r="G1114" s="20" t="s">
        <v>234</v>
      </c>
      <c r="H1114" s="23">
        <v>2500.5599999999995</v>
      </c>
      <c r="I1114" s="22">
        <v>2500</v>
      </c>
    </row>
    <row r="1115" spans="1:9" x14ac:dyDescent="0.3">
      <c r="A1115">
        <v>2025</v>
      </c>
      <c r="B1115" s="8">
        <v>47</v>
      </c>
      <c r="C1115" s="20" t="s">
        <v>21</v>
      </c>
      <c r="D1115" s="20" t="s">
        <v>22</v>
      </c>
      <c r="E1115" s="20" t="s">
        <v>232</v>
      </c>
      <c r="F1115" s="20" t="s">
        <v>232</v>
      </c>
      <c r="G1115" s="20" t="s">
        <v>234</v>
      </c>
      <c r="H1115" s="23">
        <v>1291.1399999999999</v>
      </c>
      <c r="I1115" s="22">
        <v>2500</v>
      </c>
    </row>
    <row r="1116" spans="1:9" x14ac:dyDescent="0.3">
      <c r="A1116">
        <v>2025</v>
      </c>
      <c r="B1116" s="8">
        <v>47</v>
      </c>
      <c r="C1116" s="20" t="s">
        <v>15</v>
      </c>
      <c r="D1116" s="20" t="s">
        <v>16</v>
      </c>
      <c r="E1116" s="20" t="s">
        <v>232</v>
      </c>
      <c r="F1116" s="20" t="s">
        <v>232</v>
      </c>
      <c r="G1116" s="20" t="s">
        <v>234</v>
      </c>
      <c r="H1116" s="23">
        <v>1712.8500000000001</v>
      </c>
      <c r="I1116" s="22">
        <v>2500</v>
      </c>
    </row>
    <row r="1117" spans="1:9" x14ac:dyDescent="0.3">
      <c r="A1117">
        <v>2025</v>
      </c>
      <c r="B1117" s="8">
        <v>47</v>
      </c>
      <c r="C1117" s="20" t="s">
        <v>53</v>
      </c>
      <c r="D1117" s="20" t="s">
        <v>86</v>
      </c>
      <c r="E1117" s="20" t="s">
        <v>232</v>
      </c>
      <c r="F1117" s="20" t="s">
        <v>232</v>
      </c>
      <c r="G1117" s="20" t="s">
        <v>234</v>
      </c>
      <c r="H1117" s="23">
        <v>1500.1599999999999</v>
      </c>
      <c r="I1117" s="22">
        <v>2500</v>
      </c>
    </row>
    <row r="1118" spans="1:9" x14ac:dyDescent="0.3">
      <c r="A1118">
        <v>2025</v>
      </c>
      <c r="B1118" s="8">
        <v>47</v>
      </c>
      <c r="C1118" s="20" t="s">
        <v>13</v>
      </c>
      <c r="D1118" s="20" t="s">
        <v>30</v>
      </c>
      <c r="E1118" s="20" t="s">
        <v>232</v>
      </c>
      <c r="F1118" s="20" t="s">
        <v>232</v>
      </c>
      <c r="G1118" s="20" t="s">
        <v>234</v>
      </c>
      <c r="H1118" s="23">
        <v>1071</v>
      </c>
      <c r="I1118" s="22"/>
    </row>
    <row r="1119" spans="1:9" x14ac:dyDescent="0.3">
      <c r="A1119">
        <v>2025</v>
      </c>
      <c r="B1119" s="8">
        <v>47</v>
      </c>
      <c r="C1119" s="20" t="s">
        <v>35</v>
      </c>
      <c r="D1119" s="20" t="s">
        <v>36</v>
      </c>
      <c r="E1119" s="20" t="s">
        <v>232</v>
      </c>
      <c r="F1119" s="20" t="s">
        <v>232</v>
      </c>
      <c r="G1119" s="20" t="s">
        <v>234</v>
      </c>
      <c r="H1119" s="23">
        <v>1071</v>
      </c>
      <c r="I1119" s="22"/>
    </row>
    <row r="1120" spans="1:9" x14ac:dyDescent="0.3">
      <c r="A1120">
        <v>2025</v>
      </c>
      <c r="B1120" s="8">
        <v>47</v>
      </c>
      <c r="C1120" s="20" t="s">
        <v>11</v>
      </c>
      <c r="D1120" s="20" t="s">
        <v>59</v>
      </c>
      <c r="E1120" s="20" t="s">
        <v>232</v>
      </c>
      <c r="F1120" s="20" t="s">
        <v>232</v>
      </c>
      <c r="G1120" s="20" t="s">
        <v>234</v>
      </c>
      <c r="H1120" s="23">
        <v>1071.1199999999999</v>
      </c>
      <c r="I1120" s="22"/>
    </row>
    <row r="1121" spans="1:9" x14ac:dyDescent="0.3">
      <c r="A1121">
        <v>2025</v>
      </c>
      <c r="B1121" s="8">
        <v>47</v>
      </c>
      <c r="C1121" s="20" t="s">
        <v>25</v>
      </c>
      <c r="D1121" s="20" t="s">
        <v>67</v>
      </c>
      <c r="E1121" s="20" t="s">
        <v>232</v>
      </c>
      <c r="F1121" s="20" t="s">
        <v>232</v>
      </c>
      <c r="G1121" s="20" t="s">
        <v>234</v>
      </c>
      <c r="H1121" s="23">
        <v>1071</v>
      </c>
      <c r="I1121" s="22"/>
    </row>
    <row r="1122" spans="1:9" x14ac:dyDescent="0.3">
      <c r="A1122">
        <v>2025</v>
      </c>
      <c r="B1122" s="8">
        <v>47</v>
      </c>
      <c r="C1122" s="20" t="s">
        <v>414</v>
      </c>
      <c r="D1122" s="20" t="s">
        <v>59</v>
      </c>
      <c r="E1122" s="20" t="s">
        <v>232</v>
      </c>
      <c r="F1122" s="20" t="s">
        <v>232</v>
      </c>
      <c r="G1122" s="20" t="s">
        <v>234</v>
      </c>
      <c r="H1122" s="23">
        <v>-2000</v>
      </c>
      <c r="I1122" s="22">
        <v>2500</v>
      </c>
    </row>
    <row r="1123" spans="1:9" x14ac:dyDescent="0.3">
      <c r="A1123">
        <v>2025</v>
      </c>
      <c r="B1123" s="8">
        <v>47</v>
      </c>
      <c r="C1123" s="20" t="s">
        <v>76</v>
      </c>
      <c r="D1123" s="20" t="s">
        <v>104</v>
      </c>
      <c r="E1123" s="20" t="s">
        <v>364</v>
      </c>
      <c r="F1123" s="22" t="s">
        <v>364</v>
      </c>
      <c r="G1123" s="20" t="s">
        <v>234</v>
      </c>
      <c r="H1123" s="23">
        <v>714.83999999999992</v>
      </c>
      <c r="I1123" s="22"/>
    </row>
    <row r="1124" spans="1:9" x14ac:dyDescent="0.3">
      <c r="A1124">
        <v>2025</v>
      </c>
      <c r="B1124" s="8">
        <v>48</v>
      </c>
      <c r="C1124" s="20" t="s">
        <v>13</v>
      </c>
      <c r="D1124" s="20" t="s">
        <v>14</v>
      </c>
      <c r="E1124" s="20" t="s">
        <v>232</v>
      </c>
      <c r="F1124" s="20" t="s">
        <v>232</v>
      </c>
      <c r="G1124" s="20" t="s">
        <v>234</v>
      </c>
      <c r="H1124" s="23">
        <v>2671</v>
      </c>
      <c r="I1124" s="22">
        <v>2500</v>
      </c>
    </row>
    <row r="1125" spans="1:9" x14ac:dyDescent="0.3">
      <c r="A1125">
        <v>2025</v>
      </c>
      <c r="B1125" s="8">
        <v>48</v>
      </c>
      <c r="C1125" s="20" t="s">
        <v>13</v>
      </c>
      <c r="D1125" s="20" t="s">
        <v>30</v>
      </c>
      <c r="E1125" s="20" t="s">
        <v>232</v>
      </c>
      <c r="F1125" s="20" t="s">
        <v>232</v>
      </c>
      <c r="G1125" s="20" t="s">
        <v>234</v>
      </c>
      <c r="H1125" s="23">
        <v>-0.42000000000000171</v>
      </c>
      <c r="I1125" s="22"/>
    </row>
    <row r="1126" spans="1:9" x14ac:dyDescent="0.3">
      <c r="A1126">
        <v>2025</v>
      </c>
      <c r="B1126" s="8">
        <v>48</v>
      </c>
      <c r="C1126" s="20" t="s">
        <v>11</v>
      </c>
      <c r="D1126" s="20" t="s">
        <v>86</v>
      </c>
      <c r="E1126" s="20" t="s">
        <v>232</v>
      </c>
      <c r="F1126" s="20" t="s">
        <v>232</v>
      </c>
      <c r="G1126" s="20" t="s">
        <v>234</v>
      </c>
      <c r="H1126" s="23">
        <v>2671</v>
      </c>
      <c r="I1126" s="22">
        <v>2500</v>
      </c>
    </row>
    <row r="1127" spans="1:9" x14ac:dyDescent="0.3">
      <c r="A1127">
        <v>2025</v>
      </c>
      <c r="B1127" s="8">
        <v>48</v>
      </c>
      <c r="C1127" s="20" t="s">
        <v>35</v>
      </c>
      <c r="D1127" s="20" t="s">
        <v>36</v>
      </c>
      <c r="E1127" s="20" t="s">
        <v>232</v>
      </c>
      <c r="F1127" s="20" t="s">
        <v>232</v>
      </c>
      <c r="G1127" s="20" t="s">
        <v>234</v>
      </c>
      <c r="H1127" s="23">
        <v>3000</v>
      </c>
      <c r="I1127" s="22">
        <v>2500</v>
      </c>
    </row>
    <row r="1128" spans="1:9" x14ac:dyDescent="0.3">
      <c r="A1128">
        <v>2025</v>
      </c>
      <c r="B1128" s="8">
        <v>48</v>
      </c>
      <c r="C1128" s="20" t="s">
        <v>25</v>
      </c>
      <c r="D1128" s="20" t="s">
        <v>67</v>
      </c>
      <c r="E1128" s="20" t="s">
        <v>232</v>
      </c>
      <c r="F1128" s="20" t="s">
        <v>232</v>
      </c>
      <c r="G1128" s="20" t="s">
        <v>234</v>
      </c>
      <c r="H1128" s="23">
        <v>2472.6400000000003</v>
      </c>
      <c r="I1128" s="22">
        <v>2500</v>
      </c>
    </row>
    <row r="1129" spans="1:9" x14ac:dyDescent="0.3">
      <c r="A1129">
        <v>2025</v>
      </c>
      <c r="B1129" s="8">
        <v>48</v>
      </c>
      <c r="C1129" s="20" t="s">
        <v>396</v>
      </c>
      <c r="D1129" s="20" t="s">
        <v>75</v>
      </c>
      <c r="E1129" s="22" t="s">
        <v>241</v>
      </c>
      <c r="F1129" s="20" t="s">
        <v>291</v>
      </c>
      <c r="G1129" s="20" t="s">
        <v>234</v>
      </c>
      <c r="H1129" s="23">
        <v>-500</v>
      </c>
      <c r="I1129" s="22">
        <v>2500</v>
      </c>
    </row>
    <row r="1130" spans="1:9" x14ac:dyDescent="0.3">
      <c r="A1130">
        <v>2025</v>
      </c>
      <c r="B1130" s="8">
        <v>48</v>
      </c>
      <c r="C1130" s="20" t="s">
        <v>49</v>
      </c>
      <c r="D1130" s="20" t="s">
        <v>50</v>
      </c>
      <c r="E1130" s="20" t="s">
        <v>232</v>
      </c>
      <c r="F1130" s="20" t="s">
        <v>232</v>
      </c>
      <c r="G1130" s="20" t="s">
        <v>234</v>
      </c>
      <c r="H1130" s="23">
        <v>3700</v>
      </c>
      <c r="I1130" s="22">
        <v>2500</v>
      </c>
    </row>
    <row r="1131" spans="1:9" x14ac:dyDescent="0.3">
      <c r="A1131">
        <v>2025</v>
      </c>
      <c r="B1131" s="8">
        <v>48</v>
      </c>
      <c r="C1131" s="20" t="s">
        <v>47</v>
      </c>
      <c r="D1131" s="20" t="s">
        <v>106</v>
      </c>
      <c r="E1131" s="20" t="s">
        <v>232</v>
      </c>
      <c r="F1131" s="20" t="s">
        <v>232</v>
      </c>
      <c r="G1131" s="20" t="s">
        <v>234</v>
      </c>
      <c r="H1131" s="23">
        <v>3000.8999999999996</v>
      </c>
      <c r="I1131" s="22">
        <v>2500</v>
      </c>
    </row>
    <row r="1132" spans="1:9" x14ac:dyDescent="0.3">
      <c r="A1132">
        <v>2025</v>
      </c>
      <c r="B1132" s="8">
        <v>48</v>
      </c>
      <c r="C1132" s="20" t="s">
        <v>60</v>
      </c>
      <c r="D1132" s="41" t="s">
        <v>42</v>
      </c>
      <c r="E1132" s="20" t="s">
        <v>232</v>
      </c>
      <c r="F1132" s="20" t="s">
        <v>232</v>
      </c>
      <c r="G1132" s="20" t="s">
        <v>234</v>
      </c>
      <c r="H1132" s="23">
        <v>2500</v>
      </c>
      <c r="I1132" s="22">
        <v>2500</v>
      </c>
    </row>
    <row r="1133" spans="1:9" x14ac:dyDescent="0.3">
      <c r="A1133">
        <v>2025</v>
      </c>
      <c r="B1133" s="8">
        <v>48</v>
      </c>
      <c r="C1133" s="20" t="s">
        <v>19</v>
      </c>
      <c r="D1133" s="20" t="s">
        <v>20</v>
      </c>
      <c r="E1133" s="20" t="s">
        <v>232</v>
      </c>
      <c r="F1133" s="20" t="s">
        <v>232</v>
      </c>
      <c r="G1133" s="20" t="s">
        <v>234</v>
      </c>
      <c r="H1133" s="23">
        <v>3500</v>
      </c>
      <c r="I1133" s="22">
        <v>2500</v>
      </c>
    </row>
    <row r="1134" spans="1:9" x14ac:dyDescent="0.3">
      <c r="A1134">
        <v>2025</v>
      </c>
      <c r="B1134" s="8">
        <v>48</v>
      </c>
      <c r="C1134" s="20" t="s">
        <v>51</v>
      </c>
      <c r="D1134" s="20" t="s">
        <v>52</v>
      </c>
      <c r="E1134" s="20" t="s">
        <v>232</v>
      </c>
      <c r="F1134" s="20" t="s">
        <v>232</v>
      </c>
      <c r="G1134" s="20" t="s">
        <v>234</v>
      </c>
      <c r="H1134" s="23">
        <v>2500</v>
      </c>
      <c r="I1134" s="22">
        <v>2500</v>
      </c>
    </row>
    <row r="1135" spans="1:9" x14ac:dyDescent="0.3">
      <c r="A1135">
        <v>2025</v>
      </c>
      <c r="B1135" s="8">
        <v>48</v>
      </c>
      <c r="C1135" s="20" t="s">
        <v>45</v>
      </c>
      <c r="D1135" s="20" t="s">
        <v>46</v>
      </c>
      <c r="E1135" s="20" t="s">
        <v>232</v>
      </c>
      <c r="F1135" s="20" t="s">
        <v>232</v>
      </c>
      <c r="G1135" s="20" t="s">
        <v>234</v>
      </c>
      <c r="H1135" s="23">
        <v>1837.6224</v>
      </c>
      <c r="I1135" s="22">
        <v>2500</v>
      </c>
    </row>
    <row r="1136" spans="1:9" x14ac:dyDescent="0.3">
      <c r="A1136">
        <v>2025</v>
      </c>
      <c r="B1136" s="8">
        <v>48</v>
      </c>
      <c r="C1136" s="20" t="s">
        <v>37</v>
      </c>
      <c r="D1136" s="20" t="s">
        <v>40</v>
      </c>
      <c r="E1136" s="20" t="s">
        <v>232</v>
      </c>
      <c r="F1136" s="20" t="s">
        <v>232</v>
      </c>
      <c r="G1136" s="20" t="s">
        <v>234</v>
      </c>
      <c r="H1136" s="23">
        <v>2372.66</v>
      </c>
      <c r="I1136" s="22">
        <v>2500</v>
      </c>
    </row>
    <row r="1137" spans="1:9" x14ac:dyDescent="0.3">
      <c r="A1137">
        <v>2025</v>
      </c>
      <c r="B1137" s="8">
        <v>48</v>
      </c>
      <c r="C1137" s="20" t="s">
        <v>61</v>
      </c>
      <c r="D1137" s="20" t="s">
        <v>34</v>
      </c>
      <c r="E1137" s="20" t="s">
        <v>232</v>
      </c>
      <c r="F1137" s="20" t="s">
        <v>232</v>
      </c>
      <c r="G1137" s="20" t="s">
        <v>234</v>
      </c>
      <c r="H1137" s="23">
        <v>3725.1800000000003</v>
      </c>
      <c r="I1137" s="22">
        <v>2500</v>
      </c>
    </row>
    <row r="1138" spans="1:9" x14ac:dyDescent="0.3">
      <c r="A1138">
        <v>2025</v>
      </c>
      <c r="B1138" s="8">
        <v>48</v>
      </c>
      <c r="C1138" s="20" t="s">
        <v>9</v>
      </c>
      <c r="D1138" s="20" t="s">
        <v>10</v>
      </c>
      <c r="E1138" s="20" t="s">
        <v>232</v>
      </c>
      <c r="F1138" s="20" t="s">
        <v>232</v>
      </c>
      <c r="G1138" s="20" t="s">
        <v>425</v>
      </c>
      <c r="H1138" s="23">
        <v>1047.3200000000006</v>
      </c>
      <c r="I1138" s="22">
        <v>2500</v>
      </c>
    </row>
    <row r="1139" spans="1:9" x14ac:dyDescent="0.3">
      <c r="A1139">
        <v>2025</v>
      </c>
      <c r="B1139" s="8">
        <v>48</v>
      </c>
      <c r="C1139" s="20" t="s">
        <v>9</v>
      </c>
      <c r="D1139" s="20" t="s">
        <v>10</v>
      </c>
      <c r="E1139" s="20" t="s">
        <v>232</v>
      </c>
      <c r="F1139" s="20" t="s">
        <v>232</v>
      </c>
      <c r="G1139" s="20" t="s">
        <v>234</v>
      </c>
      <c r="H1139" s="23">
        <v>1250.2200000000003</v>
      </c>
      <c r="I1139" s="22"/>
    </row>
    <row r="1140" spans="1:9" x14ac:dyDescent="0.3">
      <c r="A1140">
        <v>2025</v>
      </c>
      <c r="B1140" s="8">
        <v>48</v>
      </c>
      <c r="C1140" s="20" t="s">
        <v>3</v>
      </c>
      <c r="D1140" s="20" t="s">
        <v>4</v>
      </c>
      <c r="E1140" s="20" t="s">
        <v>232</v>
      </c>
      <c r="F1140" s="20" t="s">
        <v>232</v>
      </c>
      <c r="G1140" s="20" t="s">
        <v>425</v>
      </c>
      <c r="H1140" s="23">
        <v>-530.80000000000018</v>
      </c>
      <c r="I1140" s="22">
        <v>2500</v>
      </c>
    </row>
    <row r="1141" spans="1:9" x14ac:dyDescent="0.3">
      <c r="A1141">
        <v>2025</v>
      </c>
      <c r="B1141" s="8">
        <v>48</v>
      </c>
      <c r="C1141" s="20" t="s">
        <v>5</v>
      </c>
      <c r="D1141" s="41" t="s">
        <v>42</v>
      </c>
      <c r="E1141" s="20" t="s">
        <v>232</v>
      </c>
      <c r="F1141" s="20" t="s">
        <v>232</v>
      </c>
      <c r="G1141" s="20" t="s">
        <v>234</v>
      </c>
      <c r="H1141" s="23">
        <v>3203.58</v>
      </c>
      <c r="I1141" s="22">
        <v>2500</v>
      </c>
    </row>
    <row r="1142" spans="1:9" x14ac:dyDescent="0.3">
      <c r="A1142">
        <v>2025</v>
      </c>
      <c r="B1142" s="8">
        <v>48</v>
      </c>
      <c r="C1142" s="20" t="s">
        <v>98</v>
      </c>
      <c r="D1142" s="20" t="s">
        <v>168</v>
      </c>
      <c r="E1142" s="20" t="s">
        <v>232</v>
      </c>
      <c r="F1142" s="20" t="s">
        <v>232</v>
      </c>
      <c r="G1142" s="20" t="s">
        <v>234</v>
      </c>
      <c r="H1142" s="23">
        <v>2500</v>
      </c>
      <c r="I1142" s="22">
        <v>2500</v>
      </c>
    </row>
    <row r="1143" spans="1:9" x14ac:dyDescent="0.3">
      <c r="A1143">
        <v>2025</v>
      </c>
      <c r="B1143" s="8">
        <v>48</v>
      </c>
      <c r="C1143" s="20" t="s">
        <v>80</v>
      </c>
      <c r="D1143" s="20" t="s">
        <v>81</v>
      </c>
      <c r="E1143" s="20" t="s">
        <v>232</v>
      </c>
      <c r="F1143" s="20" t="s">
        <v>232</v>
      </c>
      <c r="G1143" s="20" t="s">
        <v>234</v>
      </c>
      <c r="H1143" s="23">
        <v>2500</v>
      </c>
      <c r="I1143" s="22">
        <v>2500</v>
      </c>
    </row>
    <row r="1144" spans="1:9" x14ac:dyDescent="0.3">
      <c r="A1144">
        <v>2025</v>
      </c>
      <c r="B1144" s="8">
        <v>48</v>
      </c>
      <c r="C1144" s="20" t="s">
        <v>23</v>
      </c>
      <c r="D1144" s="20" t="s">
        <v>24</v>
      </c>
      <c r="E1144" s="20" t="s">
        <v>232</v>
      </c>
      <c r="F1144" s="20" t="s">
        <v>232</v>
      </c>
      <c r="G1144" s="20" t="s">
        <v>234</v>
      </c>
      <c r="H1144" s="23">
        <v>3932.96</v>
      </c>
      <c r="I1144" s="22">
        <v>2500</v>
      </c>
    </row>
    <row r="1145" spans="1:9" x14ac:dyDescent="0.3">
      <c r="A1145">
        <v>2025</v>
      </c>
      <c r="B1145" s="8">
        <v>48</v>
      </c>
      <c r="C1145" s="20" t="s">
        <v>292</v>
      </c>
      <c r="D1145" s="20" t="s">
        <v>52</v>
      </c>
      <c r="E1145" s="20" t="s">
        <v>232</v>
      </c>
      <c r="F1145" s="20" t="s">
        <v>232</v>
      </c>
      <c r="G1145" s="20" t="s">
        <v>234</v>
      </c>
      <c r="H1145" s="23">
        <v>-500</v>
      </c>
      <c r="I1145" s="22">
        <v>2500</v>
      </c>
    </row>
    <row r="1146" spans="1:9" x14ac:dyDescent="0.3">
      <c r="A1146">
        <v>2025</v>
      </c>
      <c r="B1146" s="8">
        <v>48</v>
      </c>
      <c r="C1146" s="20" t="s">
        <v>362</v>
      </c>
      <c r="D1146" s="20" t="s">
        <v>50</v>
      </c>
      <c r="E1146" s="20" t="s">
        <v>232</v>
      </c>
      <c r="F1146" s="20" t="s">
        <v>232</v>
      </c>
      <c r="G1146" s="20" t="s">
        <v>234</v>
      </c>
      <c r="H1146" s="23">
        <v>-500</v>
      </c>
      <c r="I1146" s="22">
        <v>2500</v>
      </c>
    </row>
    <row r="1147" spans="1:9" x14ac:dyDescent="0.3">
      <c r="A1147">
        <v>2025</v>
      </c>
      <c r="B1147" s="8">
        <v>48</v>
      </c>
      <c r="C1147" s="20" t="s">
        <v>7</v>
      </c>
      <c r="D1147" s="20" t="s">
        <v>8</v>
      </c>
      <c r="E1147" s="20" t="s">
        <v>364</v>
      </c>
      <c r="F1147" s="22" t="s">
        <v>364</v>
      </c>
      <c r="G1147" s="20" t="s">
        <v>425</v>
      </c>
      <c r="H1147" s="23">
        <v>-1916</v>
      </c>
      <c r="I1147" s="22">
        <v>2500</v>
      </c>
    </row>
    <row r="1148" spans="1:9" x14ac:dyDescent="0.3">
      <c r="A1148">
        <v>2025</v>
      </c>
      <c r="B1148" s="8">
        <v>48</v>
      </c>
      <c r="C1148" s="20" t="s">
        <v>105</v>
      </c>
      <c r="D1148" s="20" t="s">
        <v>204</v>
      </c>
      <c r="E1148" s="20" t="s">
        <v>364</v>
      </c>
      <c r="F1148" s="22" t="s">
        <v>364</v>
      </c>
      <c r="G1148" s="20" t="s">
        <v>425</v>
      </c>
      <c r="H1148" s="23">
        <v>2500</v>
      </c>
      <c r="I1148" s="22">
        <v>2500</v>
      </c>
    </row>
    <row r="1149" spans="1:9" x14ac:dyDescent="0.3">
      <c r="A1149">
        <v>2025</v>
      </c>
      <c r="B1149" s="8">
        <v>48</v>
      </c>
      <c r="C1149" s="20" t="s">
        <v>417</v>
      </c>
      <c r="D1149" s="20" t="s">
        <v>428</v>
      </c>
      <c r="E1149" s="20" t="s">
        <v>364</v>
      </c>
      <c r="F1149" s="22" t="s">
        <v>364</v>
      </c>
      <c r="G1149" s="20" t="s">
        <v>234</v>
      </c>
      <c r="H1149" s="23">
        <v>3049.4399999999996</v>
      </c>
      <c r="I1149" s="22">
        <v>2500</v>
      </c>
    </row>
    <row r="1150" spans="1:9" x14ac:dyDescent="0.3">
      <c r="A1150">
        <v>2025</v>
      </c>
      <c r="B1150" s="8">
        <v>48</v>
      </c>
      <c r="C1150" s="20" t="s">
        <v>21</v>
      </c>
      <c r="D1150" s="20" t="s">
        <v>22</v>
      </c>
      <c r="E1150" s="20" t="s">
        <v>232</v>
      </c>
      <c r="F1150" s="20" t="s">
        <v>232</v>
      </c>
      <c r="G1150" s="20" t="s">
        <v>234</v>
      </c>
      <c r="H1150" s="23">
        <v>2999.84</v>
      </c>
      <c r="I1150" s="22">
        <v>2500</v>
      </c>
    </row>
    <row r="1151" spans="1:9" x14ac:dyDescent="0.3">
      <c r="A1151">
        <v>2025</v>
      </c>
      <c r="B1151" s="8">
        <v>48</v>
      </c>
      <c r="C1151" s="20" t="s">
        <v>15</v>
      </c>
      <c r="D1151" s="20" t="s">
        <v>16</v>
      </c>
      <c r="E1151" s="20" t="s">
        <v>232</v>
      </c>
      <c r="F1151" s="20" t="s">
        <v>232</v>
      </c>
      <c r="G1151" s="20" t="s">
        <v>234</v>
      </c>
      <c r="H1151" s="23">
        <v>3000.7</v>
      </c>
      <c r="I1151" s="22">
        <v>2500</v>
      </c>
    </row>
    <row r="1152" spans="1:9" x14ac:dyDescent="0.3">
      <c r="A1152">
        <v>2025</v>
      </c>
      <c r="B1152" s="8">
        <v>48</v>
      </c>
      <c r="C1152" s="20" t="s">
        <v>53</v>
      </c>
      <c r="D1152" s="20" t="s">
        <v>86</v>
      </c>
      <c r="E1152" s="20" t="s">
        <v>232</v>
      </c>
      <c r="F1152" s="20" t="s">
        <v>232</v>
      </c>
      <c r="G1152" s="20" t="s">
        <v>234</v>
      </c>
      <c r="H1152" s="23">
        <v>2285.6899999999996</v>
      </c>
      <c r="I1152" s="22">
        <v>2500</v>
      </c>
    </row>
    <row r="1153" spans="1:9" x14ac:dyDescent="0.3">
      <c r="A1153">
        <v>2025</v>
      </c>
      <c r="B1153" s="8">
        <v>48</v>
      </c>
      <c r="C1153" s="20" t="s">
        <v>414</v>
      </c>
      <c r="D1153" s="20" t="s">
        <v>59</v>
      </c>
      <c r="E1153" s="20" t="s">
        <v>232</v>
      </c>
      <c r="F1153" s="20" t="s">
        <v>232</v>
      </c>
      <c r="G1153" s="20" t="s">
        <v>234</v>
      </c>
      <c r="H1153" s="23">
        <v>-500</v>
      </c>
      <c r="I1153" s="22">
        <v>2500</v>
      </c>
    </row>
    <row r="1154" spans="1:9" x14ac:dyDescent="0.3">
      <c r="A1154">
        <v>2025</v>
      </c>
      <c r="B1154" s="8">
        <v>48</v>
      </c>
      <c r="C1154" s="20" t="s">
        <v>64</v>
      </c>
      <c r="D1154" s="20" t="s">
        <v>59</v>
      </c>
      <c r="E1154" s="20" t="s">
        <v>232</v>
      </c>
      <c r="F1154" s="20" t="s">
        <v>232</v>
      </c>
      <c r="G1154" s="20" t="s">
        <v>234</v>
      </c>
      <c r="H1154" s="23">
        <v>1714.5699999999997</v>
      </c>
      <c r="I1154" s="22">
        <v>2500</v>
      </c>
    </row>
    <row r="1155" spans="1:9" x14ac:dyDescent="0.3">
      <c r="A1155">
        <v>2025</v>
      </c>
      <c r="B1155" s="8">
        <v>48</v>
      </c>
      <c r="C1155" s="20" t="s">
        <v>506</v>
      </c>
      <c r="D1155" s="20" t="s">
        <v>54</v>
      </c>
      <c r="E1155" s="20" t="s">
        <v>232</v>
      </c>
      <c r="F1155" s="20" t="s">
        <v>232</v>
      </c>
      <c r="G1155" s="20" t="s">
        <v>234</v>
      </c>
      <c r="H1155" s="23">
        <v>428.56</v>
      </c>
      <c r="I1155" s="22">
        <v>2500</v>
      </c>
    </row>
    <row r="1156" spans="1:9" x14ac:dyDescent="0.3">
      <c r="A1156">
        <v>2025</v>
      </c>
      <c r="B1156" s="8">
        <v>48</v>
      </c>
      <c r="C1156" s="20" t="s">
        <v>29</v>
      </c>
      <c r="D1156" s="20" t="s">
        <v>30</v>
      </c>
      <c r="E1156" s="20" t="s">
        <v>232</v>
      </c>
      <c r="F1156" s="20" t="s">
        <v>232</v>
      </c>
      <c r="G1156" s="20" t="s">
        <v>234</v>
      </c>
      <c r="H1156" s="23">
        <v>2142.85</v>
      </c>
      <c r="I1156" s="22">
        <v>2500</v>
      </c>
    </row>
    <row r="1157" spans="1:9" x14ac:dyDescent="0.3">
      <c r="A1157">
        <v>2025</v>
      </c>
      <c r="B1157" s="8">
        <v>48</v>
      </c>
      <c r="C1157" s="20" t="s">
        <v>17</v>
      </c>
      <c r="D1157" s="20" t="s">
        <v>18</v>
      </c>
      <c r="E1157" s="20" t="s">
        <v>232</v>
      </c>
      <c r="F1157" s="20" t="s">
        <v>232</v>
      </c>
      <c r="G1157" s="20" t="s">
        <v>234</v>
      </c>
      <c r="H1157" s="23">
        <v>1793.29</v>
      </c>
      <c r="I1157" s="22">
        <v>2500</v>
      </c>
    </row>
    <row r="1158" spans="1:9" x14ac:dyDescent="0.3">
      <c r="A1158">
        <v>2025</v>
      </c>
      <c r="B1158" s="8">
        <v>48</v>
      </c>
      <c r="C1158" s="20" t="s">
        <v>17</v>
      </c>
      <c r="D1158" s="20" t="s">
        <v>69</v>
      </c>
      <c r="E1158" s="22" t="s">
        <v>241</v>
      </c>
      <c r="F1158" s="20" t="s">
        <v>291</v>
      </c>
      <c r="G1158" s="20" t="s">
        <v>234</v>
      </c>
      <c r="H1158" s="23">
        <v>1157.6600000000001</v>
      </c>
      <c r="I1158" s="22">
        <v>2500</v>
      </c>
    </row>
    <row r="1159" spans="1:9" x14ac:dyDescent="0.3">
      <c r="A1159">
        <v>2025</v>
      </c>
      <c r="B1159" s="8">
        <v>48</v>
      </c>
      <c r="C1159" s="20" t="s">
        <v>76</v>
      </c>
      <c r="D1159" s="20" t="s">
        <v>56</v>
      </c>
      <c r="E1159" s="22" t="s">
        <v>241</v>
      </c>
      <c r="F1159" s="20" t="s">
        <v>291</v>
      </c>
      <c r="G1159" s="20" t="s">
        <v>234</v>
      </c>
      <c r="H1159" s="23">
        <v>2971.2999999999993</v>
      </c>
      <c r="I1159" s="22">
        <v>2500</v>
      </c>
    </row>
    <row r="1160" spans="1:9" x14ac:dyDescent="0.3">
      <c r="A1160">
        <v>2025</v>
      </c>
      <c r="B1160" s="8">
        <v>48</v>
      </c>
      <c r="C1160" s="20" t="s">
        <v>74</v>
      </c>
      <c r="D1160" s="20" t="s">
        <v>75</v>
      </c>
      <c r="E1160" s="22" t="s">
        <v>241</v>
      </c>
      <c r="F1160" s="20" t="s">
        <v>291</v>
      </c>
      <c r="G1160" s="20" t="s">
        <v>234</v>
      </c>
      <c r="H1160" s="23">
        <v>-156.80000000000018</v>
      </c>
      <c r="I1160" s="22">
        <v>2500</v>
      </c>
    </row>
    <row r="1161" spans="1:9" x14ac:dyDescent="0.3">
      <c r="A1161">
        <v>2025</v>
      </c>
      <c r="B1161" s="8">
        <v>48</v>
      </c>
      <c r="C1161" s="20" t="s">
        <v>111</v>
      </c>
      <c r="D1161" s="20" t="s">
        <v>63</v>
      </c>
      <c r="E1161" s="20" t="s">
        <v>291</v>
      </c>
      <c r="F1161" s="20" t="s">
        <v>291</v>
      </c>
      <c r="G1161" s="20" t="s">
        <v>234</v>
      </c>
      <c r="H1161" s="23">
        <v>2500</v>
      </c>
      <c r="I1161" s="22">
        <v>2500</v>
      </c>
    </row>
    <row r="1162" spans="1:9" x14ac:dyDescent="0.3">
      <c r="A1162">
        <v>2025</v>
      </c>
      <c r="B1162" s="8">
        <v>48</v>
      </c>
      <c r="C1162" s="20" t="s">
        <v>78</v>
      </c>
      <c r="D1162" s="44" t="s">
        <v>79</v>
      </c>
      <c r="E1162" s="20" t="s">
        <v>291</v>
      </c>
      <c r="F1162" s="20" t="s">
        <v>291</v>
      </c>
      <c r="G1162" s="20" t="s">
        <v>234</v>
      </c>
      <c r="H1162" s="23">
        <v>1307.5600000000004</v>
      </c>
      <c r="I1162" s="22">
        <v>2500</v>
      </c>
    </row>
    <row r="1163" spans="1:9" x14ac:dyDescent="0.3">
      <c r="A1163">
        <v>2025</v>
      </c>
      <c r="B1163" s="8">
        <v>48</v>
      </c>
      <c r="C1163" s="20" t="s">
        <v>68</v>
      </c>
      <c r="D1163" s="20" t="s">
        <v>69</v>
      </c>
      <c r="E1163" s="22" t="s">
        <v>241</v>
      </c>
      <c r="F1163" s="20" t="s">
        <v>291</v>
      </c>
      <c r="G1163" s="20" t="s">
        <v>234</v>
      </c>
      <c r="H1163" s="23">
        <v>3227.74</v>
      </c>
      <c r="I1163" s="22">
        <v>2500</v>
      </c>
    </row>
    <row r="1164" spans="1:9" x14ac:dyDescent="0.3">
      <c r="A1164">
        <v>2025</v>
      </c>
      <c r="B1164" s="8">
        <v>48</v>
      </c>
      <c r="C1164" s="20" t="s">
        <v>72</v>
      </c>
      <c r="D1164" s="20" t="s">
        <v>73</v>
      </c>
      <c r="E1164" s="22" t="s">
        <v>241</v>
      </c>
      <c r="F1164" s="20" t="s">
        <v>291</v>
      </c>
      <c r="G1164" s="20" t="s">
        <v>234</v>
      </c>
      <c r="H1164" s="23">
        <v>3200</v>
      </c>
      <c r="I1164" s="22">
        <v>2500</v>
      </c>
    </row>
    <row r="1165" spans="1:9" x14ac:dyDescent="0.3">
      <c r="A1165">
        <v>2025</v>
      </c>
      <c r="B1165" s="8">
        <v>48</v>
      </c>
      <c r="C1165" s="20" t="s">
        <v>57</v>
      </c>
      <c r="D1165" s="20" t="s">
        <v>16</v>
      </c>
      <c r="E1165" s="20" t="s">
        <v>232</v>
      </c>
      <c r="F1165" s="20" t="s">
        <v>232</v>
      </c>
      <c r="G1165" s="20" t="s">
        <v>234</v>
      </c>
      <c r="H1165" s="23">
        <v>-500</v>
      </c>
      <c r="I1165" s="22">
        <v>2500</v>
      </c>
    </row>
    <row r="1166" spans="1:9" x14ac:dyDescent="0.3">
      <c r="A1166">
        <v>2025</v>
      </c>
      <c r="B1166" s="8">
        <v>48</v>
      </c>
      <c r="C1166" s="20" t="s">
        <v>31</v>
      </c>
      <c r="D1166" s="20" t="s">
        <v>97</v>
      </c>
      <c r="E1166" s="20" t="s">
        <v>232</v>
      </c>
      <c r="F1166" s="20" t="s">
        <v>232</v>
      </c>
      <c r="G1166" s="20" t="s">
        <v>234</v>
      </c>
      <c r="H1166" s="23">
        <v>2143</v>
      </c>
      <c r="I1166" s="22">
        <v>2500</v>
      </c>
    </row>
    <row r="1167" spans="1:9" x14ac:dyDescent="0.3">
      <c r="A1167">
        <v>2025</v>
      </c>
      <c r="B1167" s="8">
        <v>49</v>
      </c>
      <c r="C1167" s="20" t="s">
        <v>13</v>
      </c>
      <c r="D1167" s="39" t="s">
        <v>14</v>
      </c>
      <c r="E1167" s="20" t="s">
        <v>232</v>
      </c>
      <c r="F1167" s="20" t="s">
        <v>232</v>
      </c>
      <c r="G1167" s="20" t="s">
        <v>234</v>
      </c>
      <c r="H1167" s="23">
        <v>2700</v>
      </c>
      <c r="I1167" s="22">
        <v>2500</v>
      </c>
    </row>
    <row r="1168" spans="1:9" x14ac:dyDescent="0.3">
      <c r="A1168">
        <v>2025</v>
      </c>
      <c r="B1168" s="8">
        <v>49</v>
      </c>
      <c r="C1168" s="20" t="s">
        <v>11</v>
      </c>
      <c r="D1168" s="39" t="s">
        <v>12</v>
      </c>
      <c r="E1168" s="20" t="s">
        <v>232</v>
      </c>
      <c r="F1168" s="20" t="s">
        <v>232</v>
      </c>
      <c r="G1168" s="20" t="s">
        <v>234</v>
      </c>
      <c r="H1168" s="23">
        <v>3100</v>
      </c>
      <c r="I1168" s="22">
        <v>2500</v>
      </c>
    </row>
    <row r="1169" spans="1:9" x14ac:dyDescent="0.3">
      <c r="A1169">
        <v>2025</v>
      </c>
      <c r="B1169" s="8">
        <v>49</v>
      </c>
      <c r="C1169" s="20" t="s">
        <v>35</v>
      </c>
      <c r="D1169" s="20" t="s">
        <v>36</v>
      </c>
      <c r="E1169" s="20" t="s">
        <v>232</v>
      </c>
      <c r="F1169" s="20" t="s">
        <v>232</v>
      </c>
      <c r="G1169" s="20" t="s">
        <v>234</v>
      </c>
      <c r="H1169" s="23">
        <v>3000</v>
      </c>
      <c r="I1169" s="22">
        <v>2500</v>
      </c>
    </row>
    <row r="1170" spans="1:9" x14ac:dyDescent="0.3">
      <c r="A1170">
        <v>2025</v>
      </c>
      <c r="B1170" s="8">
        <v>49</v>
      </c>
      <c r="C1170" s="20" t="s">
        <v>25</v>
      </c>
      <c r="D1170" s="20" t="s">
        <v>67</v>
      </c>
      <c r="E1170" s="20" t="s">
        <v>232</v>
      </c>
      <c r="F1170" s="20" t="s">
        <v>232</v>
      </c>
      <c r="G1170" s="20" t="s">
        <v>234</v>
      </c>
      <c r="H1170" s="23">
        <v>2362.5600000000004</v>
      </c>
      <c r="I1170" s="22">
        <v>2500</v>
      </c>
    </row>
    <row r="1171" spans="1:9" x14ac:dyDescent="0.3">
      <c r="A1171">
        <v>2025</v>
      </c>
      <c r="B1171" s="8">
        <v>49</v>
      </c>
      <c r="C1171" s="20" t="s">
        <v>396</v>
      </c>
      <c r="D1171" s="20" t="s">
        <v>75</v>
      </c>
      <c r="E1171" s="22" t="s">
        <v>241</v>
      </c>
      <c r="F1171" s="20" t="s">
        <v>232</v>
      </c>
      <c r="G1171" s="20" t="s">
        <v>234</v>
      </c>
      <c r="H1171" s="23">
        <v>-500</v>
      </c>
      <c r="I1171" s="22">
        <v>2500</v>
      </c>
    </row>
    <row r="1172" spans="1:9" x14ac:dyDescent="0.3">
      <c r="A1172">
        <v>2025</v>
      </c>
      <c r="B1172" s="8">
        <v>49</v>
      </c>
      <c r="C1172" s="20" t="s">
        <v>49</v>
      </c>
      <c r="D1172" s="20" t="s">
        <v>50</v>
      </c>
      <c r="E1172" s="20" t="s">
        <v>232</v>
      </c>
      <c r="F1172" s="20" t="s">
        <v>232</v>
      </c>
      <c r="G1172" s="20" t="s">
        <v>234</v>
      </c>
      <c r="H1172" s="23">
        <v>3379</v>
      </c>
      <c r="I1172" s="22">
        <v>2500</v>
      </c>
    </row>
    <row r="1173" spans="1:9" x14ac:dyDescent="0.3">
      <c r="A1173">
        <v>2025</v>
      </c>
      <c r="B1173" s="8">
        <v>49</v>
      </c>
      <c r="C1173" s="20" t="s">
        <v>47</v>
      </c>
      <c r="D1173" s="39" t="s">
        <v>106</v>
      </c>
      <c r="E1173" s="20" t="s">
        <v>232</v>
      </c>
      <c r="F1173" s="20" t="s">
        <v>232</v>
      </c>
      <c r="G1173" s="20" t="s">
        <v>234</v>
      </c>
      <c r="H1173" s="23">
        <v>3000</v>
      </c>
      <c r="I1173" s="22">
        <v>2500</v>
      </c>
    </row>
    <row r="1174" spans="1:9" x14ac:dyDescent="0.3">
      <c r="A1174">
        <v>2025</v>
      </c>
      <c r="B1174" s="8">
        <v>49</v>
      </c>
      <c r="C1174" s="20" t="s">
        <v>19</v>
      </c>
      <c r="D1174" s="39" t="s">
        <v>54</v>
      </c>
      <c r="E1174" s="20" t="s">
        <v>232</v>
      </c>
      <c r="F1174" s="20" t="s">
        <v>232</v>
      </c>
      <c r="G1174" s="20" t="s">
        <v>234</v>
      </c>
      <c r="H1174" s="23">
        <v>3500</v>
      </c>
      <c r="I1174" s="22">
        <v>2500</v>
      </c>
    </row>
    <row r="1175" spans="1:9" x14ac:dyDescent="0.3">
      <c r="A1175">
        <v>2025</v>
      </c>
      <c r="B1175" s="8">
        <v>49</v>
      </c>
      <c r="C1175" s="20" t="s">
        <v>51</v>
      </c>
      <c r="D1175" s="39" t="s">
        <v>52</v>
      </c>
      <c r="E1175" s="20" t="s">
        <v>232</v>
      </c>
      <c r="F1175" s="20" t="s">
        <v>232</v>
      </c>
      <c r="G1175" s="20" t="s">
        <v>234</v>
      </c>
      <c r="H1175" s="23">
        <v>2500</v>
      </c>
      <c r="I1175" s="22">
        <v>2500</v>
      </c>
    </row>
    <row r="1176" spans="1:9" x14ac:dyDescent="0.3">
      <c r="A1176">
        <v>2025</v>
      </c>
      <c r="B1176" s="8">
        <v>49</v>
      </c>
      <c r="C1176" s="20" t="s">
        <v>45</v>
      </c>
      <c r="D1176" s="39" t="s">
        <v>46</v>
      </c>
      <c r="E1176" s="20" t="s">
        <v>232</v>
      </c>
      <c r="F1176" s="20" t="s">
        <v>232</v>
      </c>
      <c r="G1176" s="20" t="s">
        <v>234</v>
      </c>
      <c r="H1176" s="23">
        <v>3242.56</v>
      </c>
      <c r="I1176" s="22">
        <v>2500</v>
      </c>
    </row>
    <row r="1177" spans="1:9" x14ac:dyDescent="0.3">
      <c r="A1177">
        <v>2025</v>
      </c>
      <c r="B1177" s="8">
        <v>49</v>
      </c>
      <c r="C1177" s="20" t="s">
        <v>37</v>
      </c>
      <c r="D1177" s="39" t="s">
        <v>40</v>
      </c>
      <c r="E1177" s="20" t="s">
        <v>232</v>
      </c>
      <c r="F1177" s="20" t="s">
        <v>232</v>
      </c>
      <c r="G1177" s="20" t="s">
        <v>234</v>
      </c>
      <c r="H1177" s="23">
        <v>2493.900000000001</v>
      </c>
      <c r="I1177" s="22">
        <v>2500</v>
      </c>
    </row>
    <row r="1178" spans="1:9" x14ac:dyDescent="0.3">
      <c r="A1178">
        <v>2025</v>
      </c>
      <c r="B1178" s="8">
        <v>49</v>
      </c>
      <c r="C1178" s="20" t="s">
        <v>61</v>
      </c>
      <c r="D1178" s="39" t="s">
        <v>34</v>
      </c>
      <c r="E1178" s="20" t="s">
        <v>232</v>
      </c>
      <c r="F1178" s="20" t="s">
        <v>232</v>
      </c>
      <c r="G1178" s="20" t="s">
        <v>234</v>
      </c>
      <c r="H1178" s="23">
        <v>3200</v>
      </c>
      <c r="I1178" s="22">
        <v>2500</v>
      </c>
    </row>
    <row r="1179" spans="1:9" x14ac:dyDescent="0.3">
      <c r="A1179">
        <v>2025</v>
      </c>
      <c r="B1179" s="8">
        <v>49</v>
      </c>
      <c r="C1179" s="20" t="s">
        <v>9</v>
      </c>
      <c r="D1179" s="39" t="s">
        <v>10</v>
      </c>
      <c r="E1179" s="20" t="s">
        <v>232</v>
      </c>
      <c r="F1179" s="20" t="s">
        <v>232</v>
      </c>
      <c r="G1179" s="20" t="s">
        <v>234</v>
      </c>
      <c r="H1179" s="23">
        <v>1175.32</v>
      </c>
      <c r="I1179" s="22">
        <v>2500</v>
      </c>
    </row>
    <row r="1180" spans="1:9" x14ac:dyDescent="0.3">
      <c r="A1180">
        <v>2025</v>
      </c>
      <c r="B1180" s="8">
        <v>49</v>
      </c>
      <c r="C1180" s="20" t="s">
        <v>9</v>
      </c>
      <c r="D1180" s="39" t="s">
        <v>10</v>
      </c>
      <c r="E1180" s="20" t="s">
        <v>232</v>
      </c>
      <c r="F1180" s="20" t="s">
        <v>232</v>
      </c>
      <c r="G1180" s="20" t="s">
        <v>425</v>
      </c>
      <c r="H1180" s="23">
        <v>1249.0600000000013</v>
      </c>
      <c r="I1180" s="22"/>
    </row>
    <row r="1181" spans="1:9" x14ac:dyDescent="0.3">
      <c r="A1181">
        <v>2025</v>
      </c>
      <c r="B1181" s="8">
        <v>49</v>
      </c>
      <c r="C1181" s="20" t="s">
        <v>3</v>
      </c>
      <c r="D1181" s="20" t="s">
        <v>4</v>
      </c>
      <c r="E1181" s="20" t="s">
        <v>232</v>
      </c>
      <c r="F1181" s="20" t="s">
        <v>232</v>
      </c>
      <c r="G1181" s="20" t="s">
        <v>425</v>
      </c>
      <c r="H1181" s="23">
        <v>1012.1600000000003</v>
      </c>
      <c r="I1181" s="22">
        <v>2500</v>
      </c>
    </row>
    <row r="1182" spans="1:9" x14ac:dyDescent="0.3">
      <c r="A1182">
        <v>2025</v>
      </c>
      <c r="B1182" s="8">
        <v>49</v>
      </c>
      <c r="C1182" s="20" t="s">
        <v>5</v>
      </c>
      <c r="D1182" s="41" t="s">
        <v>42</v>
      </c>
      <c r="E1182" s="20" t="s">
        <v>232</v>
      </c>
      <c r="F1182" s="20" t="s">
        <v>232</v>
      </c>
      <c r="G1182" s="20" t="s">
        <v>234</v>
      </c>
      <c r="H1182" s="23">
        <v>2284</v>
      </c>
      <c r="I1182" s="22">
        <v>2500</v>
      </c>
    </row>
    <row r="1183" spans="1:9" x14ac:dyDescent="0.3">
      <c r="A1183">
        <v>2025</v>
      </c>
      <c r="B1183" s="8">
        <v>49</v>
      </c>
      <c r="C1183" s="20" t="s">
        <v>98</v>
      </c>
      <c r="D1183" s="39" t="s">
        <v>168</v>
      </c>
      <c r="E1183" s="20" t="s">
        <v>232</v>
      </c>
      <c r="F1183" s="20" t="s">
        <v>232</v>
      </c>
      <c r="G1183" s="20" t="s">
        <v>234</v>
      </c>
      <c r="H1183" s="23">
        <v>2253.96</v>
      </c>
      <c r="I1183" s="22">
        <v>2500</v>
      </c>
    </row>
    <row r="1184" spans="1:9" x14ac:dyDescent="0.3">
      <c r="A1184">
        <v>2025</v>
      </c>
      <c r="B1184" s="8">
        <v>49</v>
      </c>
      <c r="C1184" s="20" t="s">
        <v>80</v>
      </c>
      <c r="D1184" s="39" t="s">
        <v>81</v>
      </c>
      <c r="E1184" s="20" t="s">
        <v>232</v>
      </c>
      <c r="F1184" s="20" t="s">
        <v>232</v>
      </c>
      <c r="G1184" s="20" t="s">
        <v>234</v>
      </c>
      <c r="H1184" s="23">
        <v>2500</v>
      </c>
      <c r="I1184" s="22">
        <v>2500</v>
      </c>
    </row>
    <row r="1185" spans="1:9" x14ac:dyDescent="0.3">
      <c r="A1185">
        <v>2025</v>
      </c>
      <c r="B1185" s="8">
        <v>49</v>
      </c>
      <c r="C1185" s="20" t="s">
        <v>23</v>
      </c>
      <c r="D1185" s="39" t="s">
        <v>24</v>
      </c>
      <c r="E1185" s="20" t="s">
        <v>232</v>
      </c>
      <c r="F1185" s="20" t="s">
        <v>232</v>
      </c>
      <c r="G1185" s="20" t="s">
        <v>234</v>
      </c>
      <c r="H1185" s="23">
        <v>3003.3400000000011</v>
      </c>
      <c r="I1185" s="22">
        <v>2500</v>
      </c>
    </row>
    <row r="1186" spans="1:9" x14ac:dyDescent="0.3">
      <c r="A1186">
        <v>2025</v>
      </c>
      <c r="B1186" s="8">
        <v>49</v>
      </c>
      <c r="C1186" s="20" t="s">
        <v>292</v>
      </c>
      <c r="D1186" s="39" t="s">
        <v>28</v>
      </c>
      <c r="E1186" s="20" t="s">
        <v>232</v>
      </c>
      <c r="F1186" s="20" t="s">
        <v>232</v>
      </c>
      <c r="G1186" s="20" t="s">
        <v>234</v>
      </c>
      <c r="H1186" s="23">
        <v>-500</v>
      </c>
      <c r="I1186" s="22">
        <v>2500</v>
      </c>
    </row>
    <row r="1187" spans="1:9" x14ac:dyDescent="0.3">
      <c r="A1187">
        <v>2025</v>
      </c>
      <c r="B1187" s="8">
        <v>49</v>
      </c>
      <c r="C1187" s="20" t="s">
        <v>362</v>
      </c>
      <c r="D1187" s="20" t="s">
        <v>50</v>
      </c>
      <c r="E1187" s="20" t="s">
        <v>232</v>
      </c>
      <c r="F1187" s="20" t="s">
        <v>232</v>
      </c>
      <c r="G1187" s="20" t="s">
        <v>234</v>
      </c>
      <c r="H1187" s="23">
        <v>-500</v>
      </c>
      <c r="I1187" s="22">
        <v>2500</v>
      </c>
    </row>
    <row r="1188" spans="1:9" x14ac:dyDescent="0.3">
      <c r="A1188">
        <v>2025</v>
      </c>
      <c r="B1188" s="8">
        <v>49</v>
      </c>
      <c r="C1188" s="20" t="s">
        <v>7</v>
      </c>
      <c r="D1188" s="39" t="s">
        <v>8</v>
      </c>
      <c r="E1188" s="20" t="s">
        <v>364</v>
      </c>
      <c r="F1188" s="22" t="s">
        <v>364</v>
      </c>
      <c r="G1188" s="20" t="s">
        <v>425</v>
      </c>
      <c r="H1188" s="23">
        <v>2599.3599999999988</v>
      </c>
      <c r="I1188" s="22">
        <v>2500</v>
      </c>
    </row>
    <row r="1189" spans="1:9" x14ac:dyDescent="0.3">
      <c r="A1189">
        <v>2025</v>
      </c>
      <c r="B1189" s="8">
        <v>49</v>
      </c>
      <c r="C1189" s="20" t="s">
        <v>105</v>
      </c>
      <c r="D1189" s="39" t="s">
        <v>518</v>
      </c>
      <c r="E1189" s="20" t="s">
        <v>364</v>
      </c>
      <c r="F1189" s="22" t="s">
        <v>364</v>
      </c>
      <c r="G1189" s="20" t="s">
        <v>234</v>
      </c>
      <c r="H1189" s="23">
        <v>2500</v>
      </c>
      <c r="I1189" s="22">
        <v>2500</v>
      </c>
    </row>
    <row r="1190" spans="1:9" x14ac:dyDescent="0.3">
      <c r="A1190">
        <v>2025</v>
      </c>
      <c r="B1190" s="8">
        <v>49</v>
      </c>
      <c r="C1190" s="20" t="s">
        <v>417</v>
      </c>
      <c r="D1190" s="39" t="s">
        <v>428</v>
      </c>
      <c r="E1190" s="20" t="s">
        <v>364</v>
      </c>
      <c r="F1190" s="22" t="s">
        <v>364</v>
      </c>
      <c r="G1190" s="20" t="s">
        <v>234</v>
      </c>
      <c r="H1190" s="23">
        <v>3000.8</v>
      </c>
      <c r="I1190" s="22">
        <v>2500</v>
      </c>
    </row>
    <row r="1191" spans="1:9" x14ac:dyDescent="0.3">
      <c r="A1191">
        <v>2025</v>
      </c>
      <c r="B1191" s="8">
        <v>49</v>
      </c>
      <c r="C1191" s="20" t="s">
        <v>21</v>
      </c>
      <c r="D1191" s="39" t="s">
        <v>22</v>
      </c>
      <c r="E1191" s="20" t="s">
        <v>232</v>
      </c>
      <c r="F1191" s="20" t="s">
        <v>232</v>
      </c>
      <c r="G1191" s="20" t="s">
        <v>234</v>
      </c>
      <c r="H1191" s="23">
        <v>3110.6800000000003</v>
      </c>
      <c r="I1191" s="22">
        <v>2500</v>
      </c>
    </row>
    <row r="1192" spans="1:9" x14ac:dyDescent="0.3">
      <c r="A1192">
        <v>2025</v>
      </c>
      <c r="B1192" s="8">
        <v>49</v>
      </c>
      <c r="C1192" s="20" t="s">
        <v>15</v>
      </c>
      <c r="D1192" s="39" t="s">
        <v>16</v>
      </c>
      <c r="E1192" s="20" t="s">
        <v>232</v>
      </c>
      <c r="F1192" s="20" t="s">
        <v>232</v>
      </c>
      <c r="G1192" s="20" t="s">
        <v>234</v>
      </c>
      <c r="H1192" s="23">
        <v>2999.08</v>
      </c>
      <c r="I1192" s="22">
        <v>2500</v>
      </c>
    </row>
    <row r="1193" spans="1:9" x14ac:dyDescent="0.3">
      <c r="A1193">
        <v>2025</v>
      </c>
      <c r="B1193" s="8">
        <v>49</v>
      </c>
      <c r="C1193" s="20" t="s">
        <v>53</v>
      </c>
      <c r="D1193" s="39" t="s">
        <v>86</v>
      </c>
      <c r="E1193" s="20" t="s">
        <v>232</v>
      </c>
      <c r="F1193" s="20" t="s">
        <v>232</v>
      </c>
      <c r="G1193" s="20" t="s">
        <v>234</v>
      </c>
      <c r="H1193" s="23">
        <v>1928.58</v>
      </c>
      <c r="I1193" s="22">
        <v>2500</v>
      </c>
    </row>
    <row r="1194" spans="1:9" x14ac:dyDescent="0.3">
      <c r="A1194">
        <v>2025</v>
      </c>
      <c r="B1194" s="8">
        <v>49</v>
      </c>
      <c r="C1194" s="20" t="s">
        <v>414</v>
      </c>
      <c r="D1194" s="39" t="s">
        <v>59</v>
      </c>
      <c r="E1194" s="20" t="s">
        <v>232</v>
      </c>
      <c r="F1194" s="20" t="s">
        <v>232</v>
      </c>
      <c r="G1194" s="20" t="s">
        <v>234</v>
      </c>
      <c r="H1194" s="23">
        <v>-500</v>
      </c>
      <c r="I1194" s="22">
        <v>2500</v>
      </c>
    </row>
    <row r="1195" spans="1:9" x14ac:dyDescent="0.3">
      <c r="A1195">
        <v>2025</v>
      </c>
      <c r="B1195" s="8">
        <v>49</v>
      </c>
      <c r="C1195" s="20" t="s">
        <v>64</v>
      </c>
      <c r="D1195" s="39" t="s">
        <v>59</v>
      </c>
      <c r="E1195" s="20" t="s">
        <v>232</v>
      </c>
      <c r="F1195" s="20" t="s">
        <v>232</v>
      </c>
      <c r="G1195" s="20" t="s">
        <v>234</v>
      </c>
      <c r="H1195" s="23">
        <v>3000</v>
      </c>
      <c r="I1195" s="22">
        <v>2500</v>
      </c>
    </row>
    <row r="1196" spans="1:9" x14ac:dyDescent="0.3">
      <c r="A1196">
        <v>2025</v>
      </c>
      <c r="B1196" s="8">
        <v>49</v>
      </c>
      <c r="C1196" s="20" t="s">
        <v>506</v>
      </c>
      <c r="D1196" s="39" t="s">
        <v>54</v>
      </c>
      <c r="E1196" s="20" t="s">
        <v>232</v>
      </c>
      <c r="F1196" s="20" t="s">
        <v>232</v>
      </c>
      <c r="G1196" s="20" t="s">
        <v>234</v>
      </c>
      <c r="H1196" s="23">
        <v>3000</v>
      </c>
      <c r="I1196" s="22">
        <v>2500</v>
      </c>
    </row>
    <row r="1197" spans="1:9" x14ac:dyDescent="0.3">
      <c r="A1197">
        <v>2025</v>
      </c>
      <c r="B1197" s="8">
        <v>49</v>
      </c>
      <c r="C1197" s="20" t="s">
        <v>29</v>
      </c>
      <c r="D1197" s="39" t="s">
        <v>30</v>
      </c>
      <c r="E1197" s="20" t="s">
        <v>232</v>
      </c>
      <c r="F1197" s="20" t="s">
        <v>232</v>
      </c>
      <c r="G1197" s="20" t="s">
        <v>234</v>
      </c>
      <c r="H1197" s="23">
        <v>2991.66</v>
      </c>
      <c r="I1197" s="22">
        <v>2500</v>
      </c>
    </row>
    <row r="1198" spans="1:9" x14ac:dyDescent="0.3">
      <c r="A1198">
        <v>2025</v>
      </c>
      <c r="B1198" s="8">
        <v>49</v>
      </c>
      <c r="C1198" s="20" t="s">
        <v>17</v>
      </c>
      <c r="D1198" s="39" t="s">
        <v>18</v>
      </c>
      <c r="E1198" s="20" t="s">
        <v>232</v>
      </c>
      <c r="F1198" s="20" t="s">
        <v>232</v>
      </c>
      <c r="G1198" s="20" t="s">
        <v>234</v>
      </c>
      <c r="H1198" s="23">
        <v>2300</v>
      </c>
      <c r="I1198" s="22">
        <v>2500</v>
      </c>
    </row>
    <row r="1199" spans="1:9" x14ac:dyDescent="0.3">
      <c r="A1199">
        <v>2025</v>
      </c>
      <c r="B1199" s="8">
        <v>49</v>
      </c>
      <c r="C1199" s="20" t="s">
        <v>76</v>
      </c>
      <c r="D1199" s="39" t="s">
        <v>77</v>
      </c>
      <c r="E1199" s="20" t="s">
        <v>232</v>
      </c>
      <c r="F1199" s="20" t="s">
        <v>232</v>
      </c>
      <c r="G1199" s="20" t="s">
        <v>234</v>
      </c>
      <c r="H1199" s="23">
        <v>2990.0800000000004</v>
      </c>
      <c r="I1199" s="22">
        <v>2500</v>
      </c>
    </row>
    <row r="1200" spans="1:9" x14ac:dyDescent="0.3">
      <c r="A1200">
        <v>2025</v>
      </c>
      <c r="B1200" s="8">
        <v>49</v>
      </c>
      <c r="C1200" s="20" t="s">
        <v>424</v>
      </c>
      <c r="D1200" s="39" t="s">
        <v>44</v>
      </c>
      <c r="E1200" s="22" t="s">
        <v>232</v>
      </c>
      <c r="F1200" s="20" t="s">
        <v>232</v>
      </c>
      <c r="G1200" s="20" t="s">
        <v>234</v>
      </c>
      <c r="H1200" s="23">
        <v>349.90000000000009</v>
      </c>
      <c r="I1200" s="22">
        <v>2500</v>
      </c>
    </row>
    <row r="1201" spans="1:9" x14ac:dyDescent="0.3">
      <c r="A1201">
        <v>2025</v>
      </c>
      <c r="B1201" s="8">
        <v>49</v>
      </c>
      <c r="C1201" s="20" t="s">
        <v>31</v>
      </c>
      <c r="D1201" s="39" t="s">
        <v>97</v>
      </c>
      <c r="E1201" s="20" t="s">
        <v>232</v>
      </c>
      <c r="F1201" s="20" t="s">
        <v>232</v>
      </c>
      <c r="G1201" s="20" t="s">
        <v>234</v>
      </c>
      <c r="H1201" s="23">
        <v>3000</v>
      </c>
      <c r="I1201" s="22">
        <v>2500</v>
      </c>
    </row>
    <row r="1202" spans="1:9" x14ac:dyDescent="0.3">
      <c r="A1202">
        <v>2025</v>
      </c>
      <c r="B1202" s="8">
        <v>49</v>
      </c>
      <c r="C1202" s="20" t="s">
        <v>27</v>
      </c>
      <c r="D1202" s="39" t="s">
        <v>28</v>
      </c>
      <c r="E1202" s="20" t="s">
        <v>232</v>
      </c>
      <c r="F1202" s="20" t="s">
        <v>232</v>
      </c>
      <c r="G1202" s="20" t="s">
        <v>234</v>
      </c>
      <c r="H1202" s="23">
        <v>1785.71</v>
      </c>
      <c r="I1202" s="22">
        <v>2500</v>
      </c>
    </row>
    <row r="1203" spans="1:9" x14ac:dyDescent="0.3">
      <c r="A1203">
        <v>2025</v>
      </c>
      <c r="B1203" s="8">
        <v>49</v>
      </c>
      <c r="C1203" s="20" t="s">
        <v>27</v>
      </c>
      <c r="D1203" s="39" t="s">
        <v>56</v>
      </c>
      <c r="E1203" s="22" t="s">
        <v>241</v>
      </c>
      <c r="F1203" s="20" t="s">
        <v>291</v>
      </c>
      <c r="G1203" s="20" t="s">
        <v>234</v>
      </c>
      <c r="H1203" s="23">
        <v>714.66000000000008</v>
      </c>
      <c r="I1203" s="22"/>
    </row>
    <row r="1204" spans="1:9" x14ac:dyDescent="0.3">
      <c r="A1204">
        <v>2025</v>
      </c>
      <c r="B1204" s="8">
        <v>49</v>
      </c>
      <c r="C1204" s="20" t="s">
        <v>74</v>
      </c>
      <c r="D1204" s="39" t="s">
        <v>75</v>
      </c>
      <c r="E1204" s="22" t="s">
        <v>241</v>
      </c>
      <c r="F1204" s="20" t="s">
        <v>291</v>
      </c>
      <c r="G1204" s="20" t="s">
        <v>234</v>
      </c>
      <c r="H1204" s="23">
        <v>-1979.8799999999999</v>
      </c>
      <c r="I1204" s="22">
        <v>2500</v>
      </c>
    </row>
    <row r="1205" spans="1:9" x14ac:dyDescent="0.3">
      <c r="A1205">
        <v>2025</v>
      </c>
      <c r="B1205" s="8">
        <v>49</v>
      </c>
      <c r="C1205" s="20" t="s">
        <v>111</v>
      </c>
      <c r="D1205" s="39" t="s">
        <v>63</v>
      </c>
      <c r="E1205" s="20" t="s">
        <v>291</v>
      </c>
      <c r="F1205" s="20" t="s">
        <v>291</v>
      </c>
      <c r="G1205" s="20" t="s">
        <v>234</v>
      </c>
      <c r="H1205" s="23">
        <v>3200</v>
      </c>
      <c r="I1205" s="22">
        <v>2500</v>
      </c>
    </row>
    <row r="1206" spans="1:9" x14ac:dyDescent="0.3">
      <c r="A1206">
        <v>2025</v>
      </c>
      <c r="B1206" s="8">
        <v>49</v>
      </c>
      <c r="C1206" s="20" t="s">
        <v>78</v>
      </c>
      <c r="D1206" s="44" t="s">
        <v>79</v>
      </c>
      <c r="E1206" s="20" t="s">
        <v>291</v>
      </c>
      <c r="F1206" s="20" t="s">
        <v>291</v>
      </c>
      <c r="G1206" s="20" t="s">
        <v>234</v>
      </c>
      <c r="H1206" s="23">
        <v>2642.85</v>
      </c>
      <c r="I1206" s="22">
        <v>2500</v>
      </c>
    </row>
    <row r="1207" spans="1:9" x14ac:dyDescent="0.3">
      <c r="A1207">
        <v>2025</v>
      </c>
      <c r="B1207" s="8">
        <v>49</v>
      </c>
      <c r="C1207" s="20" t="s">
        <v>68</v>
      </c>
      <c r="D1207" s="39" t="s">
        <v>69</v>
      </c>
      <c r="E1207" s="22" t="s">
        <v>241</v>
      </c>
      <c r="F1207" s="20" t="s">
        <v>291</v>
      </c>
      <c r="G1207" s="20" t="s">
        <v>234</v>
      </c>
      <c r="H1207" s="23">
        <v>2912</v>
      </c>
      <c r="I1207" s="22">
        <v>2500</v>
      </c>
    </row>
    <row r="1208" spans="1:9" x14ac:dyDescent="0.3">
      <c r="A1208">
        <v>2025</v>
      </c>
      <c r="B1208" s="8">
        <v>49</v>
      </c>
      <c r="C1208" s="20" t="s">
        <v>72</v>
      </c>
      <c r="D1208" s="39" t="s">
        <v>73</v>
      </c>
      <c r="E1208" s="22" t="s">
        <v>241</v>
      </c>
      <c r="F1208" s="20" t="s">
        <v>291</v>
      </c>
      <c r="G1208" s="20" t="s">
        <v>234</v>
      </c>
      <c r="H1208" s="23">
        <v>3200</v>
      </c>
      <c r="I1208" s="22">
        <v>2500</v>
      </c>
    </row>
    <row r="1209" spans="1:9" x14ac:dyDescent="0.3">
      <c r="A1209">
        <v>2025</v>
      </c>
      <c r="B1209" s="8">
        <v>49</v>
      </c>
      <c r="C1209" s="20" t="s">
        <v>57</v>
      </c>
      <c r="D1209" s="39" t="s">
        <v>16</v>
      </c>
      <c r="E1209" s="20" t="s">
        <v>232</v>
      </c>
      <c r="F1209" s="20" t="s">
        <v>291</v>
      </c>
      <c r="G1209" s="20" t="s">
        <v>234</v>
      </c>
      <c r="H1209" s="23">
        <v>-500</v>
      </c>
      <c r="I1209" s="22">
        <v>2500</v>
      </c>
    </row>
    <row r="1210" spans="1:9" x14ac:dyDescent="0.3">
      <c r="A1210">
        <v>2025</v>
      </c>
      <c r="B1210" s="8">
        <v>49</v>
      </c>
      <c r="C1210" s="20" t="s">
        <v>444</v>
      </c>
      <c r="D1210" s="39" t="s">
        <v>44</v>
      </c>
      <c r="E1210" s="22" t="s">
        <v>232</v>
      </c>
      <c r="F1210" s="20" t="s">
        <v>232</v>
      </c>
      <c r="G1210" s="20" t="s">
        <v>234</v>
      </c>
      <c r="H1210" s="23">
        <v>-1000</v>
      </c>
      <c r="I1210" s="22">
        <v>2500</v>
      </c>
    </row>
    <row r="1211" spans="1:9" x14ac:dyDescent="0.3">
      <c r="A1211">
        <v>2025</v>
      </c>
      <c r="B1211" s="8">
        <v>49</v>
      </c>
      <c r="C1211" s="20" t="s">
        <v>82</v>
      </c>
      <c r="D1211" s="39" t="s">
        <v>83</v>
      </c>
      <c r="E1211" s="20" t="s">
        <v>232</v>
      </c>
      <c r="F1211" s="20" t="s">
        <v>232</v>
      </c>
      <c r="G1211" s="20" t="s">
        <v>234</v>
      </c>
      <c r="H1211" s="23">
        <v>2700</v>
      </c>
      <c r="I1211" s="22">
        <v>2500</v>
      </c>
    </row>
    <row r="1212" spans="1:9" x14ac:dyDescent="0.3">
      <c r="A1212">
        <v>2025</v>
      </c>
      <c r="B1212" s="8">
        <v>50</v>
      </c>
      <c r="C1212" s="20" t="s">
        <v>13</v>
      </c>
      <c r="D1212" s="39" t="s">
        <v>14</v>
      </c>
      <c r="E1212" s="20" t="s">
        <v>232</v>
      </c>
      <c r="F1212" s="20" t="s">
        <v>232</v>
      </c>
      <c r="G1212" s="20" t="s">
        <v>234</v>
      </c>
      <c r="H1212" s="23">
        <v>2700</v>
      </c>
      <c r="I1212" s="22">
        <v>2500</v>
      </c>
    </row>
    <row r="1213" spans="1:9" x14ac:dyDescent="0.3">
      <c r="A1213">
        <v>2025</v>
      </c>
      <c r="B1213" s="8">
        <v>50</v>
      </c>
      <c r="C1213" s="20" t="s">
        <v>11</v>
      </c>
      <c r="D1213" s="39" t="s">
        <v>12</v>
      </c>
      <c r="E1213" s="20" t="s">
        <v>232</v>
      </c>
      <c r="F1213" s="20" t="s">
        <v>232</v>
      </c>
      <c r="G1213" s="20" t="s">
        <v>234</v>
      </c>
      <c r="H1213" s="23">
        <v>3100</v>
      </c>
      <c r="I1213" s="22">
        <v>2500</v>
      </c>
    </row>
    <row r="1214" spans="1:9" x14ac:dyDescent="0.3">
      <c r="A1214">
        <v>2025</v>
      </c>
      <c r="B1214" s="8">
        <v>50</v>
      </c>
      <c r="C1214" s="20" t="s">
        <v>35</v>
      </c>
      <c r="D1214" s="20" t="s">
        <v>36</v>
      </c>
      <c r="E1214" s="20" t="s">
        <v>232</v>
      </c>
      <c r="F1214" s="20" t="s">
        <v>232</v>
      </c>
      <c r="G1214" s="20" t="s">
        <v>234</v>
      </c>
      <c r="H1214" s="23">
        <v>2957</v>
      </c>
      <c r="I1214" s="22">
        <v>2500</v>
      </c>
    </row>
    <row r="1215" spans="1:9" x14ac:dyDescent="0.3">
      <c r="A1215">
        <v>2025</v>
      </c>
      <c r="B1215" s="8">
        <v>50</v>
      </c>
      <c r="C1215" s="20" t="s">
        <v>25</v>
      </c>
      <c r="D1215" s="39" t="s">
        <v>26</v>
      </c>
      <c r="E1215" s="20" t="s">
        <v>232</v>
      </c>
      <c r="F1215" s="20" t="s">
        <v>291</v>
      </c>
      <c r="G1215" s="20" t="s">
        <v>234</v>
      </c>
      <c r="H1215" s="23">
        <v>1678.57</v>
      </c>
      <c r="I1215" s="22">
        <v>2500</v>
      </c>
    </row>
    <row r="1216" spans="1:9" x14ac:dyDescent="0.3">
      <c r="A1216">
        <v>2025</v>
      </c>
      <c r="B1216" s="8">
        <v>50</v>
      </c>
      <c r="C1216" s="20" t="s">
        <v>25</v>
      </c>
      <c r="D1216" s="20" t="s">
        <v>67</v>
      </c>
      <c r="E1216" s="20" t="s">
        <v>232</v>
      </c>
      <c r="F1216" s="20" t="s">
        <v>232</v>
      </c>
      <c r="G1216" s="20" t="s">
        <v>234</v>
      </c>
      <c r="H1216" s="23">
        <v>2790.62</v>
      </c>
      <c r="I1216" s="22"/>
    </row>
    <row r="1217" spans="1:9" x14ac:dyDescent="0.3">
      <c r="A1217">
        <v>2025</v>
      </c>
      <c r="B1217" s="8">
        <v>50</v>
      </c>
      <c r="C1217" s="20" t="s">
        <v>49</v>
      </c>
      <c r="D1217" s="20" t="s">
        <v>50</v>
      </c>
      <c r="E1217" s="20" t="s">
        <v>232</v>
      </c>
      <c r="F1217" s="20" t="s">
        <v>232</v>
      </c>
      <c r="G1217" s="20" t="s">
        <v>234</v>
      </c>
      <c r="H1217" s="23">
        <v>3021.42</v>
      </c>
      <c r="I1217" s="22">
        <v>2500</v>
      </c>
    </row>
    <row r="1218" spans="1:9" x14ac:dyDescent="0.3">
      <c r="A1218">
        <v>2025</v>
      </c>
      <c r="B1218" s="8">
        <v>50</v>
      </c>
      <c r="C1218" s="20" t="s">
        <v>47</v>
      </c>
      <c r="D1218" s="39" t="s">
        <v>106</v>
      </c>
      <c r="E1218" s="20" t="s">
        <v>232</v>
      </c>
      <c r="F1218" s="20" t="s">
        <v>232</v>
      </c>
      <c r="G1218" s="20" t="s">
        <v>234</v>
      </c>
      <c r="H1218" s="23">
        <v>3000</v>
      </c>
      <c r="I1218" s="22">
        <v>2500</v>
      </c>
    </row>
    <row r="1219" spans="1:9" x14ac:dyDescent="0.3">
      <c r="A1219">
        <v>2025</v>
      </c>
      <c r="B1219" s="8">
        <v>50</v>
      </c>
      <c r="C1219" s="20" t="s">
        <v>19</v>
      </c>
      <c r="D1219" s="39" t="s">
        <v>54</v>
      </c>
      <c r="E1219" s="20" t="s">
        <v>232</v>
      </c>
      <c r="F1219" s="20" t="s">
        <v>232</v>
      </c>
      <c r="G1219" s="20" t="s">
        <v>234</v>
      </c>
      <c r="H1219" s="23">
        <v>3022.8500000000004</v>
      </c>
      <c r="I1219" s="22">
        <v>2500</v>
      </c>
    </row>
    <row r="1220" spans="1:9" x14ac:dyDescent="0.3">
      <c r="A1220">
        <v>2025</v>
      </c>
      <c r="B1220" s="8">
        <v>50</v>
      </c>
      <c r="C1220" s="20" t="s">
        <v>51</v>
      </c>
      <c r="D1220" s="39" t="s">
        <v>52</v>
      </c>
      <c r="E1220" s="20" t="s">
        <v>232</v>
      </c>
      <c r="F1220" s="20" t="s">
        <v>232</v>
      </c>
      <c r="G1220" s="20" t="s">
        <v>234</v>
      </c>
      <c r="H1220" s="23">
        <v>2412</v>
      </c>
      <c r="I1220" s="22">
        <v>2500</v>
      </c>
    </row>
    <row r="1221" spans="1:9" x14ac:dyDescent="0.3">
      <c r="A1221">
        <v>2025</v>
      </c>
      <c r="B1221" s="8">
        <v>50</v>
      </c>
      <c r="C1221" s="20" t="s">
        <v>45</v>
      </c>
      <c r="D1221" s="39" t="s">
        <v>46</v>
      </c>
      <c r="E1221" s="20" t="s">
        <v>232</v>
      </c>
      <c r="F1221" s="20" t="s">
        <v>232</v>
      </c>
      <c r="G1221" s="20" t="s">
        <v>234</v>
      </c>
      <c r="H1221" s="23">
        <v>2500.5399999999991</v>
      </c>
      <c r="I1221" s="22">
        <v>2500</v>
      </c>
    </row>
    <row r="1222" spans="1:9" x14ac:dyDescent="0.3">
      <c r="A1222">
        <v>2025</v>
      </c>
      <c r="B1222" s="8">
        <v>50</v>
      </c>
      <c r="C1222" s="20" t="s">
        <v>37</v>
      </c>
      <c r="D1222" s="39" t="s">
        <v>40</v>
      </c>
      <c r="E1222" s="20" t="s">
        <v>232</v>
      </c>
      <c r="F1222" s="20" t="s">
        <v>232</v>
      </c>
      <c r="G1222" s="20" t="s">
        <v>234</v>
      </c>
      <c r="H1222" s="23">
        <v>2543</v>
      </c>
      <c r="I1222" s="22">
        <v>2500</v>
      </c>
    </row>
    <row r="1223" spans="1:9" x14ac:dyDescent="0.3">
      <c r="A1223">
        <v>2025</v>
      </c>
      <c r="B1223" s="8">
        <v>50</v>
      </c>
      <c r="C1223" s="20" t="s">
        <v>61</v>
      </c>
      <c r="D1223" s="20" t="s">
        <v>104</v>
      </c>
      <c r="E1223" s="20" t="s">
        <v>364</v>
      </c>
      <c r="F1223" s="22" t="s">
        <v>364</v>
      </c>
      <c r="G1223" s="20" t="s">
        <v>234</v>
      </c>
      <c r="H1223" s="23">
        <v>536</v>
      </c>
      <c r="I1223" s="22">
        <v>2500</v>
      </c>
    </row>
    <row r="1224" spans="1:9" x14ac:dyDescent="0.3">
      <c r="A1224">
        <v>2025</v>
      </c>
      <c r="B1224" s="8">
        <v>50</v>
      </c>
      <c r="C1224" s="20" t="s">
        <v>61</v>
      </c>
      <c r="D1224" s="39" t="s">
        <v>34</v>
      </c>
      <c r="E1224" s="20" t="s">
        <v>232</v>
      </c>
      <c r="F1224" s="20" t="s">
        <v>232</v>
      </c>
      <c r="G1224" s="20" t="s">
        <v>234</v>
      </c>
      <c r="H1224" s="23">
        <v>2485.6299999999992</v>
      </c>
      <c r="I1224" s="22"/>
    </row>
    <row r="1225" spans="1:9" x14ac:dyDescent="0.3">
      <c r="A1225">
        <v>2025</v>
      </c>
      <c r="B1225" s="8">
        <v>50</v>
      </c>
      <c r="C1225" s="20" t="s">
        <v>9</v>
      </c>
      <c r="D1225" s="39" t="s">
        <v>10</v>
      </c>
      <c r="E1225" s="20" t="s">
        <v>232</v>
      </c>
      <c r="F1225" s="20" t="s">
        <v>232</v>
      </c>
      <c r="G1225" s="20" t="s">
        <v>234</v>
      </c>
      <c r="H1225" s="23">
        <v>1304.9000000000001</v>
      </c>
      <c r="I1225" s="22">
        <v>2500</v>
      </c>
    </row>
    <row r="1226" spans="1:9" x14ac:dyDescent="0.3">
      <c r="A1226">
        <v>2025</v>
      </c>
      <c r="B1226" s="8">
        <v>50</v>
      </c>
      <c r="C1226" s="20" t="s">
        <v>9</v>
      </c>
      <c r="D1226" s="39" t="s">
        <v>10</v>
      </c>
      <c r="E1226" s="20" t="s">
        <v>232</v>
      </c>
      <c r="F1226" s="20" t="s">
        <v>232</v>
      </c>
      <c r="G1226" s="20" t="s">
        <v>425</v>
      </c>
      <c r="H1226" s="23">
        <v>1251.2600000000002</v>
      </c>
      <c r="I1226" s="22"/>
    </row>
    <row r="1227" spans="1:9" x14ac:dyDescent="0.3">
      <c r="A1227">
        <v>2025</v>
      </c>
      <c r="B1227" s="8">
        <v>50</v>
      </c>
      <c r="C1227" s="20" t="s">
        <v>3</v>
      </c>
      <c r="D1227" s="20" t="s">
        <v>4</v>
      </c>
      <c r="E1227" s="20" t="s">
        <v>232</v>
      </c>
      <c r="F1227" s="20" t="s">
        <v>232</v>
      </c>
      <c r="G1227" s="20" t="s">
        <v>425</v>
      </c>
      <c r="H1227" s="23">
        <v>2581.3000000000011</v>
      </c>
      <c r="I1227" s="22">
        <v>2500</v>
      </c>
    </row>
    <row r="1228" spans="1:9" x14ac:dyDescent="0.3">
      <c r="A1228">
        <v>2025</v>
      </c>
      <c r="B1228" s="8">
        <v>50</v>
      </c>
      <c r="C1228" s="20" t="s">
        <v>5</v>
      </c>
      <c r="D1228" s="41" t="s">
        <v>42</v>
      </c>
      <c r="E1228" s="20" t="s">
        <v>232</v>
      </c>
      <c r="F1228" s="20" t="s">
        <v>232</v>
      </c>
      <c r="G1228" s="20" t="s">
        <v>425</v>
      </c>
      <c r="H1228" s="23">
        <v>1071.42</v>
      </c>
      <c r="I1228" s="22">
        <v>2500</v>
      </c>
    </row>
    <row r="1229" spans="1:9" x14ac:dyDescent="0.3">
      <c r="A1229">
        <v>2025</v>
      </c>
      <c r="B1229" s="8">
        <v>50</v>
      </c>
      <c r="C1229" s="20" t="s">
        <v>5</v>
      </c>
      <c r="D1229" s="41" t="s">
        <v>42</v>
      </c>
      <c r="E1229" s="20" t="s">
        <v>232</v>
      </c>
      <c r="F1229" s="20" t="s">
        <v>232</v>
      </c>
      <c r="G1229" s="20" t="s">
        <v>234</v>
      </c>
      <c r="H1229" s="23">
        <v>-1203.52</v>
      </c>
      <c r="I1229" s="22"/>
    </row>
    <row r="1230" spans="1:9" x14ac:dyDescent="0.3">
      <c r="A1230">
        <v>2025</v>
      </c>
      <c r="B1230" s="8">
        <v>50</v>
      </c>
      <c r="C1230" s="20" t="s">
        <v>98</v>
      </c>
      <c r="D1230" s="39" t="s">
        <v>168</v>
      </c>
      <c r="E1230" s="20" t="s">
        <v>232</v>
      </c>
      <c r="F1230" s="20" t="s">
        <v>232</v>
      </c>
      <c r="G1230" s="20" t="s">
        <v>234</v>
      </c>
      <c r="H1230" s="23">
        <v>2637.38</v>
      </c>
      <c r="I1230" s="22">
        <v>2500</v>
      </c>
    </row>
    <row r="1231" spans="1:9" x14ac:dyDescent="0.3">
      <c r="A1231">
        <v>2025</v>
      </c>
      <c r="B1231" s="8">
        <v>50</v>
      </c>
      <c r="C1231" s="20" t="s">
        <v>80</v>
      </c>
      <c r="D1231" s="39" t="s">
        <v>81</v>
      </c>
      <c r="E1231" s="20" t="s">
        <v>232</v>
      </c>
      <c r="F1231" s="20" t="s">
        <v>232</v>
      </c>
      <c r="G1231" s="20" t="s">
        <v>234</v>
      </c>
      <c r="H1231" s="23">
        <v>1850</v>
      </c>
      <c r="I1231" s="22">
        <v>2500</v>
      </c>
    </row>
    <row r="1232" spans="1:9" x14ac:dyDescent="0.3">
      <c r="A1232">
        <v>2025</v>
      </c>
      <c r="B1232" s="8">
        <v>50</v>
      </c>
      <c r="C1232" s="20" t="s">
        <v>23</v>
      </c>
      <c r="D1232" s="39" t="s">
        <v>24</v>
      </c>
      <c r="E1232" s="20" t="s">
        <v>232</v>
      </c>
      <c r="F1232" s="20" t="s">
        <v>232</v>
      </c>
      <c r="G1232" s="20" t="s">
        <v>234</v>
      </c>
      <c r="H1232" s="23">
        <v>3032.7999999999993</v>
      </c>
      <c r="I1232" s="22">
        <v>2500</v>
      </c>
    </row>
    <row r="1233" spans="1:9" x14ac:dyDescent="0.3">
      <c r="A1233">
        <v>2025</v>
      </c>
      <c r="B1233" s="8">
        <v>50</v>
      </c>
      <c r="C1233" s="20" t="s">
        <v>292</v>
      </c>
      <c r="D1233" s="39" t="s">
        <v>28</v>
      </c>
      <c r="E1233" s="20" t="s">
        <v>232</v>
      </c>
      <c r="F1233" s="20" t="s">
        <v>232</v>
      </c>
      <c r="G1233" s="20" t="s">
        <v>234</v>
      </c>
      <c r="H1233" s="23">
        <v>-495</v>
      </c>
      <c r="I1233" s="22">
        <v>2500</v>
      </c>
    </row>
    <row r="1234" spans="1:9" x14ac:dyDescent="0.3">
      <c r="A1234">
        <v>2025</v>
      </c>
      <c r="B1234" s="8">
        <v>50</v>
      </c>
      <c r="C1234" s="20" t="s">
        <v>362</v>
      </c>
      <c r="D1234" s="20" t="s">
        <v>50</v>
      </c>
      <c r="E1234" s="20" t="s">
        <v>232</v>
      </c>
      <c r="F1234" s="20" t="s">
        <v>232</v>
      </c>
      <c r="G1234" s="20" t="s">
        <v>234</v>
      </c>
      <c r="H1234" s="23">
        <v>-594</v>
      </c>
      <c r="I1234" s="22">
        <v>2500</v>
      </c>
    </row>
    <row r="1235" spans="1:9" x14ac:dyDescent="0.3">
      <c r="A1235">
        <v>2025</v>
      </c>
      <c r="B1235" s="8">
        <v>50</v>
      </c>
      <c r="C1235" s="20" t="s">
        <v>7</v>
      </c>
      <c r="D1235" s="39" t="s">
        <v>8</v>
      </c>
      <c r="E1235" s="20" t="s">
        <v>364</v>
      </c>
      <c r="F1235" s="22" t="s">
        <v>364</v>
      </c>
      <c r="G1235" s="20" t="s">
        <v>425</v>
      </c>
      <c r="H1235" s="23">
        <v>2600</v>
      </c>
      <c r="I1235" s="22">
        <v>2500</v>
      </c>
    </row>
    <row r="1236" spans="1:9" x14ac:dyDescent="0.3">
      <c r="A1236">
        <v>2025</v>
      </c>
      <c r="B1236" s="8">
        <v>50</v>
      </c>
      <c r="C1236" s="20" t="s">
        <v>105</v>
      </c>
      <c r="D1236" s="39" t="s">
        <v>518</v>
      </c>
      <c r="E1236" s="20" t="s">
        <v>364</v>
      </c>
      <c r="F1236" s="22" t="s">
        <v>364</v>
      </c>
      <c r="G1236" s="20" t="s">
        <v>234</v>
      </c>
      <c r="H1236" s="23">
        <v>2500</v>
      </c>
      <c r="I1236" s="22">
        <v>2500</v>
      </c>
    </row>
    <row r="1237" spans="1:9" x14ac:dyDescent="0.3">
      <c r="A1237">
        <v>2025</v>
      </c>
      <c r="B1237" s="8">
        <v>50</v>
      </c>
      <c r="C1237" s="20" t="s">
        <v>417</v>
      </c>
      <c r="D1237" s="39" t="s">
        <v>428</v>
      </c>
      <c r="E1237" s="20" t="s">
        <v>364</v>
      </c>
      <c r="F1237" s="22" t="s">
        <v>364</v>
      </c>
      <c r="G1237" s="20" t="s">
        <v>234</v>
      </c>
      <c r="H1237" s="23">
        <v>2500.8600000000006</v>
      </c>
      <c r="I1237" s="22">
        <v>2500</v>
      </c>
    </row>
    <row r="1238" spans="1:9" x14ac:dyDescent="0.3">
      <c r="A1238">
        <v>2025</v>
      </c>
      <c r="B1238" s="8">
        <v>50</v>
      </c>
      <c r="C1238" s="20" t="s">
        <v>21</v>
      </c>
      <c r="D1238" s="39" t="s">
        <v>22</v>
      </c>
      <c r="E1238" s="20" t="s">
        <v>232</v>
      </c>
      <c r="F1238" s="20" t="s">
        <v>232</v>
      </c>
      <c r="G1238" s="20" t="s">
        <v>234</v>
      </c>
      <c r="H1238" s="23">
        <v>2864.3199999999997</v>
      </c>
      <c r="I1238" s="22">
        <v>2500</v>
      </c>
    </row>
    <row r="1239" spans="1:9" x14ac:dyDescent="0.3">
      <c r="A1239">
        <v>2025</v>
      </c>
      <c r="B1239" s="8">
        <v>50</v>
      </c>
      <c r="C1239" s="20" t="s">
        <v>15</v>
      </c>
      <c r="D1239" s="39" t="s">
        <v>16</v>
      </c>
      <c r="E1239" s="20" t="s">
        <v>232</v>
      </c>
      <c r="F1239" s="20" t="s">
        <v>232</v>
      </c>
      <c r="G1239" s="20" t="s">
        <v>234</v>
      </c>
      <c r="H1239" s="23">
        <v>3000.5600000000004</v>
      </c>
      <c r="I1239" s="22">
        <v>2500</v>
      </c>
    </row>
    <row r="1240" spans="1:9" x14ac:dyDescent="0.3">
      <c r="A1240">
        <v>2025</v>
      </c>
      <c r="B1240" s="8">
        <v>50</v>
      </c>
      <c r="C1240" s="20" t="s">
        <v>53</v>
      </c>
      <c r="D1240" s="39" t="s">
        <v>86</v>
      </c>
      <c r="E1240" s="20" t="s">
        <v>232</v>
      </c>
      <c r="F1240" s="20" t="s">
        <v>232</v>
      </c>
      <c r="G1240" s="20" t="s">
        <v>234</v>
      </c>
      <c r="H1240" s="23">
        <v>-1578.08</v>
      </c>
      <c r="I1240" s="22">
        <v>2500</v>
      </c>
    </row>
    <row r="1241" spans="1:9" x14ac:dyDescent="0.3">
      <c r="A1241">
        <v>2025</v>
      </c>
      <c r="B1241" s="8">
        <v>50</v>
      </c>
      <c r="C1241" s="20" t="s">
        <v>414</v>
      </c>
      <c r="D1241" s="39" t="s">
        <v>59</v>
      </c>
      <c r="E1241" s="20" t="s">
        <v>232</v>
      </c>
      <c r="F1241" s="20" t="s">
        <v>232</v>
      </c>
      <c r="G1241" s="20" t="s">
        <v>234</v>
      </c>
      <c r="H1241" s="23">
        <v>-500</v>
      </c>
      <c r="I1241" s="22">
        <v>2500</v>
      </c>
    </row>
    <row r="1242" spans="1:9" x14ac:dyDescent="0.3">
      <c r="A1242">
        <v>2025</v>
      </c>
      <c r="B1242" s="8">
        <v>50</v>
      </c>
      <c r="C1242" s="20" t="s">
        <v>64</v>
      </c>
      <c r="D1242" s="39" t="s">
        <v>59</v>
      </c>
      <c r="E1242" s="20" t="s">
        <v>232</v>
      </c>
      <c r="F1242" s="20" t="s">
        <v>232</v>
      </c>
      <c r="G1242" s="20" t="s">
        <v>234</v>
      </c>
      <c r="H1242" s="23">
        <v>3000</v>
      </c>
      <c r="I1242" s="22">
        <v>2500</v>
      </c>
    </row>
    <row r="1243" spans="1:9" x14ac:dyDescent="0.3">
      <c r="A1243">
        <v>2025</v>
      </c>
      <c r="B1243" s="8">
        <v>50</v>
      </c>
      <c r="C1243" s="20" t="s">
        <v>506</v>
      </c>
      <c r="D1243" s="39" t="s">
        <v>54</v>
      </c>
      <c r="E1243" s="20" t="s">
        <v>232</v>
      </c>
      <c r="F1243" s="20" t="s">
        <v>232</v>
      </c>
      <c r="G1243" s="20" t="s">
        <v>234</v>
      </c>
      <c r="H1243" s="23">
        <v>3000</v>
      </c>
      <c r="I1243" s="22">
        <v>2500</v>
      </c>
    </row>
    <row r="1244" spans="1:9" x14ac:dyDescent="0.3">
      <c r="A1244">
        <v>2025</v>
      </c>
      <c r="B1244" s="8">
        <v>50</v>
      </c>
      <c r="C1244" s="20" t="s">
        <v>29</v>
      </c>
      <c r="D1244" s="39" t="s">
        <v>30</v>
      </c>
      <c r="E1244" s="20" t="s">
        <v>232</v>
      </c>
      <c r="F1244" s="20" t="s">
        <v>232</v>
      </c>
      <c r="G1244" s="20" t="s">
        <v>234</v>
      </c>
      <c r="H1244" s="23">
        <v>3005</v>
      </c>
      <c r="I1244" s="22">
        <v>2500</v>
      </c>
    </row>
    <row r="1245" spans="1:9" x14ac:dyDescent="0.3">
      <c r="A1245">
        <v>2025</v>
      </c>
      <c r="B1245" s="8">
        <v>50</v>
      </c>
      <c r="C1245" s="20" t="s">
        <v>17</v>
      </c>
      <c r="D1245" s="39" t="s">
        <v>18</v>
      </c>
      <c r="E1245" s="20" t="s">
        <v>232</v>
      </c>
      <c r="F1245" s="20" t="s">
        <v>232</v>
      </c>
      <c r="G1245" s="20" t="s">
        <v>234</v>
      </c>
      <c r="H1245" s="23">
        <v>4699.4999999999982</v>
      </c>
      <c r="I1245" s="22">
        <v>2500</v>
      </c>
    </row>
    <row r="1246" spans="1:9" x14ac:dyDescent="0.3">
      <c r="A1246">
        <v>2025</v>
      </c>
      <c r="B1246" s="8">
        <v>50</v>
      </c>
      <c r="C1246" s="20" t="s">
        <v>76</v>
      </c>
      <c r="D1246" s="39" t="s">
        <v>77</v>
      </c>
      <c r="E1246" s="20" t="s">
        <v>232</v>
      </c>
      <c r="F1246" s="20" t="s">
        <v>232</v>
      </c>
      <c r="G1246" s="20" t="s">
        <v>234</v>
      </c>
      <c r="H1246" s="23">
        <v>2317.34</v>
      </c>
      <c r="I1246" s="22">
        <v>2500</v>
      </c>
    </row>
    <row r="1247" spans="1:9" x14ac:dyDescent="0.3">
      <c r="A1247">
        <v>2025</v>
      </c>
      <c r="B1247" s="8">
        <v>50</v>
      </c>
      <c r="C1247" s="20" t="s">
        <v>31</v>
      </c>
      <c r="D1247" s="39" t="s">
        <v>97</v>
      </c>
      <c r="E1247" s="20" t="s">
        <v>232</v>
      </c>
      <c r="F1247" s="20" t="s">
        <v>232</v>
      </c>
      <c r="G1247" s="20" t="s">
        <v>234</v>
      </c>
      <c r="H1247" s="23">
        <v>3000</v>
      </c>
      <c r="I1247" s="22">
        <v>2500</v>
      </c>
    </row>
    <row r="1248" spans="1:9" x14ac:dyDescent="0.3">
      <c r="A1248">
        <v>2025</v>
      </c>
      <c r="B1248" s="8">
        <v>50</v>
      </c>
      <c r="C1248" s="20" t="s">
        <v>27</v>
      </c>
      <c r="D1248" s="39" t="s">
        <v>28</v>
      </c>
      <c r="E1248" s="20" t="s">
        <v>232</v>
      </c>
      <c r="F1248" s="20" t="s">
        <v>232</v>
      </c>
      <c r="G1248" s="20" t="s">
        <v>234</v>
      </c>
      <c r="H1248" s="23">
        <v>2999.4799999999996</v>
      </c>
      <c r="I1248" s="22">
        <v>2500</v>
      </c>
    </row>
    <row r="1249" spans="1:9" x14ac:dyDescent="0.3">
      <c r="A1249">
        <v>2025</v>
      </c>
      <c r="B1249" s="8">
        <v>50</v>
      </c>
      <c r="C1249" s="20" t="s">
        <v>74</v>
      </c>
      <c r="D1249" s="39" t="s">
        <v>75</v>
      </c>
      <c r="E1249" s="22" t="s">
        <v>241</v>
      </c>
      <c r="F1249" s="20" t="s">
        <v>291</v>
      </c>
      <c r="G1249" s="20" t="s">
        <v>234</v>
      </c>
      <c r="H1249" s="23">
        <v>-3669.0700000000006</v>
      </c>
      <c r="I1249" s="22">
        <v>2500</v>
      </c>
    </row>
    <row r="1250" spans="1:9" x14ac:dyDescent="0.3">
      <c r="A1250">
        <v>2025</v>
      </c>
      <c r="B1250" s="8">
        <v>50</v>
      </c>
      <c r="C1250" s="20" t="s">
        <v>111</v>
      </c>
      <c r="D1250" s="39" t="s">
        <v>63</v>
      </c>
      <c r="E1250" s="20" t="s">
        <v>291</v>
      </c>
      <c r="F1250" s="20" t="s">
        <v>291</v>
      </c>
      <c r="G1250" s="20" t="s">
        <v>234</v>
      </c>
      <c r="H1250" s="23">
        <v>3200</v>
      </c>
      <c r="I1250" s="22">
        <v>2500</v>
      </c>
    </row>
    <row r="1251" spans="1:9" x14ac:dyDescent="0.3">
      <c r="A1251">
        <v>2025</v>
      </c>
      <c r="B1251" s="8">
        <v>50</v>
      </c>
      <c r="C1251" s="20" t="s">
        <v>78</v>
      </c>
      <c r="D1251" s="44" t="s">
        <v>79</v>
      </c>
      <c r="E1251" s="20" t="s">
        <v>291</v>
      </c>
      <c r="F1251" s="20" t="s">
        <v>291</v>
      </c>
      <c r="G1251" s="20" t="s">
        <v>234</v>
      </c>
      <c r="H1251" s="23">
        <v>3000</v>
      </c>
      <c r="I1251" s="22">
        <v>2500</v>
      </c>
    </row>
    <row r="1252" spans="1:9" x14ac:dyDescent="0.3">
      <c r="A1252">
        <v>2025</v>
      </c>
      <c r="B1252" s="8">
        <v>50</v>
      </c>
      <c r="C1252" s="20" t="s">
        <v>68</v>
      </c>
      <c r="D1252" s="39" t="s">
        <v>69</v>
      </c>
      <c r="E1252" s="22" t="s">
        <v>241</v>
      </c>
      <c r="F1252" s="20" t="s">
        <v>291</v>
      </c>
      <c r="G1252" s="20" t="s">
        <v>234</v>
      </c>
      <c r="H1252" s="23">
        <v>3000</v>
      </c>
      <c r="I1252" s="22">
        <v>2500</v>
      </c>
    </row>
    <row r="1253" spans="1:9" x14ac:dyDescent="0.3">
      <c r="A1253">
        <v>2025</v>
      </c>
      <c r="B1253" s="8">
        <v>50</v>
      </c>
      <c r="C1253" s="20" t="s">
        <v>72</v>
      </c>
      <c r="D1253" s="39" t="s">
        <v>73</v>
      </c>
      <c r="E1253" s="22" t="s">
        <v>241</v>
      </c>
      <c r="F1253" s="20" t="s">
        <v>291</v>
      </c>
      <c r="G1253" s="20" t="s">
        <v>234</v>
      </c>
      <c r="H1253" s="23">
        <v>3200</v>
      </c>
      <c r="I1253" s="22">
        <v>2500</v>
      </c>
    </row>
    <row r="1254" spans="1:9" x14ac:dyDescent="0.3">
      <c r="A1254">
        <v>2025</v>
      </c>
      <c r="B1254" s="8">
        <v>50</v>
      </c>
      <c r="C1254" s="20" t="s">
        <v>57</v>
      </c>
      <c r="D1254" s="39" t="s">
        <v>16</v>
      </c>
      <c r="E1254" s="20" t="s">
        <v>232</v>
      </c>
      <c r="F1254" s="20" t="s">
        <v>291</v>
      </c>
      <c r="G1254" s="20" t="s">
        <v>234</v>
      </c>
      <c r="H1254" s="23">
        <v>-500</v>
      </c>
      <c r="I1254" s="22">
        <v>2500</v>
      </c>
    </row>
    <row r="1255" spans="1:9" x14ac:dyDescent="0.3">
      <c r="A1255">
        <v>2025</v>
      </c>
      <c r="B1255" s="8">
        <v>50</v>
      </c>
      <c r="C1255" s="20" t="s">
        <v>444</v>
      </c>
      <c r="D1255" s="39" t="s">
        <v>44</v>
      </c>
      <c r="E1255" s="22" t="s">
        <v>232</v>
      </c>
      <c r="F1255" s="20" t="s">
        <v>232</v>
      </c>
      <c r="G1255" s="20" t="s">
        <v>234</v>
      </c>
      <c r="H1255" s="23">
        <v>-500</v>
      </c>
      <c r="I1255" s="22">
        <v>2500</v>
      </c>
    </row>
    <row r="1256" spans="1:9" x14ac:dyDescent="0.3">
      <c r="A1256">
        <v>2025</v>
      </c>
      <c r="B1256" s="8">
        <v>50</v>
      </c>
      <c r="C1256" s="20" t="s">
        <v>82</v>
      </c>
      <c r="D1256" s="39" t="s">
        <v>83</v>
      </c>
      <c r="E1256" s="20" t="s">
        <v>232</v>
      </c>
      <c r="F1256" s="20" t="s">
        <v>232</v>
      </c>
      <c r="G1256" s="20" t="s">
        <v>234</v>
      </c>
      <c r="H1256" s="23">
        <v>2000</v>
      </c>
      <c r="I1256" s="22">
        <v>2500</v>
      </c>
    </row>
    <row r="1257" spans="1:9" x14ac:dyDescent="0.3">
      <c r="A1257">
        <v>2025</v>
      </c>
      <c r="B1257" s="8">
        <v>50</v>
      </c>
      <c r="C1257" s="20" t="s">
        <v>43</v>
      </c>
      <c r="D1257" s="39" t="s">
        <v>44</v>
      </c>
      <c r="E1257" s="22" t="s">
        <v>232</v>
      </c>
      <c r="F1257" s="20" t="s">
        <v>232</v>
      </c>
      <c r="G1257" s="20" t="s">
        <v>234</v>
      </c>
      <c r="H1257" s="23">
        <v>1071.21</v>
      </c>
      <c r="I1257" s="22">
        <v>2500</v>
      </c>
    </row>
    <row r="1258" spans="1:9" x14ac:dyDescent="0.3">
      <c r="A1258">
        <v>2025</v>
      </c>
      <c r="B1258" s="8">
        <v>50</v>
      </c>
      <c r="C1258" s="20" t="s">
        <v>33</v>
      </c>
      <c r="D1258" s="39" t="s">
        <v>56</v>
      </c>
      <c r="E1258" s="22" t="s">
        <v>241</v>
      </c>
      <c r="F1258" s="20" t="s">
        <v>291</v>
      </c>
      <c r="G1258" s="20" t="s">
        <v>234</v>
      </c>
      <c r="H1258" s="23">
        <v>2570.8200000000002</v>
      </c>
      <c r="I1258" s="22">
        <v>2500</v>
      </c>
    </row>
    <row r="1259" spans="1:9" x14ac:dyDescent="0.3">
      <c r="A1259">
        <v>2025</v>
      </c>
      <c r="B1259" s="8">
        <v>50</v>
      </c>
      <c r="C1259" s="20" t="s">
        <v>70</v>
      </c>
      <c r="D1259" s="39" t="s">
        <v>38</v>
      </c>
      <c r="E1259" s="20" t="s">
        <v>232</v>
      </c>
      <c r="F1259" s="20" t="s">
        <v>291</v>
      </c>
      <c r="G1259" s="20" t="s">
        <v>234</v>
      </c>
      <c r="H1259" s="23">
        <v>2946.38</v>
      </c>
      <c r="I1259" s="22">
        <v>2500</v>
      </c>
    </row>
    <row r="1260" spans="1:9" x14ac:dyDescent="0.3">
      <c r="A1260">
        <v>2025</v>
      </c>
      <c r="B1260" s="8">
        <v>50</v>
      </c>
      <c r="C1260" s="20" t="s">
        <v>543</v>
      </c>
      <c r="D1260" s="39" t="s">
        <v>6</v>
      </c>
      <c r="E1260" s="20" t="s">
        <v>232</v>
      </c>
      <c r="F1260" s="20" t="s">
        <v>232</v>
      </c>
      <c r="G1260" s="20" t="s">
        <v>425</v>
      </c>
      <c r="H1260" s="23">
        <v>926.8</v>
      </c>
      <c r="I1260" s="22">
        <v>2500</v>
      </c>
    </row>
    <row r="1261" spans="1:9" x14ac:dyDescent="0.3">
      <c r="A1261">
        <v>2025</v>
      </c>
      <c r="B1261" s="8">
        <v>50</v>
      </c>
      <c r="C1261" s="20" t="s">
        <v>41</v>
      </c>
      <c r="D1261" s="20" t="s">
        <v>42</v>
      </c>
      <c r="E1261" s="20" t="s">
        <v>232</v>
      </c>
      <c r="F1261" s="20" t="s">
        <v>232</v>
      </c>
      <c r="G1261" s="20" t="s">
        <v>234</v>
      </c>
      <c r="H1261" s="23">
        <v>2500</v>
      </c>
      <c r="I1261" s="22">
        <v>2500</v>
      </c>
    </row>
    <row r="1262" spans="1:9" x14ac:dyDescent="0.3">
      <c r="A1262">
        <v>2025</v>
      </c>
      <c r="B1262" s="8">
        <v>51</v>
      </c>
      <c r="C1262" s="20" t="s">
        <v>45</v>
      </c>
      <c r="D1262" s="20" t="s">
        <v>46</v>
      </c>
      <c r="E1262" s="20" t="s">
        <v>232</v>
      </c>
      <c r="F1262" s="20" t="s">
        <v>232</v>
      </c>
      <c r="G1262" s="20" t="s">
        <v>234</v>
      </c>
      <c r="H1262" s="23">
        <v>2500</v>
      </c>
      <c r="I1262" s="22">
        <v>2500</v>
      </c>
    </row>
    <row r="1263" spans="1:9" x14ac:dyDescent="0.3">
      <c r="A1263">
        <v>2025</v>
      </c>
      <c r="B1263" s="8">
        <v>51</v>
      </c>
      <c r="C1263" s="20" t="s">
        <v>31</v>
      </c>
      <c r="D1263" s="20" t="s">
        <v>97</v>
      </c>
      <c r="E1263" s="20" t="s">
        <v>232</v>
      </c>
      <c r="F1263" s="20" t="s">
        <v>232</v>
      </c>
      <c r="G1263" s="20" t="s">
        <v>234</v>
      </c>
      <c r="H1263" s="23">
        <v>3000</v>
      </c>
      <c r="I1263" s="22">
        <v>2500</v>
      </c>
    </row>
    <row r="1264" spans="1:9" x14ac:dyDescent="0.3">
      <c r="A1264">
        <v>2025</v>
      </c>
      <c r="B1264" s="8">
        <v>51</v>
      </c>
      <c r="C1264" s="20" t="s">
        <v>68</v>
      </c>
      <c r="D1264" s="20" t="s">
        <v>69</v>
      </c>
      <c r="E1264" s="22" t="s">
        <v>241</v>
      </c>
      <c r="F1264" s="20" t="s">
        <v>291</v>
      </c>
      <c r="G1264" s="20" t="s">
        <v>234</v>
      </c>
      <c r="H1264" s="23">
        <v>2263.2199999999993</v>
      </c>
      <c r="I1264" s="22">
        <v>2500</v>
      </c>
    </row>
    <row r="1265" spans="1:9" x14ac:dyDescent="0.3">
      <c r="A1265">
        <v>2025</v>
      </c>
      <c r="B1265" s="8">
        <v>51</v>
      </c>
      <c r="C1265" s="20" t="s">
        <v>39</v>
      </c>
      <c r="D1265" s="20" t="s">
        <v>40</v>
      </c>
      <c r="E1265" s="20" t="s">
        <v>232</v>
      </c>
      <c r="F1265" s="20" t="s">
        <v>232</v>
      </c>
      <c r="G1265" s="20" t="s">
        <v>234</v>
      </c>
      <c r="H1265" s="23">
        <v>2143.27</v>
      </c>
      <c r="I1265" s="22">
        <v>2500</v>
      </c>
    </row>
    <row r="1266" spans="1:9" x14ac:dyDescent="0.3">
      <c r="A1266">
        <v>2025</v>
      </c>
      <c r="B1266" s="8">
        <v>51</v>
      </c>
      <c r="C1266" s="20" t="s">
        <v>49</v>
      </c>
      <c r="D1266" s="20" t="s">
        <v>50</v>
      </c>
      <c r="E1266" s="20" t="s">
        <v>232</v>
      </c>
      <c r="F1266" s="20" t="s">
        <v>232</v>
      </c>
      <c r="G1266" s="20" t="s">
        <v>234</v>
      </c>
      <c r="H1266" s="23">
        <v>3200</v>
      </c>
      <c r="I1266" s="22">
        <v>2500</v>
      </c>
    </row>
    <row r="1267" spans="1:9" x14ac:dyDescent="0.3">
      <c r="A1267">
        <v>2025</v>
      </c>
      <c r="B1267" s="8">
        <v>51</v>
      </c>
      <c r="C1267" s="20" t="s">
        <v>3</v>
      </c>
      <c r="D1267" s="20" t="s">
        <v>4</v>
      </c>
      <c r="E1267" s="20" t="s">
        <v>547</v>
      </c>
      <c r="F1267" s="20" t="s">
        <v>232</v>
      </c>
      <c r="G1267" s="20" t="s">
        <v>425</v>
      </c>
      <c r="H1267" s="23">
        <v>2018.0999999999985</v>
      </c>
      <c r="I1267" s="22">
        <v>2500</v>
      </c>
    </row>
    <row r="1268" spans="1:9" x14ac:dyDescent="0.3">
      <c r="A1268">
        <v>2025</v>
      </c>
      <c r="B1268" s="8">
        <v>51</v>
      </c>
      <c r="C1268" s="20" t="s">
        <v>66</v>
      </c>
      <c r="D1268" s="20" t="s">
        <v>56</v>
      </c>
      <c r="E1268" s="22" t="s">
        <v>241</v>
      </c>
      <c r="F1268" s="20" t="s">
        <v>291</v>
      </c>
      <c r="G1268" s="20" t="s">
        <v>234</v>
      </c>
      <c r="H1268" s="23">
        <v>1084.8099999999979</v>
      </c>
      <c r="I1268" s="22">
        <v>2500</v>
      </c>
    </row>
    <row r="1269" spans="1:9" x14ac:dyDescent="0.3">
      <c r="A1269">
        <v>2025</v>
      </c>
      <c r="B1269" s="8">
        <v>51</v>
      </c>
      <c r="C1269" s="20" t="s">
        <v>33</v>
      </c>
      <c r="D1269" s="20" t="s">
        <v>34</v>
      </c>
      <c r="E1269" s="20" t="s">
        <v>232</v>
      </c>
      <c r="F1269" s="20" t="s">
        <v>232</v>
      </c>
      <c r="G1269" s="20" t="s">
        <v>234</v>
      </c>
      <c r="H1269" s="23">
        <v>3028.2799999999997</v>
      </c>
      <c r="I1269" s="22">
        <v>2500</v>
      </c>
    </row>
    <row r="1270" spans="1:9" x14ac:dyDescent="0.3">
      <c r="A1270">
        <v>2025</v>
      </c>
      <c r="B1270" s="8">
        <v>51</v>
      </c>
      <c r="C1270" s="20" t="s">
        <v>74</v>
      </c>
      <c r="D1270" s="20" t="s">
        <v>75</v>
      </c>
      <c r="E1270" s="22" t="s">
        <v>241</v>
      </c>
      <c r="F1270" s="20" t="s">
        <v>291</v>
      </c>
      <c r="G1270" s="20" t="s">
        <v>234</v>
      </c>
      <c r="H1270" s="23">
        <v>2693.5599999999995</v>
      </c>
      <c r="I1270" s="22">
        <v>2500</v>
      </c>
    </row>
    <row r="1271" spans="1:9" x14ac:dyDescent="0.3">
      <c r="A1271">
        <v>2025</v>
      </c>
      <c r="B1271" s="8">
        <v>51</v>
      </c>
      <c r="C1271" s="20" t="s">
        <v>41</v>
      </c>
      <c r="D1271" s="20" t="s">
        <v>42</v>
      </c>
      <c r="E1271" s="20" t="s">
        <v>232</v>
      </c>
      <c r="F1271" s="20" t="s">
        <v>232</v>
      </c>
      <c r="G1271" s="20" t="s">
        <v>234</v>
      </c>
      <c r="H1271" s="23">
        <v>857.82</v>
      </c>
      <c r="I1271" s="22">
        <v>2500</v>
      </c>
    </row>
    <row r="1272" spans="1:9" x14ac:dyDescent="0.3">
      <c r="A1272">
        <v>2025</v>
      </c>
      <c r="B1272" s="8">
        <v>51</v>
      </c>
      <c r="C1272" s="20" t="s">
        <v>27</v>
      </c>
      <c r="D1272" s="20" t="s">
        <v>28</v>
      </c>
      <c r="E1272" s="20" t="s">
        <v>232</v>
      </c>
      <c r="F1272" s="20" t="s">
        <v>232</v>
      </c>
      <c r="G1272" s="20" t="s">
        <v>234</v>
      </c>
      <c r="H1272" s="23">
        <v>2999.7</v>
      </c>
      <c r="I1272" s="22">
        <v>2500</v>
      </c>
    </row>
    <row r="1273" spans="1:9" x14ac:dyDescent="0.3">
      <c r="A1273">
        <v>2025</v>
      </c>
      <c r="B1273" s="8">
        <v>51</v>
      </c>
      <c r="C1273" s="20" t="s">
        <v>19</v>
      </c>
      <c r="D1273" s="20" t="s">
        <v>20</v>
      </c>
      <c r="E1273" s="20" t="s">
        <v>232</v>
      </c>
      <c r="F1273" s="20" t="s">
        <v>232</v>
      </c>
      <c r="G1273" s="20" t="s">
        <v>234</v>
      </c>
      <c r="H1273" s="23">
        <v>3380</v>
      </c>
      <c r="I1273" s="22">
        <v>2500</v>
      </c>
    </row>
    <row r="1274" spans="1:9" x14ac:dyDescent="0.3">
      <c r="A1274">
        <v>2025</v>
      </c>
      <c r="B1274" s="8">
        <v>51</v>
      </c>
      <c r="C1274" s="20" t="s">
        <v>21</v>
      </c>
      <c r="D1274" s="20" t="s">
        <v>22</v>
      </c>
      <c r="E1274" s="20" t="s">
        <v>232</v>
      </c>
      <c r="F1274" s="20" t="s">
        <v>232</v>
      </c>
      <c r="G1274" s="20" t="s">
        <v>234</v>
      </c>
      <c r="H1274" s="23">
        <v>3123.9800000000005</v>
      </c>
      <c r="I1274" s="22">
        <v>2500</v>
      </c>
    </row>
    <row r="1275" spans="1:9" x14ac:dyDescent="0.3">
      <c r="A1275">
        <v>2025</v>
      </c>
      <c r="B1275" s="8">
        <v>51</v>
      </c>
      <c r="C1275" s="20" t="s">
        <v>506</v>
      </c>
      <c r="D1275" s="20" t="s">
        <v>54</v>
      </c>
      <c r="E1275" s="20" t="s">
        <v>232</v>
      </c>
      <c r="F1275" s="20" t="s">
        <v>232</v>
      </c>
      <c r="G1275" s="20" t="s">
        <v>234</v>
      </c>
      <c r="H1275" s="23">
        <v>2999.3</v>
      </c>
      <c r="I1275" s="22">
        <v>2500</v>
      </c>
    </row>
    <row r="1276" spans="1:9" x14ac:dyDescent="0.3">
      <c r="A1276">
        <v>2025</v>
      </c>
      <c r="B1276" s="8">
        <v>51</v>
      </c>
      <c r="C1276" s="20" t="s">
        <v>98</v>
      </c>
      <c r="D1276" s="20" t="s">
        <v>168</v>
      </c>
      <c r="E1276" s="20" t="s">
        <v>232</v>
      </c>
      <c r="F1276" s="20" t="s">
        <v>232</v>
      </c>
      <c r="G1276" s="20" t="s">
        <v>234</v>
      </c>
      <c r="H1276" s="23">
        <v>2500.2600000000002</v>
      </c>
      <c r="I1276" s="22">
        <v>2500</v>
      </c>
    </row>
    <row r="1277" spans="1:9" x14ac:dyDescent="0.3">
      <c r="A1277">
        <v>2025</v>
      </c>
      <c r="B1277" s="8">
        <v>51</v>
      </c>
      <c r="C1277" s="20" t="s">
        <v>80</v>
      </c>
      <c r="D1277" s="20" t="s">
        <v>81</v>
      </c>
      <c r="E1277" s="20" t="s">
        <v>232</v>
      </c>
      <c r="F1277" s="20" t="s">
        <v>232</v>
      </c>
      <c r="G1277" s="20" t="s">
        <v>234</v>
      </c>
      <c r="H1277" s="23">
        <v>1070.58</v>
      </c>
      <c r="I1277" s="22">
        <v>2500</v>
      </c>
    </row>
    <row r="1278" spans="1:9" x14ac:dyDescent="0.3">
      <c r="A1278">
        <v>2025</v>
      </c>
      <c r="B1278" s="8">
        <v>51</v>
      </c>
      <c r="C1278" s="20" t="s">
        <v>9</v>
      </c>
      <c r="D1278" s="20" t="s">
        <v>10</v>
      </c>
      <c r="E1278" s="20" t="s">
        <v>547</v>
      </c>
      <c r="F1278" s="20" t="s">
        <v>232</v>
      </c>
      <c r="G1278" s="20" t="s">
        <v>425</v>
      </c>
      <c r="H1278" s="23">
        <v>314.61999999999898</v>
      </c>
      <c r="I1278" s="22">
        <v>2500</v>
      </c>
    </row>
    <row r="1279" spans="1:9" x14ac:dyDescent="0.3">
      <c r="A1279">
        <v>2025</v>
      </c>
      <c r="B1279" s="8">
        <v>51</v>
      </c>
      <c r="C1279" s="20" t="s">
        <v>9</v>
      </c>
      <c r="D1279" s="20" t="s">
        <v>10</v>
      </c>
      <c r="E1279" s="20" t="s">
        <v>232</v>
      </c>
      <c r="F1279" s="20" t="s">
        <v>232</v>
      </c>
      <c r="G1279" s="20" t="s">
        <v>234</v>
      </c>
      <c r="H1279" s="23">
        <v>2185.96</v>
      </c>
      <c r="I1279" s="22"/>
    </row>
    <row r="1280" spans="1:9" x14ac:dyDescent="0.3">
      <c r="A1280">
        <v>2025</v>
      </c>
      <c r="B1280" s="8">
        <v>51</v>
      </c>
      <c r="C1280" s="20" t="s">
        <v>111</v>
      </c>
      <c r="D1280" s="20" t="s">
        <v>63</v>
      </c>
      <c r="E1280" s="20" t="s">
        <v>291</v>
      </c>
      <c r="F1280" s="20" t="s">
        <v>291</v>
      </c>
      <c r="G1280" s="20" t="s">
        <v>234</v>
      </c>
      <c r="H1280" s="23">
        <v>2128.5699999999997</v>
      </c>
      <c r="I1280" s="22">
        <v>2500</v>
      </c>
    </row>
    <row r="1281" spans="1:9" x14ac:dyDescent="0.3">
      <c r="A1281">
        <v>2025</v>
      </c>
      <c r="B1281" s="8">
        <v>51</v>
      </c>
      <c r="C1281" s="20" t="s">
        <v>51</v>
      </c>
      <c r="D1281" s="20" t="s">
        <v>52</v>
      </c>
      <c r="E1281" s="20" t="s">
        <v>232</v>
      </c>
      <c r="F1281" s="20" t="s">
        <v>232</v>
      </c>
      <c r="G1281" s="20" t="s">
        <v>234</v>
      </c>
      <c r="H1281" s="23">
        <v>2500</v>
      </c>
      <c r="I1281" s="22">
        <v>2500</v>
      </c>
    </row>
    <row r="1282" spans="1:9" x14ac:dyDescent="0.3">
      <c r="A1282">
        <v>2025</v>
      </c>
      <c r="B1282" s="8">
        <v>51</v>
      </c>
      <c r="C1282" s="20" t="s">
        <v>15</v>
      </c>
      <c r="D1282" s="20" t="s">
        <v>16</v>
      </c>
      <c r="E1282" s="20" t="s">
        <v>232</v>
      </c>
      <c r="F1282" s="20" t="s">
        <v>232</v>
      </c>
      <c r="G1282" s="20" t="s">
        <v>234</v>
      </c>
      <c r="H1282" s="23">
        <v>2999.04</v>
      </c>
      <c r="I1282" s="22">
        <v>2500</v>
      </c>
    </row>
    <row r="1283" spans="1:9" x14ac:dyDescent="0.3">
      <c r="A1283">
        <v>2025</v>
      </c>
      <c r="B1283" s="8">
        <v>51</v>
      </c>
      <c r="C1283" s="20" t="s">
        <v>47</v>
      </c>
      <c r="D1283" s="20" t="s">
        <v>106</v>
      </c>
      <c r="E1283" s="20" t="s">
        <v>232</v>
      </c>
      <c r="F1283" s="20" t="s">
        <v>232</v>
      </c>
      <c r="G1283" s="20" t="s">
        <v>234</v>
      </c>
      <c r="H1283" s="23">
        <v>3000</v>
      </c>
      <c r="I1283" s="22">
        <v>2500</v>
      </c>
    </row>
    <row r="1284" spans="1:9" x14ac:dyDescent="0.3">
      <c r="A1284">
        <v>2025</v>
      </c>
      <c r="B1284" s="8">
        <v>51</v>
      </c>
      <c r="C1284" s="20" t="s">
        <v>72</v>
      </c>
      <c r="D1284" s="20" t="s">
        <v>73</v>
      </c>
      <c r="E1284" s="22" t="s">
        <v>241</v>
      </c>
      <c r="F1284" s="20" t="s">
        <v>291</v>
      </c>
      <c r="G1284" s="20" t="s">
        <v>234</v>
      </c>
      <c r="H1284" s="23">
        <v>2500</v>
      </c>
      <c r="I1284" s="22">
        <v>2500</v>
      </c>
    </row>
    <row r="1285" spans="1:9" x14ac:dyDescent="0.3">
      <c r="A1285">
        <v>2025</v>
      </c>
      <c r="B1285" s="8">
        <v>51</v>
      </c>
      <c r="C1285" s="20" t="s">
        <v>43</v>
      </c>
      <c r="D1285" s="20" t="s">
        <v>44</v>
      </c>
      <c r="E1285" s="22" t="s">
        <v>232</v>
      </c>
      <c r="F1285" s="20" t="s">
        <v>232</v>
      </c>
      <c r="G1285" s="20" t="s">
        <v>234</v>
      </c>
      <c r="H1285" s="23">
        <v>2771.4000000000005</v>
      </c>
      <c r="I1285" s="22">
        <v>2500</v>
      </c>
    </row>
    <row r="1286" spans="1:9" x14ac:dyDescent="0.3">
      <c r="A1286">
        <v>2025</v>
      </c>
      <c r="B1286" s="8">
        <v>51</v>
      </c>
      <c r="C1286" s="20" t="s">
        <v>78</v>
      </c>
      <c r="D1286" s="20" t="s">
        <v>79</v>
      </c>
      <c r="E1286" s="20" t="s">
        <v>291</v>
      </c>
      <c r="F1286" s="20" t="s">
        <v>291</v>
      </c>
      <c r="G1286" s="20" t="s">
        <v>234</v>
      </c>
      <c r="H1286" s="23">
        <v>2678</v>
      </c>
      <c r="I1286" s="22">
        <v>2500</v>
      </c>
    </row>
    <row r="1287" spans="1:9" x14ac:dyDescent="0.3">
      <c r="A1287">
        <v>2025</v>
      </c>
      <c r="B1287" s="8">
        <v>51</v>
      </c>
      <c r="C1287" s="20" t="s">
        <v>61</v>
      </c>
      <c r="D1287" s="20" t="s">
        <v>34</v>
      </c>
      <c r="E1287" s="20" t="s">
        <v>232</v>
      </c>
      <c r="F1287" s="20" t="s">
        <v>232</v>
      </c>
      <c r="G1287" s="20" t="s">
        <v>234</v>
      </c>
      <c r="H1287" s="23">
        <v>700</v>
      </c>
      <c r="I1287" s="22">
        <v>2500</v>
      </c>
    </row>
    <row r="1288" spans="1:9" x14ac:dyDescent="0.3">
      <c r="A1288">
        <v>2025</v>
      </c>
      <c r="B1288" s="8">
        <v>51</v>
      </c>
      <c r="C1288" s="20" t="s">
        <v>61</v>
      </c>
      <c r="D1288" s="20" t="s">
        <v>104</v>
      </c>
      <c r="E1288" s="20" t="s">
        <v>364</v>
      </c>
      <c r="F1288" s="20" t="s">
        <v>364</v>
      </c>
      <c r="G1288" s="20" t="s">
        <v>234</v>
      </c>
      <c r="H1288" s="23">
        <v>2500</v>
      </c>
      <c r="I1288" s="22">
        <v>2500</v>
      </c>
    </row>
    <row r="1289" spans="1:9" x14ac:dyDescent="0.3">
      <c r="A1289">
        <v>2025</v>
      </c>
      <c r="B1289" s="8">
        <v>51</v>
      </c>
      <c r="C1289" s="20" t="s">
        <v>7</v>
      </c>
      <c r="D1289" s="20" t="s">
        <v>8</v>
      </c>
      <c r="E1289" s="20" t="s">
        <v>364</v>
      </c>
      <c r="F1289" s="20" t="s">
        <v>364</v>
      </c>
      <c r="G1289" s="20" t="s">
        <v>425</v>
      </c>
      <c r="H1289" s="23">
        <v>1157.4000000000015</v>
      </c>
      <c r="I1289" s="22">
        <v>2500</v>
      </c>
    </row>
    <row r="1290" spans="1:9" x14ac:dyDescent="0.3">
      <c r="A1290">
        <v>2025</v>
      </c>
      <c r="B1290" s="8">
        <v>51</v>
      </c>
      <c r="C1290" s="20" t="s">
        <v>417</v>
      </c>
      <c r="D1290" s="20" t="s">
        <v>428</v>
      </c>
      <c r="E1290" s="20" t="s">
        <v>364</v>
      </c>
      <c r="F1290" s="20" t="s">
        <v>364</v>
      </c>
      <c r="G1290" s="20" t="s">
        <v>234</v>
      </c>
      <c r="H1290" s="23">
        <v>2500</v>
      </c>
      <c r="I1290" s="22">
        <v>2500</v>
      </c>
    </row>
    <row r="1291" spans="1:9" x14ac:dyDescent="0.3">
      <c r="A1291">
        <v>2025</v>
      </c>
      <c r="B1291" s="8">
        <v>51</v>
      </c>
      <c r="C1291" s="20" t="s">
        <v>29</v>
      </c>
      <c r="D1291" s="20" t="s">
        <v>30</v>
      </c>
      <c r="E1291" s="20" t="s">
        <v>232</v>
      </c>
      <c r="F1291" s="20" t="s">
        <v>232</v>
      </c>
      <c r="G1291" s="20" t="s">
        <v>234</v>
      </c>
      <c r="H1291" s="23">
        <v>2999.3152000000009</v>
      </c>
      <c r="I1291" s="22">
        <v>2500</v>
      </c>
    </row>
    <row r="1292" spans="1:9" x14ac:dyDescent="0.3">
      <c r="A1292">
        <v>2025</v>
      </c>
      <c r="B1292" s="8">
        <v>51</v>
      </c>
      <c r="C1292" s="20" t="s">
        <v>76</v>
      </c>
      <c r="D1292" s="20" t="s">
        <v>77</v>
      </c>
      <c r="E1292" s="20" t="s">
        <v>232</v>
      </c>
      <c r="F1292" s="20" t="s">
        <v>291</v>
      </c>
      <c r="G1292" s="20" t="s">
        <v>234</v>
      </c>
      <c r="H1292" s="23">
        <v>-1995.3000000000002</v>
      </c>
      <c r="I1292" s="22">
        <v>2500</v>
      </c>
    </row>
    <row r="1293" spans="1:9" x14ac:dyDescent="0.3">
      <c r="A1293">
        <v>2025</v>
      </c>
      <c r="B1293" s="8">
        <v>51</v>
      </c>
      <c r="C1293" s="20" t="s">
        <v>53</v>
      </c>
      <c r="D1293" s="20" t="s">
        <v>86</v>
      </c>
      <c r="E1293" s="20" t="s">
        <v>232</v>
      </c>
      <c r="F1293" s="20" t="s">
        <v>232</v>
      </c>
      <c r="G1293" s="20" t="s">
        <v>234</v>
      </c>
      <c r="H1293" s="23">
        <v>1251.2299999999996</v>
      </c>
      <c r="I1293" s="22">
        <v>2500</v>
      </c>
    </row>
    <row r="1294" spans="1:9" x14ac:dyDescent="0.3">
      <c r="A1294">
        <v>2025</v>
      </c>
      <c r="B1294" s="8">
        <v>51</v>
      </c>
      <c r="C1294" s="20" t="s">
        <v>64</v>
      </c>
      <c r="D1294" s="20" t="s">
        <v>59</v>
      </c>
      <c r="E1294" s="20" t="s">
        <v>232</v>
      </c>
      <c r="F1294" s="20" t="s">
        <v>291</v>
      </c>
      <c r="G1294" s="20" t="s">
        <v>234</v>
      </c>
      <c r="H1294" s="23">
        <v>1715</v>
      </c>
      <c r="I1294" s="22">
        <v>2500</v>
      </c>
    </row>
    <row r="1295" spans="1:9" x14ac:dyDescent="0.3">
      <c r="A1295">
        <v>2025</v>
      </c>
      <c r="B1295" s="8">
        <v>51</v>
      </c>
      <c r="C1295" s="20" t="s">
        <v>64</v>
      </c>
      <c r="D1295" s="20" t="s">
        <v>59</v>
      </c>
      <c r="E1295" s="20" t="s">
        <v>232</v>
      </c>
      <c r="F1295" s="20" t="s">
        <v>232</v>
      </c>
      <c r="G1295" s="20" t="s">
        <v>234</v>
      </c>
      <c r="H1295" s="23">
        <v>1285.42</v>
      </c>
      <c r="I1295" s="22"/>
    </row>
    <row r="1296" spans="1:9" x14ac:dyDescent="0.3">
      <c r="A1296">
        <v>2025</v>
      </c>
      <c r="B1296" s="8">
        <v>51</v>
      </c>
      <c r="C1296" s="20" t="s">
        <v>35</v>
      </c>
      <c r="D1296" s="20" t="s">
        <v>36</v>
      </c>
      <c r="E1296" s="20" t="s">
        <v>232</v>
      </c>
      <c r="F1296" s="20" t="s">
        <v>232</v>
      </c>
      <c r="G1296" s="20" t="s">
        <v>234</v>
      </c>
      <c r="H1296" s="23">
        <v>2969</v>
      </c>
      <c r="I1296" s="22">
        <v>2500</v>
      </c>
    </row>
    <row r="1297" spans="1:9" x14ac:dyDescent="0.3">
      <c r="A1297">
        <v>2025</v>
      </c>
      <c r="B1297" s="8">
        <v>51</v>
      </c>
      <c r="C1297" s="20" t="s">
        <v>13</v>
      </c>
      <c r="D1297" s="20" t="s">
        <v>14</v>
      </c>
      <c r="E1297" s="20" t="s">
        <v>232</v>
      </c>
      <c r="F1297" s="20" t="s">
        <v>232</v>
      </c>
      <c r="G1297" s="20" t="s">
        <v>234</v>
      </c>
      <c r="H1297" s="23">
        <v>2700</v>
      </c>
      <c r="I1297" s="22">
        <v>2500</v>
      </c>
    </row>
    <row r="1298" spans="1:9" x14ac:dyDescent="0.3">
      <c r="A1298">
        <v>2025</v>
      </c>
      <c r="B1298" s="8">
        <v>51</v>
      </c>
      <c r="C1298" s="20" t="s">
        <v>11</v>
      </c>
      <c r="D1298" s="20" t="s">
        <v>12</v>
      </c>
      <c r="E1298" s="20" t="s">
        <v>232</v>
      </c>
      <c r="F1298" s="20" t="s">
        <v>232</v>
      </c>
      <c r="G1298" s="20" t="s">
        <v>234</v>
      </c>
      <c r="H1298" s="23">
        <v>2700</v>
      </c>
      <c r="I1298" s="22">
        <v>2500</v>
      </c>
    </row>
    <row r="1299" spans="1:9" x14ac:dyDescent="0.3">
      <c r="A1299">
        <v>2025</v>
      </c>
      <c r="B1299" s="8">
        <v>51</v>
      </c>
      <c r="C1299" s="20" t="s">
        <v>23</v>
      </c>
      <c r="D1299" s="20" t="s">
        <v>24</v>
      </c>
      <c r="E1299" s="20" t="s">
        <v>232</v>
      </c>
      <c r="F1299" s="20" t="s">
        <v>232</v>
      </c>
      <c r="G1299" s="20" t="s">
        <v>234</v>
      </c>
      <c r="H1299" s="23">
        <v>3390.1599999999994</v>
      </c>
      <c r="I1299" s="22">
        <v>2500</v>
      </c>
    </row>
    <row r="1300" spans="1:9" x14ac:dyDescent="0.3">
      <c r="A1300">
        <v>2025</v>
      </c>
      <c r="B1300" s="8">
        <v>51</v>
      </c>
      <c r="C1300" s="20" t="s">
        <v>17</v>
      </c>
      <c r="D1300" s="20" t="s">
        <v>18</v>
      </c>
      <c r="E1300" s="20" t="s">
        <v>232</v>
      </c>
      <c r="F1300" s="20" t="s">
        <v>232</v>
      </c>
      <c r="G1300" s="20" t="s">
        <v>234</v>
      </c>
      <c r="H1300" s="23">
        <v>2700.1400000000003</v>
      </c>
      <c r="I1300" s="22">
        <v>2500</v>
      </c>
    </row>
    <row r="1301" spans="1:9" x14ac:dyDescent="0.3">
      <c r="A1301">
        <v>2025</v>
      </c>
      <c r="B1301" s="8">
        <v>51</v>
      </c>
      <c r="C1301" s="20" t="s">
        <v>82</v>
      </c>
      <c r="D1301" s="20" t="s">
        <v>83</v>
      </c>
      <c r="E1301" s="20" t="s">
        <v>232</v>
      </c>
      <c r="F1301" s="20" t="s">
        <v>232</v>
      </c>
      <c r="G1301" s="20" t="s">
        <v>234</v>
      </c>
      <c r="H1301" s="23">
        <v>2000</v>
      </c>
      <c r="I1301" s="22">
        <v>2500</v>
      </c>
    </row>
    <row r="1302" spans="1:9" x14ac:dyDescent="0.3">
      <c r="A1302">
        <v>2025</v>
      </c>
      <c r="B1302" s="8">
        <v>51</v>
      </c>
      <c r="C1302" s="20" t="s">
        <v>25</v>
      </c>
      <c r="D1302" s="20" t="s">
        <v>26</v>
      </c>
      <c r="E1302" s="20" t="s">
        <v>232</v>
      </c>
      <c r="F1302" s="20" t="s">
        <v>291</v>
      </c>
      <c r="G1302" s="20" t="s">
        <v>234</v>
      </c>
      <c r="H1302" s="23">
        <v>480.55999999999995</v>
      </c>
      <c r="I1302" s="22">
        <v>2500</v>
      </c>
    </row>
    <row r="1303" spans="1:9" x14ac:dyDescent="0.3">
      <c r="A1303">
        <v>2025</v>
      </c>
      <c r="B1303" s="8">
        <v>51</v>
      </c>
      <c r="C1303" s="20" t="s">
        <v>25</v>
      </c>
      <c r="D1303" s="20" t="s">
        <v>26</v>
      </c>
      <c r="E1303" s="20" t="s">
        <v>232</v>
      </c>
      <c r="F1303" s="20" t="s">
        <v>232</v>
      </c>
      <c r="G1303" s="20" t="s">
        <v>234</v>
      </c>
      <c r="H1303" s="23">
        <v>1419</v>
      </c>
      <c r="I1303" s="22"/>
    </row>
    <row r="1304" spans="1:9" x14ac:dyDescent="0.3">
      <c r="A1304">
        <v>2025</v>
      </c>
      <c r="B1304" s="8">
        <v>51</v>
      </c>
      <c r="C1304" s="20" t="s">
        <v>37</v>
      </c>
      <c r="D1304" s="20" t="s">
        <v>38</v>
      </c>
      <c r="E1304" s="20" t="s">
        <v>232</v>
      </c>
      <c r="F1304" s="20" t="s">
        <v>232</v>
      </c>
      <c r="G1304" s="20" t="s">
        <v>234</v>
      </c>
      <c r="H1304" s="23">
        <v>2500</v>
      </c>
      <c r="I1304" s="22">
        <v>2500</v>
      </c>
    </row>
    <row r="1305" spans="1:9" x14ac:dyDescent="0.3">
      <c r="A1305">
        <v>2025</v>
      </c>
      <c r="B1305" s="8">
        <v>51</v>
      </c>
      <c r="C1305" s="20" t="s">
        <v>5</v>
      </c>
      <c r="D1305" s="20" t="s">
        <v>6</v>
      </c>
      <c r="E1305" s="20" t="s">
        <v>547</v>
      </c>
      <c r="F1305" s="20" t="s">
        <v>232</v>
      </c>
      <c r="G1305" s="20" t="s">
        <v>425</v>
      </c>
      <c r="H1305" s="23">
        <v>-323.41999999999916</v>
      </c>
      <c r="I1305" s="22">
        <v>2500</v>
      </c>
    </row>
    <row r="1306" spans="1:9" x14ac:dyDescent="0.3">
      <c r="A1306">
        <v>2025</v>
      </c>
      <c r="B1306" s="8">
        <v>51</v>
      </c>
      <c r="C1306" s="20" t="s">
        <v>543</v>
      </c>
      <c r="D1306" s="20" t="s">
        <v>6</v>
      </c>
      <c r="E1306" s="20" t="s">
        <v>547</v>
      </c>
      <c r="F1306" s="20" t="s">
        <v>232</v>
      </c>
      <c r="G1306" s="20" t="s">
        <v>425</v>
      </c>
      <c r="H1306" s="23">
        <v>793.48</v>
      </c>
      <c r="I1306" s="22">
        <v>2500</v>
      </c>
    </row>
    <row r="1307" spans="1:9" x14ac:dyDescent="0.3">
      <c r="A1307">
        <v>2025</v>
      </c>
      <c r="B1307" s="8">
        <v>51</v>
      </c>
      <c r="C1307" s="20" t="s">
        <v>57</v>
      </c>
      <c r="D1307" s="20" t="s">
        <v>16</v>
      </c>
      <c r="E1307" s="20" t="s">
        <v>232</v>
      </c>
      <c r="F1307" s="20" t="s">
        <v>232</v>
      </c>
      <c r="G1307" s="20" t="s">
        <v>234</v>
      </c>
      <c r="H1307" s="23">
        <v>-500</v>
      </c>
      <c r="I1307" s="22">
        <v>2500</v>
      </c>
    </row>
    <row r="1308" spans="1:9" x14ac:dyDescent="0.3">
      <c r="A1308">
        <v>2025</v>
      </c>
      <c r="B1308" s="8">
        <v>51</v>
      </c>
      <c r="C1308" s="20" t="s">
        <v>414</v>
      </c>
      <c r="D1308" s="20" t="s">
        <v>59</v>
      </c>
      <c r="E1308" s="20" t="s">
        <v>232</v>
      </c>
      <c r="F1308" s="20" t="s">
        <v>232</v>
      </c>
      <c r="G1308" s="20" t="s">
        <v>234</v>
      </c>
      <c r="H1308" s="23">
        <v>-500</v>
      </c>
      <c r="I1308" s="22">
        <v>2500</v>
      </c>
    </row>
    <row r="1309" spans="1:9" x14ac:dyDescent="0.3">
      <c r="A1309">
        <v>2025</v>
      </c>
      <c r="B1309" s="8">
        <v>51</v>
      </c>
      <c r="C1309" s="20" t="s">
        <v>444</v>
      </c>
      <c r="D1309" s="20" t="s">
        <v>44</v>
      </c>
      <c r="E1309" s="22" t="s">
        <v>232</v>
      </c>
      <c r="F1309" s="20" t="s">
        <v>232</v>
      </c>
      <c r="G1309" s="20" t="s">
        <v>234</v>
      </c>
      <c r="H1309" s="23">
        <v>-500</v>
      </c>
      <c r="I1309" s="22">
        <v>2500</v>
      </c>
    </row>
    <row r="1310" spans="1:9" x14ac:dyDescent="0.3">
      <c r="A1310">
        <v>2025</v>
      </c>
      <c r="B1310" s="8">
        <v>51</v>
      </c>
      <c r="C1310" s="20" t="s">
        <v>60</v>
      </c>
      <c r="D1310" s="41" t="s">
        <v>42</v>
      </c>
      <c r="E1310" s="20" t="s">
        <v>232</v>
      </c>
      <c r="F1310" s="20" t="s">
        <v>232</v>
      </c>
      <c r="G1310" s="20" t="s">
        <v>234</v>
      </c>
      <c r="H1310" s="23">
        <v>0</v>
      </c>
      <c r="I1310" s="22">
        <v>2500</v>
      </c>
    </row>
    <row r="1311" spans="1:9" x14ac:dyDescent="0.3">
      <c r="A1311">
        <v>2025</v>
      </c>
      <c r="B1311" s="49">
        <v>52</v>
      </c>
      <c r="C1311" s="20" t="s">
        <v>3</v>
      </c>
      <c r="D1311" s="50" t="str">
        <f>VLOOKUP($C1311,$C$1263:$H$1311,2,0)</f>
        <v>MARCH|2020|TURQ|N15BKD</v>
      </c>
      <c r="E1311" s="50" t="s">
        <v>232</v>
      </c>
      <c r="F1311" s="50" t="s">
        <v>232</v>
      </c>
      <c r="G1311" s="50" t="s">
        <v>425</v>
      </c>
      <c r="H1311" s="23">
        <v>-2756.1699999999983</v>
      </c>
      <c r="I1311" s="22">
        <v>2500</v>
      </c>
    </row>
    <row r="1312" spans="1:9" x14ac:dyDescent="0.3">
      <c r="A1312">
        <v>2025</v>
      </c>
      <c r="B1312" s="49">
        <v>52</v>
      </c>
      <c r="C1312" s="50" t="s">
        <v>5</v>
      </c>
      <c r="D1312" s="50" t="str">
        <f>VLOOKUP($C1312,$C$1263:$H$1311,2,0)</f>
        <v>V DRIVE|2023|GRIS|MXW453C</v>
      </c>
      <c r="E1312" s="50" t="s">
        <v>232</v>
      </c>
      <c r="F1312" s="50" t="s">
        <v>232</v>
      </c>
      <c r="G1312" s="50" t="s">
        <v>425</v>
      </c>
      <c r="H1312" s="23">
        <v>5193.604800000001</v>
      </c>
      <c r="I1312" s="22">
        <v>2500</v>
      </c>
    </row>
    <row r="1313" spans="1:9" x14ac:dyDescent="0.3">
      <c r="A1313">
        <v>2025</v>
      </c>
      <c r="B1313" s="49">
        <v>52</v>
      </c>
      <c r="C1313" s="20" t="s">
        <v>7</v>
      </c>
      <c r="D1313" s="20" t="s">
        <v>8</v>
      </c>
      <c r="E1313" s="20" t="s">
        <v>364</v>
      </c>
      <c r="F1313" s="20" t="s">
        <v>364</v>
      </c>
      <c r="G1313" s="20" t="s">
        <v>425</v>
      </c>
      <c r="H1313" s="23">
        <v>2600.5800000000017</v>
      </c>
      <c r="I1313" s="22">
        <v>2500</v>
      </c>
    </row>
    <row r="1314" spans="1:9" x14ac:dyDescent="0.3">
      <c r="A1314">
        <v>2025</v>
      </c>
      <c r="B1314" s="49">
        <v>52</v>
      </c>
      <c r="C1314" s="50" t="s">
        <v>11</v>
      </c>
      <c r="D1314" s="50" t="str">
        <f t="shared" ref="D1314:D1346" si="0">VLOOKUP($C1314,$C$1263:$H$1311,2,0)</f>
        <v>AVEO|2025|PERSUASION|MXM510C</v>
      </c>
      <c r="E1314" s="50" t="s">
        <v>232</v>
      </c>
      <c r="F1314" s="50" t="s">
        <v>232</v>
      </c>
      <c r="G1314" s="50" t="s">
        <v>234</v>
      </c>
      <c r="H1314" s="23">
        <v>2700</v>
      </c>
      <c r="I1314" s="22">
        <v>2500</v>
      </c>
    </row>
    <row r="1315" spans="1:9" x14ac:dyDescent="0.3">
      <c r="A1315">
        <v>2025</v>
      </c>
      <c r="B1315" s="49">
        <v>52</v>
      </c>
      <c r="C1315" s="50" t="s">
        <v>13</v>
      </c>
      <c r="D1315" s="50" t="str">
        <f t="shared" si="0"/>
        <v>AVEO|2025|PERSUASION|MXM503C</v>
      </c>
      <c r="E1315" s="50" t="s">
        <v>232</v>
      </c>
      <c r="F1315" s="50" t="s">
        <v>232</v>
      </c>
      <c r="G1315" s="50" t="s">
        <v>234</v>
      </c>
      <c r="H1315" s="23">
        <v>2700</v>
      </c>
      <c r="I1315" s="22">
        <v>2500</v>
      </c>
    </row>
    <row r="1316" spans="1:9" x14ac:dyDescent="0.3">
      <c r="A1316">
        <v>2025</v>
      </c>
      <c r="B1316" s="49">
        <v>52</v>
      </c>
      <c r="C1316" s="50" t="s">
        <v>15</v>
      </c>
      <c r="D1316" s="50" t="str">
        <f t="shared" si="0"/>
        <v>AVEO|2020|AZUL|D28BET</v>
      </c>
      <c r="E1316" s="50" t="s">
        <v>232</v>
      </c>
      <c r="F1316" s="50" t="s">
        <v>232</v>
      </c>
      <c r="G1316" s="50" t="s">
        <v>234</v>
      </c>
      <c r="H1316" s="23">
        <v>3000.1070718726087</v>
      </c>
      <c r="I1316" s="22">
        <v>2500</v>
      </c>
    </row>
    <row r="1317" spans="1:9" x14ac:dyDescent="0.3">
      <c r="A1317">
        <v>2025</v>
      </c>
      <c r="B1317" s="49">
        <v>52</v>
      </c>
      <c r="C1317" s="50" t="s">
        <v>17</v>
      </c>
      <c r="D1317" s="50" t="str">
        <f t="shared" si="0"/>
        <v>AVEO|2025|PERSUASION|MZN091C</v>
      </c>
      <c r="E1317" s="50" t="s">
        <v>232</v>
      </c>
      <c r="F1317" s="50" t="s">
        <v>232</v>
      </c>
      <c r="G1317" s="50" t="s">
        <v>234</v>
      </c>
      <c r="H1317" s="23">
        <v>1384.7513662772826</v>
      </c>
      <c r="I1317" s="22">
        <v>2500</v>
      </c>
    </row>
    <row r="1318" spans="1:9" x14ac:dyDescent="0.3">
      <c r="A1318">
        <v>2025</v>
      </c>
      <c r="B1318" s="49">
        <v>52</v>
      </c>
      <c r="C1318" s="50" t="s">
        <v>19</v>
      </c>
      <c r="D1318" s="50" t="str">
        <f t="shared" si="0"/>
        <v>HYUNDAI|2022|PLATA|D40BKD</v>
      </c>
      <c r="E1318" s="50" t="s">
        <v>232</v>
      </c>
      <c r="F1318" s="50" t="s">
        <v>232</v>
      </c>
      <c r="G1318" s="50" t="s">
        <v>234</v>
      </c>
      <c r="H1318" s="23">
        <v>3100</v>
      </c>
      <c r="I1318" s="22">
        <v>2500</v>
      </c>
    </row>
    <row r="1319" spans="1:9" x14ac:dyDescent="0.3">
      <c r="A1319">
        <v>2025</v>
      </c>
      <c r="B1319" s="49">
        <v>52</v>
      </c>
      <c r="C1319" s="50" t="s">
        <v>21</v>
      </c>
      <c r="D1319" s="50" t="str">
        <f t="shared" si="0"/>
        <v>KIA RIO|2020|GRIS|NCK475B</v>
      </c>
      <c r="E1319" s="50" t="s">
        <v>232</v>
      </c>
      <c r="F1319" s="50" t="s">
        <v>232</v>
      </c>
      <c r="G1319" s="50" t="s">
        <v>234</v>
      </c>
      <c r="H1319" s="23">
        <v>2959.4639128688996</v>
      </c>
      <c r="I1319" s="22">
        <v>2500</v>
      </c>
    </row>
    <row r="1320" spans="1:9" x14ac:dyDescent="0.3">
      <c r="A1320">
        <v>2025</v>
      </c>
      <c r="B1320" s="49">
        <v>52</v>
      </c>
      <c r="C1320" s="50" t="s">
        <v>23</v>
      </c>
      <c r="D1320" s="50" t="str">
        <f t="shared" si="0"/>
        <v>AVEO|2025|PERSUASION|MXM502C</v>
      </c>
      <c r="E1320" s="50" t="s">
        <v>232</v>
      </c>
      <c r="F1320" s="50" t="s">
        <v>232</v>
      </c>
      <c r="G1320" s="50" t="s">
        <v>234</v>
      </c>
      <c r="H1320" s="23">
        <v>-5558.5479811271643</v>
      </c>
      <c r="I1320" s="22">
        <v>2500</v>
      </c>
    </row>
    <row r="1321" spans="1:9" x14ac:dyDescent="0.3">
      <c r="A1321">
        <v>2025</v>
      </c>
      <c r="B1321" s="49">
        <v>52</v>
      </c>
      <c r="C1321" s="50" t="s">
        <v>25</v>
      </c>
      <c r="D1321" s="50" t="str">
        <f t="shared" si="0"/>
        <v>AVEOH|2024|BLANCO|MWV156C</v>
      </c>
      <c r="E1321" s="50" t="s">
        <v>232</v>
      </c>
      <c r="F1321" s="50" t="s">
        <v>232</v>
      </c>
      <c r="G1321" s="50" t="s">
        <v>234</v>
      </c>
      <c r="H1321" s="23">
        <v>1953.4008554987931</v>
      </c>
      <c r="I1321" s="22">
        <v>2500</v>
      </c>
    </row>
    <row r="1322" spans="1:9" x14ac:dyDescent="0.3">
      <c r="A1322">
        <v>2025</v>
      </c>
      <c r="B1322" s="49">
        <v>52</v>
      </c>
      <c r="C1322" s="50" t="s">
        <v>27</v>
      </c>
      <c r="D1322" s="50" t="str">
        <f t="shared" si="0"/>
        <v>VERSA|2023|PLATA|NCT814A</v>
      </c>
      <c r="E1322" s="50" t="s">
        <v>232</v>
      </c>
      <c r="F1322" s="50" t="s">
        <v>232</v>
      </c>
      <c r="G1322" s="50" t="s">
        <v>234</v>
      </c>
      <c r="H1322" s="23">
        <v>2999.8421720378319</v>
      </c>
      <c r="I1322" s="22">
        <v>2500</v>
      </c>
    </row>
    <row r="1323" spans="1:9" x14ac:dyDescent="0.3">
      <c r="A1323">
        <v>2025</v>
      </c>
      <c r="B1323" s="49">
        <v>52</v>
      </c>
      <c r="C1323" s="50" t="s">
        <v>9</v>
      </c>
      <c r="D1323" s="50" t="str">
        <f t="shared" si="0"/>
        <v>AVEO|2024|GRIS|LRL009C</v>
      </c>
      <c r="E1323" s="50" t="s">
        <v>232</v>
      </c>
      <c r="F1323" s="50" t="s">
        <v>232</v>
      </c>
      <c r="G1323" s="50" t="s">
        <v>234</v>
      </c>
      <c r="H1323" s="23">
        <v>2600.1080000000002</v>
      </c>
      <c r="I1323" s="22">
        <v>2500</v>
      </c>
    </row>
    <row r="1324" spans="1:9" x14ac:dyDescent="0.3">
      <c r="A1324">
        <v>2025</v>
      </c>
      <c r="B1324" s="49">
        <v>52</v>
      </c>
      <c r="C1324" s="50" t="s">
        <v>29</v>
      </c>
      <c r="D1324" s="50" t="str">
        <f t="shared" si="0"/>
        <v>AVEO|2021|GRIS|D51BHV</v>
      </c>
      <c r="E1324" s="50" t="s">
        <v>232</v>
      </c>
      <c r="F1324" s="50" t="s">
        <v>232</v>
      </c>
      <c r="G1324" s="50" t="s">
        <v>234</v>
      </c>
      <c r="H1324" s="23">
        <v>3000</v>
      </c>
      <c r="I1324" s="22">
        <v>2500</v>
      </c>
    </row>
    <row r="1325" spans="1:9" x14ac:dyDescent="0.3">
      <c r="A1325">
        <v>2025</v>
      </c>
      <c r="B1325" s="49">
        <v>52</v>
      </c>
      <c r="C1325" s="50" t="s">
        <v>31</v>
      </c>
      <c r="D1325" s="50" t="str">
        <f t="shared" si="0"/>
        <v>AVEO|2022|AZUL|MUF515A</v>
      </c>
      <c r="E1325" s="50" t="s">
        <v>232</v>
      </c>
      <c r="F1325" s="50" t="s">
        <v>232</v>
      </c>
      <c r="G1325" s="50" t="s">
        <v>234</v>
      </c>
      <c r="H1325" s="23">
        <v>3000</v>
      </c>
      <c r="I1325" s="22">
        <v>2500</v>
      </c>
    </row>
    <row r="1326" spans="1:9" x14ac:dyDescent="0.3">
      <c r="A1326">
        <v>2025</v>
      </c>
      <c r="B1326" s="49">
        <v>52</v>
      </c>
      <c r="C1326" s="20" t="s">
        <v>33</v>
      </c>
      <c r="D1326" s="50" t="str">
        <f t="shared" si="0"/>
        <v>AVEO|2018|GRIS|X59AWG</v>
      </c>
      <c r="E1326" s="50" t="s">
        <v>232</v>
      </c>
      <c r="F1326" s="50" t="s">
        <v>232</v>
      </c>
      <c r="G1326" s="50" t="s">
        <v>234</v>
      </c>
      <c r="H1326" s="23">
        <v>2580.8051320705317</v>
      </c>
      <c r="I1326" s="22">
        <v>2500</v>
      </c>
    </row>
    <row r="1327" spans="1:9" x14ac:dyDescent="0.3">
      <c r="A1327">
        <v>2025</v>
      </c>
      <c r="B1327" s="49">
        <v>52</v>
      </c>
      <c r="C1327" s="50" t="s">
        <v>35</v>
      </c>
      <c r="D1327" s="50" t="str">
        <f t="shared" si="0"/>
        <v>AVEO|2023|GRIS|MLC126A</v>
      </c>
      <c r="E1327" s="50" t="s">
        <v>232</v>
      </c>
      <c r="F1327" s="50" t="s">
        <v>232</v>
      </c>
      <c r="G1327" s="50" t="s">
        <v>234</v>
      </c>
      <c r="H1327" s="23">
        <v>2291.5103582134989</v>
      </c>
      <c r="I1327" s="22">
        <v>2500</v>
      </c>
    </row>
    <row r="1328" spans="1:9" x14ac:dyDescent="0.3">
      <c r="A1328">
        <v>2025</v>
      </c>
      <c r="B1328" s="49">
        <v>52</v>
      </c>
      <c r="C1328" s="50" t="s">
        <v>37</v>
      </c>
      <c r="D1328" s="50" t="str">
        <f t="shared" si="0"/>
        <v>VENTO|2020|GRIS|A19BDY</v>
      </c>
      <c r="E1328" s="50" t="s">
        <v>232</v>
      </c>
      <c r="F1328" s="50" t="s">
        <v>232</v>
      </c>
      <c r="G1328" s="50" t="s">
        <v>234</v>
      </c>
      <c r="H1328" s="23">
        <v>2125.3978092057114</v>
      </c>
      <c r="I1328" s="22">
        <v>2500</v>
      </c>
    </row>
    <row r="1329" spans="1:9" x14ac:dyDescent="0.3">
      <c r="A1329">
        <v>2025</v>
      </c>
      <c r="B1329" s="49">
        <v>52</v>
      </c>
      <c r="C1329" s="50" t="s">
        <v>39</v>
      </c>
      <c r="D1329" s="50" t="str">
        <f t="shared" si="0"/>
        <v>AVEO|2019|PLATA|NEL860A</v>
      </c>
      <c r="E1329" s="50" t="s">
        <v>232</v>
      </c>
      <c r="F1329" s="50" t="s">
        <v>232</v>
      </c>
      <c r="G1329" s="50" t="s">
        <v>234</v>
      </c>
      <c r="H1329" s="23">
        <v>2998.9954270781</v>
      </c>
      <c r="I1329" s="22">
        <v>2500</v>
      </c>
    </row>
    <row r="1330" spans="1:9" x14ac:dyDescent="0.3">
      <c r="A1330">
        <v>2025</v>
      </c>
      <c r="B1330" s="49">
        <v>52</v>
      </c>
      <c r="C1330" s="50" t="s">
        <v>41</v>
      </c>
      <c r="D1330" s="50" t="str">
        <f t="shared" si="0"/>
        <v>VENTO|2017|GRIS|MMA672C</v>
      </c>
      <c r="E1330" s="50" t="s">
        <v>232</v>
      </c>
      <c r="F1330" s="50" t="s">
        <v>232</v>
      </c>
      <c r="G1330" s="50" t="s">
        <v>234</v>
      </c>
      <c r="H1330" s="23">
        <v>2357.142857142856</v>
      </c>
      <c r="I1330" s="22">
        <v>2500</v>
      </c>
    </row>
    <row r="1331" spans="1:9" x14ac:dyDescent="0.3">
      <c r="A1331">
        <v>2025</v>
      </c>
      <c r="B1331" s="49">
        <v>52</v>
      </c>
      <c r="C1331" s="50" t="s">
        <v>43</v>
      </c>
      <c r="D1331" s="50" t="str">
        <f t="shared" si="0"/>
        <v>BEAT|2019|OCRE|MAY730C</v>
      </c>
      <c r="E1331" s="22" t="s">
        <v>232</v>
      </c>
      <c r="F1331" s="50" t="s">
        <v>232</v>
      </c>
      <c r="G1331" s="50" t="s">
        <v>234</v>
      </c>
      <c r="H1331" s="23">
        <v>2992.5040000000008</v>
      </c>
      <c r="I1331" s="22">
        <v>2500</v>
      </c>
    </row>
    <row r="1332" spans="1:9" x14ac:dyDescent="0.3">
      <c r="A1332">
        <v>2025</v>
      </c>
      <c r="B1332" s="49">
        <v>52</v>
      </c>
      <c r="C1332" s="50" t="s">
        <v>45</v>
      </c>
      <c r="D1332" s="50" t="s">
        <v>46</v>
      </c>
      <c r="E1332" s="50" t="s">
        <v>232</v>
      </c>
      <c r="F1332" s="50" t="s">
        <v>232</v>
      </c>
      <c r="G1332" s="50" t="s">
        <v>234</v>
      </c>
      <c r="H1332" s="23">
        <v>2500</v>
      </c>
      <c r="I1332" s="22">
        <v>2500</v>
      </c>
    </row>
    <row r="1333" spans="1:9" x14ac:dyDescent="0.3">
      <c r="A1333">
        <v>2025</v>
      </c>
      <c r="B1333" s="49">
        <v>52</v>
      </c>
      <c r="C1333" s="50" t="s">
        <v>47</v>
      </c>
      <c r="D1333" s="50" t="str">
        <f t="shared" si="0"/>
        <v>MARCH|2021|ROJO|NZU5163</v>
      </c>
      <c r="E1333" s="50" t="s">
        <v>232</v>
      </c>
      <c r="F1333" s="50" t="s">
        <v>232</v>
      </c>
      <c r="G1333" s="50" t="s">
        <v>234</v>
      </c>
      <c r="H1333" s="23">
        <v>2999.7322857049621</v>
      </c>
      <c r="I1333" s="22">
        <v>2500</v>
      </c>
    </row>
    <row r="1334" spans="1:9" x14ac:dyDescent="0.3">
      <c r="A1334">
        <v>2025</v>
      </c>
      <c r="B1334" s="49">
        <v>52</v>
      </c>
      <c r="C1334" s="50" t="s">
        <v>49</v>
      </c>
      <c r="D1334" s="50" t="str">
        <f t="shared" si="0"/>
        <v>AVEO|2019|BLANCO|NBS225A</v>
      </c>
      <c r="E1334" s="50" t="s">
        <v>232</v>
      </c>
      <c r="F1334" s="50" t="s">
        <v>232</v>
      </c>
      <c r="G1334" s="50" t="s">
        <v>234</v>
      </c>
      <c r="H1334" s="23">
        <v>3200</v>
      </c>
      <c r="I1334" s="22">
        <v>2500</v>
      </c>
    </row>
    <row r="1335" spans="1:9" x14ac:dyDescent="0.3">
      <c r="A1335">
        <v>2025</v>
      </c>
      <c r="B1335" s="49">
        <v>52</v>
      </c>
      <c r="C1335" s="50" t="s">
        <v>51</v>
      </c>
      <c r="D1335" s="50" t="str">
        <f t="shared" si="0"/>
        <v>VERSA|2020|BLANCO|A35BHD</v>
      </c>
      <c r="E1335" s="50" t="s">
        <v>232</v>
      </c>
      <c r="F1335" s="50" t="s">
        <v>232</v>
      </c>
      <c r="G1335" s="50" t="s">
        <v>234</v>
      </c>
      <c r="H1335" s="23">
        <v>2500</v>
      </c>
      <c r="I1335" s="22">
        <v>2500</v>
      </c>
    </row>
    <row r="1336" spans="1:9" x14ac:dyDescent="0.3">
      <c r="A1336">
        <v>2025</v>
      </c>
      <c r="B1336" s="49">
        <v>52</v>
      </c>
      <c r="C1336" s="20" t="s">
        <v>53</v>
      </c>
      <c r="D1336" s="50" t="str">
        <f t="shared" si="0"/>
        <v>AVEO|2023|VINO|R22BMR</v>
      </c>
      <c r="E1336" s="50" t="s">
        <v>232</v>
      </c>
      <c r="F1336" s="50" t="s">
        <v>232</v>
      </c>
      <c r="G1336" s="50" t="s">
        <v>234</v>
      </c>
      <c r="H1336" s="23">
        <v>4000</v>
      </c>
      <c r="I1336" s="22">
        <v>2500</v>
      </c>
    </row>
    <row r="1337" spans="1:9" x14ac:dyDescent="0.3">
      <c r="A1337">
        <v>2025</v>
      </c>
      <c r="B1337" s="49">
        <v>52</v>
      </c>
      <c r="C1337" s="20" t="s">
        <v>98</v>
      </c>
      <c r="D1337" s="50" t="str">
        <f t="shared" si="0"/>
        <v>VENTO|2018|AMARILLO|PED1652</v>
      </c>
      <c r="E1337" s="50" t="s">
        <v>232</v>
      </c>
      <c r="F1337" s="50" t="s">
        <v>232</v>
      </c>
      <c r="G1337" s="50" t="s">
        <v>234</v>
      </c>
      <c r="H1337" s="23">
        <v>4241.7700000000004</v>
      </c>
      <c r="I1337" s="22">
        <v>2500</v>
      </c>
    </row>
    <row r="1338" spans="1:9" x14ac:dyDescent="0.3">
      <c r="A1338">
        <v>2025</v>
      </c>
      <c r="B1338" s="49">
        <v>52</v>
      </c>
      <c r="C1338" s="50" t="s">
        <v>57</v>
      </c>
      <c r="D1338" s="50" t="str">
        <f t="shared" si="0"/>
        <v>AVEO|2020|AZUL|D28BET</v>
      </c>
      <c r="E1338" s="50" t="s">
        <v>232</v>
      </c>
      <c r="F1338" s="50" t="s">
        <v>232</v>
      </c>
      <c r="G1338" s="50" t="s">
        <v>234</v>
      </c>
      <c r="H1338" s="23">
        <v>-500</v>
      </c>
      <c r="I1338" s="22">
        <v>2500</v>
      </c>
    </row>
    <row r="1339" spans="1:9" x14ac:dyDescent="0.3">
      <c r="A1339">
        <v>2025</v>
      </c>
      <c r="B1339" s="49">
        <v>52</v>
      </c>
      <c r="C1339" s="20" t="s">
        <v>414</v>
      </c>
      <c r="D1339" s="50" t="str">
        <f t="shared" si="0"/>
        <v>AVEO|2022|VINO|P62BHW</v>
      </c>
      <c r="E1339" s="50" t="s">
        <v>232</v>
      </c>
      <c r="F1339" s="50" t="s">
        <v>232</v>
      </c>
      <c r="G1339" s="50" t="s">
        <v>234</v>
      </c>
      <c r="H1339" s="23">
        <v>-500</v>
      </c>
      <c r="I1339" s="22">
        <v>2500</v>
      </c>
    </row>
    <row r="1340" spans="1:9" x14ac:dyDescent="0.3">
      <c r="A1340">
        <v>2025</v>
      </c>
      <c r="B1340" s="49">
        <v>52</v>
      </c>
      <c r="C1340" s="50" t="s">
        <v>444</v>
      </c>
      <c r="D1340" s="50" t="str">
        <f t="shared" si="0"/>
        <v>BEAT|2019|OCRE|MAY730C</v>
      </c>
      <c r="E1340" s="22" t="s">
        <v>232</v>
      </c>
      <c r="F1340" s="50" t="s">
        <v>232</v>
      </c>
      <c r="G1340" s="50" t="s">
        <v>234</v>
      </c>
      <c r="H1340" s="23">
        <v>-321</v>
      </c>
      <c r="I1340" s="22">
        <v>2500</v>
      </c>
    </row>
    <row r="1341" spans="1:9" x14ac:dyDescent="0.3">
      <c r="A1341">
        <v>2025</v>
      </c>
      <c r="B1341" s="49">
        <v>52</v>
      </c>
      <c r="C1341" s="50" t="s">
        <v>60</v>
      </c>
      <c r="D1341" s="50" t="str">
        <f t="shared" si="0"/>
        <v>VENTO|2017|GRIS|MMA672C</v>
      </c>
      <c r="E1341" s="50" t="s">
        <v>232</v>
      </c>
      <c r="F1341" s="50" t="s">
        <v>232</v>
      </c>
      <c r="G1341" s="50" t="s">
        <v>234</v>
      </c>
      <c r="H1341" s="23">
        <v>-500</v>
      </c>
      <c r="I1341" s="22">
        <v>2500</v>
      </c>
    </row>
    <row r="1342" spans="1:9" x14ac:dyDescent="0.3">
      <c r="A1342">
        <v>2025</v>
      </c>
      <c r="B1342" s="49">
        <v>52</v>
      </c>
      <c r="C1342" s="50" t="s">
        <v>61</v>
      </c>
      <c r="D1342" s="50" t="str">
        <f t="shared" si="0"/>
        <v>AVEO|2018|GRIS|X59AWG</v>
      </c>
      <c r="E1342" s="50" t="s">
        <v>232</v>
      </c>
      <c r="F1342" s="50" t="s">
        <v>232</v>
      </c>
      <c r="G1342" s="50" t="s">
        <v>234</v>
      </c>
      <c r="H1342" s="23">
        <v>700</v>
      </c>
      <c r="I1342" s="22">
        <v>2500</v>
      </c>
    </row>
    <row r="1343" spans="1:9" x14ac:dyDescent="0.3">
      <c r="A1343">
        <v>2025</v>
      </c>
      <c r="B1343" s="49">
        <v>52</v>
      </c>
      <c r="C1343" s="20" t="s">
        <v>111</v>
      </c>
      <c r="D1343" s="50" t="str">
        <f t="shared" si="0"/>
        <v>SWIFT|2017|ROJO|X89ALV</v>
      </c>
      <c r="E1343" s="50" t="s">
        <v>291</v>
      </c>
      <c r="F1343" s="50" t="s">
        <v>291</v>
      </c>
      <c r="G1343" s="50" t="s">
        <v>234</v>
      </c>
      <c r="H1343" s="23">
        <v>2128.1359999999995</v>
      </c>
      <c r="I1343" s="22">
        <v>2500</v>
      </c>
    </row>
    <row r="1344" spans="1:9" x14ac:dyDescent="0.3">
      <c r="A1344">
        <v>2025</v>
      </c>
      <c r="B1344" s="49">
        <v>52</v>
      </c>
      <c r="C1344" s="50" t="s">
        <v>64</v>
      </c>
      <c r="D1344" s="50" t="str">
        <f t="shared" si="0"/>
        <v>AVEO|2022|VINO|P62BHW</v>
      </c>
      <c r="E1344" s="50" t="s">
        <v>232</v>
      </c>
      <c r="F1344" s="50" t="s">
        <v>291</v>
      </c>
      <c r="G1344" s="50" t="s">
        <v>234</v>
      </c>
      <c r="H1344" s="23">
        <v>3000</v>
      </c>
      <c r="I1344" s="22">
        <v>2500</v>
      </c>
    </row>
    <row r="1345" spans="1:11" x14ac:dyDescent="0.3">
      <c r="A1345">
        <v>2025</v>
      </c>
      <c r="B1345" s="49">
        <v>52</v>
      </c>
      <c r="C1345" s="50" t="s">
        <v>66</v>
      </c>
      <c r="D1345" s="50" t="str">
        <f t="shared" si="0"/>
        <v>KIA RIO|2017|ROJO|MYE912A</v>
      </c>
      <c r="E1345" s="22" t="s">
        <v>241</v>
      </c>
      <c r="F1345" s="50" t="s">
        <v>291</v>
      </c>
      <c r="G1345" s="50" t="s">
        <v>234</v>
      </c>
      <c r="H1345" s="23">
        <v>2804.2709999999988</v>
      </c>
      <c r="I1345" s="22">
        <v>2500</v>
      </c>
    </row>
    <row r="1346" spans="1:11" x14ac:dyDescent="0.3">
      <c r="A1346">
        <v>2025</v>
      </c>
      <c r="B1346" s="49">
        <v>52</v>
      </c>
      <c r="C1346" s="50" t="s">
        <v>68</v>
      </c>
      <c r="D1346" s="50" t="str">
        <f t="shared" si="0"/>
        <v>AVEO|2018|ROJO|R51BKD</v>
      </c>
      <c r="E1346" s="22" t="s">
        <v>241</v>
      </c>
      <c r="F1346" s="50" t="s">
        <v>291</v>
      </c>
      <c r="G1346" s="50" t="s">
        <v>234</v>
      </c>
      <c r="H1346" s="23">
        <v>3412.5968000000003</v>
      </c>
      <c r="I1346" s="22">
        <v>2500</v>
      </c>
    </row>
    <row r="1347" spans="1:11" x14ac:dyDescent="0.3">
      <c r="A1347">
        <v>2025</v>
      </c>
      <c r="B1347" s="49">
        <v>52</v>
      </c>
      <c r="C1347" s="50" t="s">
        <v>70</v>
      </c>
      <c r="D1347" s="50" t="s">
        <v>71</v>
      </c>
      <c r="E1347" s="50" t="s">
        <v>232</v>
      </c>
      <c r="F1347" s="50" t="s">
        <v>291</v>
      </c>
      <c r="G1347" s="50" t="s">
        <v>234</v>
      </c>
      <c r="H1347" s="23">
        <v>0</v>
      </c>
      <c r="I1347" s="22">
        <v>2500</v>
      </c>
    </row>
    <row r="1348" spans="1:11" x14ac:dyDescent="0.3">
      <c r="A1348">
        <v>2025</v>
      </c>
      <c r="B1348" s="49">
        <v>52</v>
      </c>
      <c r="C1348" s="50" t="s">
        <v>72</v>
      </c>
      <c r="D1348" s="50" t="str">
        <f>VLOOKUP($C1348,$C$1263:$H$1311,2,0)</f>
        <v>KIA RIO|2023|ROJO|H99BLC</v>
      </c>
      <c r="E1348" s="22" t="s">
        <v>241</v>
      </c>
      <c r="F1348" s="50" t="s">
        <v>291</v>
      </c>
      <c r="G1348" s="50" t="s">
        <v>234</v>
      </c>
      <c r="H1348" s="23">
        <v>2500</v>
      </c>
      <c r="I1348" s="22">
        <v>2500</v>
      </c>
    </row>
    <row r="1349" spans="1:11" x14ac:dyDescent="0.3">
      <c r="A1349">
        <v>2025</v>
      </c>
      <c r="B1349" s="49">
        <v>52</v>
      </c>
      <c r="C1349" s="50" t="s">
        <v>74</v>
      </c>
      <c r="D1349" s="50" t="str">
        <f>VLOOKUP($C1349,$C$1263:$H$1311,2,0)</f>
        <v>BEAT|2020|GRIS|NFN014B</v>
      </c>
      <c r="E1349" s="22" t="s">
        <v>241</v>
      </c>
      <c r="F1349" s="50" t="s">
        <v>291</v>
      </c>
      <c r="G1349" s="50" t="s">
        <v>234</v>
      </c>
      <c r="H1349" s="23">
        <v>4634.1082000000006</v>
      </c>
      <c r="I1349" s="22">
        <v>2500</v>
      </c>
    </row>
    <row r="1350" spans="1:11" x14ac:dyDescent="0.3">
      <c r="A1350">
        <v>2025</v>
      </c>
      <c r="B1350" s="49">
        <v>52</v>
      </c>
      <c r="C1350" s="50" t="s">
        <v>76</v>
      </c>
      <c r="D1350" s="50" t="str">
        <f>VLOOKUP($C1350,$C$1263:$H$1311,2,0)</f>
        <v>VERSA|2021|BLANCO|MEE228C</v>
      </c>
      <c r="E1350" s="50" t="s">
        <v>232</v>
      </c>
      <c r="F1350" s="50" t="s">
        <v>291</v>
      </c>
      <c r="G1350" s="50" t="s">
        <v>234</v>
      </c>
      <c r="H1350" s="23">
        <v>4924.5</v>
      </c>
      <c r="I1350" s="22">
        <v>2500</v>
      </c>
    </row>
    <row r="1351" spans="1:11" x14ac:dyDescent="0.3">
      <c r="A1351">
        <v>2025</v>
      </c>
      <c r="B1351" s="49">
        <v>52</v>
      </c>
      <c r="C1351" s="50" t="s">
        <v>78</v>
      </c>
      <c r="D1351" s="50" t="str">
        <f>VLOOKUP($C1351,$C$1263:$H$1311,2,0)</f>
        <v>MARCH|2019|TURQ|MAY737C</v>
      </c>
      <c r="E1351" s="50" t="s">
        <v>291</v>
      </c>
      <c r="F1351" s="50" t="s">
        <v>291</v>
      </c>
      <c r="G1351" s="50" t="s">
        <v>234</v>
      </c>
      <c r="H1351" s="23">
        <v>-2500</v>
      </c>
      <c r="I1351" s="22">
        <v>2500</v>
      </c>
    </row>
    <row r="1352" spans="1:11" x14ac:dyDescent="0.3">
      <c r="A1352">
        <v>2025</v>
      </c>
      <c r="B1352" s="49">
        <v>52</v>
      </c>
      <c r="C1352" s="20" t="s">
        <v>80</v>
      </c>
      <c r="D1352" s="20" t="s">
        <v>81</v>
      </c>
      <c r="E1352" s="50" t="s">
        <v>232</v>
      </c>
      <c r="F1352" s="20" t="s">
        <v>232</v>
      </c>
      <c r="G1352" s="20" t="s">
        <v>234</v>
      </c>
      <c r="H1352" s="23">
        <v>2500</v>
      </c>
      <c r="I1352" s="22">
        <v>2500</v>
      </c>
    </row>
    <row r="1353" spans="1:11" x14ac:dyDescent="0.3">
      <c r="A1353">
        <v>2025</v>
      </c>
      <c r="B1353" s="49">
        <v>52</v>
      </c>
      <c r="C1353" s="20" t="s">
        <v>82</v>
      </c>
      <c r="D1353" s="20" t="s">
        <v>83</v>
      </c>
      <c r="E1353" s="50" t="s">
        <v>232</v>
      </c>
      <c r="F1353" s="20" t="s">
        <v>232</v>
      </c>
      <c r="G1353" s="20" t="s">
        <v>234</v>
      </c>
      <c r="H1353" s="23">
        <v>2000</v>
      </c>
      <c r="I1353" s="22">
        <v>2500</v>
      </c>
    </row>
    <row r="1354" spans="1:11" x14ac:dyDescent="0.3">
      <c r="A1354">
        <v>2025</v>
      </c>
      <c r="B1354" s="49">
        <v>52</v>
      </c>
      <c r="C1354" s="50" t="s">
        <v>84</v>
      </c>
      <c r="D1354" s="50" t="s">
        <v>59</v>
      </c>
      <c r="E1354" s="50" t="s">
        <v>232</v>
      </c>
      <c r="F1354" s="50" t="s">
        <v>291</v>
      </c>
      <c r="G1354" s="50" t="s">
        <v>234</v>
      </c>
      <c r="H1354" s="23">
        <v>1000</v>
      </c>
      <c r="I1354" s="22">
        <v>2500</v>
      </c>
    </row>
    <row r="1355" spans="1:11" x14ac:dyDescent="0.3">
      <c r="A1355">
        <v>2026</v>
      </c>
      <c r="B1355" s="2">
        <v>1</v>
      </c>
      <c r="C1355" s="3" t="s">
        <v>11</v>
      </c>
      <c r="D1355" s="4" t="s">
        <v>12</v>
      </c>
      <c r="E1355" s="4" t="s">
        <v>232</v>
      </c>
      <c r="F1355" s="61" t="s">
        <v>232</v>
      </c>
      <c r="G1355" s="4" t="s">
        <v>234</v>
      </c>
      <c r="H1355" s="62">
        <v>2700</v>
      </c>
      <c r="I1355" s="22">
        <v>2500</v>
      </c>
    </row>
    <row r="1356" spans="1:11" x14ac:dyDescent="0.3">
      <c r="A1356">
        <v>2026</v>
      </c>
      <c r="B1356" s="2">
        <v>1</v>
      </c>
      <c r="C1356" s="3" t="s">
        <v>80</v>
      </c>
      <c r="D1356" s="4" t="s">
        <v>81</v>
      </c>
      <c r="E1356" s="4" t="s">
        <v>232</v>
      </c>
      <c r="F1356" s="61" t="s">
        <v>232</v>
      </c>
      <c r="G1356" s="4" t="s">
        <v>234</v>
      </c>
      <c r="H1356" s="62">
        <v>2500</v>
      </c>
      <c r="I1356" s="22">
        <v>2500</v>
      </c>
      <c r="K1356" t="s">
        <v>640</v>
      </c>
    </row>
    <row r="1357" spans="1:11" x14ac:dyDescent="0.3">
      <c r="A1357">
        <v>2026</v>
      </c>
      <c r="B1357" s="2">
        <v>1</v>
      </c>
      <c r="C1357" s="3" t="s">
        <v>13</v>
      </c>
      <c r="D1357" s="4" t="s">
        <v>14</v>
      </c>
      <c r="E1357" s="4" t="s">
        <v>232</v>
      </c>
      <c r="F1357" s="61" t="s">
        <v>232</v>
      </c>
      <c r="G1357" s="4" t="s">
        <v>234</v>
      </c>
      <c r="H1357" s="62">
        <v>2700</v>
      </c>
      <c r="I1357" s="22">
        <v>2500</v>
      </c>
    </row>
    <row r="1358" spans="1:11" x14ac:dyDescent="0.3">
      <c r="A1358">
        <v>2026</v>
      </c>
      <c r="B1358" s="2">
        <v>1</v>
      </c>
      <c r="C1358" s="3" t="s">
        <v>15</v>
      </c>
      <c r="D1358" s="4" t="s">
        <v>16</v>
      </c>
      <c r="E1358" s="4" t="s">
        <v>232</v>
      </c>
      <c r="F1358" s="61" t="s">
        <v>232</v>
      </c>
      <c r="G1358" s="4" t="s">
        <v>234</v>
      </c>
      <c r="H1358" s="62">
        <v>3000.46</v>
      </c>
      <c r="I1358" s="22">
        <v>2500</v>
      </c>
      <c r="K1358" t="s">
        <v>607</v>
      </c>
    </row>
    <row r="1359" spans="1:11" x14ac:dyDescent="0.3">
      <c r="A1359">
        <v>2026</v>
      </c>
      <c r="B1359" s="2">
        <v>1</v>
      </c>
      <c r="C1359" s="3" t="s">
        <v>3</v>
      </c>
      <c r="D1359" s="4" t="s">
        <v>4</v>
      </c>
      <c r="E1359" s="4" t="s">
        <v>232</v>
      </c>
      <c r="F1359" s="61" t="s">
        <v>232</v>
      </c>
      <c r="G1359" s="4" t="s">
        <v>425</v>
      </c>
      <c r="H1359" s="62">
        <v>-487.96999999999935</v>
      </c>
      <c r="I1359" s="22">
        <v>2500</v>
      </c>
      <c r="K1359" t="s">
        <v>603</v>
      </c>
    </row>
    <row r="1360" spans="1:11" x14ac:dyDescent="0.3">
      <c r="A1360">
        <v>2026</v>
      </c>
      <c r="B1360" s="2">
        <v>1</v>
      </c>
      <c r="C1360" s="3" t="s">
        <v>111</v>
      </c>
      <c r="D1360" s="4" t="s">
        <v>63</v>
      </c>
      <c r="E1360" s="4" t="s">
        <v>291</v>
      </c>
      <c r="F1360" s="61" t="s">
        <v>291</v>
      </c>
      <c r="G1360" s="4" t="s">
        <v>234</v>
      </c>
      <c r="H1360" s="62">
        <v>3800</v>
      </c>
      <c r="I1360" s="22">
        <v>2500</v>
      </c>
      <c r="K1360" t="s">
        <v>632</v>
      </c>
    </row>
    <row r="1361" spans="1:11" x14ac:dyDescent="0.3">
      <c r="A1361">
        <v>2026</v>
      </c>
      <c r="B1361" s="2">
        <v>1</v>
      </c>
      <c r="C1361" s="3" t="s">
        <v>17</v>
      </c>
      <c r="D1361" s="4" t="s">
        <v>18</v>
      </c>
      <c r="E1361" s="4" t="s">
        <v>232</v>
      </c>
      <c r="F1361" s="61" t="s">
        <v>232</v>
      </c>
      <c r="G1361" s="4" t="s">
        <v>234</v>
      </c>
      <c r="H1361" s="62">
        <v>410.39999999999986</v>
      </c>
      <c r="I1361" s="22">
        <v>2500</v>
      </c>
      <c r="K1361" t="s">
        <v>1154</v>
      </c>
    </row>
    <row r="1362" spans="1:11" x14ac:dyDescent="0.3">
      <c r="A1362">
        <v>2026</v>
      </c>
      <c r="B1362" s="2">
        <v>1</v>
      </c>
      <c r="C1362" s="3" t="s">
        <v>19</v>
      </c>
      <c r="D1362" s="4" t="s">
        <v>20</v>
      </c>
      <c r="E1362" s="4" t="s">
        <v>232</v>
      </c>
      <c r="F1362" s="61" t="s">
        <v>232</v>
      </c>
      <c r="G1362" s="4" t="s">
        <v>234</v>
      </c>
      <c r="H1362" s="62">
        <v>742.5971428571429</v>
      </c>
      <c r="I1362" s="22">
        <v>2500</v>
      </c>
      <c r="K1362" t="s">
        <v>609</v>
      </c>
    </row>
    <row r="1363" spans="1:11" x14ac:dyDescent="0.3">
      <c r="A1363">
        <v>2026</v>
      </c>
      <c r="B1363" s="2">
        <v>1</v>
      </c>
      <c r="C1363" s="3" t="s">
        <v>21</v>
      </c>
      <c r="D1363" s="4" t="s">
        <v>22</v>
      </c>
      <c r="E1363" s="4" t="s">
        <v>232</v>
      </c>
      <c r="F1363" s="61" t="s">
        <v>232</v>
      </c>
      <c r="G1363" s="4" t="s">
        <v>234</v>
      </c>
      <c r="H1363" s="62">
        <v>2999.16</v>
      </c>
      <c r="I1363" s="22">
        <v>2500</v>
      </c>
      <c r="K1363" t="s">
        <v>610</v>
      </c>
    </row>
    <row r="1364" spans="1:11" x14ac:dyDescent="0.3">
      <c r="A1364">
        <v>2026</v>
      </c>
      <c r="B1364" s="2">
        <v>1</v>
      </c>
      <c r="C1364" s="3" t="s">
        <v>64</v>
      </c>
      <c r="D1364" s="4" t="s">
        <v>140</v>
      </c>
      <c r="E1364" s="4" t="s">
        <v>232</v>
      </c>
      <c r="F1364" s="61" t="s">
        <v>232</v>
      </c>
      <c r="G1364" s="4" t="s">
        <v>234</v>
      </c>
      <c r="H1364" s="62">
        <v>2264.42</v>
      </c>
      <c r="I1364" s="22">
        <v>2500</v>
      </c>
      <c r="K1364" t="s">
        <v>633</v>
      </c>
    </row>
    <row r="1365" spans="1:11" x14ac:dyDescent="0.3">
      <c r="A1365">
        <v>2026</v>
      </c>
      <c r="B1365" s="2">
        <v>1</v>
      </c>
      <c r="C1365" s="3" t="s">
        <v>64</v>
      </c>
      <c r="D1365" s="4" t="s">
        <v>59</v>
      </c>
      <c r="E1365" s="4" t="s">
        <v>232</v>
      </c>
      <c r="F1365" s="67" t="s">
        <v>291</v>
      </c>
      <c r="G1365" s="4" t="s">
        <v>234</v>
      </c>
      <c r="H1365" s="62">
        <v>906.76</v>
      </c>
      <c r="I1365" s="22"/>
      <c r="K1365" t="s">
        <v>645</v>
      </c>
    </row>
    <row r="1366" spans="1:11" x14ac:dyDescent="0.3">
      <c r="A1366">
        <v>2026</v>
      </c>
      <c r="B1366" s="2">
        <v>1</v>
      </c>
      <c r="C1366" s="3" t="s">
        <v>23</v>
      </c>
      <c r="D1366" s="4" t="s">
        <v>24</v>
      </c>
      <c r="E1366" s="4" t="s">
        <v>232</v>
      </c>
      <c r="F1366" s="61" t="s">
        <v>232</v>
      </c>
      <c r="G1366" s="4" t="s">
        <v>234</v>
      </c>
      <c r="H1366" s="62">
        <v>-289.2800000000002</v>
      </c>
      <c r="I1366" s="22">
        <v>2500</v>
      </c>
      <c r="K1366" t="s">
        <v>1155</v>
      </c>
    </row>
    <row r="1367" spans="1:11" x14ac:dyDescent="0.3">
      <c r="A1367">
        <v>2026</v>
      </c>
      <c r="B1367" s="2">
        <v>1</v>
      </c>
      <c r="C1367" s="3" t="s">
        <v>85</v>
      </c>
      <c r="D1367" s="4" t="s">
        <v>86</v>
      </c>
      <c r="E1367" s="4" t="s">
        <v>232</v>
      </c>
      <c r="F1367" s="61" t="s">
        <v>232</v>
      </c>
      <c r="G1367" s="4" t="s">
        <v>234</v>
      </c>
      <c r="H1367" s="62">
        <v>2435.15</v>
      </c>
      <c r="I1367" s="22">
        <v>2500</v>
      </c>
      <c r="K1367" t="s">
        <v>1164</v>
      </c>
    </row>
    <row r="1368" spans="1:11" x14ac:dyDescent="0.3">
      <c r="A1368">
        <v>2026</v>
      </c>
      <c r="B1368" s="2">
        <v>1</v>
      </c>
      <c r="C1368" s="3" t="s">
        <v>66</v>
      </c>
      <c r="D1368" s="4" t="s">
        <v>67</v>
      </c>
      <c r="E1368" s="4" t="s">
        <v>232</v>
      </c>
      <c r="F1368" s="61" t="s">
        <v>232</v>
      </c>
      <c r="G1368" s="4" t="s">
        <v>234</v>
      </c>
      <c r="H1368" s="62">
        <v>2993.7</v>
      </c>
      <c r="I1368" s="22">
        <v>2500</v>
      </c>
      <c r="K1368" t="s">
        <v>1162</v>
      </c>
    </row>
    <row r="1369" spans="1:11" x14ac:dyDescent="0.3">
      <c r="A1369">
        <v>2026</v>
      </c>
      <c r="B1369" s="2">
        <v>1</v>
      </c>
      <c r="C1369" s="3" t="s">
        <v>25</v>
      </c>
      <c r="D1369" s="4" t="s">
        <v>26</v>
      </c>
      <c r="E1369" s="4" t="s">
        <v>232</v>
      </c>
      <c r="F1369" s="61" t="s">
        <v>232</v>
      </c>
      <c r="G1369" s="4" t="s">
        <v>234</v>
      </c>
      <c r="H1369" s="62">
        <v>3077.6400000000003</v>
      </c>
      <c r="I1369" s="22">
        <v>2500</v>
      </c>
      <c r="K1369" t="s">
        <v>1156</v>
      </c>
    </row>
    <row r="1370" spans="1:11" x14ac:dyDescent="0.3">
      <c r="A1370">
        <v>2026</v>
      </c>
      <c r="B1370" s="2">
        <v>1</v>
      </c>
      <c r="C1370" s="3" t="s">
        <v>68</v>
      </c>
      <c r="D1370" s="4" t="s">
        <v>69</v>
      </c>
      <c r="E1370" s="4" t="s">
        <v>241</v>
      </c>
      <c r="F1370" s="61" t="s">
        <v>291</v>
      </c>
      <c r="G1370" s="4" t="s">
        <v>234</v>
      </c>
      <c r="H1370" s="62">
        <v>2632.66</v>
      </c>
      <c r="I1370" s="22">
        <v>2500</v>
      </c>
      <c r="K1370" t="s">
        <v>635</v>
      </c>
    </row>
    <row r="1371" spans="1:11" x14ac:dyDescent="0.3">
      <c r="A1371">
        <v>2026</v>
      </c>
      <c r="B1371" s="2">
        <v>1</v>
      </c>
      <c r="C1371" s="3" t="s">
        <v>60</v>
      </c>
      <c r="D1371" s="4" t="s">
        <v>28</v>
      </c>
      <c r="E1371" s="4" t="s">
        <v>232</v>
      </c>
      <c r="F1371" s="61" t="s">
        <v>232</v>
      </c>
      <c r="G1371" s="4" t="s">
        <v>234</v>
      </c>
      <c r="H1371" s="62">
        <v>-500</v>
      </c>
      <c r="I1371" s="22">
        <v>2500</v>
      </c>
      <c r="K1371" t="s">
        <v>630</v>
      </c>
    </row>
    <row r="1372" spans="1:11" x14ac:dyDescent="0.3">
      <c r="A1372">
        <v>2026</v>
      </c>
      <c r="B1372" s="2">
        <v>1</v>
      </c>
      <c r="C1372" s="3" t="s">
        <v>27</v>
      </c>
      <c r="D1372" s="4" t="s">
        <v>28</v>
      </c>
      <c r="E1372" s="4" t="s">
        <v>232</v>
      </c>
      <c r="F1372" s="61" t="s">
        <v>232</v>
      </c>
      <c r="G1372" s="4" t="s">
        <v>234</v>
      </c>
      <c r="H1372" s="62">
        <v>2999.92</v>
      </c>
      <c r="I1372" s="22">
        <v>2500</v>
      </c>
      <c r="K1372" t="s">
        <v>1157</v>
      </c>
    </row>
    <row r="1373" spans="1:11" x14ac:dyDescent="0.3">
      <c r="A1373">
        <v>2026</v>
      </c>
      <c r="B1373" s="2">
        <v>1</v>
      </c>
      <c r="C1373" s="3" t="s">
        <v>9</v>
      </c>
      <c r="D1373" s="4" t="s">
        <v>10</v>
      </c>
      <c r="E1373" s="4" t="s">
        <v>232</v>
      </c>
      <c r="F1373" s="61" t="s">
        <v>232</v>
      </c>
      <c r="G1373" s="4" t="s">
        <v>425</v>
      </c>
      <c r="H1373" s="62">
        <v>382</v>
      </c>
      <c r="I1373" s="22">
        <v>2500</v>
      </c>
      <c r="K1373" t="s">
        <v>1153</v>
      </c>
    </row>
    <row r="1374" spans="1:11" x14ac:dyDescent="0.3">
      <c r="A1374">
        <v>2026</v>
      </c>
      <c r="B1374" s="2">
        <v>1</v>
      </c>
      <c r="C1374" s="3" t="s">
        <v>9</v>
      </c>
      <c r="D1374" s="4" t="s">
        <v>10</v>
      </c>
      <c r="E1374" s="4" t="s">
        <v>232</v>
      </c>
      <c r="F1374" s="61" t="s">
        <v>232</v>
      </c>
      <c r="G1374" s="4" t="s">
        <v>234</v>
      </c>
      <c r="H1374" s="62">
        <v>0</v>
      </c>
      <c r="I1374" s="22"/>
      <c r="K1374" t="s">
        <v>614</v>
      </c>
    </row>
    <row r="1375" spans="1:11" x14ac:dyDescent="0.3">
      <c r="A1375">
        <v>2026</v>
      </c>
      <c r="B1375" s="2">
        <v>1</v>
      </c>
      <c r="C1375" s="3" t="s">
        <v>7</v>
      </c>
      <c r="D1375" s="4" t="s">
        <v>8</v>
      </c>
      <c r="E1375" s="4" t="s">
        <v>232</v>
      </c>
      <c r="F1375" s="4" t="s">
        <v>232</v>
      </c>
      <c r="G1375" s="4" t="s">
        <v>425</v>
      </c>
      <c r="H1375" s="62">
        <v>3146.34</v>
      </c>
      <c r="I1375" s="22">
        <v>2500</v>
      </c>
      <c r="K1375" t="s">
        <v>1152</v>
      </c>
    </row>
    <row r="1376" spans="1:11" x14ac:dyDescent="0.3">
      <c r="A1376">
        <v>2026</v>
      </c>
      <c r="B1376" s="2">
        <v>1</v>
      </c>
      <c r="C1376" s="3" t="s">
        <v>70</v>
      </c>
      <c r="D1376" s="4" t="s">
        <v>71</v>
      </c>
      <c r="E1376" s="4" t="s">
        <v>232</v>
      </c>
      <c r="F1376" s="67" t="s">
        <v>291</v>
      </c>
      <c r="G1376" s="4" t="s">
        <v>234</v>
      </c>
      <c r="H1376" s="62">
        <v>2622</v>
      </c>
      <c r="I1376" s="22">
        <v>2500</v>
      </c>
      <c r="K1376" t="s">
        <v>636</v>
      </c>
    </row>
    <row r="1377" spans="1:11" x14ac:dyDescent="0.3">
      <c r="A1377">
        <v>2026</v>
      </c>
      <c r="B1377" s="2">
        <v>1</v>
      </c>
      <c r="C1377" s="3" t="s">
        <v>29</v>
      </c>
      <c r="D1377" s="4" t="s">
        <v>30</v>
      </c>
      <c r="E1377" s="4" t="s">
        <v>232</v>
      </c>
      <c r="F1377" s="61" t="s">
        <v>232</v>
      </c>
      <c r="G1377" s="4" t="s">
        <v>234</v>
      </c>
      <c r="H1377" s="62">
        <v>3000</v>
      </c>
      <c r="I1377" s="22">
        <v>2500</v>
      </c>
      <c r="K1377" t="s">
        <v>615</v>
      </c>
    </row>
    <row r="1378" spans="1:11" x14ac:dyDescent="0.3">
      <c r="A1378">
        <v>2026</v>
      </c>
      <c r="B1378" s="2">
        <v>1</v>
      </c>
      <c r="C1378" s="3" t="s">
        <v>72</v>
      </c>
      <c r="D1378" s="4" t="s">
        <v>73</v>
      </c>
      <c r="E1378" s="4" t="s">
        <v>241</v>
      </c>
      <c r="F1378" s="61" t="s">
        <v>291</v>
      </c>
      <c r="G1378" s="4" t="s">
        <v>234</v>
      </c>
      <c r="H1378" s="62">
        <v>1250</v>
      </c>
      <c r="I1378" s="22">
        <v>2500</v>
      </c>
      <c r="K1378" t="s">
        <v>618</v>
      </c>
    </row>
    <row r="1379" spans="1:11" x14ac:dyDescent="0.3">
      <c r="A1379">
        <v>2026</v>
      </c>
      <c r="B1379" s="2">
        <v>1</v>
      </c>
      <c r="C1379" s="3" t="s">
        <v>105</v>
      </c>
      <c r="D1379" s="4" t="s">
        <v>106</v>
      </c>
      <c r="E1379" s="4" t="s">
        <v>232</v>
      </c>
      <c r="F1379" s="61" t="s">
        <v>232</v>
      </c>
      <c r="G1379" s="4" t="s">
        <v>425</v>
      </c>
      <c r="H1379" s="62">
        <v>2500</v>
      </c>
      <c r="I1379" s="22">
        <v>2500</v>
      </c>
      <c r="K1379" t="s">
        <v>647</v>
      </c>
    </row>
    <row r="1380" spans="1:11" x14ac:dyDescent="0.3">
      <c r="A1380">
        <v>2026</v>
      </c>
      <c r="B1380" s="2">
        <v>1</v>
      </c>
      <c r="C1380" s="3" t="s">
        <v>31</v>
      </c>
      <c r="D1380" s="4" t="s">
        <v>143</v>
      </c>
      <c r="E1380" s="4" t="s">
        <v>232</v>
      </c>
      <c r="F1380" s="61" t="s">
        <v>232</v>
      </c>
      <c r="G1380" s="4" t="s">
        <v>234</v>
      </c>
      <c r="H1380" s="62">
        <v>3171.42</v>
      </c>
      <c r="I1380" s="22">
        <v>2500</v>
      </c>
      <c r="K1380" t="s">
        <v>616</v>
      </c>
    </row>
    <row r="1381" spans="1:11" x14ac:dyDescent="0.3">
      <c r="A1381">
        <v>2026</v>
      </c>
      <c r="B1381" s="2">
        <v>1</v>
      </c>
      <c r="C1381" s="3" t="s">
        <v>33</v>
      </c>
      <c r="D1381" s="4" t="s">
        <v>34</v>
      </c>
      <c r="E1381" s="4" t="s">
        <v>232</v>
      </c>
      <c r="F1381" s="61" t="s">
        <v>232</v>
      </c>
      <c r="G1381" s="4" t="s">
        <v>234</v>
      </c>
      <c r="H1381" s="62">
        <v>2651.4800000000005</v>
      </c>
      <c r="I1381" s="22">
        <v>2500</v>
      </c>
      <c r="K1381" t="s">
        <v>617</v>
      </c>
    </row>
    <row r="1382" spans="1:11" x14ac:dyDescent="0.3">
      <c r="A1382">
        <v>2026</v>
      </c>
      <c r="B1382" s="2">
        <v>1</v>
      </c>
      <c r="C1382" s="3" t="s">
        <v>57</v>
      </c>
      <c r="D1382" s="4" t="s">
        <v>16</v>
      </c>
      <c r="E1382" s="4" t="s">
        <v>232</v>
      </c>
      <c r="F1382" s="61" t="s">
        <v>232</v>
      </c>
      <c r="G1382" s="4" t="s">
        <v>234</v>
      </c>
      <c r="H1382" s="62">
        <v>-500</v>
      </c>
      <c r="I1382" s="22">
        <v>2500</v>
      </c>
      <c r="K1382" t="s">
        <v>628</v>
      </c>
    </row>
    <row r="1383" spans="1:11" x14ac:dyDescent="0.3">
      <c r="A1383">
        <v>2026</v>
      </c>
      <c r="B1383" s="2">
        <v>1</v>
      </c>
      <c r="C1383" s="3" t="s">
        <v>35</v>
      </c>
      <c r="D1383" s="4" t="s">
        <v>36</v>
      </c>
      <c r="E1383" s="4" t="s">
        <v>232</v>
      </c>
      <c r="F1383" s="61" t="s">
        <v>232</v>
      </c>
      <c r="G1383" s="4" t="s">
        <v>234</v>
      </c>
      <c r="H1383" s="62">
        <v>1610</v>
      </c>
      <c r="I1383" s="22">
        <v>2500</v>
      </c>
      <c r="K1383" t="s">
        <v>618</v>
      </c>
    </row>
    <row r="1384" spans="1:11" x14ac:dyDescent="0.3">
      <c r="A1384">
        <v>2026</v>
      </c>
      <c r="B1384" s="2">
        <v>1</v>
      </c>
      <c r="C1384" s="3" t="s">
        <v>37</v>
      </c>
      <c r="D1384" s="4" t="s">
        <v>38</v>
      </c>
      <c r="E1384" s="4" t="s">
        <v>232</v>
      </c>
      <c r="F1384" s="61" t="s">
        <v>232</v>
      </c>
      <c r="G1384" s="4" t="s">
        <v>234</v>
      </c>
      <c r="H1384" s="62">
        <v>2710</v>
      </c>
      <c r="I1384" s="22">
        <v>2500</v>
      </c>
    </row>
    <row r="1385" spans="1:11" x14ac:dyDescent="0.3">
      <c r="A1385">
        <v>2026</v>
      </c>
      <c r="B1385" s="2">
        <v>1</v>
      </c>
      <c r="C1385" s="3" t="s">
        <v>61</v>
      </c>
      <c r="D1385" s="4" t="s">
        <v>34</v>
      </c>
      <c r="E1385" s="4" t="s">
        <v>232</v>
      </c>
      <c r="F1385" s="61" t="s">
        <v>232</v>
      </c>
      <c r="G1385" s="4" t="s">
        <v>234</v>
      </c>
      <c r="H1385" s="62">
        <v>700</v>
      </c>
      <c r="I1385" s="22">
        <v>2500</v>
      </c>
      <c r="K1385" t="s">
        <v>1161</v>
      </c>
    </row>
    <row r="1386" spans="1:11" x14ac:dyDescent="0.3">
      <c r="A1386">
        <v>2026</v>
      </c>
      <c r="B1386" s="2">
        <v>1</v>
      </c>
      <c r="C1386" s="3" t="s">
        <v>39</v>
      </c>
      <c r="D1386" s="4" t="s">
        <v>40</v>
      </c>
      <c r="E1386" s="4" t="s">
        <v>232</v>
      </c>
      <c r="F1386" s="61" t="s">
        <v>232</v>
      </c>
      <c r="G1386" s="4" t="s">
        <v>234</v>
      </c>
      <c r="H1386" s="62">
        <v>2399.8600000000006</v>
      </c>
      <c r="I1386" s="22">
        <v>2500</v>
      </c>
      <c r="K1386" t="s">
        <v>1158</v>
      </c>
    </row>
    <row r="1387" spans="1:11" x14ac:dyDescent="0.3">
      <c r="A1387">
        <v>2026</v>
      </c>
      <c r="B1387" s="2">
        <v>1</v>
      </c>
      <c r="C1387" s="3" t="s">
        <v>41</v>
      </c>
      <c r="D1387" s="4" t="s">
        <v>42</v>
      </c>
      <c r="E1387" s="4" t="s">
        <v>232</v>
      </c>
      <c r="F1387" s="61" t="s">
        <v>232</v>
      </c>
      <c r="G1387" s="4" t="s">
        <v>234</v>
      </c>
      <c r="H1387" s="62">
        <v>1360</v>
      </c>
      <c r="I1387" s="22">
        <v>2500</v>
      </c>
      <c r="K1387" t="s">
        <v>620</v>
      </c>
    </row>
    <row r="1388" spans="1:11" x14ac:dyDescent="0.3">
      <c r="A1388">
        <v>2026</v>
      </c>
      <c r="B1388" s="2">
        <v>1</v>
      </c>
      <c r="C1388" s="3" t="s">
        <v>43</v>
      </c>
      <c r="D1388" s="4" t="s">
        <v>44</v>
      </c>
      <c r="E1388" s="4" t="s">
        <v>232</v>
      </c>
      <c r="F1388" s="61" t="s">
        <v>232</v>
      </c>
      <c r="G1388" s="4" t="s">
        <v>234</v>
      </c>
      <c r="H1388" s="62">
        <v>2931.2000000000007</v>
      </c>
      <c r="I1388" s="22">
        <v>2500</v>
      </c>
      <c r="K1388" t="s">
        <v>1159</v>
      </c>
    </row>
    <row r="1389" spans="1:11" x14ac:dyDescent="0.3">
      <c r="A1389">
        <v>2026</v>
      </c>
      <c r="B1389" s="2">
        <v>1</v>
      </c>
      <c r="C1389" s="3" t="s">
        <v>82</v>
      </c>
      <c r="D1389" s="4" t="s">
        <v>83</v>
      </c>
      <c r="E1389" s="4" t="s">
        <v>232</v>
      </c>
      <c r="F1389" s="61" t="s">
        <v>232</v>
      </c>
      <c r="G1389" s="4" t="s">
        <v>234</v>
      </c>
      <c r="H1389" s="62">
        <v>2000</v>
      </c>
      <c r="I1389" s="22">
        <v>2500</v>
      </c>
      <c r="K1389" t="s">
        <v>641</v>
      </c>
    </row>
    <row r="1390" spans="1:11" x14ac:dyDescent="0.3">
      <c r="A1390">
        <v>2026</v>
      </c>
      <c r="B1390" s="2">
        <v>1</v>
      </c>
      <c r="C1390" s="3" t="s">
        <v>45</v>
      </c>
      <c r="D1390" s="4" t="s">
        <v>46</v>
      </c>
      <c r="E1390" s="4" t="s">
        <v>232</v>
      </c>
      <c r="F1390" s="61" t="s">
        <v>232</v>
      </c>
      <c r="G1390" s="4" t="s">
        <v>234</v>
      </c>
      <c r="H1390" s="62">
        <v>1428.57</v>
      </c>
      <c r="I1390" s="22">
        <v>2500</v>
      </c>
      <c r="K1390" t="s">
        <v>622</v>
      </c>
    </row>
    <row r="1391" spans="1:11" x14ac:dyDescent="0.3">
      <c r="A1391">
        <v>2026</v>
      </c>
      <c r="B1391" s="2">
        <v>1</v>
      </c>
      <c r="C1391" s="3" t="s">
        <v>84</v>
      </c>
      <c r="D1391" s="4" t="s">
        <v>59</v>
      </c>
      <c r="E1391" s="4" t="s">
        <v>232</v>
      </c>
      <c r="F1391" s="67" t="s">
        <v>291</v>
      </c>
      <c r="G1391" s="4" t="s">
        <v>234</v>
      </c>
      <c r="H1391" s="62">
        <v>2658</v>
      </c>
      <c r="I1391" s="22">
        <v>2500</v>
      </c>
      <c r="K1391" t="s">
        <v>642</v>
      </c>
    </row>
    <row r="1392" spans="1:11" x14ac:dyDescent="0.3">
      <c r="A1392">
        <v>2026</v>
      </c>
      <c r="B1392" s="2">
        <v>1</v>
      </c>
      <c r="C1392" s="3" t="s">
        <v>5</v>
      </c>
      <c r="D1392" s="4" t="s">
        <v>6</v>
      </c>
      <c r="E1392" s="4" t="s">
        <v>232</v>
      </c>
      <c r="F1392" s="61" t="s">
        <v>232</v>
      </c>
      <c r="G1392" s="4" t="s">
        <v>425</v>
      </c>
      <c r="H1392" s="62">
        <v>2442.4799999999996</v>
      </c>
      <c r="I1392" s="22">
        <v>2500</v>
      </c>
      <c r="K1392" t="s">
        <v>1151</v>
      </c>
    </row>
    <row r="1393" spans="1:11" x14ac:dyDescent="0.3">
      <c r="A1393">
        <v>2026</v>
      </c>
      <c r="B1393" s="2">
        <v>1</v>
      </c>
      <c r="C1393" s="3" t="s">
        <v>47</v>
      </c>
      <c r="D1393" s="4" t="s">
        <v>147</v>
      </c>
      <c r="E1393" s="4" t="s">
        <v>232</v>
      </c>
      <c r="F1393" s="61" t="s">
        <v>232</v>
      </c>
      <c r="G1393" s="4" t="s">
        <v>234</v>
      </c>
      <c r="H1393" s="62">
        <v>185.05999999999949</v>
      </c>
      <c r="I1393" s="22">
        <v>2500</v>
      </c>
      <c r="K1393" t="s">
        <v>623</v>
      </c>
    </row>
    <row r="1394" spans="1:11" x14ac:dyDescent="0.3">
      <c r="A1394">
        <v>2026</v>
      </c>
      <c r="B1394" s="2">
        <v>1</v>
      </c>
      <c r="C1394" s="3" t="s">
        <v>49</v>
      </c>
      <c r="D1394" s="4" t="s">
        <v>50</v>
      </c>
      <c r="E1394" s="4" t="s">
        <v>232</v>
      </c>
      <c r="F1394" s="61" t="s">
        <v>232</v>
      </c>
      <c r="G1394" s="4" t="s">
        <v>234</v>
      </c>
      <c r="H1394" s="62">
        <v>3200</v>
      </c>
      <c r="I1394" s="22">
        <v>2500</v>
      </c>
      <c r="K1394" t="s">
        <v>624</v>
      </c>
    </row>
    <row r="1395" spans="1:11" x14ac:dyDescent="0.3">
      <c r="A1395">
        <v>2026</v>
      </c>
      <c r="B1395" s="2">
        <v>1</v>
      </c>
      <c r="C1395" s="3" t="s">
        <v>58</v>
      </c>
      <c r="D1395" s="4" t="s">
        <v>59</v>
      </c>
      <c r="E1395" s="4" t="s">
        <v>232</v>
      </c>
      <c r="F1395" s="67" t="s">
        <v>291</v>
      </c>
      <c r="G1395" s="4" t="s">
        <v>234</v>
      </c>
      <c r="H1395" s="62">
        <v>-500</v>
      </c>
      <c r="I1395" s="22">
        <v>2500</v>
      </c>
      <c r="K1395" t="s">
        <v>629</v>
      </c>
    </row>
    <row r="1396" spans="1:11" x14ac:dyDescent="0.3">
      <c r="A1396">
        <v>2026</v>
      </c>
      <c r="B1396" s="2">
        <v>1</v>
      </c>
      <c r="C1396" s="3" t="s">
        <v>74</v>
      </c>
      <c r="D1396" s="4" t="s">
        <v>75</v>
      </c>
      <c r="E1396" s="4" t="s">
        <v>241</v>
      </c>
      <c r="F1396" s="61" t="s">
        <v>291</v>
      </c>
      <c r="G1396" s="4" t="s">
        <v>234</v>
      </c>
      <c r="H1396" s="62">
        <v>3678.3999999999996</v>
      </c>
      <c r="I1396" s="22">
        <v>2500</v>
      </c>
      <c r="K1396" t="s">
        <v>1163</v>
      </c>
    </row>
    <row r="1397" spans="1:11" x14ac:dyDescent="0.3">
      <c r="A1397">
        <v>2026</v>
      </c>
      <c r="B1397" s="2">
        <v>1</v>
      </c>
      <c r="C1397" s="3" t="s">
        <v>51</v>
      </c>
      <c r="D1397" s="4" t="s">
        <v>52</v>
      </c>
      <c r="E1397" s="4" t="s">
        <v>232</v>
      </c>
      <c r="F1397" s="61" t="s">
        <v>232</v>
      </c>
      <c r="G1397" s="4" t="s">
        <v>234</v>
      </c>
      <c r="H1397" s="62">
        <v>2499.3999999999996</v>
      </c>
      <c r="I1397" s="22">
        <v>2500</v>
      </c>
      <c r="K1397" t="s">
        <v>625</v>
      </c>
    </row>
    <row r="1398" spans="1:11" x14ac:dyDescent="0.3">
      <c r="A1398">
        <v>2026</v>
      </c>
      <c r="B1398" s="2">
        <v>1</v>
      </c>
      <c r="C1398" s="3" t="s">
        <v>53</v>
      </c>
      <c r="D1398" s="4" t="s">
        <v>54</v>
      </c>
      <c r="E1398" s="4" t="s">
        <v>232</v>
      </c>
      <c r="F1398" s="61" t="s">
        <v>232</v>
      </c>
      <c r="G1398" s="4" t="s">
        <v>234</v>
      </c>
      <c r="H1398" s="62">
        <v>3999.8799999999992</v>
      </c>
      <c r="I1398" s="22">
        <v>2500</v>
      </c>
      <c r="K1398" t="s">
        <v>626</v>
      </c>
    </row>
    <row r="1399" spans="1:11" x14ac:dyDescent="0.3">
      <c r="A1399">
        <v>2026</v>
      </c>
      <c r="B1399" s="2">
        <v>1</v>
      </c>
      <c r="C1399" s="3" t="s">
        <v>78</v>
      </c>
      <c r="D1399" s="4" t="s">
        <v>79</v>
      </c>
      <c r="E1399" s="4" t="s">
        <v>291</v>
      </c>
      <c r="F1399" s="61" t="s">
        <v>291</v>
      </c>
      <c r="G1399" s="4" t="s">
        <v>234</v>
      </c>
      <c r="H1399" s="62">
        <v>-2204</v>
      </c>
      <c r="I1399" s="22">
        <v>2500</v>
      </c>
      <c r="K1399" t="s">
        <v>639</v>
      </c>
    </row>
    <row r="1400" spans="1:11" x14ac:dyDescent="0.3">
      <c r="A1400">
        <v>2026</v>
      </c>
      <c r="B1400" s="2">
        <v>1</v>
      </c>
      <c r="C1400" s="3" t="s">
        <v>76</v>
      </c>
      <c r="D1400" s="4" t="s">
        <v>77</v>
      </c>
      <c r="E1400" s="4" t="s">
        <v>232</v>
      </c>
      <c r="F1400" s="67" t="s">
        <v>291</v>
      </c>
      <c r="G1400" s="4" t="s">
        <v>234</v>
      </c>
      <c r="H1400" s="62">
        <v>2802.24</v>
      </c>
      <c r="I1400" s="22">
        <v>2500</v>
      </c>
      <c r="K1400" t="s">
        <v>638</v>
      </c>
    </row>
    <row r="1401" spans="1:11" x14ac:dyDescent="0.3">
      <c r="A1401">
        <v>2026</v>
      </c>
      <c r="B1401" s="2">
        <v>1</v>
      </c>
      <c r="C1401" s="3" t="s">
        <v>87</v>
      </c>
      <c r="D1401" s="4" t="s">
        <v>54</v>
      </c>
      <c r="E1401" s="4" t="s">
        <v>232</v>
      </c>
      <c r="F1401" s="61" t="s">
        <v>232</v>
      </c>
      <c r="G1401" s="4" t="s">
        <v>234</v>
      </c>
      <c r="H1401" s="62">
        <v>2642.84</v>
      </c>
      <c r="I1401" s="22">
        <v>2500</v>
      </c>
      <c r="K1401" t="s">
        <v>1165</v>
      </c>
    </row>
    <row r="1402" spans="1:11" x14ac:dyDescent="0.3">
      <c r="A1402">
        <v>2026</v>
      </c>
      <c r="B1402" s="2">
        <v>1</v>
      </c>
      <c r="C1402" s="3" t="s">
        <v>98</v>
      </c>
      <c r="D1402" s="4" t="s">
        <v>56</v>
      </c>
      <c r="E1402" s="4" t="s">
        <v>241</v>
      </c>
      <c r="F1402" s="61" t="s">
        <v>291</v>
      </c>
      <c r="G1402" s="4" t="s">
        <v>234</v>
      </c>
      <c r="H1402" s="62">
        <v>1629.56</v>
      </c>
      <c r="I1402" s="22">
        <v>2500</v>
      </c>
      <c r="K1402" t="s">
        <v>1160</v>
      </c>
    </row>
    <row r="1403" spans="1:11" x14ac:dyDescent="0.3">
      <c r="A1403">
        <v>2026</v>
      </c>
      <c r="B1403" s="2">
        <v>2</v>
      </c>
      <c r="C1403" s="3" t="s">
        <v>11</v>
      </c>
      <c r="D1403" s="4" t="s">
        <v>12</v>
      </c>
      <c r="E1403" s="4" t="s">
        <v>232</v>
      </c>
      <c r="F1403" s="61" t="s">
        <v>232</v>
      </c>
      <c r="G1403" s="4" t="s">
        <v>234</v>
      </c>
      <c r="H1403" s="62">
        <v>2572</v>
      </c>
      <c r="I1403" s="22">
        <v>2500</v>
      </c>
      <c r="K1403" t="s">
        <v>649</v>
      </c>
    </row>
    <row r="1404" spans="1:11" x14ac:dyDescent="0.3">
      <c r="A1404">
        <v>2026</v>
      </c>
      <c r="B1404" s="2">
        <v>2</v>
      </c>
      <c r="C1404" s="3" t="s">
        <v>80</v>
      </c>
      <c r="D1404" s="4" t="s">
        <v>81</v>
      </c>
      <c r="E1404" s="4" t="s">
        <v>232</v>
      </c>
      <c r="F1404" s="61" t="s">
        <v>232</v>
      </c>
      <c r="G1404" s="4" t="s">
        <v>234</v>
      </c>
      <c r="H1404" s="62">
        <v>2500</v>
      </c>
      <c r="I1404" s="22">
        <v>2500</v>
      </c>
      <c r="K1404" t="s">
        <v>686</v>
      </c>
    </row>
    <row r="1405" spans="1:11" x14ac:dyDescent="0.3">
      <c r="A1405">
        <v>2026</v>
      </c>
      <c r="B1405" s="2">
        <v>2</v>
      </c>
      <c r="C1405" s="3" t="s">
        <v>13</v>
      </c>
      <c r="D1405" s="4" t="s">
        <v>14</v>
      </c>
      <c r="E1405" s="4" t="s">
        <v>232</v>
      </c>
      <c r="F1405" s="61" t="s">
        <v>232</v>
      </c>
      <c r="G1405" s="4" t="s">
        <v>234</v>
      </c>
      <c r="H1405" s="62">
        <v>2700</v>
      </c>
      <c r="I1405" s="22">
        <v>2500</v>
      </c>
    </row>
    <row r="1406" spans="1:11" x14ac:dyDescent="0.3">
      <c r="A1406">
        <v>2026</v>
      </c>
      <c r="B1406" s="2">
        <v>2</v>
      </c>
      <c r="C1406" s="3" t="s">
        <v>15</v>
      </c>
      <c r="D1406" s="4" t="s">
        <v>142</v>
      </c>
      <c r="E1406" s="4" t="s">
        <v>232</v>
      </c>
      <c r="F1406" s="61" t="s">
        <v>232</v>
      </c>
      <c r="G1406" s="4" t="s">
        <v>234</v>
      </c>
      <c r="H1406" s="62">
        <v>284</v>
      </c>
      <c r="I1406" s="22">
        <v>2500</v>
      </c>
      <c r="K1406" t="s">
        <v>658</v>
      </c>
    </row>
    <row r="1407" spans="1:11" x14ac:dyDescent="0.3">
      <c r="A1407">
        <v>2026</v>
      </c>
      <c r="B1407" s="2">
        <v>2</v>
      </c>
      <c r="C1407" s="3" t="s">
        <v>111</v>
      </c>
      <c r="D1407" s="4" t="s">
        <v>63</v>
      </c>
      <c r="E1407" s="4" t="s">
        <v>291</v>
      </c>
      <c r="F1407" s="61" t="s">
        <v>291</v>
      </c>
      <c r="G1407" s="4" t="s">
        <v>234</v>
      </c>
      <c r="H1407" s="62">
        <v>1762.2999999999993</v>
      </c>
      <c r="I1407" s="22">
        <v>2500</v>
      </c>
      <c r="K1407" t="s">
        <v>692</v>
      </c>
    </row>
    <row r="1408" spans="1:11" x14ac:dyDescent="0.3">
      <c r="A1408">
        <v>2026</v>
      </c>
      <c r="B1408" s="2">
        <v>2</v>
      </c>
      <c r="C1408" s="3" t="s">
        <v>17</v>
      </c>
      <c r="D1408" s="4" t="s">
        <v>18</v>
      </c>
      <c r="E1408" s="4" t="s">
        <v>232</v>
      </c>
      <c r="F1408" s="61" t="s">
        <v>232</v>
      </c>
      <c r="G1408" s="4" t="s">
        <v>234</v>
      </c>
      <c r="H1408" s="62">
        <v>2863</v>
      </c>
      <c r="I1408" s="22">
        <v>2500</v>
      </c>
      <c r="K1408" t="s">
        <v>659</v>
      </c>
    </row>
    <row r="1409" spans="1:11" x14ac:dyDescent="0.3">
      <c r="A1409">
        <v>2026</v>
      </c>
      <c r="B1409" s="2">
        <v>2</v>
      </c>
      <c r="C1409" s="3" t="s">
        <v>19</v>
      </c>
      <c r="D1409" s="4" t="s">
        <v>20</v>
      </c>
      <c r="E1409" s="4" t="s">
        <v>232</v>
      </c>
      <c r="F1409" s="61" t="s">
        <v>232</v>
      </c>
      <c r="G1409" s="4" t="s">
        <v>234</v>
      </c>
      <c r="H1409" s="62">
        <v>1905.7142857142858</v>
      </c>
      <c r="I1409" s="22">
        <v>2500</v>
      </c>
      <c r="K1409" t="s">
        <v>660</v>
      </c>
    </row>
    <row r="1410" spans="1:11" x14ac:dyDescent="0.3">
      <c r="A1410">
        <v>2026</v>
      </c>
      <c r="B1410" s="2">
        <v>2</v>
      </c>
      <c r="C1410" s="3" t="s">
        <v>19</v>
      </c>
      <c r="D1410" s="4" t="s">
        <v>94</v>
      </c>
      <c r="E1410" s="4" t="s">
        <v>662</v>
      </c>
      <c r="F1410" s="61" t="s">
        <v>662</v>
      </c>
      <c r="G1410" s="4" t="s">
        <v>234</v>
      </c>
      <c r="H1410" s="62">
        <v>714.28571428571433</v>
      </c>
      <c r="I1410" s="22"/>
    </row>
    <row r="1411" spans="1:11" x14ac:dyDescent="0.3">
      <c r="A1411">
        <v>2026</v>
      </c>
      <c r="B1411" s="2">
        <v>2</v>
      </c>
      <c r="C1411" s="3" t="s">
        <v>21</v>
      </c>
      <c r="D1411" s="4" t="s">
        <v>22</v>
      </c>
      <c r="E1411" s="4" t="s">
        <v>232</v>
      </c>
      <c r="F1411" s="61" t="s">
        <v>232</v>
      </c>
      <c r="G1411" s="4" t="s">
        <v>234</v>
      </c>
      <c r="H1411" s="62">
        <v>3000</v>
      </c>
      <c r="I1411" s="22">
        <v>2500</v>
      </c>
      <c r="K1411" t="s">
        <v>663</v>
      </c>
    </row>
    <row r="1412" spans="1:11" x14ac:dyDescent="0.3">
      <c r="A1412">
        <v>2026</v>
      </c>
      <c r="B1412" s="2">
        <v>2</v>
      </c>
      <c r="C1412" s="3" t="s">
        <v>64</v>
      </c>
      <c r="D1412" s="4" t="s">
        <v>140</v>
      </c>
      <c r="E1412" s="4" t="s">
        <v>232</v>
      </c>
      <c r="F1412" s="61" t="s">
        <v>232</v>
      </c>
      <c r="G1412" s="4" t="s">
        <v>234</v>
      </c>
      <c r="H1412" s="62">
        <v>3200</v>
      </c>
      <c r="I1412" s="22">
        <v>2500</v>
      </c>
      <c r="K1412" t="s">
        <v>1167</v>
      </c>
    </row>
    <row r="1413" spans="1:11" x14ac:dyDescent="0.3">
      <c r="A1413">
        <v>2026</v>
      </c>
      <c r="B1413" s="2">
        <v>2</v>
      </c>
      <c r="C1413" s="3" t="s">
        <v>90</v>
      </c>
      <c r="D1413" s="4" t="s">
        <v>16</v>
      </c>
      <c r="E1413" s="4" t="s">
        <v>232</v>
      </c>
      <c r="F1413" s="61" t="s">
        <v>232</v>
      </c>
      <c r="G1413" s="4" t="s">
        <v>234</v>
      </c>
      <c r="H1413" s="62">
        <v>2356.8571428571427</v>
      </c>
      <c r="I1413" s="22">
        <v>2500</v>
      </c>
      <c r="K1413" t="s">
        <v>654</v>
      </c>
    </row>
    <row r="1414" spans="1:11" x14ac:dyDescent="0.3">
      <c r="A1414">
        <v>2026</v>
      </c>
      <c r="B1414" s="2">
        <v>2</v>
      </c>
      <c r="C1414" s="3" t="s">
        <v>23</v>
      </c>
      <c r="D1414" s="4" t="s">
        <v>24</v>
      </c>
      <c r="E1414" s="4" t="s">
        <v>232</v>
      </c>
      <c r="F1414" s="61" t="s">
        <v>232</v>
      </c>
      <c r="G1414" s="4" t="s">
        <v>234</v>
      </c>
      <c r="H1414" s="62">
        <v>3132.3428571428567</v>
      </c>
      <c r="I1414" s="22">
        <v>2500</v>
      </c>
      <c r="K1414" t="s">
        <v>664</v>
      </c>
    </row>
    <row r="1415" spans="1:11" x14ac:dyDescent="0.3">
      <c r="A1415">
        <v>2026</v>
      </c>
      <c r="B1415" s="2">
        <v>2</v>
      </c>
      <c r="C1415" s="3" t="s">
        <v>23</v>
      </c>
      <c r="D1415" s="4" t="s">
        <v>22</v>
      </c>
      <c r="E1415" s="4" t="s">
        <v>232</v>
      </c>
      <c r="F1415" s="61" t="s">
        <v>232</v>
      </c>
      <c r="G1415" s="4" t="s">
        <v>234</v>
      </c>
      <c r="H1415" s="62">
        <v>500</v>
      </c>
      <c r="I1415" s="22"/>
      <c r="K1415" t="s">
        <v>665</v>
      </c>
    </row>
    <row r="1416" spans="1:11" x14ac:dyDescent="0.3">
      <c r="A1416">
        <v>2026</v>
      </c>
      <c r="B1416" s="2">
        <v>2</v>
      </c>
      <c r="C1416" s="3" t="s">
        <v>85</v>
      </c>
      <c r="D1416" s="4" t="s">
        <v>86</v>
      </c>
      <c r="E1416" s="4" t="s">
        <v>232</v>
      </c>
      <c r="F1416" s="61" t="s">
        <v>232</v>
      </c>
      <c r="G1416" s="4" t="s">
        <v>234</v>
      </c>
      <c r="H1416" s="62">
        <v>2810</v>
      </c>
      <c r="I1416" s="22">
        <v>2500</v>
      </c>
      <c r="K1416" t="s">
        <v>684</v>
      </c>
    </row>
    <row r="1417" spans="1:11" x14ac:dyDescent="0.3">
      <c r="A1417">
        <v>2026</v>
      </c>
      <c r="B1417" s="2">
        <v>2</v>
      </c>
      <c r="C1417" s="3" t="s">
        <v>66</v>
      </c>
      <c r="D1417" s="4" t="s">
        <v>67</v>
      </c>
      <c r="E1417" s="4" t="s">
        <v>232</v>
      </c>
      <c r="F1417" s="61" t="s">
        <v>232</v>
      </c>
      <c r="G1417" s="4" t="s">
        <v>234</v>
      </c>
      <c r="H1417" s="62">
        <v>2821</v>
      </c>
      <c r="I1417" s="22">
        <v>2500</v>
      </c>
      <c r="K1417" t="s">
        <v>682</v>
      </c>
    </row>
    <row r="1418" spans="1:11" x14ac:dyDescent="0.3">
      <c r="A1418">
        <v>2026</v>
      </c>
      <c r="B1418" s="2">
        <v>2</v>
      </c>
      <c r="C1418" s="3" t="s">
        <v>25</v>
      </c>
      <c r="D1418" s="4" t="s">
        <v>26</v>
      </c>
      <c r="E1418" s="4" t="s">
        <v>232</v>
      </c>
      <c r="F1418" s="61" t="s">
        <v>232</v>
      </c>
      <c r="G1418" s="4" t="s">
        <v>234</v>
      </c>
      <c r="H1418" s="62">
        <v>-2178</v>
      </c>
      <c r="I1418" s="22">
        <v>2500</v>
      </c>
      <c r="K1418" t="s">
        <v>666</v>
      </c>
    </row>
    <row r="1419" spans="1:11" x14ac:dyDescent="0.3">
      <c r="A1419">
        <v>2026</v>
      </c>
      <c r="B1419" s="2">
        <v>2</v>
      </c>
      <c r="C1419" s="3" t="s">
        <v>25</v>
      </c>
      <c r="D1419" s="4" t="s">
        <v>67</v>
      </c>
      <c r="E1419" s="4" t="s">
        <v>232</v>
      </c>
      <c r="F1419" s="61" t="s">
        <v>232</v>
      </c>
      <c r="G1419" s="4" t="s">
        <v>234</v>
      </c>
      <c r="H1419" s="62">
        <v>-500</v>
      </c>
      <c r="I1419" s="22"/>
      <c r="K1419" t="s">
        <v>667</v>
      </c>
    </row>
    <row r="1420" spans="1:11" x14ac:dyDescent="0.3">
      <c r="A1420">
        <v>2026</v>
      </c>
      <c r="B1420" s="2">
        <v>2</v>
      </c>
      <c r="C1420" s="3" t="s">
        <v>68</v>
      </c>
      <c r="D1420" s="4" t="s">
        <v>69</v>
      </c>
      <c r="E1420" s="4" t="s">
        <v>241</v>
      </c>
      <c r="F1420" s="61" t="s">
        <v>291</v>
      </c>
      <c r="G1420" s="4" t="s">
        <v>234</v>
      </c>
      <c r="H1420" s="62">
        <v>-815.48000000000047</v>
      </c>
      <c r="I1420" s="22">
        <v>2500</v>
      </c>
      <c r="K1420" t="s">
        <v>639</v>
      </c>
    </row>
    <row r="1421" spans="1:11" x14ac:dyDescent="0.3">
      <c r="A1421">
        <v>2026</v>
      </c>
      <c r="B1421" s="2">
        <v>2</v>
      </c>
      <c r="C1421" s="3" t="s">
        <v>60</v>
      </c>
      <c r="D1421" s="4" t="s">
        <v>28</v>
      </c>
      <c r="E1421" s="4" t="s">
        <v>232</v>
      </c>
      <c r="F1421" s="61" t="s">
        <v>232</v>
      </c>
      <c r="G1421" s="4" t="s">
        <v>234</v>
      </c>
      <c r="H1421" s="62">
        <v>-500</v>
      </c>
      <c r="I1421" s="22">
        <v>2500</v>
      </c>
      <c r="K1421" t="s">
        <v>690</v>
      </c>
    </row>
    <row r="1422" spans="1:11" x14ac:dyDescent="0.3">
      <c r="A1422">
        <v>2026</v>
      </c>
      <c r="B1422" s="2">
        <v>2</v>
      </c>
      <c r="C1422" s="3" t="s">
        <v>27</v>
      </c>
      <c r="D1422" s="4" t="s">
        <v>28</v>
      </c>
      <c r="E1422" s="4" t="s">
        <v>232</v>
      </c>
      <c r="F1422" s="61" t="s">
        <v>232</v>
      </c>
      <c r="G1422" s="4" t="s">
        <v>234</v>
      </c>
      <c r="H1422" s="62">
        <v>2464</v>
      </c>
      <c r="I1422" s="22">
        <v>2500</v>
      </c>
      <c r="K1422" t="s">
        <v>668</v>
      </c>
    </row>
    <row r="1423" spans="1:11" x14ac:dyDescent="0.3">
      <c r="A1423">
        <v>2026</v>
      </c>
      <c r="B1423" s="2">
        <v>2</v>
      </c>
      <c r="C1423" s="3" t="s">
        <v>9</v>
      </c>
      <c r="D1423" s="4" t="s">
        <v>10</v>
      </c>
      <c r="E1423" s="4" t="s">
        <v>232</v>
      </c>
      <c r="F1423" s="61" t="s">
        <v>232</v>
      </c>
      <c r="G1423" s="4" t="s">
        <v>425</v>
      </c>
      <c r="H1423" s="62">
        <v>1339.7600000000002</v>
      </c>
      <c r="I1423" s="22">
        <v>2500</v>
      </c>
      <c r="K1423" t="s">
        <v>648</v>
      </c>
    </row>
    <row r="1424" spans="1:11" x14ac:dyDescent="0.3">
      <c r="A1424">
        <v>2026</v>
      </c>
      <c r="B1424" s="2">
        <v>2</v>
      </c>
      <c r="C1424" s="3" t="s">
        <v>70</v>
      </c>
      <c r="D1424" s="4" t="s">
        <v>71</v>
      </c>
      <c r="E1424" s="4" t="s">
        <v>232</v>
      </c>
      <c r="F1424" s="67" t="s">
        <v>291</v>
      </c>
      <c r="G1424" s="4" t="s">
        <v>234</v>
      </c>
      <c r="H1424" s="62">
        <v>5191</v>
      </c>
      <c r="I1424" s="22">
        <v>2500</v>
      </c>
      <c r="K1424" t="s">
        <v>693</v>
      </c>
    </row>
    <row r="1425" spans="1:11" x14ac:dyDescent="0.3">
      <c r="A1425">
        <v>2026</v>
      </c>
      <c r="B1425" s="2">
        <v>2</v>
      </c>
      <c r="C1425" s="3" t="s">
        <v>29</v>
      </c>
      <c r="D1425" s="4" t="s">
        <v>141</v>
      </c>
      <c r="E1425" s="4" t="s">
        <v>232</v>
      </c>
      <c r="F1425" s="61" t="s">
        <v>232</v>
      </c>
      <c r="G1425" s="4" t="s">
        <v>234</v>
      </c>
      <c r="H1425" s="62">
        <v>3200</v>
      </c>
      <c r="I1425" s="22">
        <v>2500</v>
      </c>
      <c r="K1425" t="s">
        <v>1166</v>
      </c>
    </row>
    <row r="1426" spans="1:11" x14ac:dyDescent="0.3">
      <c r="A1426">
        <v>2026</v>
      </c>
      <c r="B1426" s="2">
        <v>2</v>
      </c>
      <c r="C1426" s="3" t="s">
        <v>72</v>
      </c>
      <c r="D1426" s="4" t="s">
        <v>73</v>
      </c>
      <c r="E1426" s="4" t="s">
        <v>241</v>
      </c>
      <c r="F1426" s="61" t="s">
        <v>291</v>
      </c>
      <c r="G1426" s="4" t="s">
        <v>234</v>
      </c>
      <c r="H1426" s="62">
        <v>1250</v>
      </c>
      <c r="I1426" s="22">
        <v>2500</v>
      </c>
      <c r="K1426" t="s">
        <v>672</v>
      </c>
    </row>
    <row r="1427" spans="1:11" x14ac:dyDescent="0.3">
      <c r="A1427">
        <v>2026</v>
      </c>
      <c r="B1427" s="2">
        <v>2</v>
      </c>
      <c r="C1427" s="3" t="s">
        <v>92</v>
      </c>
      <c r="D1427" s="4" t="s">
        <v>30</v>
      </c>
      <c r="E1427" s="4" t="s">
        <v>232</v>
      </c>
      <c r="F1427" s="61" t="s">
        <v>232</v>
      </c>
      <c r="G1427" s="4" t="s">
        <v>234</v>
      </c>
      <c r="H1427" s="62">
        <v>2785.7142857142858</v>
      </c>
      <c r="I1427" s="22">
        <v>2500</v>
      </c>
      <c r="K1427" t="s">
        <v>656</v>
      </c>
    </row>
    <row r="1428" spans="1:11" x14ac:dyDescent="0.3">
      <c r="A1428">
        <v>2026</v>
      </c>
      <c r="B1428" s="2">
        <v>2</v>
      </c>
      <c r="C1428" s="3" t="s">
        <v>105</v>
      </c>
      <c r="D1428" s="4" t="s">
        <v>106</v>
      </c>
      <c r="E1428" s="4" t="s">
        <v>232</v>
      </c>
      <c r="F1428" s="61" t="s">
        <v>232</v>
      </c>
      <c r="G1428" s="4" t="s">
        <v>425</v>
      </c>
      <c r="H1428" s="62">
        <v>2500</v>
      </c>
      <c r="I1428" s="22">
        <v>2500</v>
      </c>
      <c r="K1428" t="s">
        <v>647</v>
      </c>
    </row>
    <row r="1429" spans="1:11" x14ac:dyDescent="0.3">
      <c r="A1429">
        <v>2026</v>
      </c>
      <c r="B1429" s="2">
        <v>2</v>
      </c>
      <c r="C1429" s="3" t="s">
        <v>31</v>
      </c>
      <c r="D1429" s="4" t="s">
        <v>143</v>
      </c>
      <c r="E1429" s="4" t="s">
        <v>232</v>
      </c>
      <c r="F1429" s="61" t="s">
        <v>232</v>
      </c>
      <c r="G1429" s="4" t="s">
        <v>234</v>
      </c>
      <c r="H1429" s="62">
        <v>3200</v>
      </c>
      <c r="I1429" s="22">
        <v>2500</v>
      </c>
      <c r="K1429" t="s">
        <v>670</v>
      </c>
    </row>
    <row r="1430" spans="1:11" x14ac:dyDescent="0.3">
      <c r="A1430">
        <v>2026</v>
      </c>
      <c r="B1430" s="2">
        <v>2</v>
      </c>
      <c r="C1430" s="3" t="s">
        <v>91</v>
      </c>
      <c r="D1430" s="4" t="s">
        <v>50</v>
      </c>
      <c r="E1430" s="4" t="s">
        <v>232</v>
      </c>
      <c r="F1430" s="61" t="s">
        <v>232</v>
      </c>
      <c r="G1430" s="4" t="s">
        <v>234</v>
      </c>
      <c r="H1430" s="62">
        <v>-174</v>
      </c>
      <c r="I1430" s="22">
        <v>2500</v>
      </c>
      <c r="J1430">
        <v>1000</v>
      </c>
      <c r="K1430" t="s">
        <v>655</v>
      </c>
    </row>
    <row r="1431" spans="1:11" x14ac:dyDescent="0.3">
      <c r="A1431">
        <v>2026</v>
      </c>
      <c r="B1431" s="2">
        <v>2</v>
      </c>
      <c r="C1431" s="3" t="s">
        <v>33</v>
      </c>
      <c r="D1431" s="4" t="s">
        <v>34</v>
      </c>
      <c r="E1431" s="4" t="s">
        <v>232</v>
      </c>
      <c r="F1431" s="61" t="s">
        <v>232</v>
      </c>
      <c r="G1431" s="4" t="s">
        <v>234</v>
      </c>
      <c r="H1431" s="62">
        <v>-2676.56</v>
      </c>
      <c r="I1431" s="22">
        <v>2500</v>
      </c>
      <c r="K1431" t="s">
        <v>671</v>
      </c>
    </row>
    <row r="1432" spans="1:11" x14ac:dyDescent="0.3">
      <c r="A1432">
        <v>2026</v>
      </c>
      <c r="B1432" s="2">
        <v>2</v>
      </c>
      <c r="C1432" s="3" t="s">
        <v>103</v>
      </c>
      <c r="D1432" s="4" t="s">
        <v>94</v>
      </c>
      <c r="E1432" s="4" t="s">
        <v>662</v>
      </c>
      <c r="F1432" s="61" t="s">
        <v>662</v>
      </c>
      <c r="G1432" s="4" t="s">
        <v>234</v>
      </c>
      <c r="H1432" s="62">
        <v>456.71428571428572</v>
      </c>
      <c r="I1432" s="22">
        <v>2500</v>
      </c>
      <c r="J1432">
        <v>2000</v>
      </c>
      <c r="K1432" t="s">
        <v>701</v>
      </c>
    </row>
    <row r="1433" spans="1:11" x14ac:dyDescent="0.3">
      <c r="A1433">
        <v>2026</v>
      </c>
      <c r="B1433" s="2">
        <v>2</v>
      </c>
      <c r="C1433" s="3" t="s">
        <v>57</v>
      </c>
      <c r="D1433" s="4" t="s">
        <v>16</v>
      </c>
      <c r="E1433" s="4" t="s">
        <v>232</v>
      </c>
      <c r="F1433" s="61" t="s">
        <v>232</v>
      </c>
      <c r="G1433" s="4" t="s">
        <v>234</v>
      </c>
      <c r="H1433" s="62">
        <v>-500</v>
      </c>
      <c r="I1433" s="22">
        <v>2500</v>
      </c>
      <c r="K1433" t="s">
        <v>689</v>
      </c>
    </row>
    <row r="1434" spans="1:11" x14ac:dyDescent="0.3">
      <c r="A1434">
        <v>2026</v>
      </c>
      <c r="B1434" s="2">
        <v>2</v>
      </c>
      <c r="C1434" s="3" t="s">
        <v>35</v>
      </c>
      <c r="D1434" s="4" t="s">
        <v>36</v>
      </c>
      <c r="E1434" s="4" t="s">
        <v>232</v>
      </c>
      <c r="F1434" s="61" t="s">
        <v>232</v>
      </c>
      <c r="G1434" s="4" t="s">
        <v>234</v>
      </c>
      <c r="H1434" s="62">
        <v>1216</v>
      </c>
      <c r="I1434" s="22">
        <v>2500</v>
      </c>
      <c r="K1434" t="s">
        <v>672</v>
      </c>
    </row>
    <row r="1435" spans="1:11" x14ac:dyDescent="0.3">
      <c r="A1435">
        <v>2026</v>
      </c>
      <c r="B1435" s="2">
        <v>2</v>
      </c>
      <c r="C1435" s="3" t="s">
        <v>37</v>
      </c>
      <c r="D1435" s="4" t="s">
        <v>38</v>
      </c>
      <c r="E1435" s="4" t="s">
        <v>232</v>
      </c>
      <c r="F1435" s="61" t="s">
        <v>232</v>
      </c>
      <c r="G1435" s="4" t="s">
        <v>234</v>
      </c>
      <c r="H1435" s="62">
        <v>-1144</v>
      </c>
      <c r="I1435" s="22">
        <v>2500</v>
      </c>
      <c r="K1435" t="s">
        <v>673</v>
      </c>
    </row>
    <row r="1436" spans="1:11" x14ac:dyDescent="0.3">
      <c r="A1436">
        <v>2026</v>
      </c>
      <c r="B1436" s="2">
        <v>2</v>
      </c>
      <c r="C1436" s="3" t="s">
        <v>61</v>
      </c>
      <c r="D1436" s="4" t="s">
        <v>34</v>
      </c>
      <c r="E1436" s="4" t="s">
        <v>232</v>
      </c>
      <c r="F1436" s="61" t="s">
        <v>232</v>
      </c>
      <c r="G1436" s="4" t="s">
        <v>234</v>
      </c>
      <c r="H1436" s="62">
        <v>700</v>
      </c>
      <c r="I1436" s="22">
        <v>2500</v>
      </c>
      <c r="K1436" t="s">
        <v>688</v>
      </c>
    </row>
    <row r="1437" spans="1:11" x14ac:dyDescent="0.3">
      <c r="A1437">
        <v>2026</v>
      </c>
      <c r="B1437" s="2">
        <v>2</v>
      </c>
      <c r="C1437" s="3" t="s">
        <v>61</v>
      </c>
      <c r="D1437" s="4" t="s">
        <v>100</v>
      </c>
      <c r="E1437" s="4" t="s">
        <v>662</v>
      </c>
      <c r="F1437" s="61" t="s">
        <v>662</v>
      </c>
      <c r="G1437" s="4" t="s">
        <v>234</v>
      </c>
      <c r="H1437" s="62">
        <v>628</v>
      </c>
      <c r="I1437" s="22"/>
      <c r="K1437" t="s">
        <v>698</v>
      </c>
    </row>
    <row r="1438" spans="1:11" x14ac:dyDescent="0.3">
      <c r="A1438">
        <v>2026</v>
      </c>
      <c r="B1438" s="2">
        <v>2</v>
      </c>
      <c r="C1438" s="3" t="s">
        <v>39</v>
      </c>
      <c r="D1438" s="4" t="s">
        <v>40</v>
      </c>
      <c r="E1438" s="4" t="s">
        <v>232</v>
      </c>
      <c r="F1438" s="61" t="s">
        <v>232</v>
      </c>
      <c r="G1438" s="4" t="s">
        <v>234</v>
      </c>
      <c r="H1438" s="62">
        <v>-646</v>
      </c>
      <c r="I1438" s="22">
        <v>2500</v>
      </c>
      <c r="K1438" t="s">
        <v>674</v>
      </c>
    </row>
    <row r="1439" spans="1:11" x14ac:dyDescent="0.3">
      <c r="A1439">
        <v>2026</v>
      </c>
      <c r="B1439" s="2">
        <v>2</v>
      </c>
      <c r="C1439" s="3" t="s">
        <v>99</v>
      </c>
      <c r="D1439" s="4" t="s">
        <v>42</v>
      </c>
      <c r="E1439" s="4" t="s">
        <v>232</v>
      </c>
      <c r="F1439" s="67" t="s">
        <v>291</v>
      </c>
      <c r="G1439" s="4" t="s">
        <v>234</v>
      </c>
      <c r="H1439" s="62">
        <v>493.82285714285712</v>
      </c>
      <c r="I1439" s="22">
        <v>2500</v>
      </c>
      <c r="K1439" t="s">
        <v>1168</v>
      </c>
    </row>
    <row r="1440" spans="1:11" x14ac:dyDescent="0.3">
      <c r="A1440">
        <v>2026</v>
      </c>
      <c r="B1440" s="2">
        <v>2</v>
      </c>
      <c r="C1440" s="3" t="s">
        <v>99</v>
      </c>
      <c r="D1440" s="4" t="s">
        <v>102</v>
      </c>
      <c r="E1440" s="4" t="s">
        <v>662</v>
      </c>
      <c r="F1440" s="61" t="s">
        <v>662</v>
      </c>
      <c r="G1440" s="4" t="s">
        <v>234</v>
      </c>
      <c r="H1440" s="62">
        <v>1040.5714285714284</v>
      </c>
      <c r="I1440" s="22"/>
      <c r="K1440" t="s">
        <v>700</v>
      </c>
    </row>
    <row r="1441" spans="1:11" x14ac:dyDescent="0.3">
      <c r="A1441">
        <v>2026</v>
      </c>
      <c r="B1441" s="2">
        <v>2</v>
      </c>
      <c r="C1441" s="3" t="s">
        <v>88</v>
      </c>
      <c r="D1441" s="4" t="s">
        <v>46</v>
      </c>
      <c r="E1441" s="4" t="s">
        <v>232</v>
      </c>
      <c r="F1441" s="61" t="s">
        <v>232</v>
      </c>
      <c r="G1441" s="4" t="s">
        <v>234</v>
      </c>
      <c r="H1441" s="62">
        <v>1285.42</v>
      </c>
      <c r="I1441" s="22">
        <v>2500</v>
      </c>
      <c r="J1441">
        <v>2000</v>
      </c>
      <c r="K1441" t="s">
        <v>651</v>
      </c>
    </row>
    <row r="1442" spans="1:11" x14ac:dyDescent="0.3">
      <c r="A1442">
        <v>2026</v>
      </c>
      <c r="B1442" s="2">
        <v>2</v>
      </c>
      <c r="C1442" s="3" t="s">
        <v>43</v>
      </c>
      <c r="D1442" s="4" t="s">
        <v>44</v>
      </c>
      <c r="E1442" s="4" t="s">
        <v>232</v>
      </c>
      <c r="F1442" s="61" t="s">
        <v>232</v>
      </c>
      <c r="G1442" s="4" t="s">
        <v>234</v>
      </c>
      <c r="H1442" s="62">
        <v>2155.36</v>
      </c>
      <c r="I1442" s="22">
        <v>2500</v>
      </c>
      <c r="K1442" t="s">
        <v>675</v>
      </c>
    </row>
    <row r="1443" spans="1:11" x14ac:dyDescent="0.3">
      <c r="A1443">
        <v>2026</v>
      </c>
      <c r="B1443" s="2">
        <v>2</v>
      </c>
      <c r="C1443" s="3" t="s">
        <v>82</v>
      </c>
      <c r="D1443" s="4" t="s">
        <v>83</v>
      </c>
      <c r="E1443" s="4" t="s">
        <v>232</v>
      </c>
      <c r="F1443" s="61" t="s">
        <v>232</v>
      </c>
      <c r="G1443" s="4" t="s">
        <v>234</v>
      </c>
      <c r="H1443" s="62">
        <v>2000</v>
      </c>
      <c r="I1443" s="22">
        <v>2500</v>
      </c>
      <c r="K1443" t="s">
        <v>687</v>
      </c>
    </row>
    <row r="1444" spans="1:11" x14ac:dyDescent="0.3">
      <c r="A1444">
        <v>2026</v>
      </c>
      <c r="B1444" s="2">
        <v>2</v>
      </c>
      <c r="C1444" s="3" t="s">
        <v>84</v>
      </c>
      <c r="D1444" s="4" t="s">
        <v>59</v>
      </c>
      <c r="E1444" s="4" t="s">
        <v>232</v>
      </c>
      <c r="F1444" s="67" t="s">
        <v>291</v>
      </c>
      <c r="G1444" s="4" t="s">
        <v>234</v>
      </c>
      <c r="H1444" s="62">
        <v>3000</v>
      </c>
      <c r="I1444" s="22">
        <v>2500</v>
      </c>
    </row>
    <row r="1445" spans="1:11" x14ac:dyDescent="0.3">
      <c r="A1445">
        <v>2026</v>
      </c>
      <c r="B1445" s="2">
        <v>2</v>
      </c>
      <c r="C1445" s="3" t="s">
        <v>89</v>
      </c>
      <c r="D1445" s="4" t="s">
        <v>4</v>
      </c>
      <c r="E1445" s="4" t="s">
        <v>232</v>
      </c>
      <c r="F1445" s="61" t="s">
        <v>232</v>
      </c>
      <c r="G1445" s="4" t="s">
        <v>234</v>
      </c>
      <c r="H1445" s="62">
        <v>2142.7142857142858</v>
      </c>
      <c r="I1445" s="22">
        <v>2500</v>
      </c>
      <c r="K1445" t="s">
        <v>653</v>
      </c>
    </row>
    <row r="1446" spans="1:11" x14ac:dyDescent="0.3">
      <c r="A1446">
        <v>2026</v>
      </c>
      <c r="B1446" s="2">
        <v>2</v>
      </c>
      <c r="C1446" s="3" t="s">
        <v>5</v>
      </c>
      <c r="D1446" s="4" t="s">
        <v>6</v>
      </c>
      <c r="E1446" s="4" t="s">
        <v>232</v>
      </c>
      <c r="F1446" s="61" t="s">
        <v>232</v>
      </c>
      <c r="G1446" s="4" t="s">
        <v>425</v>
      </c>
      <c r="H1446" s="62">
        <v>-2865.12</v>
      </c>
      <c r="I1446" s="22">
        <v>2500</v>
      </c>
      <c r="K1446" t="s">
        <v>591</v>
      </c>
    </row>
    <row r="1447" spans="1:11" x14ac:dyDescent="0.3">
      <c r="A1447">
        <v>2026</v>
      </c>
      <c r="B1447" s="2">
        <v>2</v>
      </c>
      <c r="C1447" s="3" t="s">
        <v>5</v>
      </c>
      <c r="D1447" s="4" t="s">
        <v>42</v>
      </c>
      <c r="E1447" s="4" t="s">
        <v>232</v>
      </c>
      <c r="F1447" s="61" t="s">
        <v>232</v>
      </c>
      <c r="G1447" s="4" t="s">
        <v>425</v>
      </c>
      <c r="H1447" s="62">
        <v>-500</v>
      </c>
      <c r="I1447" s="22"/>
      <c r="K1447" t="s">
        <v>591</v>
      </c>
    </row>
    <row r="1448" spans="1:11" x14ac:dyDescent="0.3">
      <c r="A1448">
        <v>2026</v>
      </c>
      <c r="B1448" s="2">
        <v>2</v>
      </c>
      <c r="C1448" s="3" t="s">
        <v>47</v>
      </c>
      <c r="D1448" s="4" t="s">
        <v>147</v>
      </c>
      <c r="E1448" s="4" t="s">
        <v>232</v>
      </c>
      <c r="F1448" s="61" t="s">
        <v>232</v>
      </c>
      <c r="G1448" s="4" t="s">
        <v>234</v>
      </c>
      <c r="H1448" s="62">
        <v>3156.52</v>
      </c>
      <c r="I1448" s="22">
        <v>2500</v>
      </c>
      <c r="K1448" t="s">
        <v>676</v>
      </c>
    </row>
    <row r="1449" spans="1:11" x14ac:dyDescent="0.3">
      <c r="A1449">
        <v>2026</v>
      </c>
      <c r="B1449" s="2">
        <v>2</v>
      </c>
      <c r="C1449" s="3" t="s">
        <v>49</v>
      </c>
      <c r="D1449" s="4" t="s">
        <v>96</v>
      </c>
      <c r="E1449" s="4" t="s">
        <v>232</v>
      </c>
      <c r="F1449" s="61" t="s">
        <v>232</v>
      </c>
      <c r="G1449" s="4" t="s">
        <v>234</v>
      </c>
      <c r="H1449" s="62">
        <v>3200</v>
      </c>
      <c r="I1449" s="22">
        <v>2500</v>
      </c>
      <c r="K1449" t="s">
        <v>677</v>
      </c>
    </row>
    <row r="1450" spans="1:11" x14ac:dyDescent="0.3">
      <c r="A1450">
        <v>2026</v>
      </c>
      <c r="B1450" s="2">
        <v>2</v>
      </c>
      <c r="C1450" s="3" t="s">
        <v>74</v>
      </c>
      <c r="D1450" s="4" t="s">
        <v>77</v>
      </c>
      <c r="E1450" s="4" t="s">
        <v>232</v>
      </c>
      <c r="F1450" s="61" t="s">
        <v>232</v>
      </c>
      <c r="G1450" s="4" t="s">
        <v>234</v>
      </c>
      <c r="H1450" s="62">
        <v>-1360.5714285714287</v>
      </c>
      <c r="I1450" s="22">
        <v>2500</v>
      </c>
      <c r="K1450" t="s">
        <v>683</v>
      </c>
    </row>
    <row r="1451" spans="1:11" x14ac:dyDescent="0.3">
      <c r="A1451">
        <v>2026</v>
      </c>
      <c r="B1451" s="2">
        <v>2</v>
      </c>
      <c r="C1451" s="3" t="s">
        <v>74</v>
      </c>
      <c r="D1451" s="4" t="s">
        <v>75</v>
      </c>
      <c r="E1451" s="4" t="s">
        <v>241</v>
      </c>
      <c r="F1451" s="61" t="s">
        <v>291</v>
      </c>
      <c r="G1451" s="4" t="s">
        <v>234</v>
      </c>
      <c r="H1451" s="62">
        <v>427.97142857142853</v>
      </c>
      <c r="I1451" s="22"/>
      <c r="K1451" t="s">
        <v>691</v>
      </c>
    </row>
    <row r="1452" spans="1:11" x14ac:dyDescent="0.3">
      <c r="A1452">
        <v>2026</v>
      </c>
      <c r="B1452" s="2">
        <v>2</v>
      </c>
      <c r="C1452" s="3" t="s">
        <v>51</v>
      </c>
      <c r="D1452" s="4" t="s">
        <v>52</v>
      </c>
      <c r="E1452" s="4" t="s">
        <v>232</v>
      </c>
      <c r="F1452" s="61" t="s">
        <v>232</v>
      </c>
      <c r="G1452" s="4" t="s">
        <v>234</v>
      </c>
      <c r="H1452" s="62">
        <v>2500</v>
      </c>
      <c r="I1452" s="22">
        <v>2500</v>
      </c>
      <c r="K1452" t="s">
        <v>678</v>
      </c>
    </row>
    <row r="1453" spans="1:11" x14ac:dyDescent="0.3">
      <c r="A1453">
        <v>2026</v>
      </c>
      <c r="B1453" s="2">
        <v>2</v>
      </c>
      <c r="C1453" s="3" t="s">
        <v>53</v>
      </c>
      <c r="D1453" s="4" t="s">
        <v>54</v>
      </c>
      <c r="E1453" s="4" t="s">
        <v>232</v>
      </c>
      <c r="F1453" s="61" t="s">
        <v>232</v>
      </c>
      <c r="G1453" s="4" t="s">
        <v>234</v>
      </c>
      <c r="H1453" s="62">
        <v>528</v>
      </c>
      <c r="I1453" s="22">
        <v>2500</v>
      </c>
      <c r="K1453" t="s">
        <v>679</v>
      </c>
    </row>
    <row r="1454" spans="1:11" x14ac:dyDescent="0.3">
      <c r="A1454">
        <v>2026</v>
      </c>
      <c r="B1454" s="2">
        <v>2</v>
      </c>
      <c r="C1454" s="3" t="s">
        <v>78</v>
      </c>
      <c r="D1454" s="4" t="s">
        <v>79</v>
      </c>
      <c r="E1454" s="4" t="s">
        <v>291</v>
      </c>
      <c r="F1454" s="61" t="s">
        <v>291</v>
      </c>
      <c r="G1454" s="4" t="s">
        <v>234</v>
      </c>
      <c r="H1454" s="62">
        <v>-2399.0000000000005</v>
      </c>
      <c r="I1454" s="22">
        <v>2500</v>
      </c>
      <c r="K1454" t="s">
        <v>695</v>
      </c>
    </row>
    <row r="1455" spans="1:11" x14ac:dyDescent="0.3">
      <c r="A1455">
        <v>2026</v>
      </c>
      <c r="B1455" s="2">
        <v>2</v>
      </c>
      <c r="C1455" s="3" t="s">
        <v>76</v>
      </c>
      <c r="D1455" s="4" t="s">
        <v>77</v>
      </c>
      <c r="E1455" s="4" t="s">
        <v>232</v>
      </c>
      <c r="F1455" s="67" t="s">
        <v>291</v>
      </c>
      <c r="G1455" s="4" t="s">
        <v>234</v>
      </c>
      <c r="H1455" s="62">
        <v>-520.35142857142853</v>
      </c>
      <c r="I1455" s="22">
        <v>2500</v>
      </c>
      <c r="K1455" t="s">
        <v>694</v>
      </c>
    </row>
    <row r="1456" spans="1:11" x14ac:dyDescent="0.3">
      <c r="A1456">
        <v>2026</v>
      </c>
      <c r="B1456" s="2">
        <v>2</v>
      </c>
      <c r="C1456" s="3" t="s">
        <v>87</v>
      </c>
      <c r="D1456" s="4" t="s">
        <v>97</v>
      </c>
      <c r="E1456" s="4" t="s">
        <v>232</v>
      </c>
      <c r="F1456" s="61" t="s">
        <v>232</v>
      </c>
      <c r="G1456" s="4" t="s">
        <v>234</v>
      </c>
      <c r="H1456" s="62">
        <v>3000</v>
      </c>
      <c r="I1456" s="22">
        <v>2500</v>
      </c>
      <c r="K1456" t="s">
        <v>685</v>
      </c>
    </row>
    <row r="1457" spans="1:11" x14ac:dyDescent="0.3">
      <c r="A1457">
        <v>2026</v>
      </c>
      <c r="B1457" s="2">
        <v>2</v>
      </c>
      <c r="C1457" s="3" t="s">
        <v>98</v>
      </c>
      <c r="D1457" s="4" t="s">
        <v>56</v>
      </c>
      <c r="E1457" s="4" t="s">
        <v>241</v>
      </c>
      <c r="F1457" s="61" t="s">
        <v>291</v>
      </c>
      <c r="G1457" s="4" t="s">
        <v>234</v>
      </c>
      <c r="H1457" s="62">
        <v>2500.42</v>
      </c>
      <c r="I1457" s="22">
        <v>2500</v>
      </c>
      <c r="K1457" t="s">
        <v>696</v>
      </c>
    </row>
    <row r="1458" spans="1:11" x14ac:dyDescent="0.3">
      <c r="A1458">
        <v>2026</v>
      </c>
      <c r="B1458" s="2">
        <v>3</v>
      </c>
      <c r="C1458" s="3" t="s">
        <v>11</v>
      </c>
      <c r="D1458" s="4" t="s">
        <v>12</v>
      </c>
      <c r="E1458" s="4" t="s">
        <v>232</v>
      </c>
      <c r="F1458" s="61" t="s">
        <v>232</v>
      </c>
      <c r="G1458" s="4" t="s">
        <v>234</v>
      </c>
      <c r="H1458" s="62">
        <v>2771.68</v>
      </c>
      <c r="I1458" s="22">
        <v>2500</v>
      </c>
    </row>
    <row r="1459" spans="1:11" x14ac:dyDescent="0.3">
      <c r="A1459">
        <v>2026</v>
      </c>
      <c r="B1459" s="2">
        <v>3</v>
      </c>
      <c r="C1459" s="3" t="s">
        <v>80</v>
      </c>
      <c r="D1459" s="4" t="s">
        <v>81</v>
      </c>
      <c r="E1459" s="4" t="s">
        <v>232</v>
      </c>
      <c r="F1459" s="61" t="s">
        <v>232</v>
      </c>
      <c r="G1459" s="4" t="s">
        <v>234</v>
      </c>
      <c r="H1459" s="62">
        <v>2500</v>
      </c>
      <c r="I1459" s="22">
        <v>2500</v>
      </c>
      <c r="K1459" t="s">
        <v>731</v>
      </c>
    </row>
    <row r="1460" spans="1:11" x14ac:dyDescent="0.3">
      <c r="A1460">
        <v>2026</v>
      </c>
      <c r="B1460" s="2">
        <v>3</v>
      </c>
      <c r="C1460" s="3" t="s">
        <v>13</v>
      </c>
      <c r="D1460" s="4" t="s">
        <v>14</v>
      </c>
      <c r="E1460" s="4" t="s">
        <v>232</v>
      </c>
      <c r="F1460" s="61" t="s">
        <v>232</v>
      </c>
      <c r="G1460" s="4" t="s">
        <v>234</v>
      </c>
      <c r="H1460" s="62">
        <v>2700</v>
      </c>
      <c r="I1460" s="22">
        <v>2500</v>
      </c>
    </row>
    <row r="1461" spans="1:11" x14ac:dyDescent="0.3">
      <c r="A1461">
        <v>2026</v>
      </c>
      <c r="B1461" s="2">
        <v>3</v>
      </c>
      <c r="C1461" s="3" t="s">
        <v>15</v>
      </c>
      <c r="D1461" s="4" t="s">
        <v>142</v>
      </c>
      <c r="E1461" s="4" t="s">
        <v>232</v>
      </c>
      <c r="F1461" s="61" t="s">
        <v>232</v>
      </c>
      <c r="G1461" s="4" t="s">
        <v>234</v>
      </c>
      <c r="H1461" s="62">
        <v>-2510.1028571428569</v>
      </c>
      <c r="I1461" s="22">
        <v>2500</v>
      </c>
      <c r="K1461" t="s">
        <v>708</v>
      </c>
    </row>
    <row r="1462" spans="1:11" x14ac:dyDescent="0.3">
      <c r="A1462">
        <v>2026</v>
      </c>
      <c r="B1462" s="2">
        <v>3</v>
      </c>
      <c r="C1462" s="3" t="s">
        <v>111</v>
      </c>
      <c r="D1462" s="4" t="s">
        <v>63</v>
      </c>
      <c r="E1462" s="4" t="s">
        <v>291</v>
      </c>
      <c r="F1462" s="61" t="s">
        <v>291</v>
      </c>
      <c r="G1462" s="4" t="s">
        <v>234</v>
      </c>
      <c r="H1462" s="62">
        <v>3305.28</v>
      </c>
      <c r="I1462" s="22">
        <v>2500</v>
      </c>
      <c r="K1462" t="s">
        <v>692</v>
      </c>
    </row>
    <row r="1463" spans="1:11" x14ac:dyDescent="0.3">
      <c r="A1463">
        <v>2026</v>
      </c>
      <c r="B1463" s="2">
        <v>3</v>
      </c>
      <c r="C1463" s="3" t="s">
        <v>17</v>
      </c>
      <c r="D1463" s="4" t="s">
        <v>18</v>
      </c>
      <c r="E1463" s="4" t="s">
        <v>232</v>
      </c>
      <c r="F1463" s="61" t="s">
        <v>232</v>
      </c>
      <c r="G1463" s="4" t="s">
        <v>234</v>
      </c>
      <c r="H1463" s="62">
        <v>2700.54</v>
      </c>
      <c r="I1463" s="22">
        <v>2500</v>
      </c>
      <c r="K1463" t="s">
        <v>709</v>
      </c>
    </row>
    <row r="1464" spans="1:11" x14ac:dyDescent="0.3">
      <c r="A1464">
        <v>2026</v>
      </c>
      <c r="B1464" s="2">
        <v>3</v>
      </c>
      <c r="C1464" s="3" t="s">
        <v>19</v>
      </c>
      <c r="D1464" s="4" t="s">
        <v>20</v>
      </c>
      <c r="E1464" s="4" t="s">
        <v>232</v>
      </c>
      <c r="F1464" s="61" t="s">
        <v>232</v>
      </c>
      <c r="G1464" s="4" t="s">
        <v>234</v>
      </c>
      <c r="H1464" s="62">
        <v>3100</v>
      </c>
      <c r="I1464" s="22">
        <v>2500</v>
      </c>
      <c r="K1464" t="s">
        <v>710</v>
      </c>
    </row>
    <row r="1465" spans="1:11" x14ac:dyDescent="0.3">
      <c r="A1465">
        <v>2026</v>
      </c>
      <c r="B1465" s="2">
        <v>3</v>
      </c>
      <c r="C1465" s="3" t="s">
        <v>21</v>
      </c>
      <c r="D1465" s="4" t="s">
        <v>22</v>
      </c>
      <c r="E1465" s="4" t="s">
        <v>232</v>
      </c>
      <c r="F1465" s="61" t="s">
        <v>232</v>
      </c>
      <c r="G1465" s="4" t="s">
        <v>234</v>
      </c>
      <c r="H1465" s="62">
        <v>3014.54</v>
      </c>
      <c r="I1465" s="22">
        <v>2500</v>
      </c>
      <c r="K1465" t="s">
        <v>711</v>
      </c>
    </row>
    <row r="1466" spans="1:11" x14ac:dyDescent="0.3">
      <c r="A1466">
        <v>2026</v>
      </c>
      <c r="B1466" s="2">
        <v>3</v>
      </c>
      <c r="C1466" s="3" t="s">
        <v>64</v>
      </c>
      <c r="D1466" s="4" t="s">
        <v>140</v>
      </c>
      <c r="E1466" s="4" t="s">
        <v>232</v>
      </c>
      <c r="F1466" s="61" t="s">
        <v>232</v>
      </c>
      <c r="G1466" s="4" t="s">
        <v>234</v>
      </c>
      <c r="H1466" s="62">
        <v>3200</v>
      </c>
      <c r="I1466" s="22">
        <v>2500</v>
      </c>
      <c r="K1466" t="s">
        <v>726</v>
      </c>
    </row>
    <row r="1467" spans="1:11" x14ac:dyDescent="0.3">
      <c r="A1467">
        <v>2026</v>
      </c>
      <c r="B1467" s="2">
        <v>3</v>
      </c>
      <c r="C1467" s="3" t="s">
        <v>90</v>
      </c>
      <c r="D1467" s="4" t="s">
        <v>16</v>
      </c>
      <c r="E1467" s="4" t="s">
        <v>232</v>
      </c>
      <c r="F1467" s="61" t="s">
        <v>232</v>
      </c>
      <c r="G1467" s="4" t="s">
        <v>234</v>
      </c>
      <c r="H1467" s="62">
        <v>3000</v>
      </c>
      <c r="I1467" s="22">
        <v>2500</v>
      </c>
      <c r="K1467" t="s">
        <v>706</v>
      </c>
    </row>
    <row r="1468" spans="1:11" x14ac:dyDescent="0.3">
      <c r="A1468">
        <v>2026</v>
      </c>
      <c r="B1468" s="2">
        <v>3</v>
      </c>
      <c r="C1468" s="3" t="s">
        <v>23</v>
      </c>
      <c r="D1468" s="4" t="s">
        <v>24</v>
      </c>
      <c r="E1468" s="4" t="s">
        <v>232</v>
      </c>
      <c r="F1468" s="61" t="s">
        <v>232</v>
      </c>
      <c r="G1468" s="4" t="s">
        <v>234</v>
      </c>
      <c r="H1468" s="62">
        <v>1766.2392</v>
      </c>
      <c r="I1468" s="22">
        <v>2500</v>
      </c>
      <c r="K1468" t="s">
        <v>712</v>
      </c>
    </row>
    <row r="1469" spans="1:11" x14ac:dyDescent="0.3">
      <c r="A1469">
        <v>2026</v>
      </c>
      <c r="B1469" s="2">
        <v>3</v>
      </c>
      <c r="C1469" s="3" t="s">
        <v>23</v>
      </c>
      <c r="D1469" s="4" t="s">
        <v>22</v>
      </c>
      <c r="E1469" s="4" t="s">
        <v>232</v>
      </c>
      <c r="F1469" s="61" t="s">
        <v>232</v>
      </c>
      <c r="G1469" s="4" t="s">
        <v>234</v>
      </c>
      <c r="H1469" s="62">
        <v>700</v>
      </c>
      <c r="I1469" s="22"/>
      <c r="K1469" t="s">
        <v>713</v>
      </c>
    </row>
    <row r="1470" spans="1:11" x14ac:dyDescent="0.3">
      <c r="A1470">
        <v>2026</v>
      </c>
      <c r="B1470" s="2">
        <v>3</v>
      </c>
      <c r="C1470" s="3" t="s">
        <v>108</v>
      </c>
      <c r="D1470" s="4" t="s">
        <v>75</v>
      </c>
      <c r="E1470" s="4" t="s">
        <v>241</v>
      </c>
      <c r="F1470" s="61" t="s">
        <v>291</v>
      </c>
      <c r="G1470" s="4" t="s">
        <v>234</v>
      </c>
      <c r="H1470" s="62">
        <v>2142.8571428571431</v>
      </c>
      <c r="I1470" s="22">
        <v>2500</v>
      </c>
      <c r="J1470">
        <v>2000</v>
      </c>
    </row>
    <row r="1471" spans="1:11" x14ac:dyDescent="0.3">
      <c r="A1471">
        <v>2026</v>
      </c>
      <c r="B1471" s="2">
        <v>3</v>
      </c>
      <c r="C1471" s="3" t="s">
        <v>110</v>
      </c>
      <c r="D1471" s="4" t="s">
        <v>46</v>
      </c>
      <c r="E1471" s="4" t="s">
        <v>232</v>
      </c>
      <c r="F1471" s="61" t="s">
        <v>232</v>
      </c>
      <c r="G1471" s="4" t="s">
        <v>425</v>
      </c>
      <c r="H1471" s="62">
        <v>532.86571428571415</v>
      </c>
      <c r="I1471" s="22">
        <v>2500</v>
      </c>
    </row>
    <row r="1472" spans="1:11" x14ac:dyDescent="0.3">
      <c r="A1472">
        <v>2026</v>
      </c>
      <c r="B1472" s="2">
        <v>3</v>
      </c>
      <c r="C1472" s="3" t="s">
        <v>85</v>
      </c>
      <c r="D1472" s="4" t="s">
        <v>86</v>
      </c>
      <c r="E1472" s="4" t="s">
        <v>232</v>
      </c>
      <c r="F1472" s="61" t="s">
        <v>232</v>
      </c>
      <c r="G1472" s="4" t="s">
        <v>234</v>
      </c>
      <c r="H1472" s="62">
        <v>3106.2200000000007</v>
      </c>
      <c r="I1472" s="22">
        <v>2500</v>
      </c>
      <c r="K1472" t="s">
        <v>729</v>
      </c>
    </row>
    <row r="1473" spans="1:11" x14ac:dyDescent="0.3">
      <c r="A1473">
        <v>2026</v>
      </c>
      <c r="B1473" s="2">
        <v>3</v>
      </c>
      <c r="C1473" s="3" t="s">
        <v>66</v>
      </c>
      <c r="D1473" s="4" t="s">
        <v>67</v>
      </c>
      <c r="E1473" s="4" t="s">
        <v>232</v>
      </c>
      <c r="F1473" s="61" t="s">
        <v>232</v>
      </c>
      <c r="G1473" s="4" t="s">
        <v>234</v>
      </c>
      <c r="H1473" s="62">
        <v>607.94000000000278</v>
      </c>
      <c r="I1473" s="22">
        <v>2500</v>
      </c>
      <c r="K1473" t="s">
        <v>682</v>
      </c>
    </row>
    <row r="1474" spans="1:11" x14ac:dyDescent="0.3">
      <c r="A1474">
        <v>2026</v>
      </c>
      <c r="B1474" s="2">
        <v>3</v>
      </c>
      <c r="C1474" s="3" t="s">
        <v>25</v>
      </c>
      <c r="D1474" s="4" t="s">
        <v>26</v>
      </c>
      <c r="E1474" s="4" t="s">
        <v>232</v>
      </c>
      <c r="F1474" s="61" t="s">
        <v>232</v>
      </c>
      <c r="G1474" s="4" t="s">
        <v>234</v>
      </c>
      <c r="H1474" s="62">
        <v>1598.1799999999994</v>
      </c>
      <c r="I1474" s="22">
        <v>2500</v>
      </c>
      <c r="K1474" t="s">
        <v>714</v>
      </c>
    </row>
    <row r="1475" spans="1:11" x14ac:dyDescent="0.3">
      <c r="A1475">
        <v>2026</v>
      </c>
      <c r="B1475" s="2">
        <v>3</v>
      </c>
      <c r="C1475" s="3" t="s">
        <v>25</v>
      </c>
      <c r="D1475" s="4" t="s">
        <v>67</v>
      </c>
      <c r="E1475" s="4" t="s">
        <v>232</v>
      </c>
      <c r="F1475" s="61" t="s">
        <v>232</v>
      </c>
      <c r="G1475" s="4" t="s">
        <v>234</v>
      </c>
      <c r="H1475" s="62">
        <v>1060</v>
      </c>
      <c r="I1475" s="22"/>
      <c r="K1475" t="s">
        <v>715</v>
      </c>
    </row>
    <row r="1476" spans="1:11" x14ac:dyDescent="0.3">
      <c r="A1476">
        <v>2026</v>
      </c>
      <c r="B1476" s="2">
        <v>3</v>
      </c>
      <c r="C1476" s="3" t="s">
        <v>68</v>
      </c>
      <c r="D1476" s="4" t="s">
        <v>69</v>
      </c>
      <c r="E1476" s="4" t="s">
        <v>241</v>
      </c>
      <c r="F1476" s="61" t="s">
        <v>291</v>
      </c>
      <c r="G1476" s="4" t="s">
        <v>234</v>
      </c>
      <c r="H1476" s="62">
        <v>987.85999999999922</v>
      </c>
      <c r="I1476" s="22">
        <v>2500</v>
      </c>
      <c r="K1476" t="s">
        <v>735</v>
      </c>
    </row>
    <row r="1477" spans="1:11" x14ac:dyDescent="0.3">
      <c r="A1477">
        <v>2026</v>
      </c>
      <c r="B1477" s="2">
        <v>3</v>
      </c>
      <c r="C1477" s="3" t="s">
        <v>60</v>
      </c>
      <c r="D1477" s="4" t="s">
        <v>28</v>
      </c>
      <c r="E1477" s="4" t="s">
        <v>232</v>
      </c>
      <c r="F1477" s="61" t="s">
        <v>232</v>
      </c>
      <c r="G1477" s="4" t="s">
        <v>234</v>
      </c>
      <c r="H1477" s="62">
        <v>-500</v>
      </c>
      <c r="I1477" s="22">
        <v>2500</v>
      </c>
      <c r="K1477" t="s">
        <v>734</v>
      </c>
    </row>
    <row r="1478" spans="1:11" x14ac:dyDescent="0.3">
      <c r="A1478">
        <v>2026</v>
      </c>
      <c r="B1478" s="2">
        <v>3</v>
      </c>
      <c r="C1478" s="3" t="s">
        <v>27</v>
      </c>
      <c r="D1478" s="4" t="s">
        <v>28</v>
      </c>
      <c r="E1478" s="4" t="s">
        <v>232</v>
      </c>
      <c r="F1478" s="61" t="s">
        <v>232</v>
      </c>
      <c r="G1478" s="4" t="s">
        <v>234</v>
      </c>
      <c r="H1478" s="62">
        <v>2999.7599999999993</v>
      </c>
      <c r="I1478" s="22">
        <v>2500</v>
      </c>
      <c r="K1478" t="s">
        <v>716</v>
      </c>
    </row>
    <row r="1479" spans="1:11" x14ac:dyDescent="0.3">
      <c r="A1479">
        <v>2026</v>
      </c>
      <c r="B1479" s="2">
        <v>3</v>
      </c>
      <c r="C1479" s="3" t="s">
        <v>9</v>
      </c>
      <c r="D1479" s="4" t="s">
        <v>10</v>
      </c>
      <c r="E1479" s="4" t="s">
        <v>232</v>
      </c>
      <c r="F1479" s="61" t="s">
        <v>232</v>
      </c>
      <c r="G1479" s="4" t="s">
        <v>234</v>
      </c>
      <c r="H1479" s="62">
        <v>0</v>
      </c>
      <c r="I1479" s="22">
        <v>2500</v>
      </c>
    </row>
    <row r="1480" spans="1:11" x14ac:dyDescent="0.3">
      <c r="A1480">
        <v>2026</v>
      </c>
      <c r="B1480" s="2">
        <v>3</v>
      </c>
      <c r="C1480" s="3" t="s">
        <v>9</v>
      </c>
      <c r="D1480" s="4" t="s">
        <v>10</v>
      </c>
      <c r="E1480" s="4" t="s">
        <v>232</v>
      </c>
      <c r="F1480" s="61" t="s">
        <v>232</v>
      </c>
      <c r="G1480" s="4" t="s">
        <v>425</v>
      </c>
      <c r="H1480" s="62">
        <v>3553.2939999999999</v>
      </c>
      <c r="I1480" s="22"/>
      <c r="K1480" t="s">
        <v>704</v>
      </c>
    </row>
    <row r="1481" spans="1:11" x14ac:dyDescent="0.3">
      <c r="A1481">
        <v>2026</v>
      </c>
      <c r="B1481" s="2">
        <v>3</v>
      </c>
      <c r="C1481" s="3" t="s">
        <v>70</v>
      </c>
      <c r="D1481" s="4" t="s">
        <v>71</v>
      </c>
      <c r="E1481" s="4" t="s">
        <v>232</v>
      </c>
      <c r="F1481" s="67" t="s">
        <v>291</v>
      </c>
      <c r="G1481" s="4" t="s">
        <v>234</v>
      </c>
      <c r="H1481" s="62">
        <v>2424.5600000000004</v>
      </c>
      <c r="I1481" s="22">
        <v>2500</v>
      </c>
      <c r="K1481" t="s">
        <v>736</v>
      </c>
    </row>
    <row r="1482" spans="1:11" x14ac:dyDescent="0.3">
      <c r="A1482">
        <v>2026</v>
      </c>
      <c r="B1482" s="2">
        <v>3</v>
      </c>
      <c r="C1482" s="3" t="s">
        <v>29</v>
      </c>
      <c r="D1482" s="4" t="s">
        <v>141</v>
      </c>
      <c r="E1482" s="4" t="s">
        <v>232</v>
      </c>
      <c r="F1482" s="61" t="s">
        <v>232</v>
      </c>
      <c r="G1482" s="4" t="s">
        <v>234</v>
      </c>
      <c r="H1482" s="62">
        <v>3200.6600000000008</v>
      </c>
      <c r="I1482" s="22">
        <v>2500</v>
      </c>
      <c r="K1482" t="s">
        <v>717</v>
      </c>
    </row>
    <row r="1483" spans="1:11" x14ac:dyDescent="0.3">
      <c r="A1483">
        <v>2026</v>
      </c>
      <c r="B1483" s="2">
        <v>3</v>
      </c>
      <c r="C1483" s="3" t="s">
        <v>109</v>
      </c>
      <c r="D1483" s="4" t="s">
        <v>142</v>
      </c>
      <c r="E1483" s="4" t="s">
        <v>232</v>
      </c>
      <c r="F1483" s="61" t="s">
        <v>232</v>
      </c>
      <c r="G1483" s="4" t="s">
        <v>425</v>
      </c>
      <c r="H1483" s="62">
        <v>1657.9491428571428</v>
      </c>
      <c r="I1483" s="22">
        <v>2500</v>
      </c>
      <c r="K1483" t="s">
        <v>745</v>
      </c>
    </row>
    <row r="1484" spans="1:11" x14ac:dyDescent="0.3">
      <c r="A1484">
        <v>2026</v>
      </c>
      <c r="B1484" s="2">
        <v>3</v>
      </c>
      <c r="C1484" s="3" t="s">
        <v>72</v>
      </c>
      <c r="D1484" s="4" t="s">
        <v>73</v>
      </c>
      <c r="E1484" s="4" t="s">
        <v>241</v>
      </c>
      <c r="F1484" s="61" t="s">
        <v>291</v>
      </c>
      <c r="G1484" s="4" t="s">
        <v>234</v>
      </c>
      <c r="H1484" s="62">
        <v>3200</v>
      </c>
      <c r="I1484" s="22">
        <v>2500</v>
      </c>
      <c r="K1484" t="s">
        <v>737</v>
      </c>
    </row>
    <row r="1485" spans="1:11" x14ac:dyDescent="0.3">
      <c r="A1485">
        <v>2026</v>
      </c>
      <c r="B1485" s="2">
        <v>3</v>
      </c>
      <c r="C1485" s="3" t="s">
        <v>92</v>
      </c>
      <c r="D1485" s="4" t="s">
        <v>30</v>
      </c>
      <c r="E1485" s="4" t="s">
        <v>232</v>
      </c>
      <c r="F1485" s="61" t="s">
        <v>232</v>
      </c>
      <c r="G1485" s="4" t="s">
        <v>234</v>
      </c>
      <c r="H1485" s="62">
        <v>3000</v>
      </c>
      <c r="I1485" s="22">
        <v>2500</v>
      </c>
      <c r="K1485" t="s">
        <v>706</v>
      </c>
    </row>
    <row r="1486" spans="1:11" x14ac:dyDescent="0.3">
      <c r="A1486">
        <v>2026</v>
      </c>
      <c r="B1486" s="2">
        <v>3</v>
      </c>
      <c r="C1486" s="3" t="s">
        <v>105</v>
      </c>
      <c r="D1486" s="4" t="s">
        <v>106</v>
      </c>
      <c r="E1486" s="4" t="s">
        <v>232</v>
      </c>
      <c r="F1486" s="61" t="s">
        <v>232</v>
      </c>
      <c r="G1486" s="4" t="s">
        <v>425</v>
      </c>
      <c r="H1486" s="62">
        <v>2700</v>
      </c>
      <c r="I1486" s="22">
        <v>2500</v>
      </c>
      <c r="K1486" t="s">
        <v>742</v>
      </c>
    </row>
    <row r="1487" spans="1:11" x14ac:dyDescent="0.3">
      <c r="A1487">
        <v>2026</v>
      </c>
      <c r="B1487" s="2">
        <v>3</v>
      </c>
      <c r="C1487" s="3" t="s">
        <v>31</v>
      </c>
      <c r="D1487" s="4" t="s">
        <v>143</v>
      </c>
      <c r="E1487" s="4" t="s">
        <v>232</v>
      </c>
      <c r="F1487" s="61" t="s">
        <v>232</v>
      </c>
      <c r="G1487" s="4" t="s">
        <v>234</v>
      </c>
      <c r="H1487" s="62">
        <v>3200</v>
      </c>
      <c r="I1487" s="22">
        <v>2500</v>
      </c>
      <c r="K1487" t="s">
        <v>718</v>
      </c>
    </row>
    <row r="1488" spans="1:11" x14ac:dyDescent="0.3">
      <c r="A1488">
        <v>2026</v>
      </c>
      <c r="B1488" s="2">
        <v>3</v>
      </c>
      <c r="C1488" s="3" t="s">
        <v>91</v>
      </c>
      <c r="D1488" s="4" t="s">
        <v>50</v>
      </c>
      <c r="E1488" s="4" t="s">
        <v>232</v>
      </c>
      <c r="F1488" s="61" t="s">
        <v>232</v>
      </c>
      <c r="G1488" s="4" t="s">
        <v>234</v>
      </c>
      <c r="H1488" s="62">
        <v>1070.5714285714284</v>
      </c>
      <c r="I1488" s="22">
        <v>2500</v>
      </c>
      <c r="K1488" t="s">
        <v>707</v>
      </c>
    </row>
    <row r="1489" spans="1:11" x14ac:dyDescent="0.3">
      <c r="A1489">
        <v>2026</v>
      </c>
      <c r="B1489" s="2">
        <v>3</v>
      </c>
      <c r="C1489" s="3" t="s">
        <v>91</v>
      </c>
      <c r="D1489" s="4" t="s">
        <v>50</v>
      </c>
      <c r="E1489" s="4" t="s">
        <v>232</v>
      </c>
      <c r="F1489" s="61" t="s">
        <v>232</v>
      </c>
      <c r="G1489" s="4" t="s">
        <v>234</v>
      </c>
      <c r="H1489" s="62">
        <v>2759.1314285714284</v>
      </c>
      <c r="I1489" s="22"/>
      <c r="K1489" t="s">
        <v>707</v>
      </c>
    </row>
    <row r="1490" spans="1:11" x14ac:dyDescent="0.3">
      <c r="A1490">
        <v>2026</v>
      </c>
      <c r="B1490" s="2">
        <v>3</v>
      </c>
      <c r="C1490" s="3" t="s">
        <v>33</v>
      </c>
      <c r="D1490" s="4" t="s">
        <v>34</v>
      </c>
      <c r="E1490" s="4" t="s">
        <v>232</v>
      </c>
      <c r="F1490" s="61" t="s">
        <v>232</v>
      </c>
      <c r="G1490" s="4" t="s">
        <v>234</v>
      </c>
      <c r="H1490" s="62">
        <v>2104.6000000000004</v>
      </c>
      <c r="I1490" s="22">
        <v>2500</v>
      </c>
      <c r="K1490" t="s">
        <v>719</v>
      </c>
    </row>
    <row r="1491" spans="1:11" x14ac:dyDescent="0.3">
      <c r="A1491">
        <v>2026</v>
      </c>
      <c r="B1491" s="2">
        <v>3</v>
      </c>
      <c r="C1491" s="3" t="s">
        <v>33</v>
      </c>
      <c r="D1491" s="4" t="s">
        <v>56</v>
      </c>
      <c r="E1491" s="4" t="s">
        <v>241</v>
      </c>
      <c r="F1491" s="61" t="s">
        <v>291</v>
      </c>
      <c r="G1491" s="4" t="s">
        <v>234</v>
      </c>
      <c r="H1491" s="62">
        <v>-700</v>
      </c>
      <c r="I1491" s="22"/>
      <c r="K1491" t="s">
        <v>719</v>
      </c>
    </row>
    <row r="1492" spans="1:11" x14ac:dyDescent="0.3">
      <c r="A1492">
        <v>2026</v>
      </c>
      <c r="B1492" s="2">
        <v>3</v>
      </c>
      <c r="C1492" s="3" t="s">
        <v>57</v>
      </c>
      <c r="D1492" s="4" t="s">
        <v>16</v>
      </c>
      <c r="E1492" s="4" t="s">
        <v>232</v>
      </c>
      <c r="F1492" s="61" t="s">
        <v>232</v>
      </c>
      <c r="G1492" s="4" t="s">
        <v>234</v>
      </c>
      <c r="H1492" s="62">
        <v>-500</v>
      </c>
      <c r="I1492" s="22">
        <v>2500</v>
      </c>
      <c r="K1492" t="s">
        <v>733</v>
      </c>
    </row>
    <row r="1493" spans="1:11" x14ac:dyDescent="0.3">
      <c r="A1493">
        <v>2026</v>
      </c>
      <c r="B1493" s="2">
        <v>3</v>
      </c>
      <c r="C1493" s="3" t="s">
        <v>35</v>
      </c>
      <c r="D1493" s="4" t="s">
        <v>36</v>
      </c>
      <c r="E1493" s="4" t="s">
        <v>232</v>
      </c>
      <c r="F1493" s="61" t="s">
        <v>232</v>
      </c>
      <c r="G1493" s="4" t="s">
        <v>234</v>
      </c>
      <c r="H1493" s="62">
        <v>2495</v>
      </c>
      <c r="I1493" s="22">
        <v>2500</v>
      </c>
      <c r="K1493" t="s">
        <v>720</v>
      </c>
    </row>
    <row r="1494" spans="1:11" x14ac:dyDescent="0.3">
      <c r="A1494">
        <v>2026</v>
      </c>
      <c r="B1494" s="2">
        <v>3</v>
      </c>
      <c r="C1494" s="3" t="s">
        <v>37</v>
      </c>
      <c r="D1494" s="4" t="s">
        <v>38</v>
      </c>
      <c r="E1494" s="4" t="s">
        <v>232</v>
      </c>
      <c r="F1494" s="61" t="s">
        <v>232</v>
      </c>
      <c r="G1494" s="4" t="s">
        <v>234</v>
      </c>
      <c r="H1494" s="62">
        <v>4540.8399999999992</v>
      </c>
      <c r="I1494" s="22">
        <v>2500</v>
      </c>
      <c r="K1494" t="s">
        <v>721</v>
      </c>
    </row>
    <row r="1495" spans="1:11" x14ac:dyDescent="0.3">
      <c r="A1495">
        <v>2026</v>
      </c>
      <c r="B1495" s="2">
        <v>3</v>
      </c>
      <c r="C1495" s="3" t="s">
        <v>61</v>
      </c>
      <c r="D1495" s="4" t="s">
        <v>34</v>
      </c>
      <c r="E1495" s="4" t="s">
        <v>232</v>
      </c>
      <c r="F1495" s="61" t="s">
        <v>232</v>
      </c>
      <c r="G1495" s="4" t="s">
        <v>234</v>
      </c>
      <c r="H1495" s="62">
        <v>700</v>
      </c>
      <c r="I1495" s="22">
        <v>2500</v>
      </c>
      <c r="K1495" t="s">
        <v>732</v>
      </c>
    </row>
    <row r="1496" spans="1:11" x14ac:dyDescent="0.3">
      <c r="A1496">
        <v>2026</v>
      </c>
      <c r="B1496" s="2">
        <v>3</v>
      </c>
      <c r="C1496" s="3" t="s">
        <v>39</v>
      </c>
      <c r="D1496" s="4" t="s">
        <v>40</v>
      </c>
      <c r="E1496" s="4" t="s">
        <v>232</v>
      </c>
      <c r="F1496" s="61" t="s">
        <v>232</v>
      </c>
      <c r="G1496" s="4" t="s">
        <v>234</v>
      </c>
      <c r="H1496" s="62">
        <v>775.20880000000216</v>
      </c>
      <c r="I1496" s="22">
        <v>2500</v>
      </c>
      <c r="K1496" t="s">
        <v>722</v>
      </c>
    </row>
    <row r="1497" spans="1:11" x14ac:dyDescent="0.3">
      <c r="A1497">
        <v>2026</v>
      </c>
      <c r="B1497" s="2">
        <v>3</v>
      </c>
      <c r="C1497" s="3" t="s">
        <v>88</v>
      </c>
      <c r="D1497" s="4" t="s">
        <v>46</v>
      </c>
      <c r="E1497" s="4" t="s">
        <v>232</v>
      </c>
      <c r="F1497" s="61" t="s">
        <v>232</v>
      </c>
      <c r="G1497" s="4" t="s">
        <v>234</v>
      </c>
      <c r="H1497" s="62">
        <v>-2150</v>
      </c>
      <c r="I1497" s="22">
        <v>2500</v>
      </c>
      <c r="K1497" t="s">
        <v>705</v>
      </c>
    </row>
    <row r="1498" spans="1:11" x14ac:dyDescent="0.3">
      <c r="A1498">
        <v>2026</v>
      </c>
      <c r="B1498" s="2">
        <v>3</v>
      </c>
      <c r="C1498" s="3" t="s">
        <v>43</v>
      </c>
      <c r="D1498" s="4" t="s">
        <v>44</v>
      </c>
      <c r="E1498" s="4" t="s">
        <v>232</v>
      </c>
      <c r="F1498" s="61" t="s">
        <v>232</v>
      </c>
      <c r="G1498" s="4" t="s">
        <v>234</v>
      </c>
      <c r="H1498" s="62">
        <v>2389.14</v>
      </c>
      <c r="I1498" s="22">
        <v>2500</v>
      </c>
      <c r="K1498" t="s">
        <v>723</v>
      </c>
    </row>
    <row r="1499" spans="1:11" x14ac:dyDescent="0.3">
      <c r="A1499">
        <v>2026</v>
      </c>
      <c r="B1499" s="2">
        <v>3</v>
      </c>
      <c r="C1499" s="3" t="s">
        <v>84</v>
      </c>
      <c r="D1499" s="4" t="s">
        <v>59</v>
      </c>
      <c r="E1499" s="4" t="s">
        <v>232</v>
      </c>
      <c r="F1499" s="67" t="s">
        <v>291</v>
      </c>
      <c r="G1499" s="4" t="s">
        <v>234</v>
      </c>
      <c r="H1499" s="62">
        <v>1942.6927999999998</v>
      </c>
      <c r="I1499" s="22">
        <v>2500</v>
      </c>
      <c r="K1499" t="s">
        <v>739</v>
      </c>
    </row>
    <row r="1500" spans="1:11" x14ac:dyDescent="0.3">
      <c r="A1500">
        <v>2026</v>
      </c>
      <c r="B1500" s="2">
        <v>3</v>
      </c>
      <c r="C1500" s="3" t="s">
        <v>89</v>
      </c>
      <c r="D1500" s="4" t="s">
        <v>4</v>
      </c>
      <c r="E1500" s="4" t="s">
        <v>232</v>
      </c>
      <c r="F1500" s="61" t="s">
        <v>232</v>
      </c>
      <c r="G1500" s="4" t="s">
        <v>234</v>
      </c>
      <c r="H1500" s="62">
        <v>3000</v>
      </c>
      <c r="I1500" s="22">
        <v>2500</v>
      </c>
      <c r="K1500" t="s">
        <v>706</v>
      </c>
    </row>
    <row r="1501" spans="1:11" x14ac:dyDescent="0.3">
      <c r="A1501">
        <v>2026</v>
      </c>
      <c r="B1501" s="2">
        <v>3</v>
      </c>
      <c r="C1501" s="3" t="s">
        <v>5</v>
      </c>
      <c r="D1501" s="4" t="s">
        <v>6</v>
      </c>
      <c r="E1501" s="4" t="s">
        <v>232</v>
      </c>
      <c r="F1501" s="61" t="s">
        <v>232</v>
      </c>
      <c r="G1501" s="4" t="s">
        <v>425</v>
      </c>
      <c r="H1501" s="62">
        <v>6171.2</v>
      </c>
      <c r="I1501" s="22">
        <v>2500</v>
      </c>
      <c r="K1501" t="s">
        <v>702</v>
      </c>
    </row>
    <row r="1502" spans="1:11" x14ac:dyDescent="0.3">
      <c r="A1502">
        <v>2026</v>
      </c>
      <c r="B1502" s="2">
        <v>3</v>
      </c>
      <c r="C1502" s="3" t="s">
        <v>5</v>
      </c>
      <c r="D1502" s="4" t="s">
        <v>42</v>
      </c>
      <c r="E1502" s="4" t="s">
        <v>232</v>
      </c>
      <c r="F1502" s="61" t="s">
        <v>232</v>
      </c>
      <c r="G1502" s="4" t="s">
        <v>425</v>
      </c>
      <c r="H1502" s="62">
        <v>1060</v>
      </c>
      <c r="I1502" s="22"/>
      <c r="K1502" t="s">
        <v>703</v>
      </c>
    </row>
    <row r="1503" spans="1:11" x14ac:dyDescent="0.3">
      <c r="A1503">
        <v>2026</v>
      </c>
      <c r="B1503" s="2">
        <v>3</v>
      </c>
      <c r="C1503" s="3" t="s">
        <v>47</v>
      </c>
      <c r="D1503" s="4" t="s">
        <v>147</v>
      </c>
      <c r="E1503" s="4" t="s">
        <v>232</v>
      </c>
      <c r="F1503" s="61" t="s">
        <v>232</v>
      </c>
      <c r="G1503" s="4" t="s">
        <v>234</v>
      </c>
      <c r="H1503" s="62">
        <v>3200</v>
      </c>
      <c r="I1503" s="22">
        <v>2500</v>
      </c>
      <c r="K1503" t="s">
        <v>724</v>
      </c>
    </row>
    <row r="1504" spans="1:11" x14ac:dyDescent="0.3">
      <c r="A1504">
        <v>2026</v>
      </c>
      <c r="B1504" s="2">
        <v>3</v>
      </c>
      <c r="C1504" s="3" t="s">
        <v>49</v>
      </c>
      <c r="D1504" s="4" t="s">
        <v>96</v>
      </c>
      <c r="E1504" s="4" t="s">
        <v>232</v>
      </c>
      <c r="F1504" s="61" t="s">
        <v>232</v>
      </c>
      <c r="G1504" s="4" t="s">
        <v>234</v>
      </c>
      <c r="H1504" s="62">
        <v>2500</v>
      </c>
      <c r="I1504" s="22">
        <v>2500</v>
      </c>
    </row>
    <row r="1505" spans="1:11" x14ac:dyDescent="0.3">
      <c r="A1505">
        <v>2026</v>
      </c>
      <c r="B1505" s="2">
        <v>3</v>
      </c>
      <c r="C1505" s="3" t="s">
        <v>49</v>
      </c>
      <c r="D1505" s="4" t="s">
        <v>104</v>
      </c>
      <c r="E1505" s="4" t="s">
        <v>232</v>
      </c>
      <c r="F1505" s="61" t="s">
        <v>232</v>
      </c>
      <c r="G1505" s="4" t="s">
        <v>234</v>
      </c>
      <c r="H1505" s="62">
        <v>-700</v>
      </c>
      <c r="I1505" s="22"/>
      <c r="K1505" t="s">
        <v>677</v>
      </c>
    </row>
    <row r="1506" spans="1:11" x14ac:dyDescent="0.3">
      <c r="A1506">
        <v>2026</v>
      </c>
      <c r="B1506" s="2">
        <v>3</v>
      </c>
      <c r="C1506" s="3" t="s">
        <v>74</v>
      </c>
      <c r="D1506" s="4" t="s">
        <v>77</v>
      </c>
      <c r="E1506" s="4" t="s">
        <v>232</v>
      </c>
      <c r="F1506" s="61" t="s">
        <v>232</v>
      </c>
      <c r="G1506" s="4" t="s">
        <v>234</v>
      </c>
      <c r="H1506" s="62">
        <v>-1256.7599999999995</v>
      </c>
      <c r="I1506" s="22">
        <v>2500</v>
      </c>
      <c r="K1506" t="s">
        <v>727</v>
      </c>
    </row>
    <row r="1507" spans="1:11" x14ac:dyDescent="0.3">
      <c r="A1507">
        <v>2026</v>
      </c>
      <c r="B1507" s="2">
        <v>3</v>
      </c>
      <c r="C1507" s="3" t="s">
        <v>74</v>
      </c>
      <c r="D1507" s="4" t="s">
        <v>75</v>
      </c>
      <c r="E1507" s="4" t="s">
        <v>241</v>
      </c>
      <c r="F1507" s="61" t="s">
        <v>291</v>
      </c>
      <c r="G1507" s="4" t="s">
        <v>234</v>
      </c>
      <c r="H1507" s="62">
        <v>739.3599999999999</v>
      </c>
      <c r="I1507" s="22"/>
      <c r="K1507" t="s">
        <v>728</v>
      </c>
    </row>
    <row r="1508" spans="1:11" x14ac:dyDescent="0.3">
      <c r="A1508">
        <v>2026</v>
      </c>
      <c r="B1508" s="2">
        <v>3</v>
      </c>
      <c r="C1508" s="3" t="s">
        <v>51</v>
      </c>
      <c r="D1508" s="4" t="s">
        <v>52</v>
      </c>
      <c r="E1508" s="4" t="s">
        <v>232</v>
      </c>
      <c r="F1508" s="61" t="s">
        <v>232</v>
      </c>
      <c r="G1508" s="4" t="s">
        <v>234</v>
      </c>
      <c r="H1508" s="62">
        <v>2500</v>
      </c>
      <c r="I1508" s="22">
        <v>2500</v>
      </c>
      <c r="K1508" t="s">
        <v>678</v>
      </c>
    </row>
    <row r="1509" spans="1:11" x14ac:dyDescent="0.3">
      <c r="A1509">
        <v>2026</v>
      </c>
      <c r="B1509" s="2">
        <v>3</v>
      </c>
      <c r="C1509" s="3" t="s">
        <v>53</v>
      </c>
      <c r="D1509" s="4" t="s">
        <v>54</v>
      </c>
      <c r="E1509" s="4" t="s">
        <v>232</v>
      </c>
      <c r="F1509" s="61" t="s">
        <v>232</v>
      </c>
      <c r="G1509" s="4" t="s">
        <v>234</v>
      </c>
      <c r="H1509" s="62">
        <v>-1228.0200000000009</v>
      </c>
      <c r="I1509" s="22">
        <v>2500</v>
      </c>
      <c r="K1509" t="s">
        <v>725</v>
      </c>
    </row>
    <row r="1510" spans="1:11" x14ac:dyDescent="0.3">
      <c r="A1510">
        <v>2026</v>
      </c>
      <c r="B1510" s="2">
        <v>3</v>
      </c>
      <c r="C1510" s="3" t="s">
        <v>78</v>
      </c>
      <c r="D1510" s="4" t="s">
        <v>79</v>
      </c>
      <c r="E1510" s="4" t="s">
        <v>291</v>
      </c>
      <c r="F1510" s="61" t="s">
        <v>291</v>
      </c>
      <c r="G1510" s="4" t="s">
        <v>234</v>
      </c>
      <c r="H1510" s="62">
        <v>-1051.4399999999991</v>
      </c>
      <c r="I1510" s="22">
        <v>2500</v>
      </c>
      <c r="K1510" t="s">
        <v>738</v>
      </c>
    </row>
    <row r="1511" spans="1:11" x14ac:dyDescent="0.3">
      <c r="A1511">
        <v>2026</v>
      </c>
      <c r="B1511" s="2">
        <v>3</v>
      </c>
      <c r="C1511" s="3" t="s">
        <v>107</v>
      </c>
      <c r="D1511" s="4" t="s">
        <v>50</v>
      </c>
      <c r="E1511" s="4" t="s">
        <v>232</v>
      </c>
      <c r="F1511" s="61" t="s">
        <v>232</v>
      </c>
      <c r="G1511" s="4" t="s">
        <v>234</v>
      </c>
      <c r="H1511" s="62">
        <v>857.14285714285722</v>
      </c>
      <c r="I1511" s="22">
        <v>2500</v>
      </c>
      <c r="J1511">
        <v>1000</v>
      </c>
      <c r="K1511" t="s">
        <v>743</v>
      </c>
    </row>
    <row r="1512" spans="1:11" x14ac:dyDescent="0.3">
      <c r="A1512">
        <v>2026</v>
      </c>
      <c r="B1512" s="2">
        <v>3</v>
      </c>
      <c r="C1512" s="3" t="s">
        <v>87</v>
      </c>
      <c r="D1512" s="4" t="s">
        <v>97</v>
      </c>
      <c r="E1512" s="4" t="s">
        <v>232</v>
      </c>
      <c r="F1512" s="61" t="s">
        <v>232</v>
      </c>
      <c r="G1512" s="4" t="s">
        <v>234</v>
      </c>
      <c r="H1512" s="62">
        <v>713.71428571428567</v>
      </c>
      <c r="I1512" s="22">
        <v>2500</v>
      </c>
      <c r="K1512" t="s">
        <v>730</v>
      </c>
    </row>
    <row r="1513" spans="1:11" x14ac:dyDescent="0.3">
      <c r="A1513">
        <v>2026</v>
      </c>
      <c r="B1513" s="2">
        <v>3</v>
      </c>
      <c r="C1513" s="3" t="s">
        <v>87</v>
      </c>
      <c r="D1513" s="4" t="s">
        <v>83</v>
      </c>
      <c r="E1513" s="4" t="s">
        <v>232</v>
      </c>
      <c r="F1513" s="61" t="s">
        <v>232</v>
      </c>
      <c r="G1513" s="4" t="s">
        <v>234</v>
      </c>
      <c r="H1513" s="62">
        <v>1658.6171428571431</v>
      </c>
      <c r="I1513" s="22"/>
    </row>
    <row r="1514" spans="1:11" x14ac:dyDescent="0.3">
      <c r="A1514">
        <v>2026</v>
      </c>
      <c r="B1514" s="2">
        <v>3</v>
      </c>
      <c r="C1514" s="3" t="s">
        <v>98</v>
      </c>
      <c r="D1514" s="4" t="s">
        <v>56</v>
      </c>
      <c r="E1514" s="4" t="s">
        <v>241</v>
      </c>
      <c r="F1514" s="61" t="s">
        <v>291</v>
      </c>
      <c r="G1514" s="4" t="s">
        <v>234</v>
      </c>
      <c r="H1514" s="62">
        <v>1836</v>
      </c>
      <c r="I1514" s="22">
        <v>2500</v>
      </c>
      <c r="K1514" t="s">
        <v>740</v>
      </c>
    </row>
    <row r="1515" spans="1:11" x14ac:dyDescent="0.3">
      <c r="A1515">
        <v>2026</v>
      </c>
      <c r="B1515" s="2">
        <v>3</v>
      </c>
      <c r="C1515" s="3" t="s">
        <v>98</v>
      </c>
      <c r="D1515" s="4" t="s">
        <v>42</v>
      </c>
      <c r="E1515" s="4" t="s">
        <v>232</v>
      </c>
      <c r="F1515" s="61" t="s">
        <v>232</v>
      </c>
      <c r="G1515" s="4" t="s">
        <v>234</v>
      </c>
      <c r="H1515" s="62">
        <v>484.65142857142837</v>
      </c>
      <c r="I1515" s="22"/>
      <c r="K1515" t="s">
        <v>741</v>
      </c>
    </row>
    <row r="1516" spans="1:11" x14ac:dyDescent="0.3">
      <c r="A1516">
        <v>2026</v>
      </c>
      <c r="B1516" s="2">
        <v>4</v>
      </c>
      <c r="C1516" s="3" t="s">
        <v>11</v>
      </c>
      <c r="D1516" s="4" t="s">
        <v>12</v>
      </c>
      <c r="E1516" s="4" t="s">
        <v>232</v>
      </c>
      <c r="F1516" s="61" t="s">
        <v>232</v>
      </c>
      <c r="G1516" s="4" t="s">
        <v>234</v>
      </c>
      <c r="H1516" s="62">
        <v>2700</v>
      </c>
      <c r="I1516" s="22">
        <v>2500</v>
      </c>
    </row>
    <row r="1517" spans="1:11" x14ac:dyDescent="0.3">
      <c r="A1517">
        <v>2026</v>
      </c>
      <c r="B1517" s="2">
        <v>4</v>
      </c>
      <c r="C1517" s="3" t="s">
        <v>80</v>
      </c>
      <c r="D1517" s="4" t="s">
        <v>81</v>
      </c>
      <c r="E1517" s="4" t="s">
        <v>232</v>
      </c>
      <c r="F1517" s="61" t="s">
        <v>232</v>
      </c>
      <c r="G1517" s="4" t="s">
        <v>234</v>
      </c>
      <c r="H1517" s="62">
        <v>2500</v>
      </c>
      <c r="I1517" s="22">
        <v>2500</v>
      </c>
      <c r="K1517" t="s">
        <v>786</v>
      </c>
    </row>
    <row r="1518" spans="1:11" x14ac:dyDescent="0.3">
      <c r="A1518">
        <v>2026</v>
      </c>
      <c r="B1518" s="2">
        <v>4</v>
      </c>
      <c r="C1518" s="3" t="s">
        <v>13</v>
      </c>
      <c r="D1518" s="4" t="s">
        <v>14</v>
      </c>
      <c r="E1518" s="4" t="s">
        <v>232</v>
      </c>
      <c r="F1518" s="61" t="s">
        <v>232</v>
      </c>
      <c r="G1518" s="4" t="s">
        <v>234</v>
      </c>
      <c r="H1518" s="62">
        <v>2700</v>
      </c>
      <c r="I1518" s="22">
        <v>2500</v>
      </c>
    </row>
    <row r="1519" spans="1:11" x14ac:dyDescent="0.3">
      <c r="A1519">
        <v>2026</v>
      </c>
      <c r="B1519" s="2">
        <v>4</v>
      </c>
      <c r="C1519" s="3" t="s">
        <v>113</v>
      </c>
      <c r="D1519" s="4" t="s">
        <v>38</v>
      </c>
      <c r="E1519" s="4" t="s">
        <v>232</v>
      </c>
      <c r="F1519" s="61" t="s">
        <v>232</v>
      </c>
      <c r="G1519" s="4" t="s">
        <v>234</v>
      </c>
      <c r="H1519" s="62">
        <v>2029.2228571428539</v>
      </c>
      <c r="I1519" s="22">
        <v>2500</v>
      </c>
      <c r="J1519">
        <v>1500</v>
      </c>
      <c r="K1519" t="s">
        <v>785</v>
      </c>
    </row>
    <row r="1520" spans="1:11" x14ac:dyDescent="0.3">
      <c r="A1520">
        <v>2026</v>
      </c>
      <c r="B1520" s="2">
        <v>4</v>
      </c>
      <c r="C1520" s="3" t="s">
        <v>120</v>
      </c>
      <c r="D1520" s="4" t="s">
        <v>44</v>
      </c>
      <c r="E1520" s="4" t="s">
        <v>232</v>
      </c>
      <c r="F1520" s="61" t="s">
        <v>232</v>
      </c>
      <c r="G1520" s="4" t="s">
        <v>234</v>
      </c>
      <c r="H1520" s="62">
        <v>1285.4285714285716</v>
      </c>
      <c r="I1520" s="22">
        <v>2500</v>
      </c>
      <c r="J1520">
        <v>2000</v>
      </c>
      <c r="K1520" t="s">
        <v>784</v>
      </c>
    </row>
    <row r="1521" spans="1:11" x14ac:dyDescent="0.3">
      <c r="A1521">
        <v>2026</v>
      </c>
      <c r="B1521" s="2">
        <v>4</v>
      </c>
      <c r="C1521" s="3" t="s">
        <v>111</v>
      </c>
      <c r="D1521" s="4" t="s">
        <v>63</v>
      </c>
      <c r="E1521" s="4" t="s">
        <v>291</v>
      </c>
      <c r="F1521" s="61" t="s">
        <v>291</v>
      </c>
      <c r="G1521" s="4" t="s">
        <v>234</v>
      </c>
      <c r="H1521" s="62">
        <v>2500</v>
      </c>
      <c r="I1521" s="22">
        <v>2500</v>
      </c>
      <c r="K1521" t="s">
        <v>692</v>
      </c>
    </row>
    <row r="1522" spans="1:11" x14ac:dyDescent="0.3">
      <c r="A1522">
        <v>2026</v>
      </c>
      <c r="B1522" s="2">
        <v>4</v>
      </c>
      <c r="C1522" s="3" t="s">
        <v>121</v>
      </c>
      <c r="D1522" s="4" t="s">
        <v>122</v>
      </c>
      <c r="E1522" s="4" t="s">
        <v>232</v>
      </c>
      <c r="F1522" s="61" t="s">
        <v>232</v>
      </c>
      <c r="G1522" s="4" t="s">
        <v>234</v>
      </c>
      <c r="H1522" s="62">
        <v>1992.4285714285716</v>
      </c>
      <c r="I1522" s="22">
        <v>2500</v>
      </c>
      <c r="J1522">
        <v>2000</v>
      </c>
      <c r="K1522" t="s">
        <v>749</v>
      </c>
    </row>
    <row r="1523" spans="1:11" x14ac:dyDescent="0.3">
      <c r="A1523">
        <v>2026</v>
      </c>
      <c r="B1523" s="2">
        <v>4</v>
      </c>
      <c r="C1523" s="3" t="s">
        <v>17</v>
      </c>
      <c r="D1523" s="4" t="s">
        <v>18</v>
      </c>
      <c r="E1523" s="4" t="s">
        <v>232</v>
      </c>
      <c r="F1523" s="61" t="s">
        <v>232</v>
      </c>
      <c r="G1523" s="4" t="s">
        <v>234</v>
      </c>
      <c r="H1523" s="62">
        <v>-1269.8800000000006</v>
      </c>
      <c r="I1523" s="22">
        <v>2500</v>
      </c>
      <c r="K1523" t="s">
        <v>709</v>
      </c>
    </row>
    <row r="1524" spans="1:11" x14ac:dyDescent="0.3">
      <c r="A1524">
        <v>2026</v>
      </c>
      <c r="B1524" s="2">
        <v>4</v>
      </c>
      <c r="C1524" s="3" t="s">
        <v>19</v>
      </c>
      <c r="D1524" s="4" t="s">
        <v>20</v>
      </c>
      <c r="E1524" s="4" t="s">
        <v>232</v>
      </c>
      <c r="F1524" s="61" t="s">
        <v>232</v>
      </c>
      <c r="G1524" s="4" t="s">
        <v>234</v>
      </c>
      <c r="H1524" s="62">
        <v>3100</v>
      </c>
      <c r="I1524" s="22">
        <v>2500</v>
      </c>
      <c r="K1524" t="s">
        <v>783</v>
      </c>
    </row>
    <row r="1525" spans="1:11" x14ac:dyDescent="0.3">
      <c r="A1525">
        <v>2026</v>
      </c>
      <c r="B1525" s="2">
        <v>4</v>
      </c>
      <c r="C1525" s="3" t="s">
        <v>128</v>
      </c>
      <c r="D1525" s="4" t="s">
        <v>69</v>
      </c>
      <c r="E1525" s="4" t="s">
        <v>241</v>
      </c>
      <c r="F1525" s="61" t="s">
        <v>291</v>
      </c>
      <c r="G1525" s="4" t="s">
        <v>234</v>
      </c>
      <c r="H1525" s="62">
        <v>642.71428571428578</v>
      </c>
      <c r="I1525" s="22">
        <v>2500</v>
      </c>
      <c r="J1525">
        <v>2000</v>
      </c>
      <c r="K1525" t="s">
        <v>782</v>
      </c>
    </row>
    <row r="1526" spans="1:11" x14ac:dyDescent="0.3">
      <c r="A1526">
        <v>2026</v>
      </c>
      <c r="B1526" s="2">
        <v>4</v>
      </c>
      <c r="C1526" s="3" t="s">
        <v>21</v>
      </c>
      <c r="D1526" s="4" t="s">
        <v>22</v>
      </c>
      <c r="E1526" s="4" t="s">
        <v>232</v>
      </c>
      <c r="F1526" s="61" t="s">
        <v>232</v>
      </c>
      <c r="G1526" s="4" t="s">
        <v>234</v>
      </c>
      <c r="H1526" s="62">
        <v>3014.6800000000003</v>
      </c>
      <c r="I1526" s="22">
        <v>2500</v>
      </c>
      <c r="K1526" t="s">
        <v>780</v>
      </c>
    </row>
    <row r="1527" spans="1:11" x14ac:dyDescent="0.3">
      <c r="A1527">
        <v>2026</v>
      </c>
      <c r="B1527" s="2">
        <v>4</v>
      </c>
      <c r="C1527" s="3" t="s">
        <v>64</v>
      </c>
      <c r="D1527" s="4" t="s">
        <v>140</v>
      </c>
      <c r="E1527" s="4" t="s">
        <v>232</v>
      </c>
      <c r="F1527" s="61" t="s">
        <v>232</v>
      </c>
      <c r="G1527" s="4" t="s">
        <v>234</v>
      </c>
      <c r="H1527" s="62">
        <v>3200</v>
      </c>
      <c r="I1527" s="22">
        <v>2500</v>
      </c>
      <c r="K1527" t="s">
        <v>726</v>
      </c>
    </row>
    <row r="1528" spans="1:11" x14ac:dyDescent="0.3">
      <c r="A1528">
        <v>2026</v>
      </c>
      <c r="B1528" s="2">
        <v>4</v>
      </c>
      <c r="C1528" s="3" t="s">
        <v>90</v>
      </c>
      <c r="D1528" s="4" t="s">
        <v>16</v>
      </c>
      <c r="E1528" s="4" t="s">
        <v>232</v>
      </c>
      <c r="F1528" s="61" t="s">
        <v>232</v>
      </c>
      <c r="G1528" s="4" t="s">
        <v>234</v>
      </c>
      <c r="H1528" s="62">
        <v>3000</v>
      </c>
      <c r="I1528" s="22">
        <v>2500</v>
      </c>
      <c r="K1528" t="s">
        <v>706</v>
      </c>
    </row>
    <row r="1529" spans="1:11" x14ac:dyDescent="0.3">
      <c r="A1529">
        <v>2026</v>
      </c>
      <c r="B1529" s="2">
        <v>4</v>
      </c>
      <c r="C1529" s="3" t="s">
        <v>23</v>
      </c>
      <c r="D1529" s="4" t="s">
        <v>24</v>
      </c>
      <c r="E1529" s="4" t="s">
        <v>232</v>
      </c>
      <c r="F1529" s="61" t="s">
        <v>232</v>
      </c>
      <c r="G1529" s="4" t="s">
        <v>234</v>
      </c>
      <c r="H1529" s="62">
        <v>-618.89839999999958</v>
      </c>
      <c r="I1529" s="22">
        <v>2500</v>
      </c>
      <c r="K1529" t="s">
        <v>779</v>
      </c>
    </row>
    <row r="1530" spans="1:11" x14ac:dyDescent="0.3">
      <c r="A1530">
        <v>2026</v>
      </c>
      <c r="B1530" s="2">
        <v>4</v>
      </c>
      <c r="C1530" s="3" t="s">
        <v>23</v>
      </c>
      <c r="D1530" s="4" t="s">
        <v>22</v>
      </c>
      <c r="E1530" s="4" t="s">
        <v>232</v>
      </c>
      <c r="F1530" s="61" t="s">
        <v>232</v>
      </c>
      <c r="G1530" s="4" t="s">
        <v>234</v>
      </c>
      <c r="H1530" s="62">
        <v>500</v>
      </c>
      <c r="I1530" s="22"/>
    </row>
    <row r="1531" spans="1:11" x14ac:dyDescent="0.3">
      <c r="A1531">
        <v>2026</v>
      </c>
      <c r="B1531" s="2">
        <v>4</v>
      </c>
      <c r="C1531" s="3" t="s">
        <v>108</v>
      </c>
      <c r="D1531" s="4" t="s">
        <v>75</v>
      </c>
      <c r="E1531" s="4" t="s">
        <v>241</v>
      </c>
      <c r="F1531" s="61" t="s">
        <v>291</v>
      </c>
      <c r="G1531" s="4" t="s">
        <v>234</v>
      </c>
      <c r="H1531" s="62">
        <v>3000</v>
      </c>
      <c r="I1531" s="22">
        <v>2500</v>
      </c>
    </row>
    <row r="1532" spans="1:11" x14ac:dyDescent="0.3">
      <c r="A1532">
        <v>2026</v>
      </c>
      <c r="B1532" s="2">
        <v>4</v>
      </c>
      <c r="C1532" s="3" t="s">
        <v>85</v>
      </c>
      <c r="D1532" s="4" t="s">
        <v>86</v>
      </c>
      <c r="E1532" s="4" t="s">
        <v>232</v>
      </c>
      <c r="F1532" s="61" t="s">
        <v>232</v>
      </c>
      <c r="G1532" s="4" t="s">
        <v>234</v>
      </c>
      <c r="H1532" s="62">
        <v>2999.1800000000003</v>
      </c>
      <c r="I1532" s="22">
        <v>2500</v>
      </c>
      <c r="K1532" t="s">
        <v>746</v>
      </c>
    </row>
    <row r="1533" spans="1:11" x14ac:dyDescent="0.3">
      <c r="A1533">
        <v>2026</v>
      </c>
      <c r="B1533" s="2">
        <v>4</v>
      </c>
      <c r="C1533" s="3" t="s">
        <v>66</v>
      </c>
      <c r="D1533" s="4" t="s">
        <v>67</v>
      </c>
      <c r="E1533" s="4" t="s">
        <v>232</v>
      </c>
      <c r="F1533" s="61" t="s">
        <v>232</v>
      </c>
      <c r="G1533" s="4" t="s">
        <v>234</v>
      </c>
      <c r="H1533" s="62">
        <v>1864.0800000000002</v>
      </c>
      <c r="I1533" s="22">
        <v>2500</v>
      </c>
      <c r="K1533" t="s">
        <v>682</v>
      </c>
    </row>
    <row r="1534" spans="1:11" x14ac:dyDescent="0.3">
      <c r="A1534">
        <v>2026</v>
      </c>
      <c r="B1534" s="2">
        <v>4</v>
      </c>
      <c r="C1534" s="3" t="s">
        <v>25</v>
      </c>
      <c r="D1534" s="4" t="s">
        <v>26</v>
      </c>
      <c r="E1534" s="4" t="s">
        <v>232</v>
      </c>
      <c r="F1534" s="61" t="s">
        <v>232</v>
      </c>
      <c r="G1534" s="4" t="s">
        <v>234</v>
      </c>
      <c r="H1534" s="62">
        <v>3531.0600000000004</v>
      </c>
      <c r="I1534" s="22">
        <v>2500</v>
      </c>
      <c r="K1534" t="s">
        <v>714</v>
      </c>
    </row>
    <row r="1535" spans="1:11" x14ac:dyDescent="0.3">
      <c r="A1535">
        <v>2026</v>
      </c>
      <c r="B1535" s="2">
        <v>4</v>
      </c>
      <c r="C1535" s="3" t="s">
        <v>25</v>
      </c>
      <c r="D1535" s="4" t="s">
        <v>67</v>
      </c>
      <c r="E1535" s="4" t="s">
        <v>232</v>
      </c>
      <c r="F1535" s="61" t="s">
        <v>232</v>
      </c>
      <c r="G1535" s="4" t="s">
        <v>234</v>
      </c>
      <c r="H1535" s="62">
        <v>-500</v>
      </c>
      <c r="I1535" s="22"/>
      <c r="K1535" t="s">
        <v>715</v>
      </c>
    </row>
    <row r="1536" spans="1:11" x14ac:dyDescent="0.3">
      <c r="A1536">
        <v>2026</v>
      </c>
      <c r="B1536" s="2">
        <v>4</v>
      </c>
      <c r="C1536" s="3" t="s">
        <v>68</v>
      </c>
      <c r="D1536" s="4" t="s">
        <v>69</v>
      </c>
      <c r="E1536" s="4" t="s">
        <v>241</v>
      </c>
      <c r="F1536" s="61" t="s">
        <v>291</v>
      </c>
      <c r="G1536" s="4" t="s">
        <v>234</v>
      </c>
      <c r="H1536" s="62">
        <v>1250</v>
      </c>
      <c r="I1536" s="22">
        <v>2500</v>
      </c>
      <c r="K1536" t="s">
        <v>778</v>
      </c>
    </row>
    <row r="1537" spans="1:11" x14ac:dyDescent="0.3">
      <c r="A1537">
        <v>2026</v>
      </c>
      <c r="B1537" s="2">
        <v>4</v>
      </c>
      <c r="C1537" s="3" t="s">
        <v>60</v>
      </c>
      <c r="D1537" s="4" t="s">
        <v>28</v>
      </c>
      <c r="E1537" s="4" t="s">
        <v>232</v>
      </c>
      <c r="F1537" s="61" t="s">
        <v>232</v>
      </c>
      <c r="G1537" s="4" t="s">
        <v>234</v>
      </c>
      <c r="H1537" s="62">
        <v>-500</v>
      </c>
      <c r="I1537" s="22">
        <v>2500</v>
      </c>
      <c r="K1537" t="s">
        <v>777</v>
      </c>
    </row>
    <row r="1538" spans="1:11" x14ac:dyDescent="0.3">
      <c r="A1538">
        <v>2026</v>
      </c>
      <c r="B1538" s="2">
        <v>4</v>
      </c>
      <c r="C1538" s="3" t="s">
        <v>27</v>
      </c>
      <c r="D1538" s="4" t="s">
        <v>28</v>
      </c>
      <c r="E1538" s="4" t="s">
        <v>232</v>
      </c>
      <c r="F1538" s="61" t="s">
        <v>232</v>
      </c>
      <c r="G1538" s="4" t="s">
        <v>234</v>
      </c>
      <c r="H1538" s="62">
        <v>1928.5714285714284</v>
      </c>
      <c r="I1538" s="22">
        <v>2500</v>
      </c>
      <c r="K1538" t="s">
        <v>716</v>
      </c>
    </row>
    <row r="1539" spans="1:11" x14ac:dyDescent="0.3">
      <c r="A1539">
        <v>2026</v>
      </c>
      <c r="B1539" s="2">
        <v>4</v>
      </c>
      <c r="C1539" s="3" t="s">
        <v>27</v>
      </c>
      <c r="D1539" s="4" t="s">
        <v>137</v>
      </c>
      <c r="E1539" s="4" t="s">
        <v>232</v>
      </c>
      <c r="F1539" s="61" t="s">
        <v>232</v>
      </c>
      <c r="G1539" s="4" t="s">
        <v>234</v>
      </c>
      <c r="H1539" s="62">
        <v>1156.8571428571429</v>
      </c>
      <c r="I1539" s="22"/>
      <c r="K1539" t="s">
        <v>776</v>
      </c>
    </row>
    <row r="1540" spans="1:11" x14ac:dyDescent="0.3">
      <c r="A1540">
        <v>2026</v>
      </c>
      <c r="B1540" s="2">
        <v>4</v>
      </c>
      <c r="C1540" s="3" t="s">
        <v>9</v>
      </c>
      <c r="D1540" s="4" t="s">
        <v>10</v>
      </c>
      <c r="E1540" s="4" t="s">
        <v>232</v>
      </c>
      <c r="F1540" s="61" t="s">
        <v>232</v>
      </c>
      <c r="G1540" s="4" t="s">
        <v>425</v>
      </c>
      <c r="H1540" s="62">
        <v>5032.3799999999992</v>
      </c>
      <c r="I1540" s="22">
        <v>2500</v>
      </c>
      <c r="K1540" t="s">
        <v>775</v>
      </c>
    </row>
    <row r="1541" spans="1:11" x14ac:dyDescent="0.3">
      <c r="A1541">
        <v>2026</v>
      </c>
      <c r="B1541" s="2">
        <v>4</v>
      </c>
      <c r="C1541" s="3" t="s">
        <v>70</v>
      </c>
      <c r="D1541" s="4" t="s">
        <v>71</v>
      </c>
      <c r="E1541" s="4" t="s">
        <v>232</v>
      </c>
      <c r="F1541" s="67" t="s">
        <v>291</v>
      </c>
      <c r="G1541" s="4" t="s">
        <v>234</v>
      </c>
      <c r="H1541" s="62">
        <v>2478</v>
      </c>
      <c r="I1541" s="22">
        <v>2500</v>
      </c>
      <c r="K1541" t="s">
        <v>736</v>
      </c>
    </row>
    <row r="1542" spans="1:11" x14ac:dyDescent="0.3">
      <c r="A1542">
        <v>2026</v>
      </c>
      <c r="B1542" s="2">
        <v>4</v>
      </c>
      <c r="C1542" s="3" t="s">
        <v>29</v>
      </c>
      <c r="D1542" s="4" t="s">
        <v>141</v>
      </c>
      <c r="E1542" s="4" t="s">
        <v>232</v>
      </c>
      <c r="F1542" s="61" t="s">
        <v>232</v>
      </c>
      <c r="G1542" s="4" t="s">
        <v>234</v>
      </c>
      <c r="H1542" s="62">
        <v>3200.4400000000005</v>
      </c>
      <c r="I1542" s="22">
        <v>2500</v>
      </c>
      <c r="K1542" t="s">
        <v>774</v>
      </c>
    </row>
    <row r="1543" spans="1:11" x14ac:dyDescent="0.3">
      <c r="A1543">
        <v>2026</v>
      </c>
      <c r="B1543" s="2">
        <v>4</v>
      </c>
      <c r="C1543" s="3" t="s">
        <v>109</v>
      </c>
      <c r="D1543" s="4" t="s">
        <v>142</v>
      </c>
      <c r="E1543" s="4" t="s">
        <v>232</v>
      </c>
      <c r="F1543" s="61" t="s">
        <v>232</v>
      </c>
      <c r="G1543" s="4" t="s">
        <v>425</v>
      </c>
      <c r="H1543" s="62">
        <v>3199.5800000000008</v>
      </c>
      <c r="I1543" s="22">
        <v>2500</v>
      </c>
      <c r="K1543" t="s">
        <v>773</v>
      </c>
    </row>
    <row r="1544" spans="1:11" x14ac:dyDescent="0.3">
      <c r="A1544">
        <v>2026</v>
      </c>
      <c r="B1544" s="2">
        <v>4</v>
      </c>
      <c r="C1544" s="3" t="s">
        <v>72</v>
      </c>
      <c r="D1544" s="4" t="s">
        <v>73</v>
      </c>
      <c r="E1544" s="4" t="s">
        <v>241</v>
      </c>
      <c r="F1544" s="61" t="s">
        <v>291</v>
      </c>
      <c r="G1544" s="4" t="s">
        <v>234</v>
      </c>
      <c r="H1544" s="62">
        <v>3200</v>
      </c>
      <c r="I1544" s="22">
        <v>2500</v>
      </c>
      <c r="K1544" t="s">
        <v>737</v>
      </c>
    </row>
    <row r="1545" spans="1:11" x14ac:dyDescent="0.3">
      <c r="A1545">
        <v>2026</v>
      </c>
      <c r="B1545" s="2">
        <v>4</v>
      </c>
      <c r="C1545" s="3" t="s">
        <v>92</v>
      </c>
      <c r="D1545" s="4" t="s">
        <v>30</v>
      </c>
      <c r="E1545" s="4" t="s">
        <v>232</v>
      </c>
      <c r="F1545" s="61" t="s">
        <v>232</v>
      </c>
      <c r="G1545" s="4" t="s">
        <v>234</v>
      </c>
      <c r="H1545" s="62">
        <v>3000</v>
      </c>
      <c r="I1545" s="22">
        <v>2500</v>
      </c>
      <c r="K1545" t="s">
        <v>706</v>
      </c>
    </row>
    <row r="1546" spans="1:11" x14ac:dyDescent="0.3">
      <c r="A1546">
        <v>2026</v>
      </c>
      <c r="B1546" s="2">
        <v>4</v>
      </c>
      <c r="C1546" s="3" t="s">
        <v>105</v>
      </c>
      <c r="D1546" s="4" t="s">
        <v>106</v>
      </c>
      <c r="E1546" s="4" t="s">
        <v>232</v>
      </c>
      <c r="F1546" s="61" t="s">
        <v>232</v>
      </c>
      <c r="G1546" s="4" t="s">
        <v>425</v>
      </c>
      <c r="H1546" s="62">
        <v>2600</v>
      </c>
      <c r="I1546" s="22">
        <v>2500</v>
      </c>
      <c r="K1546" t="s">
        <v>772</v>
      </c>
    </row>
    <row r="1547" spans="1:11" x14ac:dyDescent="0.3">
      <c r="A1547">
        <v>2026</v>
      </c>
      <c r="B1547" s="2">
        <v>4</v>
      </c>
      <c r="C1547" s="3" t="s">
        <v>31</v>
      </c>
      <c r="D1547" s="4" t="s">
        <v>143</v>
      </c>
      <c r="E1547" s="4" t="s">
        <v>232</v>
      </c>
      <c r="F1547" s="61" t="s">
        <v>232</v>
      </c>
      <c r="G1547" s="4" t="s">
        <v>234</v>
      </c>
      <c r="H1547" s="62">
        <v>3200</v>
      </c>
      <c r="I1547" s="22">
        <v>2500</v>
      </c>
      <c r="K1547" t="s">
        <v>718</v>
      </c>
    </row>
    <row r="1548" spans="1:11" x14ac:dyDescent="0.3">
      <c r="A1548">
        <v>2026</v>
      </c>
      <c r="B1548" s="2">
        <v>4</v>
      </c>
      <c r="C1548" s="3" t="s">
        <v>91</v>
      </c>
      <c r="D1548" s="4" t="s">
        <v>50</v>
      </c>
      <c r="E1548" s="4" t="s">
        <v>232</v>
      </c>
      <c r="F1548" s="61" t="s">
        <v>232</v>
      </c>
      <c r="G1548" s="4" t="s">
        <v>234</v>
      </c>
      <c r="H1548" s="62">
        <v>1929.4285714285713</v>
      </c>
      <c r="I1548" s="22">
        <v>2500</v>
      </c>
      <c r="K1548" t="s">
        <v>771</v>
      </c>
    </row>
    <row r="1549" spans="1:11" x14ac:dyDescent="0.3">
      <c r="A1549">
        <v>2026</v>
      </c>
      <c r="B1549" s="2">
        <v>4</v>
      </c>
      <c r="C1549" s="3" t="s">
        <v>91</v>
      </c>
      <c r="D1549" s="4" t="s">
        <v>144</v>
      </c>
      <c r="E1549" s="4" t="s">
        <v>232</v>
      </c>
      <c r="F1549" s="61" t="s">
        <v>232</v>
      </c>
      <c r="G1549" s="4" t="s">
        <v>234</v>
      </c>
      <c r="H1549" s="62">
        <v>1157.1428571428569</v>
      </c>
      <c r="I1549" s="22"/>
      <c r="K1549" t="s">
        <v>763</v>
      </c>
    </row>
    <row r="1550" spans="1:11" x14ac:dyDescent="0.3">
      <c r="A1550">
        <v>2026</v>
      </c>
      <c r="B1550" s="2">
        <v>4</v>
      </c>
      <c r="C1550" s="3" t="s">
        <v>33</v>
      </c>
      <c r="D1550" s="4" t="s">
        <v>34</v>
      </c>
      <c r="E1550" s="4" t="s">
        <v>232</v>
      </c>
      <c r="F1550" s="61" t="s">
        <v>232</v>
      </c>
      <c r="G1550" s="4" t="s">
        <v>234</v>
      </c>
      <c r="H1550" s="62">
        <v>-687.34000000000015</v>
      </c>
      <c r="I1550" s="22">
        <v>2500</v>
      </c>
      <c r="K1550" t="s">
        <v>769</v>
      </c>
    </row>
    <row r="1551" spans="1:11" x14ac:dyDescent="0.3">
      <c r="A1551">
        <v>2026</v>
      </c>
      <c r="B1551" s="2">
        <v>4</v>
      </c>
      <c r="C1551" s="3" t="s">
        <v>33</v>
      </c>
      <c r="D1551" s="4" t="s">
        <v>56</v>
      </c>
      <c r="E1551" s="4" t="s">
        <v>241</v>
      </c>
      <c r="F1551" s="61" t="s">
        <v>291</v>
      </c>
      <c r="G1551" s="4" t="s">
        <v>234</v>
      </c>
      <c r="H1551" s="62">
        <v>-700</v>
      </c>
      <c r="I1551" s="22"/>
      <c r="K1551" t="s">
        <v>770</v>
      </c>
    </row>
    <row r="1552" spans="1:11" x14ac:dyDescent="0.3">
      <c r="A1552">
        <v>2026</v>
      </c>
      <c r="B1552" s="2">
        <v>4</v>
      </c>
      <c r="C1552" s="3" t="s">
        <v>57</v>
      </c>
      <c r="D1552" s="4" t="s">
        <v>16</v>
      </c>
      <c r="E1552" s="4" t="s">
        <v>232</v>
      </c>
      <c r="F1552" s="61" t="s">
        <v>232</v>
      </c>
      <c r="G1552" s="4" t="s">
        <v>234</v>
      </c>
      <c r="H1552" s="62">
        <v>-400</v>
      </c>
      <c r="I1552" s="22">
        <v>2500</v>
      </c>
      <c r="K1552" t="s">
        <v>768</v>
      </c>
    </row>
    <row r="1553" spans="1:11" x14ac:dyDescent="0.3">
      <c r="A1553">
        <v>2026</v>
      </c>
      <c r="B1553" s="2">
        <v>4</v>
      </c>
      <c r="C1553" s="3" t="s">
        <v>35</v>
      </c>
      <c r="D1553" s="4" t="s">
        <v>36</v>
      </c>
      <c r="E1553" s="4" t="s">
        <v>232</v>
      </c>
      <c r="F1553" s="61" t="s">
        <v>232</v>
      </c>
      <c r="G1553" s="4" t="s">
        <v>234</v>
      </c>
      <c r="H1553" s="62">
        <v>2500</v>
      </c>
      <c r="I1553" s="22">
        <v>2500</v>
      </c>
      <c r="K1553" t="s">
        <v>720</v>
      </c>
    </row>
    <row r="1554" spans="1:11" x14ac:dyDescent="0.3">
      <c r="A1554">
        <v>2026</v>
      </c>
      <c r="B1554" s="2">
        <v>4</v>
      </c>
      <c r="C1554" s="3" t="s">
        <v>37</v>
      </c>
      <c r="D1554" s="4" t="s">
        <v>38</v>
      </c>
      <c r="E1554" s="4" t="s">
        <v>232</v>
      </c>
      <c r="F1554" s="61" t="s">
        <v>232</v>
      </c>
      <c r="G1554" s="4" t="s">
        <v>234</v>
      </c>
      <c r="H1554" s="62">
        <v>0</v>
      </c>
      <c r="I1554" s="22">
        <v>2500</v>
      </c>
      <c r="K1554" t="s">
        <v>767</v>
      </c>
    </row>
    <row r="1555" spans="1:11" x14ac:dyDescent="0.3">
      <c r="A1555">
        <v>2026</v>
      </c>
      <c r="B1555" s="2">
        <v>4</v>
      </c>
      <c r="C1555" s="3" t="s">
        <v>39</v>
      </c>
      <c r="D1555" s="4" t="s">
        <v>40</v>
      </c>
      <c r="E1555" s="4" t="s">
        <v>232</v>
      </c>
      <c r="F1555" s="61" t="s">
        <v>232</v>
      </c>
      <c r="G1555" s="4" t="s">
        <v>234</v>
      </c>
      <c r="H1555" s="62">
        <v>-3366.4400000000005</v>
      </c>
      <c r="I1555" s="22">
        <v>2500</v>
      </c>
      <c r="K1555" t="s">
        <v>722</v>
      </c>
    </row>
    <row r="1556" spans="1:11" x14ac:dyDescent="0.3">
      <c r="A1556">
        <v>2026</v>
      </c>
      <c r="B1556" s="2">
        <v>4</v>
      </c>
      <c r="C1556" s="3" t="s">
        <v>114</v>
      </c>
      <c r="D1556" s="4" t="s">
        <v>46</v>
      </c>
      <c r="E1556" s="4" t="s">
        <v>232</v>
      </c>
      <c r="F1556" s="61" t="s">
        <v>232</v>
      </c>
      <c r="G1556" s="4" t="s">
        <v>234</v>
      </c>
      <c r="H1556" s="62">
        <v>2808.3971428571426</v>
      </c>
      <c r="I1556" s="22">
        <v>2500</v>
      </c>
      <c r="K1556" t="s">
        <v>766</v>
      </c>
    </row>
    <row r="1557" spans="1:11" x14ac:dyDescent="0.3">
      <c r="A1557">
        <v>2026</v>
      </c>
      <c r="B1557" s="2">
        <v>4</v>
      </c>
      <c r="C1557" s="3" t="s">
        <v>43</v>
      </c>
      <c r="D1557" s="4" t="s">
        <v>44</v>
      </c>
      <c r="E1557" s="4" t="s">
        <v>232</v>
      </c>
      <c r="F1557" s="61" t="s">
        <v>232</v>
      </c>
      <c r="G1557" s="4" t="s">
        <v>234</v>
      </c>
      <c r="H1557" s="62">
        <v>2326.6285714285714</v>
      </c>
      <c r="I1557" s="22">
        <v>2500</v>
      </c>
      <c r="K1557" t="s">
        <v>764</v>
      </c>
    </row>
    <row r="1558" spans="1:11" x14ac:dyDescent="0.3">
      <c r="A1558">
        <v>2026</v>
      </c>
      <c r="B1558" s="2">
        <v>4</v>
      </c>
      <c r="C1558" s="3" t="s">
        <v>43</v>
      </c>
      <c r="D1558" s="4" t="s">
        <v>765</v>
      </c>
      <c r="E1558" s="4" t="s">
        <v>232</v>
      </c>
      <c r="F1558" s="61" t="s">
        <v>232</v>
      </c>
      <c r="G1558" s="4" t="s">
        <v>234</v>
      </c>
      <c r="H1558" s="62">
        <v>1157.1428571428571</v>
      </c>
      <c r="I1558" s="22"/>
      <c r="K1558" t="s">
        <v>763</v>
      </c>
    </row>
    <row r="1559" spans="1:11" x14ac:dyDescent="0.3">
      <c r="A1559">
        <v>2026</v>
      </c>
      <c r="B1559" s="2">
        <v>4</v>
      </c>
      <c r="C1559" s="3" t="s">
        <v>84</v>
      </c>
      <c r="D1559" s="4" t="s">
        <v>59</v>
      </c>
      <c r="E1559" s="4" t="s">
        <v>232</v>
      </c>
      <c r="F1559" s="67" t="s">
        <v>291</v>
      </c>
      <c r="G1559" s="4" t="s">
        <v>234</v>
      </c>
      <c r="H1559" s="62">
        <v>807.80857142857144</v>
      </c>
      <c r="I1559" s="22">
        <v>2500</v>
      </c>
      <c r="K1559" t="s">
        <v>762</v>
      </c>
    </row>
    <row r="1560" spans="1:11" x14ac:dyDescent="0.3">
      <c r="A1560">
        <v>2026</v>
      </c>
      <c r="B1560" s="2">
        <v>4</v>
      </c>
      <c r="C1560" s="3" t="s">
        <v>84</v>
      </c>
      <c r="D1560" s="4" t="s">
        <v>146</v>
      </c>
      <c r="E1560" s="4" t="s">
        <v>232</v>
      </c>
      <c r="F1560" s="61" t="s">
        <v>232</v>
      </c>
      <c r="G1560" s="4" t="s">
        <v>234</v>
      </c>
      <c r="H1560" s="62">
        <v>1157.1428571428571</v>
      </c>
      <c r="I1560" s="22"/>
      <c r="K1560" t="s">
        <v>763</v>
      </c>
    </row>
    <row r="1561" spans="1:11" x14ac:dyDescent="0.3">
      <c r="A1561">
        <v>2026</v>
      </c>
      <c r="B1561" s="2">
        <v>4</v>
      </c>
      <c r="C1561" s="3" t="s">
        <v>89</v>
      </c>
      <c r="D1561" s="4" t="s">
        <v>4</v>
      </c>
      <c r="E1561" s="4" t="s">
        <v>232</v>
      </c>
      <c r="F1561" s="61" t="s">
        <v>232</v>
      </c>
      <c r="G1561" s="4" t="s">
        <v>234</v>
      </c>
      <c r="H1561" s="62">
        <v>2999.3799999999992</v>
      </c>
      <c r="I1561" s="22">
        <v>2500</v>
      </c>
      <c r="K1561" t="s">
        <v>761</v>
      </c>
    </row>
    <row r="1562" spans="1:11" x14ac:dyDescent="0.3">
      <c r="A1562">
        <v>2026</v>
      </c>
      <c r="B1562" s="2">
        <v>4</v>
      </c>
      <c r="C1562" s="3" t="s">
        <v>119</v>
      </c>
      <c r="D1562" s="4" t="s">
        <v>97</v>
      </c>
      <c r="E1562" s="4" t="s">
        <v>232</v>
      </c>
      <c r="F1562" s="61" t="s">
        <v>232</v>
      </c>
      <c r="G1562" s="4" t="s">
        <v>234</v>
      </c>
      <c r="H1562" s="62">
        <v>857.28571428571422</v>
      </c>
      <c r="I1562" s="22">
        <v>2500</v>
      </c>
      <c r="J1562">
        <v>1000</v>
      </c>
      <c r="K1562" t="s">
        <v>760</v>
      </c>
    </row>
    <row r="1563" spans="1:11" x14ac:dyDescent="0.3">
      <c r="A1563">
        <v>2026</v>
      </c>
      <c r="B1563" s="2">
        <v>4</v>
      </c>
      <c r="C1563" s="3" t="s">
        <v>123</v>
      </c>
      <c r="D1563" s="4" t="s">
        <v>59</v>
      </c>
      <c r="E1563" s="4" t="s">
        <v>232</v>
      </c>
      <c r="F1563" s="61" t="s">
        <v>232</v>
      </c>
      <c r="G1563" s="4" t="s">
        <v>234</v>
      </c>
      <c r="H1563" s="62">
        <v>856.75428571428563</v>
      </c>
      <c r="I1563" s="22">
        <v>2500</v>
      </c>
      <c r="J1563">
        <v>2000</v>
      </c>
      <c r="K1563" t="s">
        <v>759</v>
      </c>
    </row>
    <row r="1564" spans="1:11" x14ac:dyDescent="0.3">
      <c r="A1564">
        <v>2026</v>
      </c>
      <c r="B1564" s="2">
        <v>4</v>
      </c>
      <c r="C1564" s="3" t="s">
        <v>5</v>
      </c>
      <c r="D1564" s="4" t="s">
        <v>6</v>
      </c>
      <c r="E1564" s="4" t="s">
        <v>232</v>
      </c>
      <c r="F1564" s="61" t="s">
        <v>232</v>
      </c>
      <c r="G1564" s="4" t="s">
        <v>425</v>
      </c>
      <c r="H1564" s="62">
        <v>2331</v>
      </c>
      <c r="I1564" s="22">
        <v>2500</v>
      </c>
      <c r="K1564" t="s">
        <v>757</v>
      </c>
    </row>
    <row r="1565" spans="1:11" x14ac:dyDescent="0.3">
      <c r="A1565">
        <v>2026</v>
      </c>
      <c r="B1565" s="2">
        <v>4</v>
      </c>
      <c r="C1565" s="3" t="s">
        <v>5</v>
      </c>
      <c r="D1565" s="4" t="s">
        <v>42</v>
      </c>
      <c r="E1565" s="4" t="s">
        <v>232</v>
      </c>
      <c r="F1565" s="61" t="s">
        <v>232</v>
      </c>
      <c r="G1565" s="4" t="s">
        <v>425</v>
      </c>
      <c r="H1565" s="62">
        <v>500</v>
      </c>
      <c r="I1565" s="22"/>
      <c r="K1565" t="s">
        <v>758</v>
      </c>
    </row>
    <row r="1566" spans="1:11" x14ac:dyDescent="0.3">
      <c r="A1566">
        <v>2026</v>
      </c>
      <c r="B1566" s="2">
        <v>4</v>
      </c>
      <c r="C1566" s="3" t="s">
        <v>47</v>
      </c>
      <c r="D1566" s="4" t="s">
        <v>147</v>
      </c>
      <c r="E1566" s="4" t="s">
        <v>232</v>
      </c>
      <c r="F1566" s="61" t="s">
        <v>232</v>
      </c>
      <c r="G1566" s="4" t="s">
        <v>234</v>
      </c>
      <c r="H1566" s="62">
        <v>2700</v>
      </c>
      <c r="I1566" s="22">
        <v>2500</v>
      </c>
      <c r="K1566" t="s">
        <v>724</v>
      </c>
    </row>
    <row r="1567" spans="1:11" x14ac:dyDescent="0.3">
      <c r="A1567">
        <v>2026</v>
      </c>
      <c r="B1567" s="2">
        <v>4</v>
      </c>
      <c r="C1567" s="3" t="s">
        <v>49</v>
      </c>
      <c r="D1567" s="4" t="s">
        <v>96</v>
      </c>
      <c r="E1567" s="4" t="s">
        <v>232</v>
      </c>
      <c r="F1567" s="61" t="s">
        <v>232</v>
      </c>
      <c r="G1567" s="4" t="s">
        <v>234</v>
      </c>
      <c r="H1567" s="62">
        <v>2500</v>
      </c>
      <c r="I1567" s="22">
        <v>2500</v>
      </c>
    </row>
    <row r="1568" spans="1:11" x14ac:dyDescent="0.3">
      <c r="A1568">
        <v>2026</v>
      </c>
      <c r="B1568" s="2">
        <v>4</v>
      </c>
      <c r="C1568" s="3" t="s">
        <v>49</v>
      </c>
      <c r="D1568" s="4" t="s">
        <v>104</v>
      </c>
      <c r="E1568" s="4" t="s">
        <v>232</v>
      </c>
      <c r="F1568" s="61" t="s">
        <v>232</v>
      </c>
      <c r="G1568" s="4" t="s">
        <v>234</v>
      </c>
      <c r="H1568" s="62">
        <v>700</v>
      </c>
      <c r="I1568" s="22"/>
      <c r="K1568" t="s">
        <v>677</v>
      </c>
    </row>
    <row r="1569" spans="1:11" x14ac:dyDescent="0.3">
      <c r="A1569">
        <v>2026</v>
      </c>
      <c r="B1569" s="2">
        <v>4</v>
      </c>
      <c r="C1569" s="3" t="s">
        <v>115</v>
      </c>
      <c r="D1569" s="4" t="s">
        <v>116</v>
      </c>
      <c r="E1569" s="4" t="s">
        <v>291</v>
      </c>
      <c r="F1569" s="61" t="s">
        <v>291</v>
      </c>
      <c r="G1569" s="4" t="s">
        <v>234</v>
      </c>
      <c r="H1569" s="62">
        <v>1285.4285714285716</v>
      </c>
      <c r="I1569" s="22">
        <v>2500</v>
      </c>
      <c r="J1569">
        <v>2000</v>
      </c>
      <c r="K1569" t="s">
        <v>756</v>
      </c>
    </row>
    <row r="1570" spans="1:11" x14ac:dyDescent="0.3">
      <c r="A1570">
        <v>2026</v>
      </c>
      <c r="B1570" s="2">
        <v>4</v>
      </c>
      <c r="C1570" s="3" t="s">
        <v>74</v>
      </c>
      <c r="D1570" s="4" t="s">
        <v>77</v>
      </c>
      <c r="E1570" s="4" t="s">
        <v>232</v>
      </c>
      <c r="F1570" s="61" t="s">
        <v>232</v>
      </c>
      <c r="G1570" s="4" t="s">
        <v>234</v>
      </c>
      <c r="H1570" s="62">
        <v>815.39999999999918</v>
      </c>
      <c r="I1570" s="22">
        <v>2500</v>
      </c>
      <c r="K1570" t="s">
        <v>754</v>
      </c>
    </row>
    <row r="1571" spans="1:11" x14ac:dyDescent="0.3">
      <c r="A1571">
        <v>2026</v>
      </c>
      <c r="B1571" s="2">
        <v>4</v>
      </c>
      <c r="C1571" s="3" t="s">
        <v>51</v>
      </c>
      <c r="D1571" s="4" t="s">
        <v>52</v>
      </c>
      <c r="E1571" s="4" t="s">
        <v>232</v>
      </c>
      <c r="F1571" s="61" t="s">
        <v>232</v>
      </c>
      <c r="G1571" s="4" t="s">
        <v>234</v>
      </c>
      <c r="H1571" s="62">
        <v>2500</v>
      </c>
      <c r="I1571" s="22">
        <v>2500</v>
      </c>
      <c r="K1571" t="s">
        <v>678</v>
      </c>
    </row>
    <row r="1572" spans="1:11" x14ac:dyDescent="0.3">
      <c r="A1572">
        <v>2026</v>
      </c>
      <c r="B1572" s="2">
        <v>4</v>
      </c>
      <c r="C1572" s="3" t="s">
        <v>53</v>
      </c>
      <c r="D1572" s="4" t="s">
        <v>54</v>
      </c>
      <c r="E1572" s="4" t="s">
        <v>232</v>
      </c>
      <c r="F1572" s="61" t="s">
        <v>232</v>
      </c>
      <c r="G1572" s="4" t="s">
        <v>234</v>
      </c>
      <c r="H1572" s="62">
        <v>-2722.7057142857143</v>
      </c>
      <c r="I1572" s="22">
        <v>2500</v>
      </c>
      <c r="K1572" t="s">
        <v>753</v>
      </c>
    </row>
    <row r="1573" spans="1:11" x14ac:dyDescent="0.3">
      <c r="A1573">
        <v>2026</v>
      </c>
      <c r="B1573" s="2">
        <v>4</v>
      </c>
      <c r="C1573" s="3" t="s">
        <v>78</v>
      </c>
      <c r="D1573" s="4" t="s">
        <v>79</v>
      </c>
      <c r="E1573" s="4" t="s">
        <v>291</v>
      </c>
      <c r="F1573" s="61" t="s">
        <v>291</v>
      </c>
      <c r="G1573" s="4" t="s">
        <v>234</v>
      </c>
      <c r="H1573" s="62">
        <v>-551.01599999999962</v>
      </c>
      <c r="I1573" s="22">
        <v>2500</v>
      </c>
      <c r="K1573" t="s">
        <v>752</v>
      </c>
    </row>
    <row r="1574" spans="1:11" x14ac:dyDescent="0.3">
      <c r="A1574">
        <v>2026</v>
      </c>
      <c r="B1574" s="2">
        <v>4</v>
      </c>
      <c r="C1574" s="3" t="s">
        <v>107</v>
      </c>
      <c r="D1574" s="4" t="s">
        <v>50</v>
      </c>
      <c r="E1574" s="4" t="s">
        <v>232</v>
      </c>
      <c r="F1574" s="61" t="s">
        <v>232</v>
      </c>
      <c r="G1574" s="4" t="s">
        <v>234</v>
      </c>
      <c r="H1574" s="62">
        <v>2999.5200000000004</v>
      </c>
      <c r="I1574" s="22">
        <v>2500</v>
      </c>
      <c r="K1574" t="s">
        <v>751</v>
      </c>
    </row>
    <row r="1575" spans="1:11" x14ac:dyDescent="0.3">
      <c r="A1575">
        <v>2026</v>
      </c>
      <c r="B1575" s="2">
        <v>4</v>
      </c>
      <c r="C1575" s="3" t="s">
        <v>76</v>
      </c>
      <c r="D1575" s="4" t="s">
        <v>8</v>
      </c>
      <c r="E1575" s="4" t="s">
        <v>232</v>
      </c>
      <c r="F1575" s="61" t="s">
        <v>232</v>
      </c>
      <c r="G1575" s="4" t="s">
        <v>234</v>
      </c>
      <c r="H1575" s="62">
        <v>-500</v>
      </c>
      <c r="I1575" s="22">
        <v>2500</v>
      </c>
      <c r="K1575" t="s">
        <v>750</v>
      </c>
    </row>
    <row r="1576" spans="1:11" x14ac:dyDescent="0.3">
      <c r="A1576">
        <v>2026</v>
      </c>
      <c r="B1576" s="2">
        <v>4</v>
      </c>
      <c r="C1576" s="3" t="s">
        <v>87</v>
      </c>
      <c r="D1576" s="4" t="s">
        <v>83</v>
      </c>
      <c r="E1576" s="4" t="s">
        <v>232</v>
      </c>
      <c r="F1576" s="61" t="s">
        <v>232</v>
      </c>
      <c r="G1576" s="4" t="s">
        <v>234</v>
      </c>
      <c r="H1576" s="62">
        <v>2333.4399999999987</v>
      </c>
      <c r="I1576" s="22">
        <v>2500</v>
      </c>
    </row>
    <row r="1577" spans="1:11" x14ac:dyDescent="0.3">
      <c r="A1577">
        <v>2026</v>
      </c>
      <c r="B1577" s="2">
        <v>4</v>
      </c>
      <c r="C1577" s="3" t="s">
        <v>117</v>
      </c>
      <c r="D1577" s="4" t="s">
        <v>118</v>
      </c>
      <c r="E1577" s="4" t="s">
        <v>232</v>
      </c>
      <c r="F1577" s="61" t="s">
        <v>232</v>
      </c>
      <c r="G1577" s="4" t="s">
        <v>234</v>
      </c>
      <c r="H1577" s="62">
        <v>1071.8571428571429</v>
      </c>
      <c r="I1577" s="22">
        <v>2500</v>
      </c>
      <c r="J1577">
        <v>2000</v>
      </c>
      <c r="K1577" t="s">
        <v>749</v>
      </c>
    </row>
    <row r="1578" spans="1:11" x14ac:dyDescent="0.3">
      <c r="A1578">
        <v>2026</v>
      </c>
      <c r="B1578" s="2">
        <v>4</v>
      </c>
      <c r="C1578" s="3" t="s">
        <v>98</v>
      </c>
      <c r="D1578" s="4" t="s">
        <v>112</v>
      </c>
      <c r="E1578" s="4" t="s">
        <v>232</v>
      </c>
      <c r="F1578" s="61" t="s">
        <v>232</v>
      </c>
      <c r="G1578" s="4" t="s">
        <v>234</v>
      </c>
      <c r="H1578" s="62">
        <v>1428.5714285714287</v>
      </c>
      <c r="I1578" s="22">
        <v>2500</v>
      </c>
      <c r="K1578" t="s">
        <v>747</v>
      </c>
    </row>
    <row r="1579" spans="1:11" x14ac:dyDescent="0.3">
      <c r="A1579">
        <v>2026</v>
      </c>
      <c r="B1579" s="2">
        <v>4</v>
      </c>
      <c r="C1579" s="3" t="s">
        <v>98</v>
      </c>
      <c r="D1579" s="4" t="s">
        <v>42</v>
      </c>
      <c r="E1579" s="4" t="s">
        <v>232</v>
      </c>
      <c r="F1579" s="61" t="s">
        <v>232</v>
      </c>
      <c r="G1579" s="4" t="s">
        <v>234</v>
      </c>
      <c r="H1579" s="62">
        <v>1114.5714285714284</v>
      </c>
      <c r="I1579" s="22"/>
      <c r="K1579" t="s">
        <v>748</v>
      </c>
    </row>
    <row r="1580" spans="1:11" x14ac:dyDescent="0.3">
      <c r="A1580">
        <v>2026</v>
      </c>
      <c r="B1580" s="2">
        <v>5</v>
      </c>
      <c r="C1580" s="3" t="s">
        <v>150</v>
      </c>
      <c r="D1580" s="4" t="s">
        <v>104</v>
      </c>
      <c r="E1580" s="4" t="s">
        <v>232</v>
      </c>
      <c r="F1580" s="61" t="s">
        <v>232</v>
      </c>
      <c r="G1580" s="4" t="s">
        <v>425</v>
      </c>
      <c r="H1580" s="62">
        <v>286</v>
      </c>
      <c r="I1580" s="22">
        <v>2500</v>
      </c>
      <c r="J1580">
        <v>1000</v>
      </c>
      <c r="K1580" t="s">
        <v>839</v>
      </c>
    </row>
    <row r="1581" spans="1:11" x14ac:dyDescent="0.3">
      <c r="A1581">
        <v>2026</v>
      </c>
      <c r="B1581" s="2">
        <v>5</v>
      </c>
      <c r="C1581" s="3" t="s">
        <v>11</v>
      </c>
      <c r="D1581" s="4" t="s">
        <v>12</v>
      </c>
      <c r="E1581" s="4" t="s">
        <v>232</v>
      </c>
      <c r="F1581" s="61" t="s">
        <v>232</v>
      </c>
      <c r="G1581" s="4" t="s">
        <v>234</v>
      </c>
      <c r="H1581" s="62">
        <v>2507.1428571428592</v>
      </c>
      <c r="I1581" s="22">
        <v>2500</v>
      </c>
      <c r="K1581" t="s">
        <v>835</v>
      </c>
    </row>
    <row r="1582" spans="1:11" x14ac:dyDescent="0.3">
      <c r="A1582">
        <v>2026</v>
      </c>
      <c r="B1582" s="2">
        <v>5</v>
      </c>
      <c r="C1582" s="3" t="s">
        <v>80</v>
      </c>
      <c r="D1582" s="4" t="s">
        <v>81</v>
      </c>
      <c r="E1582" s="4" t="s">
        <v>232</v>
      </c>
      <c r="F1582" s="61" t="s">
        <v>232</v>
      </c>
      <c r="G1582" s="4" t="s">
        <v>234</v>
      </c>
      <c r="H1582" s="62">
        <v>2500</v>
      </c>
      <c r="I1582" s="22">
        <v>2500</v>
      </c>
      <c r="K1582" t="s">
        <v>834</v>
      </c>
    </row>
    <row r="1583" spans="1:11" x14ac:dyDescent="0.3">
      <c r="A1583">
        <v>2026</v>
      </c>
      <c r="B1583" s="2">
        <v>5</v>
      </c>
      <c r="C1583" s="3" t="s">
        <v>13</v>
      </c>
      <c r="D1583" s="4" t="s">
        <v>14</v>
      </c>
      <c r="E1583" s="4" t="s">
        <v>232</v>
      </c>
      <c r="F1583" s="61" t="s">
        <v>232</v>
      </c>
      <c r="G1583" s="4" t="s">
        <v>234</v>
      </c>
      <c r="H1583" s="62">
        <v>2700</v>
      </c>
      <c r="I1583" s="22">
        <v>2500</v>
      </c>
      <c r="K1583" t="s">
        <v>833</v>
      </c>
    </row>
    <row r="1584" spans="1:11" x14ac:dyDescent="0.3">
      <c r="A1584">
        <v>2026</v>
      </c>
      <c r="B1584" s="2">
        <v>5</v>
      </c>
      <c r="C1584" s="3" t="s">
        <v>113</v>
      </c>
      <c r="D1584" s="4" t="s">
        <v>38</v>
      </c>
      <c r="E1584" s="4" t="s">
        <v>232</v>
      </c>
      <c r="F1584" s="61" t="s">
        <v>232</v>
      </c>
      <c r="G1584" s="4" t="s">
        <v>234</v>
      </c>
      <c r="H1584" s="62">
        <v>2782.0624299084593</v>
      </c>
      <c r="I1584" s="22">
        <v>2500</v>
      </c>
      <c r="K1584" t="s">
        <v>832</v>
      </c>
    </row>
    <row r="1585" spans="1:11" x14ac:dyDescent="0.3">
      <c r="A1585">
        <v>2026</v>
      </c>
      <c r="B1585" s="2">
        <v>5</v>
      </c>
      <c r="C1585" s="3" t="s">
        <v>120</v>
      </c>
      <c r="D1585" s="4" t="s">
        <v>44</v>
      </c>
      <c r="E1585" s="4" t="s">
        <v>232</v>
      </c>
      <c r="F1585" s="61" t="s">
        <v>232</v>
      </c>
      <c r="G1585" s="4" t="s">
        <v>234</v>
      </c>
      <c r="H1585" s="62">
        <v>3000</v>
      </c>
      <c r="I1585" s="22">
        <v>2500</v>
      </c>
      <c r="K1585" t="s">
        <v>831</v>
      </c>
    </row>
    <row r="1586" spans="1:11" x14ac:dyDescent="0.3">
      <c r="A1586">
        <v>2026</v>
      </c>
      <c r="B1586" s="2">
        <v>5</v>
      </c>
      <c r="C1586" s="3" t="s">
        <v>111</v>
      </c>
      <c r="D1586" s="4" t="s">
        <v>63</v>
      </c>
      <c r="E1586" s="4" t="s">
        <v>291</v>
      </c>
      <c r="F1586" s="61" t="s">
        <v>291</v>
      </c>
      <c r="G1586" s="4" t="s">
        <v>234</v>
      </c>
      <c r="H1586" s="62">
        <v>2500</v>
      </c>
      <c r="I1586" s="22">
        <v>2500</v>
      </c>
      <c r="K1586" t="s">
        <v>830</v>
      </c>
    </row>
    <row r="1587" spans="1:11" x14ac:dyDescent="0.3">
      <c r="A1587">
        <v>2026</v>
      </c>
      <c r="B1587" s="2">
        <v>5</v>
      </c>
      <c r="C1587" s="3" t="s">
        <v>121</v>
      </c>
      <c r="D1587" s="4" t="s">
        <v>122</v>
      </c>
      <c r="E1587" s="4" t="s">
        <v>232</v>
      </c>
      <c r="F1587" s="61" t="s">
        <v>232</v>
      </c>
      <c r="G1587" s="4" t="s">
        <v>234</v>
      </c>
      <c r="H1587" s="62">
        <v>3100</v>
      </c>
      <c r="I1587" s="22">
        <v>2500</v>
      </c>
      <c r="K1587" t="s">
        <v>829</v>
      </c>
    </row>
    <row r="1588" spans="1:11" x14ac:dyDescent="0.3">
      <c r="A1588">
        <v>2026</v>
      </c>
      <c r="B1588" s="2">
        <v>5</v>
      </c>
      <c r="C1588" s="3" t="s">
        <v>17</v>
      </c>
      <c r="D1588" s="4" t="s">
        <v>18</v>
      </c>
      <c r="E1588" s="4" t="s">
        <v>232</v>
      </c>
      <c r="F1588" s="61" t="s">
        <v>232</v>
      </c>
      <c r="G1588" s="4" t="s">
        <v>234</v>
      </c>
      <c r="H1588" s="62">
        <v>3584.8600000000006</v>
      </c>
      <c r="I1588" s="22">
        <v>2500</v>
      </c>
      <c r="K1588" t="s">
        <v>828</v>
      </c>
    </row>
    <row r="1589" spans="1:11" x14ac:dyDescent="0.3">
      <c r="A1589">
        <v>2026</v>
      </c>
      <c r="B1589" s="2">
        <v>5</v>
      </c>
      <c r="C1589" s="3" t="s">
        <v>19</v>
      </c>
      <c r="D1589" s="4" t="s">
        <v>20</v>
      </c>
      <c r="E1589" s="4" t="s">
        <v>232</v>
      </c>
      <c r="F1589" s="61" t="s">
        <v>232</v>
      </c>
      <c r="G1589" s="4" t="s">
        <v>234</v>
      </c>
      <c r="H1589" s="62">
        <v>3100</v>
      </c>
      <c r="I1589" s="22">
        <v>2500</v>
      </c>
      <c r="K1589" t="s">
        <v>827</v>
      </c>
    </row>
    <row r="1590" spans="1:11" x14ac:dyDescent="0.3">
      <c r="A1590">
        <v>2026</v>
      </c>
      <c r="B1590" s="2">
        <v>5</v>
      </c>
      <c r="C1590" s="3" t="s">
        <v>128</v>
      </c>
      <c r="D1590" s="4" t="s">
        <v>69</v>
      </c>
      <c r="E1590" s="4" t="s">
        <v>241</v>
      </c>
      <c r="F1590" s="61" t="s">
        <v>291</v>
      </c>
      <c r="G1590" s="4" t="s">
        <v>234</v>
      </c>
      <c r="H1590" s="62">
        <v>3000</v>
      </c>
      <c r="I1590" s="22">
        <v>2500</v>
      </c>
      <c r="K1590" t="s">
        <v>826</v>
      </c>
    </row>
    <row r="1591" spans="1:11" x14ac:dyDescent="0.3">
      <c r="A1591">
        <v>2026</v>
      </c>
      <c r="B1591" s="2">
        <v>5</v>
      </c>
      <c r="C1591" s="3" t="s">
        <v>21</v>
      </c>
      <c r="D1591" s="4" t="s">
        <v>22</v>
      </c>
      <c r="E1591" s="4" t="s">
        <v>232</v>
      </c>
      <c r="F1591" s="61" t="s">
        <v>232</v>
      </c>
      <c r="G1591" s="4" t="s">
        <v>234</v>
      </c>
      <c r="H1591" s="62">
        <v>1798.42</v>
      </c>
      <c r="I1591" s="22">
        <v>2500</v>
      </c>
    </row>
    <row r="1592" spans="1:11" x14ac:dyDescent="0.3">
      <c r="A1592">
        <v>2026</v>
      </c>
      <c r="B1592" s="2">
        <v>5</v>
      </c>
      <c r="C1592" s="3" t="s">
        <v>64</v>
      </c>
      <c r="D1592" s="4" t="s">
        <v>140</v>
      </c>
      <c r="E1592" s="4" t="s">
        <v>232</v>
      </c>
      <c r="F1592" s="61" t="s">
        <v>232</v>
      </c>
      <c r="G1592" s="4" t="s">
        <v>234</v>
      </c>
      <c r="H1592" s="62">
        <v>3200</v>
      </c>
      <c r="I1592" s="22">
        <v>2500</v>
      </c>
      <c r="K1592" t="s">
        <v>825</v>
      </c>
    </row>
    <row r="1593" spans="1:11" x14ac:dyDescent="0.3">
      <c r="A1593">
        <v>2026</v>
      </c>
      <c r="B1593" s="2">
        <v>5</v>
      </c>
      <c r="C1593" s="3" t="s">
        <v>90</v>
      </c>
      <c r="D1593" s="4" t="s">
        <v>16</v>
      </c>
      <c r="E1593" s="4" t="s">
        <v>232</v>
      </c>
      <c r="F1593" s="61" t="s">
        <v>232</v>
      </c>
      <c r="G1593" s="4" t="s">
        <v>234</v>
      </c>
      <c r="H1593" s="62">
        <v>3000</v>
      </c>
      <c r="I1593" s="22">
        <v>2500</v>
      </c>
      <c r="K1593" t="s">
        <v>824</v>
      </c>
    </row>
    <row r="1594" spans="1:11" x14ac:dyDescent="0.3">
      <c r="A1594">
        <v>2026</v>
      </c>
      <c r="B1594" s="2">
        <v>5</v>
      </c>
      <c r="C1594" s="3" t="s">
        <v>23</v>
      </c>
      <c r="D1594" s="4" t="s">
        <v>24</v>
      </c>
      <c r="E1594" s="4" t="s">
        <v>232</v>
      </c>
      <c r="F1594" s="61" t="s">
        <v>232</v>
      </c>
      <c r="G1594" s="4" t="s">
        <v>234</v>
      </c>
      <c r="H1594" s="62">
        <v>3577.4548821584922</v>
      </c>
      <c r="I1594" s="22">
        <v>2500</v>
      </c>
      <c r="K1594" t="s">
        <v>823</v>
      </c>
    </row>
    <row r="1595" spans="1:11" x14ac:dyDescent="0.3">
      <c r="A1595">
        <v>2026</v>
      </c>
      <c r="B1595" s="2">
        <v>5</v>
      </c>
      <c r="C1595" s="3" t="s">
        <v>23</v>
      </c>
      <c r="D1595" s="4" t="s">
        <v>22</v>
      </c>
      <c r="E1595" s="4" t="s">
        <v>232</v>
      </c>
      <c r="F1595" s="61" t="s">
        <v>232</v>
      </c>
      <c r="G1595" s="4" t="s">
        <v>234</v>
      </c>
      <c r="H1595" s="62">
        <v>700</v>
      </c>
      <c r="I1595" s="22"/>
    </row>
    <row r="1596" spans="1:11" x14ac:dyDescent="0.3">
      <c r="A1596">
        <v>2026</v>
      </c>
      <c r="B1596" s="2">
        <v>5</v>
      </c>
      <c r="C1596" s="3" t="s">
        <v>108</v>
      </c>
      <c r="D1596" s="4" t="s">
        <v>75</v>
      </c>
      <c r="E1596" s="4" t="s">
        <v>241</v>
      </c>
      <c r="F1596" s="61" t="s">
        <v>291</v>
      </c>
      <c r="G1596" s="4" t="s">
        <v>234</v>
      </c>
      <c r="H1596" s="62">
        <v>3700</v>
      </c>
      <c r="I1596" s="22">
        <v>2500</v>
      </c>
      <c r="K1596" t="s">
        <v>822</v>
      </c>
    </row>
    <row r="1597" spans="1:11" x14ac:dyDescent="0.3">
      <c r="A1597">
        <v>2026</v>
      </c>
      <c r="B1597" s="2">
        <v>5</v>
      </c>
      <c r="C1597" s="3" t="s">
        <v>85</v>
      </c>
      <c r="D1597" s="4" t="s">
        <v>86</v>
      </c>
      <c r="E1597" s="4" t="s">
        <v>232</v>
      </c>
      <c r="F1597" s="61" t="s">
        <v>232</v>
      </c>
      <c r="G1597" s="4" t="s">
        <v>234</v>
      </c>
      <c r="H1597" s="62">
        <v>2999.5101428673706</v>
      </c>
      <c r="I1597" s="22">
        <v>2500</v>
      </c>
      <c r="K1597" t="s">
        <v>821</v>
      </c>
    </row>
    <row r="1598" spans="1:11" x14ac:dyDescent="0.3">
      <c r="A1598">
        <v>2026</v>
      </c>
      <c r="B1598" s="2">
        <v>5</v>
      </c>
      <c r="C1598" s="3" t="s">
        <v>66</v>
      </c>
      <c r="D1598" s="4" t="s">
        <v>67</v>
      </c>
      <c r="E1598" s="4" t="s">
        <v>232</v>
      </c>
      <c r="F1598" s="61" t="s">
        <v>232</v>
      </c>
      <c r="G1598" s="4" t="s">
        <v>234</v>
      </c>
      <c r="H1598" s="62">
        <v>3993.5413833167077</v>
      </c>
      <c r="I1598" s="22">
        <v>2500</v>
      </c>
      <c r="K1598" t="s">
        <v>820</v>
      </c>
    </row>
    <row r="1599" spans="1:11" x14ac:dyDescent="0.3">
      <c r="A1599">
        <v>2026</v>
      </c>
      <c r="B1599" s="2">
        <v>5</v>
      </c>
      <c r="C1599" s="3" t="s">
        <v>25</v>
      </c>
      <c r="D1599" s="4" t="s">
        <v>26</v>
      </c>
      <c r="E1599" s="4" t="s">
        <v>232</v>
      </c>
      <c r="F1599" s="61" t="s">
        <v>232</v>
      </c>
      <c r="G1599" s="4" t="s">
        <v>234</v>
      </c>
      <c r="H1599" s="62">
        <v>3586.1499999999996</v>
      </c>
      <c r="I1599" s="22">
        <v>2500</v>
      </c>
      <c r="K1599" t="s">
        <v>819</v>
      </c>
    </row>
    <row r="1600" spans="1:11" x14ac:dyDescent="0.3">
      <c r="A1600">
        <v>2026</v>
      </c>
      <c r="B1600" s="2">
        <v>5</v>
      </c>
      <c r="C1600" s="3" t="s">
        <v>25</v>
      </c>
      <c r="D1600" s="4" t="s">
        <v>67</v>
      </c>
      <c r="E1600" s="4" t="s">
        <v>232</v>
      </c>
      <c r="F1600" s="61" t="s">
        <v>232</v>
      </c>
      <c r="G1600" s="4" t="s">
        <v>234</v>
      </c>
      <c r="H1600" s="62">
        <v>-182</v>
      </c>
      <c r="I1600" s="22"/>
    </row>
    <row r="1601" spans="1:11" x14ac:dyDescent="0.3">
      <c r="A1601">
        <v>2026</v>
      </c>
      <c r="B1601" s="2">
        <v>5</v>
      </c>
      <c r="C1601" s="3" t="s">
        <v>60</v>
      </c>
      <c r="D1601" s="4" t="s">
        <v>28</v>
      </c>
      <c r="E1601" s="4" t="s">
        <v>232</v>
      </c>
      <c r="F1601" s="61" t="s">
        <v>232</v>
      </c>
      <c r="G1601" s="4" t="s">
        <v>234</v>
      </c>
      <c r="H1601" s="62">
        <v>-500</v>
      </c>
      <c r="I1601" s="22">
        <v>2500</v>
      </c>
      <c r="K1601" t="s">
        <v>818</v>
      </c>
    </row>
    <row r="1602" spans="1:11" x14ac:dyDescent="0.3">
      <c r="A1602">
        <v>2026</v>
      </c>
      <c r="B1602" s="2">
        <v>5</v>
      </c>
      <c r="C1602" s="3" t="s">
        <v>27</v>
      </c>
      <c r="D1602" s="4" t="s">
        <v>137</v>
      </c>
      <c r="E1602" s="4" t="s">
        <v>232</v>
      </c>
      <c r="F1602" s="61" t="s">
        <v>232</v>
      </c>
      <c r="G1602" s="4" t="s">
        <v>234</v>
      </c>
      <c r="H1602" s="62">
        <v>1542.8571428571429</v>
      </c>
      <c r="I1602" s="22">
        <v>2500</v>
      </c>
      <c r="K1602" t="s">
        <v>817</v>
      </c>
    </row>
    <row r="1603" spans="1:11" x14ac:dyDescent="0.3">
      <c r="A1603">
        <v>2026</v>
      </c>
      <c r="B1603" s="2">
        <v>5</v>
      </c>
      <c r="C1603" s="3" t="s">
        <v>9</v>
      </c>
      <c r="D1603" s="4" t="s">
        <v>10</v>
      </c>
      <c r="E1603" s="4" t="s">
        <v>232</v>
      </c>
      <c r="F1603" s="61" t="s">
        <v>232</v>
      </c>
      <c r="G1603" s="4" t="s">
        <v>425</v>
      </c>
      <c r="H1603" s="62">
        <v>1638.8571428571427</v>
      </c>
      <c r="I1603" s="22">
        <v>2500</v>
      </c>
      <c r="K1603" t="s">
        <v>816</v>
      </c>
    </row>
    <row r="1604" spans="1:11" x14ac:dyDescent="0.3">
      <c r="A1604">
        <v>2026</v>
      </c>
      <c r="B1604" s="2">
        <v>5</v>
      </c>
      <c r="C1604" s="3" t="s">
        <v>70</v>
      </c>
      <c r="D1604" s="4" t="s">
        <v>71</v>
      </c>
      <c r="E1604" s="4" t="s">
        <v>232</v>
      </c>
      <c r="F1604" s="67" t="s">
        <v>291</v>
      </c>
      <c r="G1604" s="4" t="s">
        <v>234</v>
      </c>
      <c r="H1604" s="62">
        <v>0</v>
      </c>
      <c r="I1604" s="22">
        <v>2500</v>
      </c>
    </row>
    <row r="1605" spans="1:11" x14ac:dyDescent="0.3">
      <c r="A1605">
        <v>2026</v>
      </c>
      <c r="B1605" s="2">
        <v>5</v>
      </c>
      <c r="C1605" s="3" t="s">
        <v>29</v>
      </c>
      <c r="D1605" s="4" t="s">
        <v>141</v>
      </c>
      <c r="E1605" s="4" t="s">
        <v>232</v>
      </c>
      <c r="F1605" s="61" t="s">
        <v>232</v>
      </c>
      <c r="G1605" s="4" t="s">
        <v>234</v>
      </c>
      <c r="H1605" s="62">
        <v>4078.8068509169361</v>
      </c>
      <c r="I1605" s="22">
        <v>2500</v>
      </c>
      <c r="K1605" t="s">
        <v>815</v>
      </c>
    </row>
    <row r="1606" spans="1:11" x14ac:dyDescent="0.3">
      <c r="A1606">
        <v>2026</v>
      </c>
      <c r="B1606" s="2">
        <v>5</v>
      </c>
      <c r="C1606" s="3" t="s">
        <v>130</v>
      </c>
      <c r="D1606" s="4" t="s">
        <v>50</v>
      </c>
      <c r="E1606" s="4" t="s">
        <v>232</v>
      </c>
      <c r="F1606" s="61" t="s">
        <v>232</v>
      </c>
      <c r="G1606" s="4" t="s">
        <v>234</v>
      </c>
      <c r="H1606" s="62">
        <v>164.42219121464416</v>
      </c>
      <c r="I1606" s="22">
        <v>2500</v>
      </c>
      <c r="J1606">
        <v>2000</v>
      </c>
    </row>
    <row r="1607" spans="1:11" x14ac:dyDescent="0.3">
      <c r="A1607">
        <v>2026</v>
      </c>
      <c r="B1607" s="2">
        <v>5</v>
      </c>
      <c r="C1607" s="3" t="s">
        <v>109</v>
      </c>
      <c r="D1607" s="4" t="s">
        <v>142</v>
      </c>
      <c r="E1607" s="4" t="s">
        <v>232</v>
      </c>
      <c r="F1607" s="61" t="s">
        <v>232</v>
      </c>
      <c r="G1607" s="4" t="s">
        <v>425</v>
      </c>
      <c r="H1607" s="62">
        <v>800</v>
      </c>
      <c r="I1607" s="22">
        <v>2500</v>
      </c>
      <c r="K1607" t="s">
        <v>814</v>
      </c>
    </row>
    <row r="1608" spans="1:11" x14ac:dyDescent="0.3">
      <c r="A1608">
        <v>2026</v>
      </c>
      <c r="B1608" s="2">
        <v>5</v>
      </c>
      <c r="C1608" s="3" t="s">
        <v>72</v>
      </c>
      <c r="D1608" s="4" t="s">
        <v>73</v>
      </c>
      <c r="E1608" s="4" t="s">
        <v>241</v>
      </c>
      <c r="F1608" s="61" t="s">
        <v>291</v>
      </c>
      <c r="G1608" s="4" t="s">
        <v>234</v>
      </c>
      <c r="H1608" s="62">
        <v>3200</v>
      </c>
      <c r="I1608" s="22">
        <v>2500</v>
      </c>
      <c r="K1608" t="s">
        <v>813</v>
      </c>
    </row>
    <row r="1609" spans="1:11" x14ac:dyDescent="0.3">
      <c r="A1609">
        <v>2026</v>
      </c>
      <c r="B1609" s="2">
        <v>5</v>
      </c>
      <c r="C1609" s="3" t="s">
        <v>92</v>
      </c>
      <c r="D1609" s="4" t="s">
        <v>30</v>
      </c>
      <c r="E1609" s="4" t="s">
        <v>232</v>
      </c>
      <c r="F1609" s="61" t="s">
        <v>232</v>
      </c>
      <c r="G1609" s="4" t="s">
        <v>234</v>
      </c>
      <c r="H1609" s="62">
        <v>749.11292684763157</v>
      </c>
      <c r="I1609" s="22">
        <v>2500</v>
      </c>
    </row>
    <row r="1610" spans="1:11" x14ac:dyDescent="0.3">
      <c r="A1610">
        <v>2026</v>
      </c>
      <c r="B1610" s="2">
        <v>5</v>
      </c>
      <c r="C1610" s="3" t="s">
        <v>105</v>
      </c>
      <c r="D1610" s="4" t="s">
        <v>106</v>
      </c>
      <c r="E1610" s="4" t="s">
        <v>232</v>
      </c>
      <c r="F1610" s="61" t="s">
        <v>232</v>
      </c>
      <c r="G1610" s="4" t="s">
        <v>425</v>
      </c>
      <c r="H1610" s="62">
        <v>2600</v>
      </c>
      <c r="I1610" s="22">
        <v>2500</v>
      </c>
      <c r="K1610" t="s">
        <v>812</v>
      </c>
    </row>
    <row r="1611" spans="1:11" x14ac:dyDescent="0.3">
      <c r="A1611">
        <v>2026</v>
      </c>
      <c r="B1611" s="2">
        <v>5</v>
      </c>
      <c r="C1611" s="3" t="s">
        <v>31</v>
      </c>
      <c r="D1611" s="4" t="s">
        <v>143</v>
      </c>
      <c r="E1611" s="4" t="s">
        <v>232</v>
      </c>
      <c r="F1611" s="61" t="s">
        <v>232</v>
      </c>
      <c r="G1611" s="4" t="s">
        <v>234</v>
      </c>
      <c r="H1611" s="62">
        <v>3200</v>
      </c>
      <c r="I1611" s="22">
        <v>2500</v>
      </c>
      <c r="K1611" t="s">
        <v>811</v>
      </c>
    </row>
    <row r="1612" spans="1:11" x14ac:dyDescent="0.3">
      <c r="A1612">
        <v>2026</v>
      </c>
      <c r="B1612" s="2">
        <v>5</v>
      </c>
      <c r="C1612" s="3" t="s">
        <v>91</v>
      </c>
      <c r="D1612" s="4" t="s">
        <v>50</v>
      </c>
      <c r="E1612" s="4" t="s">
        <v>232</v>
      </c>
      <c r="F1612" s="61" t="s">
        <v>232</v>
      </c>
      <c r="G1612" s="4" t="s">
        <v>234</v>
      </c>
      <c r="H1612" s="62">
        <v>3626</v>
      </c>
      <c r="I1612" s="22">
        <v>2500</v>
      </c>
      <c r="K1612" t="s">
        <v>809</v>
      </c>
    </row>
    <row r="1613" spans="1:11" x14ac:dyDescent="0.3">
      <c r="A1613">
        <v>2026</v>
      </c>
      <c r="B1613" s="2">
        <v>5</v>
      </c>
      <c r="C1613" s="3" t="s">
        <v>91</v>
      </c>
      <c r="D1613" s="4" t="s">
        <v>144</v>
      </c>
      <c r="E1613" s="4" t="s">
        <v>232</v>
      </c>
      <c r="F1613" s="61" t="s">
        <v>232</v>
      </c>
      <c r="G1613" s="4" t="s">
        <v>234</v>
      </c>
      <c r="H1613" s="62">
        <v>-423.68887190309238</v>
      </c>
      <c r="I1613" s="22"/>
      <c r="K1613" t="s">
        <v>810</v>
      </c>
    </row>
    <row r="1614" spans="1:11" x14ac:dyDescent="0.3">
      <c r="A1614">
        <v>2026</v>
      </c>
      <c r="B1614" s="2">
        <v>5</v>
      </c>
      <c r="C1614" s="3" t="s">
        <v>33</v>
      </c>
      <c r="D1614" s="4" t="s">
        <v>34</v>
      </c>
      <c r="E1614" s="4" t="s">
        <v>232</v>
      </c>
      <c r="F1614" s="61" t="s">
        <v>232</v>
      </c>
      <c r="G1614" s="4" t="s">
        <v>234</v>
      </c>
      <c r="H1614" s="62">
        <v>514.52047771116759</v>
      </c>
      <c r="I1614" s="22">
        <v>2500</v>
      </c>
    </row>
    <row r="1615" spans="1:11" x14ac:dyDescent="0.3">
      <c r="A1615">
        <v>2026</v>
      </c>
      <c r="B1615" s="2">
        <v>5</v>
      </c>
      <c r="C1615" s="3" t="s">
        <v>33</v>
      </c>
      <c r="D1615" s="4" t="s">
        <v>56</v>
      </c>
      <c r="E1615" s="4" t="s">
        <v>241</v>
      </c>
      <c r="F1615" s="61" t="s">
        <v>291</v>
      </c>
      <c r="G1615" s="4" t="s">
        <v>234</v>
      </c>
      <c r="H1615" s="62">
        <v>-327.87952228883205</v>
      </c>
      <c r="I1615" s="22"/>
      <c r="K1615" t="s">
        <v>808</v>
      </c>
    </row>
    <row r="1616" spans="1:11" x14ac:dyDescent="0.3">
      <c r="A1616">
        <v>2026</v>
      </c>
      <c r="B1616" s="2">
        <v>5</v>
      </c>
      <c r="C1616" s="3" t="s">
        <v>35</v>
      </c>
      <c r="D1616" s="4" t="s">
        <v>36</v>
      </c>
      <c r="E1616" s="4" t="s">
        <v>232</v>
      </c>
      <c r="F1616" s="61" t="s">
        <v>232</v>
      </c>
      <c r="G1616" s="4" t="s">
        <v>234</v>
      </c>
      <c r="H1616" s="62">
        <v>2500</v>
      </c>
      <c r="I1616" s="22">
        <v>2500</v>
      </c>
      <c r="K1616" t="s">
        <v>807</v>
      </c>
    </row>
    <row r="1617" spans="1:11" x14ac:dyDescent="0.3">
      <c r="A1617">
        <v>2026</v>
      </c>
      <c r="B1617" s="2">
        <v>5</v>
      </c>
      <c r="C1617" s="3" t="s">
        <v>61</v>
      </c>
      <c r="D1617" s="4" t="s">
        <v>34</v>
      </c>
      <c r="E1617" s="4" t="s">
        <v>232</v>
      </c>
      <c r="F1617" s="61" t="s">
        <v>232</v>
      </c>
      <c r="G1617" s="4" t="s">
        <v>234</v>
      </c>
      <c r="H1617" s="62">
        <v>-250</v>
      </c>
      <c r="I1617" s="22">
        <v>2500</v>
      </c>
      <c r="K1617" t="s">
        <v>838</v>
      </c>
    </row>
    <row r="1618" spans="1:11" x14ac:dyDescent="0.3">
      <c r="A1618">
        <v>2026</v>
      </c>
      <c r="B1618" s="2">
        <v>5</v>
      </c>
      <c r="C1618" s="3" t="s">
        <v>114</v>
      </c>
      <c r="D1618" s="4" t="s">
        <v>46</v>
      </c>
      <c r="E1618" s="4" t="s">
        <v>232</v>
      </c>
      <c r="F1618" s="61" t="s">
        <v>232</v>
      </c>
      <c r="G1618" s="4" t="s">
        <v>234</v>
      </c>
      <c r="H1618" s="62">
        <v>3501.96</v>
      </c>
      <c r="I1618" s="22">
        <v>2500</v>
      </c>
      <c r="K1618" t="s">
        <v>806</v>
      </c>
    </row>
    <row r="1619" spans="1:11" x14ac:dyDescent="0.3">
      <c r="A1619">
        <v>2026</v>
      </c>
      <c r="B1619" s="2">
        <v>5</v>
      </c>
      <c r="C1619" s="3" t="s">
        <v>43</v>
      </c>
      <c r="D1619" s="4" t="s">
        <v>765</v>
      </c>
      <c r="E1619" s="4" t="s">
        <v>232</v>
      </c>
      <c r="F1619" s="61" t="s">
        <v>232</v>
      </c>
      <c r="G1619" s="4" t="s">
        <v>234</v>
      </c>
      <c r="H1619" s="62">
        <v>2606.3599999999997</v>
      </c>
      <c r="I1619" s="22">
        <v>2500</v>
      </c>
      <c r="K1619" t="s">
        <v>805</v>
      </c>
    </row>
    <row r="1620" spans="1:11" x14ac:dyDescent="0.3">
      <c r="A1620">
        <v>2026</v>
      </c>
      <c r="B1620" s="2">
        <v>5</v>
      </c>
      <c r="C1620" s="3" t="s">
        <v>84</v>
      </c>
      <c r="D1620" s="4" t="s">
        <v>146</v>
      </c>
      <c r="E1620" s="4" t="s">
        <v>232</v>
      </c>
      <c r="F1620" s="61" t="s">
        <v>232</v>
      </c>
      <c r="G1620" s="4" t="s">
        <v>234</v>
      </c>
      <c r="H1620" s="62">
        <v>3200</v>
      </c>
      <c r="I1620" s="22">
        <v>2500</v>
      </c>
      <c r="K1620" t="s">
        <v>804</v>
      </c>
    </row>
    <row r="1621" spans="1:11" x14ac:dyDescent="0.3">
      <c r="A1621">
        <v>2026</v>
      </c>
      <c r="B1621" s="2">
        <v>5</v>
      </c>
      <c r="C1621" s="3" t="s">
        <v>89</v>
      </c>
      <c r="D1621" s="4" t="s">
        <v>4</v>
      </c>
      <c r="E1621" s="4" t="s">
        <v>232</v>
      </c>
      <c r="F1621" s="61" t="s">
        <v>232</v>
      </c>
      <c r="G1621" s="4" t="s">
        <v>234</v>
      </c>
      <c r="H1621" s="62">
        <v>2999.015753747798</v>
      </c>
      <c r="I1621" s="22">
        <v>2500</v>
      </c>
      <c r="K1621" t="s">
        <v>803</v>
      </c>
    </row>
    <row r="1622" spans="1:11" x14ac:dyDescent="0.3">
      <c r="A1622">
        <v>2026</v>
      </c>
      <c r="B1622" s="2">
        <v>5</v>
      </c>
      <c r="C1622" s="3" t="s">
        <v>119</v>
      </c>
      <c r="D1622" s="4" t="s">
        <v>97</v>
      </c>
      <c r="E1622" s="4" t="s">
        <v>232</v>
      </c>
      <c r="F1622" s="61" t="s">
        <v>232</v>
      </c>
      <c r="G1622" s="4" t="s">
        <v>234</v>
      </c>
      <c r="H1622" s="62">
        <v>3693</v>
      </c>
      <c r="I1622" s="22">
        <v>2500</v>
      </c>
      <c r="K1622" t="s">
        <v>802</v>
      </c>
    </row>
    <row r="1623" spans="1:11" x14ac:dyDescent="0.3">
      <c r="A1623">
        <v>2026</v>
      </c>
      <c r="B1623" s="2">
        <v>5</v>
      </c>
      <c r="C1623" s="3" t="s">
        <v>123</v>
      </c>
      <c r="D1623" s="4" t="s">
        <v>59</v>
      </c>
      <c r="E1623" s="4" t="s">
        <v>232</v>
      </c>
      <c r="F1623" s="61" t="s">
        <v>232</v>
      </c>
      <c r="G1623" s="4" t="s">
        <v>234</v>
      </c>
      <c r="H1623" s="62">
        <v>3000.063887065623</v>
      </c>
      <c r="I1623" s="22">
        <v>2500</v>
      </c>
      <c r="K1623" t="s">
        <v>801</v>
      </c>
    </row>
    <row r="1624" spans="1:11" x14ac:dyDescent="0.3">
      <c r="A1624">
        <v>2026</v>
      </c>
      <c r="B1624" s="2">
        <v>5</v>
      </c>
      <c r="C1624" s="3" t="s">
        <v>5</v>
      </c>
      <c r="D1624" s="4" t="s">
        <v>6</v>
      </c>
      <c r="E1624" s="4" t="s">
        <v>232</v>
      </c>
      <c r="F1624" s="61" t="s">
        <v>232</v>
      </c>
      <c r="G1624" s="4" t="s">
        <v>425</v>
      </c>
      <c r="H1624" s="62">
        <v>2393</v>
      </c>
      <c r="I1624" s="22">
        <v>2500</v>
      </c>
      <c r="K1624" t="s">
        <v>800</v>
      </c>
    </row>
    <row r="1625" spans="1:11" x14ac:dyDescent="0.3">
      <c r="A1625">
        <v>2026</v>
      </c>
      <c r="B1625" s="2">
        <v>5</v>
      </c>
      <c r="C1625" s="3" t="s">
        <v>5</v>
      </c>
      <c r="D1625" s="4" t="s">
        <v>42</v>
      </c>
      <c r="E1625" s="4" t="s">
        <v>232</v>
      </c>
      <c r="F1625" s="61" t="s">
        <v>232</v>
      </c>
      <c r="G1625" s="4" t="s">
        <v>425</v>
      </c>
      <c r="H1625" s="62">
        <v>500</v>
      </c>
      <c r="I1625" s="22"/>
      <c r="K1625" t="s">
        <v>410</v>
      </c>
    </row>
    <row r="1626" spans="1:11" x14ac:dyDescent="0.3">
      <c r="A1626">
        <v>2026</v>
      </c>
      <c r="B1626" s="2">
        <v>5</v>
      </c>
      <c r="C1626" s="3" t="s">
        <v>47</v>
      </c>
      <c r="D1626" s="4" t="s">
        <v>147</v>
      </c>
      <c r="E1626" s="4" t="s">
        <v>232</v>
      </c>
      <c r="F1626" s="61" t="s">
        <v>232</v>
      </c>
      <c r="G1626" s="4" t="s">
        <v>234</v>
      </c>
      <c r="H1626" s="62">
        <v>2700</v>
      </c>
      <c r="I1626" s="22">
        <v>2500</v>
      </c>
      <c r="K1626" t="s">
        <v>799</v>
      </c>
    </row>
    <row r="1627" spans="1:11" x14ac:dyDescent="0.3">
      <c r="A1627">
        <v>2026</v>
      </c>
      <c r="B1627" s="2">
        <v>5</v>
      </c>
      <c r="C1627" s="3" t="s">
        <v>49</v>
      </c>
      <c r="D1627" s="4" t="s">
        <v>96</v>
      </c>
      <c r="E1627" s="4" t="s">
        <v>232</v>
      </c>
      <c r="F1627" s="61" t="s">
        <v>232</v>
      </c>
      <c r="G1627" s="4" t="s">
        <v>234</v>
      </c>
      <c r="H1627" s="62">
        <v>2500</v>
      </c>
      <c r="I1627" s="22">
        <v>2500</v>
      </c>
      <c r="K1627" t="s">
        <v>797</v>
      </c>
    </row>
    <row r="1628" spans="1:11" x14ac:dyDescent="0.3">
      <c r="A1628">
        <v>2026</v>
      </c>
      <c r="B1628" s="2">
        <v>5</v>
      </c>
      <c r="C1628" s="3" t="s">
        <v>49</v>
      </c>
      <c r="D1628" s="4" t="s">
        <v>104</v>
      </c>
      <c r="E1628" s="4" t="s">
        <v>232</v>
      </c>
      <c r="F1628" s="61" t="s">
        <v>232</v>
      </c>
      <c r="G1628" s="4" t="s">
        <v>234</v>
      </c>
      <c r="H1628" s="62">
        <v>700</v>
      </c>
      <c r="I1628" s="22"/>
      <c r="K1628" t="s">
        <v>798</v>
      </c>
    </row>
    <row r="1629" spans="1:11" x14ac:dyDescent="0.3">
      <c r="A1629">
        <v>2026</v>
      </c>
      <c r="B1629" s="2">
        <v>5</v>
      </c>
      <c r="C1629" s="3" t="s">
        <v>115</v>
      </c>
      <c r="D1629" s="4" t="s">
        <v>116</v>
      </c>
      <c r="E1629" s="4" t="s">
        <v>291</v>
      </c>
      <c r="F1629" s="61" t="s">
        <v>291</v>
      </c>
      <c r="G1629" s="4" t="s">
        <v>234</v>
      </c>
      <c r="H1629" s="62">
        <v>358.0738863748752</v>
      </c>
      <c r="I1629" s="22">
        <v>2500</v>
      </c>
      <c r="K1629" t="s">
        <v>796</v>
      </c>
    </row>
    <row r="1630" spans="1:11" x14ac:dyDescent="0.3">
      <c r="A1630">
        <v>2026</v>
      </c>
      <c r="B1630" s="2">
        <v>5</v>
      </c>
      <c r="C1630" s="3" t="s">
        <v>115</v>
      </c>
      <c r="D1630" s="4" t="s">
        <v>42</v>
      </c>
      <c r="E1630" s="4" t="s">
        <v>232</v>
      </c>
      <c r="F1630" s="61" t="s">
        <v>232</v>
      </c>
      <c r="G1630" s="4" t="s">
        <v>234</v>
      </c>
      <c r="H1630" s="62">
        <v>2642.8571428571431</v>
      </c>
      <c r="I1630" s="22"/>
      <c r="K1630" t="s">
        <v>796</v>
      </c>
    </row>
    <row r="1631" spans="1:11" x14ac:dyDescent="0.3">
      <c r="A1631">
        <v>2026</v>
      </c>
      <c r="B1631" s="2">
        <v>5</v>
      </c>
      <c r="C1631" s="3" t="s">
        <v>74</v>
      </c>
      <c r="D1631" s="4" t="s">
        <v>77</v>
      </c>
      <c r="E1631" s="4" t="s">
        <v>232</v>
      </c>
      <c r="F1631" s="61" t="s">
        <v>232</v>
      </c>
      <c r="G1631" s="4" t="s">
        <v>234</v>
      </c>
      <c r="H1631" s="62">
        <v>1738.2599999999998</v>
      </c>
      <c r="I1631" s="22">
        <v>2500</v>
      </c>
      <c r="K1631" t="s">
        <v>795</v>
      </c>
    </row>
    <row r="1632" spans="1:11" x14ac:dyDescent="0.3">
      <c r="A1632">
        <v>2026</v>
      </c>
      <c r="B1632" s="2">
        <v>5</v>
      </c>
      <c r="C1632" s="3" t="s">
        <v>132</v>
      </c>
      <c r="D1632" s="4" t="s">
        <v>54</v>
      </c>
      <c r="E1632" s="4" t="s">
        <v>232</v>
      </c>
      <c r="F1632" s="61" t="s">
        <v>232</v>
      </c>
      <c r="G1632" s="4" t="s">
        <v>234</v>
      </c>
      <c r="H1632" s="62">
        <v>642.14285714285711</v>
      </c>
      <c r="I1632" s="22">
        <v>2500</v>
      </c>
      <c r="K1632" t="s">
        <v>837</v>
      </c>
    </row>
    <row r="1633" spans="1:11" x14ac:dyDescent="0.3">
      <c r="A1633">
        <v>2026</v>
      </c>
      <c r="B1633" s="2">
        <v>5</v>
      </c>
      <c r="C1633" s="3" t="s">
        <v>51</v>
      </c>
      <c r="D1633" s="4" t="s">
        <v>52</v>
      </c>
      <c r="E1633" s="4" t="s">
        <v>232</v>
      </c>
      <c r="F1633" s="61" t="s">
        <v>232</v>
      </c>
      <c r="G1633" s="4" t="s">
        <v>234</v>
      </c>
      <c r="H1633" s="62">
        <v>3200</v>
      </c>
      <c r="I1633" s="22">
        <v>2500</v>
      </c>
      <c r="K1633" t="s">
        <v>794</v>
      </c>
    </row>
    <row r="1634" spans="1:11" x14ac:dyDescent="0.3">
      <c r="A1634">
        <v>2026</v>
      </c>
      <c r="B1634" s="2">
        <v>5</v>
      </c>
      <c r="C1634" s="3" t="s">
        <v>131</v>
      </c>
      <c r="D1634" s="4" t="s">
        <v>116</v>
      </c>
      <c r="E1634" s="4" t="s">
        <v>291</v>
      </c>
      <c r="F1634" s="61" t="s">
        <v>291</v>
      </c>
      <c r="G1634" s="4" t="s">
        <v>234</v>
      </c>
      <c r="H1634" s="62">
        <v>517.85714285714289</v>
      </c>
      <c r="I1634" s="22">
        <v>2500</v>
      </c>
      <c r="J1634">
        <v>2000</v>
      </c>
      <c r="K1634" t="s">
        <v>836</v>
      </c>
    </row>
    <row r="1635" spans="1:11" x14ac:dyDescent="0.3">
      <c r="A1635">
        <v>2026</v>
      </c>
      <c r="B1635" s="2">
        <v>5</v>
      </c>
      <c r="C1635" s="3" t="s">
        <v>78</v>
      </c>
      <c r="D1635" s="4" t="s">
        <v>79</v>
      </c>
      <c r="E1635" s="4" t="s">
        <v>291</v>
      </c>
      <c r="F1635" s="61" t="s">
        <v>291</v>
      </c>
      <c r="G1635" s="4" t="s">
        <v>234</v>
      </c>
      <c r="H1635" s="62">
        <v>-50.695820459723109</v>
      </c>
      <c r="I1635" s="22">
        <v>2500</v>
      </c>
      <c r="K1635" t="s">
        <v>793</v>
      </c>
    </row>
    <row r="1636" spans="1:11" x14ac:dyDescent="0.3">
      <c r="A1636">
        <v>2026</v>
      </c>
      <c r="B1636" s="2">
        <v>5</v>
      </c>
      <c r="C1636" s="3" t="s">
        <v>107</v>
      </c>
      <c r="D1636" s="4" t="s">
        <v>50</v>
      </c>
      <c r="E1636" s="4" t="s">
        <v>232</v>
      </c>
      <c r="F1636" s="61" t="s">
        <v>232</v>
      </c>
      <c r="G1636" s="4" t="s">
        <v>234</v>
      </c>
      <c r="H1636" s="62">
        <v>365.28571428571422</v>
      </c>
      <c r="I1636" s="22">
        <v>2500</v>
      </c>
      <c r="K1636" t="s">
        <v>791</v>
      </c>
    </row>
    <row r="1637" spans="1:11" x14ac:dyDescent="0.3">
      <c r="A1637">
        <v>2026</v>
      </c>
      <c r="B1637" s="2">
        <v>5</v>
      </c>
      <c r="C1637" s="3" t="s">
        <v>107</v>
      </c>
      <c r="D1637" s="4" t="s">
        <v>148</v>
      </c>
      <c r="E1637" s="4" t="s">
        <v>232</v>
      </c>
      <c r="F1637" s="61" t="s">
        <v>232</v>
      </c>
      <c r="G1637" s="4" t="s">
        <v>234</v>
      </c>
      <c r="H1637" s="62">
        <v>2598.5714285714284</v>
      </c>
      <c r="I1637" s="22"/>
      <c r="K1637" t="s">
        <v>792</v>
      </c>
    </row>
    <row r="1638" spans="1:11" x14ac:dyDescent="0.3">
      <c r="A1638">
        <v>2026</v>
      </c>
      <c r="B1638" s="2">
        <v>5</v>
      </c>
      <c r="C1638" s="3" t="s">
        <v>76</v>
      </c>
      <c r="D1638" s="4" t="s">
        <v>8</v>
      </c>
      <c r="E1638" s="4" t="s">
        <v>232</v>
      </c>
      <c r="F1638" s="61" t="s">
        <v>232</v>
      </c>
      <c r="G1638" s="4" t="s">
        <v>234</v>
      </c>
      <c r="H1638" s="62">
        <v>0</v>
      </c>
      <c r="I1638" s="22">
        <v>2500</v>
      </c>
      <c r="K1638" t="s">
        <v>790</v>
      </c>
    </row>
    <row r="1639" spans="1:11" x14ac:dyDescent="0.3">
      <c r="A1639">
        <v>2026</v>
      </c>
      <c r="B1639" s="2">
        <v>5</v>
      </c>
      <c r="C1639" s="3" t="s">
        <v>87</v>
      </c>
      <c r="D1639" s="4" t="s">
        <v>83</v>
      </c>
      <c r="E1639" s="4" t="s">
        <v>232</v>
      </c>
      <c r="F1639" s="61" t="s">
        <v>232</v>
      </c>
      <c r="G1639" s="4" t="s">
        <v>234</v>
      </c>
      <c r="H1639" s="62">
        <v>3613.96</v>
      </c>
      <c r="I1639" s="22">
        <v>2500</v>
      </c>
      <c r="K1639" t="s">
        <v>789</v>
      </c>
    </row>
    <row r="1640" spans="1:11" x14ac:dyDescent="0.3">
      <c r="A1640">
        <v>2026</v>
      </c>
      <c r="B1640" s="2">
        <v>5</v>
      </c>
      <c r="C1640" s="3" t="s">
        <v>117</v>
      </c>
      <c r="D1640" s="4" t="s">
        <v>118</v>
      </c>
      <c r="E1640" s="4" t="s">
        <v>232</v>
      </c>
      <c r="F1640" s="61" t="s">
        <v>232</v>
      </c>
      <c r="G1640" s="4" t="s">
        <v>234</v>
      </c>
      <c r="H1640" s="62">
        <v>2999.8067270647116</v>
      </c>
      <c r="I1640" s="22">
        <v>2500</v>
      </c>
      <c r="K1640" t="s">
        <v>788</v>
      </c>
    </row>
    <row r="1641" spans="1:11" x14ac:dyDescent="0.3">
      <c r="A1641">
        <v>2026</v>
      </c>
      <c r="B1641" s="2">
        <v>5</v>
      </c>
      <c r="C1641" s="3" t="s">
        <v>98</v>
      </c>
      <c r="D1641" s="4" t="s">
        <v>112</v>
      </c>
      <c r="E1641" s="4" t="s">
        <v>232</v>
      </c>
      <c r="F1641" s="61" t="s">
        <v>232</v>
      </c>
      <c r="G1641" s="4" t="s">
        <v>234</v>
      </c>
      <c r="H1641" s="62">
        <v>2500</v>
      </c>
      <c r="I1641" s="22">
        <v>2500</v>
      </c>
      <c r="K1641" t="s">
        <v>787</v>
      </c>
    </row>
    <row r="1642" spans="1:11" x14ac:dyDescent="0.3">
      <c r="A1642">
        <v>2026</v>
      </c>
      <c r="B1642" s="2">
        <v>5</v>
      </c>
      <c r="C1642" s="3" t="s">
        <v>98</v>
      </c>
      <c r="D1642" s="4" t="s">
        <v>42</v>
      </c>
      <c r="E1642" s="4" t="s">
        <v>232</v>
      </c>
      <c r="F1642" s="61" t="s">
        <v>232</v>
      </c>
      <c r="G1642" s="4" t="s">
        <v>234</v>
      </c>
      <c r="H1642" s="62">
        <v>0</v>
      </c>
      <c r="I1642" s="22"/>
    </row>
    <row r="1643" spans="1:11" x14ac:dyDescent="0.3">
      <c r="A1643">
        <v>2026</v>
      </c>
      <c r="B1643" s="2">
        <v>6</v>
      </c>
      <c r="C1643" s="3" t="s">
        <v>150</v>
      </c>
      <c r="D1643" s="4" t="s">
        <v>104</v>
      </c>
      <c r="E1643" s="4" t="s">
        <v>364</v>
      </c>
      <c r="F1643" s="61" t="s">
        <v>232</v>
      </c>
      <c r="G1643" s="4" t="s">
        <v>425</v>
      </c>
      <c r="H1643" s="62">
        <v>3000</v>
      </c>
      <c r="I1643" s="22">
        <v>2500</v>
      </c>
      <c r="K1643" t="s">
        <v>875</v>
      </c>
    </row>
    <row r="1644" spans="1:11" x14ac:dyDescent="0.3">
      <c r="A1644">
        <v>2026</v>
      </c>
      <c r="B1644" s="2">
        <v>6</v>
      </c>
      <c r="C1644" s="3" t="s">
        <v>11</v>
      </c>
      <c r="D1644" s="4" t="s">
        <v>12</v>
      </c>
      <c r="E1644" s="4" t="s">
        <v>232</v>
      </c>
      <c r="F1644" s="61" t="s">
        <v>232</v>
      </c>
      <c r="G1644" s="4" t="s">
        <v>234</v>
      </c>
      <c r="H1644" s="62">
        <v>2700</v>
      </c>
      <c r="I1644" s="22">
        <v>2500</v>
      </c>
    </row>
    <row r="1645" spans="1:11" x14ac:dyDescent="0.3">
      <c r="A1645">
        <v>2026</v>
      </c>
      <c r="B1645" s="2">
        <v>6</v>
      </c>
      <c r="C1645" s="3" t="s">
        <v>80</v>
      </c>
      <c r="D1645" s="4" t="s">
        <v>81</v>
      </c>
      <c r="E1645" s="4" t="s">
        <v>232</v>
      </c>
      <c r="F1645" s="61" t="s">
        <v>232</v>
      </c>
      <c r="G1645" s="4" t="s">
        <v>234</v>
      </c>
      <c r="H1645" s="62">
        <v>2500</v>
      </c>
      <c r="I1645" s="22">
        <v>2500</v>
      </c>
      <c r="K1645" t="s">
        <v>847</v>
      </c>
    </row>
    <row r="1646" spans="1:11" x14ac:dyDescent="0.3">
      <c r="A1646">
        <v>2026</v>
      </c>
      <c r="B1646" s="2">
        <v>6</v>
      </c>
      <c r="C1646" s="3" t="s">
        <v>13</v>
      </c>
      <c r="D1646" s="4" t="s">
        <v>14</v>
      </c>
      <c r="E1646" s="4" t="s">
        <v>232</v>
      </c>
      <c r="F1646" s="61" t="s">
        <v>232</v>
      </c>
      <c r="G1646" s="4" t="s">
        <v>234</v>
      </c>
      <c r="H1646" s="62">
        <v>2700</v>
      </c>
      <c r="I1646" s="22">
        <v>2500</v>
      </c>
    </row>
    <row r="1647" spans="1:11" x14ac:dyDescent="0.3">
      <c r="A1647">
        <v>2026</v>
      </c>
      <c r="B1647" s="2">
        <v>6</v>
      </c>
      <c r="C1647" s="3" t="s">
        <v>120</v>
      </c>
      <c r="D1647" s="4" t="s">
        <v>44</v>
      </c>
      <c r="E1647" s="4" t="s">
        <v>232</v>
      </c>
      <c r="F1647" s="61" t="s">
        <v>232</v>
      </c>
      <c r="G1647" s="4" t="s">
        <v>234</v>
      </c>
      <c r="H1647" s="62">
        <v>179.42857142857142</v>
      </c>
      <c r="I1647" s="22">
        <v>2500</v>
      </c>
      <c r="K1647" t="s">
        <v>844</v>
      </c>
    </row>
    <row r="1648" spans="1:11" x14ac:dyDescent="0.3">
      <c r="A1648">
        <v>2026</v>
      </c>
      <c r="B1648" s="2">
        <v>6</v>
      </c>
      <c r="C1648" s="3" t="s">
        <v>120</v>
      </c>
      <c r="D1648" s="4" t="s">
        <v>38</v>
      </c>
      <c r="E1648" s="4" t="s">
        <v>232</v>
      </c>
      <c r="F1648" s="61" t="s">
        <v>232</v>
      </c>
      <c r="G1648" s="4" t="s">
        <v>234</v>
      </c>
      <c r="H1648" s="62">
        <v>2821.6514285714284</v>
      </c>
      <c r="I1648" s="22"/>
    </row>
    <row r="1649" spans="1:11" x14ac:dyDescent="0.3">
      <c r="A1649">
        <v>2026</v>
      </c>
      <c r="B1649" s="2">
        <v>6</v>
      </c>
      <c r="C1649" s="3" t="s">
        <v>111</v>
      </c>
      <c r="D1649" s="4" t="s">
        <v>63</v>
      </c>
      <c r="E1649" s="4" t="s">
        <v>291</v>
      </c>
      <c r="F1649" s="61" t="s">
        <v>291</v>
      </c>
      <c r="G1649" s="4" t="s">
        <v>234</v>
      </c>
      <c r="H1649" s="62">
        <v>2500</v>
      </c>
      <c r="I1649" s="22">
        <v>2500</v>
      </c>
    </row>
    <row r="1650" spans="1:11" x14ac:dyDescent="0.3">
      <c r="A1650">
        <v>2026</v>
      </c>
      <c r="B1650" s="2">
        <v>6</v>
      </c>
      <c r="C1650" s="3" t="s">
        <v>121</v>
      </c>
      <c r="D1650" s="4" t="s">
        <v>122</v>
      </c>
      <c r="E1650" s="4" t="s">
        <v>232</v>
      </c>
      <c r="F1650" s="61" t="s">
        <v>232</v>
      </c>
      <c r="G1650" s="4" t="s">
        <v>234</v>
      </c>
      <c r="H1650" s="62">
        <v>3100</v>
      </c>
      <c r="I1650" s="22">
        <v>2500</v>
      </c>
    </row>
    <row r="1651" spans="1:11" x14ac:dyDescent="0.3">
      <c r="A1651">
        <v>2026</v>
      </c>
      <c r="B1651" s="2">
        <v>6</v>
      </c>
      <c r="C1651" s="3" t="s">
        <v>17</v>
      </c>
      <c r="D1651" s="4" t="s">
        <v>18</v>
      </c>
      <c r="E1651" s="4" t="s">
        <v>232</v>
      </c>
      <c r="F1651" s="61" t="s">
        <v>232</v>
      </c>
      <c r="G1651" s="4" t="s">
        <v>234</v>
      </c>
      <c r="H1651" s="62">
        <v>3448.48</v>
      </c>
      <c r="I1651" s="22">
        <v>2500</v>
      </c>
      <c r="K1651" t="s">
        <v>848</v>
      </c>
    </row>
    <row r="1652" spans="1:11" x14ac:dyDescent="0.3">
      <c r="A1652">
        <v>2026</v>
      </c>
      <c r="B1652" s="2">
        <v>6</v>
      </c>
      <c r="C1652" s="3" t="s">
        <v>19</v>
      </c>
      <c r="D1652" s="4" t="s">
        <v>20</v>
      </c>
      <c r="E1652" s="4" t="s">
        <v>232</v>
      </c>
      <c r="F1652" s="61" t="s">
        <v>232</v>
      </c>
      <c r="G1652" s="4" t="s">
        <v>234</v>
      </c>
      <c r="H1652" s="62">
        <v>2500</v>
      </c>
      <c r="I1652" s="22">
        <v>2500</v>
      </c>
    </row>
    <row r="1653" spans="1:11" x14ac:dyDescent="0.3">
      <c r="A1653">
        <v>2026</v>
      </c>
      <c r="B1653" s="2">
        <v>6</v>
      </c>
      <c r="C1653" s="3" t="s">
        <v>128</v>
      </c>
      <c r="D1653" s="4" t="s">
        <v>69</v>
      </c>
      <c r="E1653" s="4" t="s">
        <v>241</v>
      </c>
      <c r="F1653" s="61" t="s">
        <v>291</v>
      </c>
      <c r="G1653" s="4" t="s">
        <v>234</v>
      </c>
      <c r="H1653" s="62">
        <v>1928.5714285714287</v>
      </c>
      <c r="I1653" s="22">
        <v>2500</v>
      </c>
    </row>
    <row r="1654" spans="1:11" x14ac:dyDescent="0.3">
      <c r="A1654">
        <v>2026</v>
      </c>
      <c r="B1654" s="2">
        <v>6</v>
      </c>
      <c r="C1654" s="3" t="s">
        <v>128</v>
      </c>
      <c r="D1654" s="4" t="s">
        <v>44</v>
      </c>
      <c r="E1654" s="4" t="s">
        <v>232</v>
      </c>
      <c r="F1654" s="61" t="s">
        <v>232</v>
      </c>
      <c r="G1654" s="4" t="s">
        <v>234</v>
      </c>
      <c r="H1654" s="62">
        <v>1071.4285714285716</v>
      </c>
      <c r="I1654" s="22"/>
    </row>
    <row r="1655" spans="1:11" x14ac:dyDescent="0.3">
      <c r="A1655">
        <v>2026</v>
      </c>
      <c r="B1655" s="2">
        <v>6</v>
      </c>
      <c r="C1655" s="3" t="s">
        <v>21</v>
      </c>
      <c r="D1655" s="4" t="s">
        <v>22</v>
      </c>
      <c r="E1655" s="4" t="s">
        <v>232</v>
      </c>
      <c r="F1655" s="61" t="s">
        <v>232</v>
      </c>
      <c r="G1655" s="4" t="s">
        <v>234</v>
      </c>
      <c r="H1655" s="62">
        <v>3458.2599999999993</v>
      </c>
      <c r="I1655" s="22">
        <v>2500</v>
      </c>
      <c r="K1655" t="s">
        <v>849</v>
      </c>
    </row>
    <row r="1656" spans="1:11" x14ac:dyDescent="0.3">
      <c r="A1656">
        <v>2026</v>
      </c>
      <c r="B1656" s="2">
        <v>6</v>
      </c>
      <c r="C1656" s="3" t="s">
        <v>134</v>
      </c>
      <c r="D1656" s="4" t="s">
        <v>52</v>
      </c>
      <c r="E1656" s="4" t="s">
        <v>232</v>
      </c>
      <c r="F1656" s="61" t="s">
        <v>232</v>
      </c>
      <c r="G1656" s="4" t="s">
        <v>234</v>
      </c>
      <c r="H1656" s="62">
        <v>5602.7514285714287</v>
      </c>
      <c r="I1656" s="22">
        <v>2500</v>
      </c>
      <c r="K1656" t="s">
        <v>840</v>
      </c>
    </row>
    <row r="1657" spans="1:11" x14ac:dyDescent="0.3">
      <c r="A1657">
        <v>2026</v>
      </c>
      <c r="B1657" s="2">
        <v>6</v>
      </c>
      <c r="C1657" s="3" t="s">
        <v>64</v>
      </c>
      <c r="D1657" s="4" t="s">
        <v>140</v>
      </c>
      <c r="E1657" s="4" t="s">
        <v>232</v>
      </c>
      <c r="F1657" s="61" t="s">
        <v>232</v>
      </c>
      <c r="G1657" s="4" t="s">
        <v>234</v>
      </c>
      <c r="H1657" s="62">
        <v>3200</v>
      </c>
      <c r="I1657" s="22">
        <v>2500</v>
      </c>
    </row>
    <row r="1658" spans="1:11" x14ac:dyDescent="0.3">
      <c r="A1658">
        <v>2026</v>
      </c>
      <c r="B1658" s="2">
        <v>6</v>
      </c>
      <c r="C1658" s="3" t="s">
        <v>90</v>
      </c>
      <c r="D1658" s="4" t="s">
        <v>16</v>
      </c>
      <c r="E1658" s="4" t="s">
        <v>232</v>
      </c>
      <c r="F1658" s="61" t="s">
        <v>232</v>
      </c>
      <c r="G1658" s="4" t="s">
        <v>234</v>
      </c>
      <c r="H1658" s="62">
        <v>3000.6799999999994</v>
      </c>
      <c r="I1658" s="22">
        <v>2500</v>
      </c>
      <c r="K1658" t="s">
        <v>850</v>
      </c>
    </row>
    <row r="1659" spans="1:11" x14ac:dyDescent="0.3">
      <c r="A1659">
        <v>2026</v>
      </c>
      <c r="B1659" s="2">
        <v>6</v>
      </c>
      <c r="C1659" s="3" t="s">
        <v>23</v>
      </c>
      <c r="D1659" s="4" t="s">
        <v>24</v>
      </c>
      <c r="E1659" s="4" t="s">
        <v>232</v>
      </c>
      <c r="F1659" s="61" t="s">
        <v>232</v>
      </c>
      <c r="G1659" s="4" t="s">
        <v>234</v>
      </c>
      <c r="H1659" s="62">
        <v>2060.9200000000033</v>
      </c>
      <c r="I1659" s="22">
        <v>2500</v>
      </c>
      <c r="K1659" t="s">
        <v>851</v>
      </c>
    </row>
    <row r="1660" spans="1:11" x14ac:dyDescent="0.3">
      <c r="A1660">
        <v>2026</v>
      </c>
      <c r="B1660" s="2">
        <v>6</v>
      </c>
      <c r="C1660" s="3" t="s">
        <v>23</v>
      </c>
      <c r="D1660" s="4" t="s">
        <v>22</v>
      </c>
      <c r="E1660" s="4" t="s">
        <v>232</v>
      </c>
      <c r="F1660" s="61" t="s">
        <v>232</v>
      </c>
      <c r="G1660" s="4" t="s">
        <v>234</v>
      </c>
      <c r="H1660" s="62">
        <v>500</v>
      </c>
      <c r="I1660" s="22"/>
    </row>
    <row r="1661" spans="1:11" x14ac:dyDescent="0.3">
      <c r="A1661">
        <v>2026</v>
      </c>
      <c r="B1661" s="2">
        <v>6</v>
      </c>
      <c r="C1661" s="3" t="s">
        <v>108</v>
      </c>
      <c r="D1661" s="4" t="s">
        <v>75</v>
      </c>
      <c r="E1661" s="4" t="s">
        <v>241</v>
      </c>
      <c r="F1661" s="61" t="s">
        <v>291</v>
      </c>
      <c r="G1661" s="4" t="s">
        <v>234</v>
      </c>
      <c r="H1661" s="62">
        <v>3700</v>
      </c>
      <c r="I1661" s="22">
        <v>2500</v>
      </c>
    </row>
    <row r="1662" spans="1:11" x14ac:dyDescent="0.3">
      <c r="A1662">
        <v>2026</v>
      </c>
      <c r="B1662" s="2">
        <v>6</v>
      </c>
      <c r="C1662" s="3" t="s">
        <v>85</v>
      </c>
      <c r="D1662" s="4" t="s">
        <v>86</v>
      </c>
      <c r="E1662" s="4" t="s">
        <v>232</v>
      </c>
      <c r="F1662" s="61" t="s">
        <v>232</v>
      </c>
      <c r="G1662" s="4" t="s">
        <v>234</v>
      </c>
      <c r="H1662" s="62">
        <v>3000.3599999999997</v>
      </c>
      <c r="I1662" s="22">
        <v>2500</v>
      </c>
      <c r="K1662" t="s">
        <v>852</v>
      </c>
    </row>
    <row r="1663" spans="1:11" x14ac:dyDescent="0.3">
      <c r="A1663">
        <v>2026</v>
      </c>
      <c r="B1663" s="2">
        <v>6</v>
      </c>
      <c r="C1663" s="3" t="s">
        <v>66</v>
      </c>
      <c r="D1663" s="4" t="s">
        <v>67</v>
      </c>
      <c r="E1663" s="4" t="s">
        <v>232</v>
      </c>
      <c r="F1663" s="61" t="s">
        <v>232</v>
      </c>
      <c r="G1663" s="4" t="s">
        <v>234</v>
      </c>
      <c r="H1663" s="62">
        <v>30.842857142856843</v>
      </c>
      <c r="I1663" s="22">
        <v>2500</v>
      </c>
      <c r="K1663" t="s">
        <v>841</v>
      </c>
    </row>
    <row r="1664" spans="1:11" x14ac:dyDescent="0.3">
      <c r="A1664">
        <v>2026</v>
      </c>
      <c r="B1664" s="2">
        <v>6</v>
      </c>
      <c r="C1664" s="3" t="s">
        <v>136</v>
      </c>
      <c r="D1664" s="4" t="s">
        <v>56</v>
      </c>
      <c r="E1664" s="4" t="s">
        <v>241</v>
      </c>
      <c r="F1664" s="61" t="s">
        <v>291</v>
      </c>
      <c r="G1664" s="4" t="s">
        <v>234</v>
      </c>
      <c r="H1664" s="62">
        <v>1714.2857142857147</v>
      </c>
      <c r="I1664" s="22">
        <v>2500</v>
      </c>
      <c r="J1664">
        <v>2000</v>
      </c>
      <c r="K1664" t="s">
        <v>845</v>
      </c>
    </row>
    <row r="1665" spans="1:11" x14ac:dyDescent="0.3">
      <c r="A1665">
        <v>2026</v>
      </c>
      <c r="B1665" s="2">
        <v>6</v>
      </c>
      <c r="C1665" s="3" t="s">
        <v>25</v>
      </c>
      <c r="D1665" s="4" t="s">
        <v>26</v>
      </c>
      <c r="E1665" s="4" t="s">
        <v>232</v>
      </c>
      <c r="F1665" s="61" t="s">
        <v>232</v>
      </c>
      <c r="G1665" s="4" t="s">
        <v>234</v>
      </c>
      <c r="H1665" s="62">
        <v>2882.1399999999994</v>
      </c>
      <c r="I1665" s="22">
        <v>2500</v>
      </c>
      <c r="K1665" t="s">
        <v>853</v>
      </c>
    </row>
    <row r="1666" spans="1:11" x14ac:dyDescent="0.3">
      <c r="A1666">
        <v>2026</v>
      </c>
      <c r="B1666" s="2">
        <v>6</v>
      </c>
      <c r="C1666" s="3" t="s">
        <v>25</v>
      </c>
      <c r="D1666" s="4" t="s">
        <v>67</v>
      </c>
      <c r="E1666" s="4" t="s">
        <v>232</v>
      </c>
      <c r="F1666" s="61" t="s">
        <v>232</v>
      </c>
      <c r="G1666" s="4" t="s">
        <v>234</v>
      </c>
      <c r="H1666" s="62">
        <v>0</v>
      </c>
      <c r="I1666" s="22"/>
      <c r="K1666" t="s">
        <v>854</v>
      </c>
    </row>
    <row r="1667" spans="1:11" x14ac:dyDescent="0.3">
      <c r="A1667">
        <v>2026</v>
      </c>
      <c r="B1667" s="2">
        <v>6</v>
      </c>
      <c r="C1667" s="3" t="s">
        <v>27</v>
      </c>
      <c r="D1667" s="4" t="s">
        <v>137</v>
      </c>
      <c r="E1667" s="4" t="s">
        <v>232</v>
      </c>
      <c r="F1667" s="61" t="s">
        <v>232</v>
      </c>
      <c r="G1667" s="4" t="s">
        <v>234</v>
      </c>
      <c r="H1667" s="62">
        <v>0</v>
      </c>
      <c r="I1667" s="22">
        <v>2500</v>
      </c>
      <c r="K1667" t="s">
        <v>855</v>
      </c>
    </row>
    <row r="1668" spans="1:11" x14ac:dyDescent="0.3">
      <c r="A1668">
        <v>2026</v>
      </c>
      <c r="B1668" s="2">
        <v>6</v>
      </c>
      <c r="C1668" s="3" t="s">
        <v>9</v>
      </c>
      <c r="D1668" s="4" t="s">
        <v>10</v>
      </c>
      <c r="E1668" s="4" t="s">
        <v>232</v>
      </c>
      <c r="F1668" s="61" t="s">
        <v>232</v>
      </c>
      <c r="G1668" s="4" t="s">
        <v>425</v>
      </c>
      <c r="H1668" s="62">
        <v>700</v>
      </c>
      <c r="I1668" s="22">
        <v>2500</v>
      </c>
      <c r="K1668" t="s">
        <v>856</v>
      </c>
    </row>
    <row r="1669" spans="1:11" x14ac:dyDescent="0.3">
      <c r="A1669">
        <v>2026</v>
      </c>
      <c r="B1669" s="2">
        <v>6</v>
      </c>
      <c r="C1669" s="3" t="s">
        <v>70</v>
      </c>
      <c r="D1669" s="4" t="s">
        <v>71</v>
      </c>
      <c r="E1669" s="4" t="s">
        <v>232</v>
      </c>
      <c r="F1669" s="68" t="s">
        <v>232</v>
      </c>
      <c r="G1669" s="4" t="s">
        <v>234</v>
      </c>
      <c r="H1669" s="62">
        <v>2444.4399999999996</v>
      </c>
      <c r="I1669" s="22">
        <v>2500</v>
      </c>
    </row>
    <row r="1670" spans="1:11" x14ac:dyDescent="0.3">
      <c r="A1670">
        <v>2026</v>
      </c>
      <c r="B1670" s="2">
        <v>6</v>
      </c>
      <c r="C1670" s="3" t="s">
        <v>70</v>
      </c>
      <c r="D1670" s="4" t="s">
        <v>71</v>
      </c>
      <c r="E1670" s="4" t="s">
        <v>232</v>
      </c>
      <c r="F1670" s="67" t="s">
        <v>291</v>
      </c>
      <c r="G1670" s="4" t="s">
        <v>234</v>
      </c>
      <c r="H1670" s="62">
        <v>0</v>
      </c>
      <c r="I1670" s="22"/>
    </row>
    <row r="1671" spans="1:11" x14ac:dyDescent="0.3">
      <c r="A1671">
        <v>2026</v>
      </c>
      <c r="B1671" s="2">
        <v>6</v>
      </c>
      <c r="C1671" s="3" t="s">
        <v>29</v>
      </c>
      <c r="D1671" s="4" t="s">
        <v>141</v>
      </c>
      <c r="E1671" s="4" t="s">
        <v>232</v>
      </c>
      <c r="F1671" s="61" t="s">
        <v>232</v>
      </c>
      <c r="G1671" s="4" t="s">
        <v>234</v>
      </c>
      <c r="H1671" s="62">
        <v>2485.6400000000003</v>
      </c>
      <c r="I1671" s="22">
        <v>2500</v>
      </c>
      <c r="K1671" t="s">
        <v>857</v>
      </c>
    </row>
    <row r="1672" spans="1:11" x14ac:dyDescent="0.3">
      <c r="A1672">
        <v>2026</v>
      </c>
      <c r="B1672" s="2">
        <v>6</v>
      </c>
      <c r="C1672" s="3" t="s">
        <v>130</v>
      </c>
      <c r="D1672" s="4" t="s">
        <v>50</v>
      </c>
      <c r="E1672" s="4" t="s">
        <v>232</v>
      </c>
      <c r="F1672" s="61" t="s">
        <v>232</v>
      </c>
      <c r="G1672" s="4" t="s">
        <v>234</v>
      </c>
      <c r="H1672" s="62">
        <v>-1194.3000000000002</v>
      </c>
      <c r="I1672" s="22">
        <v>2500</v>
      </c>
      <c r="K1672" t="s">
        <v>841</v>
      </c>
    </row>
    <row r="1673" spans="1:11" x14ac:dyDescent="0.3">
      <c r="A1673">
        <v>2026</v>
      </c>
      <c r="B1673" s="2">
        <v>6</v>
      </c>
      <c r="C1673" s="3" t="s">
        <v>109</v>
      </c>
      <c r="D1673" s="4" t="s">
        <v>142</v>
      </c>
      <c r="E1673" s="4" t="s">
        <v>232</v>
      </c>
      <c r="F1673" s="61" t="s">
        <v>232</v>
      </c>
      <c r="G1673" s="4" t="s">
        <v>425</v>
      </c>
      <c r="H1673" s="62">
        <v>4544</v>
      </c>
      <c r="I1673" s="22">
        <v>2500</v>
      </c>
      <c r="K1673" t="s">
        <v>858</v>
      </c>
    </row>
    <row r="1674" spans="1:11" x14ac:dyDescent="0.3">
      <c r="A1674">
        <v>2026</v>
      </c>
      <c r="B1674" s="2">
        <v>6</v>
      </c>
      <c r="C1674" s="3" t="s">
        <v>72</v>
      </c>
      <c r="D1674" s="4" t="s">
        <v>73</v>
      </c>
      <c r="E1674" s="4" t="s">
        <v>241</v>
      </c>
      <c r="F1674" s="61" t="s">
        <v>291</v>
      </c>
      <c r="G1674" s="4" t="s">
        <v>234</v>
      </c>
      <c r="H1674" s="62">
        <v>2500</v>
      </c>
      <c r="I1674" s="22">
        <v>2500</v>
      </c>
    </row>
    <row r="1675" spans="1:11" x14ac:dyDescent="0.3">
      <c r="A1675">
        <v>2026</v>
      </c>
      <c r="B1675" s="2">
        <v>6</v>
      </c>
      <c r="C1675" s="3" t="s">
        <v>92</v>
      </c>
      <c r="D1675" s="4" t="s">
        <v>30</v>
      </c>
      <c r="E1675" s="4" t="s">
        <v>232</v>
      </c>
      <c r="F1675" s="61" t="s">
        <v>232</v>
      </c>
      <c r="G1675" s="4" t="s">
        <v>234</v>
      </c>
      <c r="H1675" s="62">
        <v>4260</v>
      </c>
      <c r="I1675" s="22">
        <v>2500</v>
      </c>
    </row>
    <row r="1676" spans="1:11" x14ac:dyDescent="0.3">
      <c r="A1676">
        <v>2026</v>
      </c>
      <c r="B1676" s="2">
        <v>6</v>
      </c>
      <c r="C1676" s="3" t="s">
        <v>105</v>
      </c>
      <c r="D1676" s="4" t="s">
        <v>106</v>
      </c>
      <c r="E1676" s="4" t="s">
        <v>232</v>
      </c>
      <c r="F1676" s="61" t="s">
        <v>232</v>
      </c>
      <c r="G1676" s="4" t="s">
        <v>425</v>
      </c>
      <c r="H1676" s="62">
        <v>2500</v>
      </c>
      <c r="I1676" s="22">
        <v>2500</v>
      </c>
      <c r="K1676" t="s">
        <v>847</v>
      </c>
    </row>
    <row r="1677" spans="1:11" x14ac:dyDescent="0.3">
      <c r="A1677">
        <v>2026</v>
      </c>
      <c r="B1677" s="2">
        <v>6</v>
      </c>
      <c r="C1677" s="3" t="s">
        <v>31</v>
      </c>
      <c r="D1677" s="4" t="s">
        <v>143</v>
      </c>
      <c r="E1677" s="4" t="s">
        <v>232</v>
      </c>
      <c r="F1677" s="61" t="s">
        <v>232</v>
      </c>
      <c r="G1677" s="4" t="s">
        <v>234</v>
      </c>
      <c r="H1677" s="62">
        <v>2343</v>
      </c>
      <c r="I1677" s="22">
        <v>2500</v>
      </c>
      <c r="K1677" t="s">
        <v>859</v>
      </c>
    </row>
    <row r="1678" spans="1:11" x14ac:dyDescent="0.3">
      <c r="A1678">
        <v>2026</v>
      </c>
      <c r="B1678" s="2">
        <v>6</v>
      </c>
      <c r="C1678" s="3" t="s">
        <v>91</v>
      </c>
      <c r="D1678" s="4" t="s">
        <v>144</v>
      </c>
      <c r="E1678" s="4" t="s">
        <v>232</v>
      </c>
      <c r="F1678" s="61" t="s">
        <v>232</v>
      </c>
      <c r="G1678" s="4" t="s">
        <v>234</v>
      </c>
      <c r="H1678" s="62">
        <v>3200.12</v>
      </c>
      <c r="I1678" s="22">
        <v>2500</v>
      </c>
      <c r="K1678" t="s">
        <v>860</v>
      </c>
    </row>
    <row r="1679" spans="1:11" x14ac:dyDescent="0.3">
      <c r="A1679">
        <v>2026</v>
      </c>
      <c r="B1679" s="2">
        <v>6</v>
      </c>
      <c r="C1679" s="3" t="s">
        <v>33</v>
      </c>
      <c r="D1679" s="4" t="s">
        <v>67</v>
      </c>
      <c r="E1679" s="4" t="s">
        <v>232</v>
      </c>
      <c r="F1679" s="61" t="s">
        <v>232</v>
      </c>
      <c r="G1679" s="4" t="s">
        <v>234</v>
      </c>
      <c r="H1679" s="62">
        <v>-956.02285714285745</v>
      </c>
      <c r="I1679" s="22">
        <v>2500</v>
      </c>
      <c r="K1679" t="s">
        <v>843</v>
      </c>
    </row>
    <row r="1680" spans="1:11" x14ac:dyDescent="0.3">
      <c r="A1680">
        <v>2026</v>
      </c>
      <c r="B1680" s="2">
        <v>6</v>
      </c>
      <c r="C1680" s="3" t="s">
        <v>33</v>
      </c>
      <c r="D1680" s="4" t="s">
        <v>34</v>
      </c>
      <c r="E1680" s="4" t="s">
        <v>232</v>
      </c>
      <c r="F1680" s="61" t="s">
        <v>232</v>
      </c>
      <c r="G1680" s="4" t="s">
        <v>234</v>
      </c>
      <c r="H1680" s="62">
        <v>107.14285714285711</v>
      </c>
      <c r="I1680" s="22"/>
    </row>
    <row r="1681" spans="1:11" x14ac:dyDescent="0.3">
      <c r="A1681">
        <v>2026</v>
      </c>
      <c r="B1681" s="2">
        <v>6</v>
      </c>
      <c r="C1681" s="3" t="s">
        <v>35</v>
      </c>
      <c r="D1681" s="4" t="s">
        <v>36</v>
      </c>
      <c r="E1681" s="4" t="s">
        <v>232</v>
      </c>
      <c r="F1681" s="61" t="s">
        <v>232</v>
      </c>
      <c r="G1681" s="4" t="s">
        <v>234</v>
      </c>
      <c r="H1681" s="62">
        <v>2500</v>
      </c>
      <c r="I1681" s="22">
        <v>2500</v>
      </c>
    </row>
    <row r="1682" spans="1:11" x14ac:dyDescent="0.3">
      <c r="A1682">
        <v>2026</v>
      </c>
      <c r="B1682" s="2">
        <v>6</v>
      </c>
      <c r="C1682" s="3" t="s">
        <v>37</v>
      </c>
      <c r="D1682" s="4" t="s">
        <v>24</v>
      </c>
      <c r="E1682" s="4" t="s">
        <v>232</v>
      </c>
      <c r="F1682" s="61" t="s">
        <v>232</v>
      </c>
      <c r="G1682" s="4" t="s">
        <v>234</v>
      </c>
      <c r="H1682" s="62">
        <v>1428.5714285714287</v>
      </c>
      <c r="I1682" s="22">
        <v>2500</v>
      </c>
      <c r="K1682" t="s">
        <v>846</v>
      </c>
    </row>
    <row r="1683" spans="1:11" x14ac:dyDescent="0.3">
      <c r="A1683">
        <v>2026</v>
      </c>
      <c r="B1683" s="2">
        <v>6</v>
      </c>
      <c r="C1683" s="3" t="s">
        <v>114</v>
      </c>
      <c r="D1683" s="4" t="s">
        <v>46</v>
      </c>
      <c r="E1683" s="4" t="s">
        <v>232</v>
      </c>
      <c r="F1683" s="61" t="s">
        <v>232</v>
      </c>
      <c r="G1683" s="4" t="s">
        <v>234</v>
      </c>
      <c r="H1683" s="62">
        <v>3000</v>
      </c>
      <c r="I1683" s="22">
        <v>2500</v>
      </c>
      <c r="K1683" t="s">
        <v>861</v>
      </c>
    </row>
    <row r="1684" spans="1:11" x14ac:dyDescent="0.3">
      <c r="A1684">
        <v>2026</v>
      </c>
      <c r="B1684" s="2">
        <v>6</v>
      </c>
      <c r="C1684" s="3" t="s">
        <v>43</v>
      </c>
      <c r="D1684" s="4" t="s">
        <v>765</v>
      </c>
      <c r="E1684" s="4" t="s">
        <v>232</v>
      </c>
      <c r="F1684" s="61" t="s">
        <v>232</v>
      </c>
      <c r="G1684" s="4" t="s">
        <v>234</v>
      </c>
      <c r="H1684" s="62">
        <v>3604.7000000000003</v>
      </c>
      <c r="I1684" s="22">
        <v>2500</v>
      </c>
      <c r="K1684" t="s">
        <v>862</v>
      </c>
    </row>
    <row r="1685" spans="1:11" x14ac:dyDescent="0.3">
      <c r="A1685">
        <v>2026</v>
      </c>
      <c r="B1685" s="2">
        <v>6</v>
      </c>
      <c r="C1685" s="3" t="s">
        <v>84</v>
      </c>
      <c r="D1685" s="4" t="s">
        <v>146</v>
      </c>
      <c r="E1685" s="4" t="s">
        <v>232</v>
      </c>
      <c r="F1685" s="61" t="s">
        <v>232</v>
      </c>
      <c r="G1685" s="4" t="s">
        <v>234</v>
      </c>
      <c r="H1685" s="62">
        <v>3120.5400000000045</v>
      </c>
      <c r="I1685" s="22">
        <v>2500</v>
      </c>
      <c r="K1685" t="s">
        <v>863</v>
      </c>
    </row>
    <row r="1686" spans="1:11" x14ac:dyDescent="0.3">
      <c r="A1686">
        <v>2026</v>
      </c>
      <c r="B1686" s="2">
        <v>6</v>
      </c>
      <c r="C1686" s="3" t="s">
        <v>89</v>
      </c>
      <c r="D1686" s="4" t="s">
        <v>4</v>
      </c>
      <c r="E1686" s="4" t="s">
        <v>232</v>
      </c>
      <c r="F1686" s="61" t="s">
        <v>232</v>
      </c>
      <c r="G1686" s="4" t="s">
        <v>234</v>
      </c>
      <c r="H1686" s="62">
        <v>2999.7199999999984</v>
      </c>
      <c r="I1686" s="22">
        <v>2500</v>
      </c>
      <c r="K1686" t="s">
        <v>864</v>
      </c>
    </row>
    <row r="1687" spans="1:11" x14ac:dyDescent="0.3">
      <c r="A1687">
        <v>2026</v>
      </c>
      <c r="B1687" s="2">
        <v>6</v>
      </c>
      <c r="C1687" s="3" t="s">
        <v>119</v>
      </c>
      <c r="D1687" s="4" t="s">
        <v>97</v>
      </c>
      <c r="E1687" s="4" t="s">
        <v>232</v>
      </c>
      <c r="F1687" s="61" t="s">
        <v>232</v>
      </c>
      <c r="G1687" s="4" t="s">
        <v>234</v>
      </c>
      <c r="H1687" s="62">
        <v>3000</v>
      </c>
      <c r="I1687" s="22">
        <v>2500</v>
      </c>
    </row>
    <row r="1688" spans="1:11" x14ac:dyDescent="0.3">
      <c r="A1688">
        <v>2026</v>
      </c>
      <c r="B1688" s="2">
        <v>6</v>
      </c>
      <c r="C1688" s="3" t="s">
        <v>135</v>
      </c>
      <c r="D1688" s="4" t="s">
        <v>10</v>
      </c>
      <c r="E1688" s="4" t="s">
        <v>232</v>
      </c>
      <c r="F1688" s="61" t="s">
        <v>232</v>
      </c>
      <c r="G1688" s="4" t="s">
        <v>234</v>
      </c>
      <c r="H1688" s="62">
        <v>1928.2885714285699</v>
      </c>
      <c r="I1688" s="22">
        <v>2500</v>
      </c>
      <c r="J1688">
        <v>2000</v>
      </c>
      <c r="K1688" t="s">
        <v>842</v>
      </c>
    </row>
    <row r="1689" spans="1:11" x14ac:dyDescent="0.3">
      <c r="A1689">
        <v>2026</v>
      </c>
      <c r="B1689" s="2">
        <v>6</v>
      </c>
      <c r="C1689" s="3" t="s">
        <v>123</v>
      </c>
      <c r="D1689" s="4" t="s">
        <v>59</v>
      </c>
      <c r="E1689" s="4" t="s">
        <v>232</v>
      </c>
      <c r="F1689" s="61" t="s">
        <v>232</v>
      </c>
      <c r="G1689" s="4" t="s">
        <v>234</v>
      </c>
      <c r="H1689" s="62">
        <v>3000.7599999999984</v>
      </c>
      <c r="I1689" s="22">
        <v>2500</v>
      </c>
      <c r="K1689" t="s">
        <v>865</v>
      </c>
    </row>
    <row r="1690" spans="1:11" x14ac:dyDescent="0.3">
      <c r="A1690">
        <v>2026</v>
      </c>
      <c r="B1690" s="2">
        <v>6</v>
      </c>
      <c r="C1690" s="3" t="s">
        <v>5</v>
      </c>
      <c r="D1690" s="4" t="s">
        <v>6</v>
      </c>
      <c r="E1690" s="4" t="s">
        <v>232</v>
      </c>
      <c r="F1690" s="61" t="s">
        <v>232</v>
      </c>
      <c r="G1690" s="4" t="s">
        <v>425</v>
      </c>
      <c r="H1690" s="62">
        <v>3943.44</v>
      </c>
      <c r="I1690" s="22">
        <v>2500</v>
      </c>
      <c r="K1690" t="s">
        <v>866</v>
      </c>
    </row>
    <row r="1691" spans="1:11" x14ac:dyDescent="0.3">
      <c r="A1691">
        <v>2026</v>
      </c>
      <c r="B1691" s="2">
        <v>6</v>
      </c>
      <c r="C1691" s="3" t="s">
        <v>5</v>
      </c>
      <c r="D1691" s="4" t="s">
        <v>42</v>
      </c>
      <c r="E1691" s="4" t="s">
        <v>232</v>
      </c>
      <c r="F1691" s="61" t="s">
        <v>232</v>
      </c>
      <c r="G1691" s="4" t="s">
        <v>425</v>
      </c>
      <c r="H1691" s="62">
        <v>500</v>
      </c>
      <c r="I1691" s="22"/>
    </row>
    <row r="1692" spans="1:11" x14ac:dyDescent="0.3">
      <c r="A1692">
        <v>2026</v>
      </c>
      <c r="B1692" s="2">
        <v>6</v>
      </c>
      <c r="C1692" s="3" t="s">
        <v>47</v>
      </c>
      <c r="D1692" s="4" t="s">
        <v>147</v>
      </c>
      <c r="E1692" s="4" t="s">
        <v>232</v>
      </c>
      <c r="F1692" s="61" t="s">
        <v>232</v>
      </c>
      <c r="G1692" s="4" t="s">
        <v>234</v>
      </c>
      <c r="H1692" s="62">
        <v>2700</v>
      </c>
      <c r="I1692" s="22">
        <v>2500</v>
      </c>
    </row>
    <row r="1693" spans="1:11" x14ac:dyDescent="0.3">
      <c r="A1693">
        <v>2026</v>
      </c>
      <c r="B1693" s="2">
        <v>6</v>
      </c>
      <c r="C1693" s="3" t="s">
        <v>49</v>
      </c>
      <c r="D1693" s="4" t="s">
        <v>96</v>
      </c>
      <c r="E1693" s="4" t="s">
        <v>232</v>
      </c>
      <c r="F1693" s="61" t="s">
        <v>232</v>
      </c>
      <c r="G1693" s="4" t="s">
        <v>234</v>
      </c>
      <c r="H1693" s="62">
        <v>2500</v>
      </c>
      <c r="I1693" s="22">
        <v>2500</v>
      </c>
    </row>
    <row r="1694" spans="1:11" x14ac:dyDescent="0.3">
      <c r="A1694">
        <v>2026</v>
      </c>
      <c r="B1694" s="2">
        <v>6</v>
      </c>
      <c r="C1694" s="3" t="s">
        <v>49</v>
      </c>
      <c r="D1694" s="4" t="s">
        <v>104</v>
      </c>
      <c r="E1694" s="4" t="s">
        <v>232</v>
      </c>
      <c r="F1694" s="61" t="s">
        <v>232</v>
      </c>
      <c r="G1694" s="4" t="s">
        <v>234</v>
      </c>
      <c r="H1694" s="62">
        <v>700</v>
      </c>
      <c r="I1694" s="22"/>
      <c r="K1694" t="s">
        <v>867</v>
      </c>
    </row>
    <row r="1695" spans="1:11" x14ac:dyDescent="0.3">
      <c r="A1695">
        <v>2026</v>
      </c>
      <c r="B1695" s="2">
        <v>6</v>
      </c>
      <c r="C1695" s="3" t="s">
        <v>115</v>
      </c>
      <c r="D1695" s="4" t="s">
        <v>42</v>
      </c>
      <c r="E1695" s="4" t="s">
        <v>232</v>
      </c>
      <c r="F1695" s="61" t="s">
        <v>232</v>
      </c>
      <c r="G1695" s="4" t="s">
        <v>234</v>
      </c>
      <c r="H1695" s="62">
        <v>2999.4000000000005</v>
      </c>
      <c r="I1695" s="22">
        <v>2500</v>
      </c>
      <c r="K1695" t="s">
        <v>868</v>
      </c>
    </row>
    <row r="1696" spans="1:11" x14ac:dyDescent="0.3">
      <c r="A1696">
        <v>2026</v>
      </c>
      <c r="B1696" s="2">
        <v>6</v>
      </c>
      <c r="C1696" s="3" t="s">
        <v>74</v>
      </c>
      <c r="D1696" s="4" t="s">
        <v>77</v>
      </c>
      <c r="E1696" s="4" t="s">
        <v>232</v>
      </c>
      <c r="F1696" s="61" t="s">
        <v>232</v>
      </c>
      <c r="G1696" s="4" t="s">
        <v>234</v>
      </c>
      <c r="H1696" s="62">
        <v>-4260</v>
      </c>
      <c r="I1696" s="22">
        <v>2500</v>
      </c>
    </row>
    <row r="1697" spans="1:11" x14ac:dyDescent="0.3">
      <c r="A1697">
        <v>2026</v>
      </c>
      <c r="B1697" s="2">
        <v>6</v>
      </c>
      <c r="C1697" s="3" t="s">
        <v>132</v>
      </c>
      <c r="D1697" s="4" t="s">
        <v>54</v>
      </c>
      <c r="E1697" s="4" t="s">
        <v>232</v>
      </c>
      <c r="F1697" s="61" t="s">
        <v>232</v>
      </c>
      <c r="G1697" s="4" t="s">
        <v>234</v>
      </c>
      <c r="H1697" s="62">
        <v>3000.8599999999997</v>
      </c>
      <c r="I1697" s="22">
        <v>2500</v>
      </c>
      <c r="K1697" t="s">
        <v>869</v>
      </c>
    </row>
    <row r="1698" spans="1:11" x14ac:dyDescent="0.3">
      <c r="A1698">
        <v>2026</v>
      </c>
      <c r="B1698" s="2">
        <v>6</v>
      </c>
      <c r="C1698" s="3" t="s">
        <v>51</v>
      </c>
      <c r="D1698" s="4" t="s">
        <v>52</v>
      </c>
      <c r="E1698" s="4" t="s">
        <v>232</v>
      </c>
      <c r="F1698" s="61" t="s">
        <v>232</v>
      </c>
      <c r="G1698" s="4" t="s">
        <v>234</v>
      </c>
      <c r="H1698" s="62">
        <v>2500</v>
      </c>
      <c r="I1698" s="22">
        <v>2500</v>
      </c>
    </row>
    <row r="1699" spans="1:11" x14ac:dyDescent="0.3">
      <c r="A1699">
        <v>2026</v>
      </c>
      <c r="B1699" s="2">
        <v>6</v>
      </c>
      <c r="C1699" s="3" t="s">
        <v>131</v>
      </c>
      <c r="D1699" s="4" t="s">
        <v>116</v>
      </c>
      <c r="E1699" s="4" t="s">
        <v>291</v>
      </c>
      <c r="F1699" s="61" t="s">
        <v>291</v>
      </c>
      <c r="G1699" s="4" t="s">
        <v>234</v>
      </c>
      <c r="H1699" s="62">
        <v>3000</v>
      </c>
      <c r="I1699" s="22">
        <v>2500</v>
      </c>
    </row>
    <row r="1700" spans="1:11" x14ac:dyDescent="0.3">
      <c r="A1700">
        <v>2026</v>
      </c>
      <c r="B1700" s="2">
        <v>6</v>
      </c>
      <c r="C1700" s="3" t="s">
        <v>78</v>
      </c>
      <c r="D1700" s="4" t="s">
        <v>79</v>
      </c>
      <c r="E1700" s="4" t="s">
        <v>291</v>
      </c>
      <c r="F1700" s="61" t="s">
        <v>291</v>
      </c>
      <c r="G1700" s="4" t="s">
        <v>234</v>
      </c>
      <c r="H1700" s="62">
        <v>455.86000000000058</v>
      </c>
      <c r="I1700" s="22">
        <v>2500</v>
      </c>
      <c r="K1700" t="s">
        <v>870</v>
      </c>
    </row>
    <row r="1701" spans="1:11" x14ac:dyDescent="0.3">
      <c r="A1701">
        <v>2026</v>
      </c>
      <c r="B1701" s="2">
        <v>6</v>
      </c>
      <c r="C1701" s="3" t="s">
        <v>107</v>
      </c>
      <c r="D1701" s="4" t="s">
        <v>148</v>
      </c>
      <c r="E1701" s="4" t="s">
        <v>232</v>
      </c>
      <c r="F1701" s="61" t="s">
        <v>232</v>
      </c>
      <c r="G1701" s="4" t="s">
        <v>234</v>
      </c>
      <c r="H1701" s="62">
        <v>3199.7800000000007</v>
      </c>
      <c r="I1701" s="22">
        <v>2500</v>
      </c>
      <c r="K1701" t="s">
        <v>871</v>
      </c>
    </row>
    <row r="1702" spans="1:11" x14ac:dyDescent="0.3">
      <c r="A1702">
        <v>2026</v>
      </c>
      <c r="B1702" s="2">
        <v>6</v>
      </c>
      <c r="C1702" s="3" t="s">
        <v>76</v>
      </c>
      <c r="D1702" s="4" t="s">
        <v>8</v>
      </c>
      <c r="E1702" s="4" t="s">
        <v>232</v>
      </c>
      <c r="F1702" s="61" t="s">
        <v>232</v>
      </c>
      <c r="G1702" s="4" t="s">
        <v>234</v>
      </c>
      <c r="H1702" s="62">
        <v>-500</v>
      </c>
      <c r="I1702" s="22">
        <v>2500</v>
      </c>
    </row>
    <row r="1703" spans="1:11" x14ac:dyDescent="0.3">
      <c r="A1703">
        <v>2026</v>
      </c>
      <c r="B1703" s="2">
        <v>6</v>
      </c>
      <c r="C1703" s="3" t="s">
        <v>87</v>
      </c>
      <c r="D1703" s="4" t="s">
        <v>83</v>
      </c>
      <c r="E1703" s="4" t="s">
        <v>232</v>
      </c>
      <c r="F1703" s="61" t="s">
        <v>232</v>
      </c>
      <c r="G1703" s="4" t="s">
        <v>234</v>
      </c>
      <c r="H1703" s="62">
        <v>2800.1799999999994</v>
      </c>
      <c r="I1703" s="22">
        <v>2500</v>
      </c>
      <c r="K1703" t="s">
        <v>872</v>
      </c>
    </row>
    <row r="1704" spans="1:11" x14ac:dyDescent="0.3">
      <c r="A1704">
        <v>2026</v>
      </c>
      <c r="B1704" s="2">
        <v>6</v>
      </c>
      <c r="C1704" s="3" t="s">
        <v>117</v>
      </c>
      <c r="D1704" s="4" t="s">
        <v>118</v>
      </c>
      <c r="E1704" s="4" t="s">
        <v>232</v>
      </c>
      <c r="F1704" s="61" t="s">
        <v>232</v>
      </c>
      <c r="G1704" s="4" t="s">
        <v>234</v>
      </c>
      <c r="H1704" s="62">
        <v>2999.3399999999983</v>
      </c>
      <c r="I1704" s="22">
        <v>2500</v>
      </c>
      <c r="K1704" t="s">
        <v>873</v>
      </c>
    </row>
    <row r="1705" spans="1:11" x14ac:dyDescent="0.3">
      <c r="A1705">
        <v>2026</v>
      </c>
      <c r="B1705" s="2">
        <v>6</v>
      </c>
      <c r="C1705" s="3" t="s">
        <v>98</v>
      </c>
      <c r="D1705" s="4" t="s">
        <v>112</v>
      </c>
      <c r="E1705" s="4" t="s">
        <v>232</v>
      </c>
      <c r="F1705" s="61" t="s">
        <v>232</v>
      </c>
      <c r="G1705" s="4" t="s">
        <v>234</v>
      </c>
      <c r="H1705" s="62">
        <v>-346.07439999999951</v>
      </c>
      <c r="I1705" s="22">
        <v>2500</v>
      </c>
      <c r="K1705" t="s">
        <v>874</v>
      </c>
    </row>
    <row r="1706" spans="1:11" x14ac:dyDescent="0.3">
      <c r="A1706">
        <v>2026</v>
      </c>
      <c r="B1706" s="2">
        <v>7</v>
      </c>
      <c r="C1706" s="3" t="s">
        <v>150</v>
      </c>
      <c r="D1706" s="4" t="s">
        <v>104</v>
      </c>
      <c r="E1706" s="4" t="s">
        <v>232</v>
      </c>
      <c r="F1706" s="61" t="s">
        <v>232</v>
      </c>
      <c r="G1706" s="4" t="s">
        <v>425</v>
      </c>
      <c r="H1706" s="62">
        <v>3000</v>
      </c>
      <c r="I1706" s="22">
        <v>2500</v>
      </c>
      <c r="K1706" t="s">
        <v>938</v>
      </c>
    </row>
    <row r="1707" spans="1:11" x14ac:dyDescent="0.3">
      <c r="A1707">
        <v>2026</v>
      </c>
      <c r="B1707" s="2">
        <v>7</v>
      </c>
      <c r="C1707" s="3" t="s">
        <v>11</v>
      </c>
      <c r="D1707" s="4" t="s">
        <v>12</v>
      </c>
      <c r="E1707" s="4" t="s">
        <v>232</v>
      </c>
      <c r="F1707" s="61" t="s">
        <v>232</v>
      </c>
      <c r="G1707" s="4" t="s">
        <v>234</v>
      </c>
      <c r="H1707" s="62">
        <v>2507.1428571428573</v>
      </c>
      <c r="I1707" s="22">
        <v>2500</v>
      </c>
      <c r="K1707" t="s">
        <v>881</v>
      </c>
    </row>
    <row r="1708" spans="1:11" x14ac:dyDescent="0.3">
      <c r="A1708">
        <v>2026</v>
      </c>
      <c r="B1708" s="2">
        <v>7</v>
      </c>
      <c r="C1708" s="3" t="s">
        <v>139</v>
      </c>
      <c r="D1708" s="4" t="s">
        <v>10</v>
      </c>
      <c r="E1708" s="4" t="s">
        <v>232</v>
      </c>
      <c r="F1708" s="61" t="s">
        <v>232</v>
      </c>
      <c r="G1708" s="4" t="s">
        <v>234</v>
      </c>
      <c r="H1708" s="62">
        <v>2357.1428571428573</v>
      </c>
      <c r="I1708" s="22">
        <v>2500</v>
      </c>
      <c r="J1708">
        <v>2000</v>
      </c>
      <c r="K1708" t="s">
        <v>880</v>
      </c>
    </row>
    <row r="1709" spans="1:11" x14ac:dyDescent="0.3">
      <c r="A1709">
        <v>2026</v>
      </c>
      <c r="B1709" s="2">
        <v>7</v>
      </c>
      <c r="C1709" s="3" t="s">
        <v>80</v>
      </c>
      <c r="D1709" s="4" t="s">
        <v>81</v>
      </c>
      <c r="E1709" s="4" t="s">
        <v>232</v>
      </c>
      <c r="F1709" s="61" t="s">
        <v>232</v>
      </c>
      <c r="G1709" s="4" t="s">
        <v>234</v>
      </c>
      <c r="H1709" s="62">
        <v>2500</v>
      </c>
      <c r="I1709" s="22">
        <v>2500</v>
      </c>
      <c r="K1709" t="s">
        <v>882</v>
      </c>
    </row>
    <row r="1710" spans="1:11" x14ac:dyDescent="0.3">
      <c r="A1710">
        <v>2026</v>
      </c>
      <c r="B1710" s="2">
        <v>7</v>
      </c>
      <c r="C1710" s="3" t="s">
        <v>13</v>
      </c>
      <c r="D1710" s="4" t="s">
        <v>14</v>
      </c>
      <c r="E1710" s="4" t="s">
        <v>232</v>
      </c>
      <c r="F1710" s="61" t="s">
        <v>232</v>
      </c>
      <c r="G1710" s="4" t="s">
        <v>234</v>
      </c>
      <c r="H1710" s="62">
        <v>2700</v>
      </c>
      <c r="I1710" s="22">
        <v>2500</v>
      </c>
      <c r="K1710" t="s">
        <v>883</v>
      </c>
    </row>
    <row r="1711" spans="1:11" x14ac:dyDescent="0.3">
      <c r="A1711">
        <v>2026</v>
      </c>
      <c r="B1711" s="2">
        <v>7</v>
      </c>
      <c r="C1711" s="3" t="s">
        <v>15</v>
      </c>
      <c r="D1711" s="4" t="s">
        <v>137</v>
      </c>
      <c r="E1711" s="4" t="s">
        <v>232</v>
      </c>
      <c r="F1711" s="61" t="s">
        <v>232</v>
      </c>
      <c r="G1711" s="4" t="s">
        <v>234</v>
      </c>
      <c r="H1711" s="62">
        <v>2317.6514285714284</v>
      </c>
      <c r="I1711" s="22">
        <v>2500</v>
      </c>
      <c r="K1711" t="s">
        <v>878</v>
      </c>
    </row>
    <row r="1712" spans="1:11" x14ac:dyDescent="0.3">
      <c r="A1712">
        <v>2026</v>
      </c>
      <c r="B1712" s="2">
        <v>7</v>
      </c>
      <c r="C1712" s="3" t="s">
        <v>120</v>
      </c>
      <c r="D1712" s="4" t="s">
        <v>38</v>
      </c>
      <c r="E1712" s="4" t="s">
        <v>232</v>
      </c>
      <c r="F1712" s="61" t="s">
        <v>232</v>
      </c>
      <c r="G1712" s="4" t="s">
        <v>234</v>
      </c>
      <c r="H1712" s="62">
        <v>3000</v>
      </c>
      <c r="I1712" s="22">
        <v>2500</v>
      </c>
      <c r="K1712" t="s">
        <v>884</v>
      </c>
    </row>
    <row r="1713" spans="1:11" x14ac:dyDescent="0.3">
      <c r="A1713">
        <v>2026</v>
      </c>
      <c r="B1713" s="2">
        <v>7</v>
      </c>
      <c r="C1713" s="3" t="s">
        <v>111</v>
      </c>
      <c r="D1713" s="4" t="s">
        <v>63</v>
      </c>
      <c r="E1713" s="4" t="s">
        <v>291</v>
      </c>
      <c r="F1713" s="61" t="s">
        <v>291</v>
      </c>
      <c r="G1713" s="4" t="s">
        <v>234</v>
      </c>
      <c r="H1713" s="62">
        <v>1551.3400000000001</v>
      </c>
      <c r="I1713" s="22">
        <v>2500</v>
      </c>
    </row>
    <row r="1714" spans="1:11" x14ac:dyDescent="0.3">
      <c r="A1714">
        <v>2026</v>
      </c>
      <c r="B1714" s="2">
        <v>7</v>
      </c>
      <c r="C1714" s="3" t="s">
        <v>121</v>
      </c>
      <c r="D1714" s="4" t="s">
        <v>122</v>
      </c>
      <c r="E1714" s="4" t="s">
        <v>232</v>
      </c>
      <c r="F1714" s="61" t="s">
        <v>232</v>
      </c>
      <c r="G1714" s="4" t="s">
        <v>234</v>
      </c>
      <c r="H1714" s="62">
        <v>3100</v>
      </c>
      <c r="I1714" s="22">
        <v>2500</v>
      </c>
      <c r="K1714" t="s">
        <v>886</v>
      </c>
    </row>
    <row r="1715" spans="1:11" x14ac:dyDescent="0.3">
      <c r="A1715">
        <v>2026</v>
      </c>
      <c r="B1715" s="2">
        <v>7</v>
      </c>
      <c r="C1715" s="3" t="s">
        <v>17</v>
      </c>
      <c r="D1715" s="4" t="s">
        <v>18</v>
      </c>
      <c r="E1715" s="4" t="s">
        <v>232</v>
      </c>
      <c r="F1715" s="61" t="s">
        <v>232</v>
      </c>
      <c r="G1715" s="4" t="s">
        <v>234</v>
      </c>
      <c r="H1715" s="62">
        <v>2700</v>
      </c>
      <c r="I1715" s="22">
        <v>2500</v>
      </c>
      <c r="K1715" t="s">
        <v>887</v>
      </c>
    </row>
    <row r="1716" spans="1:11" x14ac:dyDescent="0.3">
      <c r="A1716">
        <v>2026</v>
      </c>
      <c r="B1716" s="2">
        <v>7</v>
      </c>
      <c r="C1716" s="3" t="s">
        <v>149</v>
      </c>
      <c r="D1716" s="4" t="s">
        <v>69</v>
      </c>
      <c r="E1716" s="4" t="s">
        <v>241</v>
      </c>
      <c r="F1716" s="61" t="s">
        <v>291</v>
      </c>
      <c r="G1716" s="4" t="s">
        <v>234</v>
      </c>
      <c r="H1716" s="62">
        <v>701</v>
      </c>
      <c r="I1716" s="22">
        <v>2500</v>
      </c>
    </row>
    <row r="1717" spans="1:11" x14ac:dyDescent="0.3">
      <c r="A1717">
        <v>2026</v>
      </c>
      <c r="B1717" s="2">
        <v>7</v>
      </c>
      <c r="C1717" s="3" t="s">
        <v>19</v>
      </c>
      <c r="D1717" s="4" t="s">
        <v>20</v>
      </c>
      <c r="E1717" s="4" t="s">
        <v>232</v>
      </c>
      <c r="F1717" s="61" t="s">
        <v>232</v>
      </c>
      <c r="G1717" s="4" t="s">
        <v>234</v>
      </c>
      <c r="H1717" s="62">
        <v>2500</v>
      </c>
      <c r="I1717" s="22">
        <v>2500</v>
      </c>
      <c r="K1717" t="s">
        <v>888</v>
      </c>
    </row>
    <row r="1718" spans="1:11" x14ac:dyDescent="0.3">
      <c r="A1718">
        <v>2026</v>
      </c>
      <c r="B1718" s="2">
        <v>7</v>
      </c>
      <c r="C1718" s="3" t="s">
        <v>128</v>
      </c>
      <c r="D1718" s="4" t="s">
        <v>44</v>
      </c>
      <c r="E1718" s="4" t="s">
        <v>232</v>
      </c>
      <c r="F1718" s="61" t="s">
        <v>232</v>
      </c>
      <c r="G1718" s="4" t="s">
        <v>234</v>
      </c>
      <c r="H1718" s="62">
        <v>3500</v>
      </c>
      <c r="I1718" s="22">
        <v>2500</v>
      </c>
      <c r="K1718" t="s">
        <v>889</v>
      </c>
    </row>
    <row r="1719" spans="1:11" x14ac:dyDescent="0.3">
      <c r="A1719">
        <v>2026</v>
      </c>
      <c r="B1719" s="2">
        <v>7</v>
      </c>
      <c r="C1719" s="3" t="s">
        <v>21</v>
      </c>
      <c r="D1719" s="4" t="s">
        <v>22</v>
      </c>
      <c r="E1719" s="4" t="s">
        <v>232</v>
      </c>
      <c r="F1719" s="61" t="s">
        <v>232</v>
      </c>
      <c r="G1719" s="4" t="s">
        <v>234</v>
      </c>
      <c r="H1719" s="62">
        <v>3273.88</v>
      </c>
      <c r="I1719" s="22">
        <v>2500</v>
      </c>
      <c r="K1719" t="s">
        <v>890</v>
      </c>
    </row>
    <row r="1720" spans="1:11" x14ac:dyDescent="0.3">
      <c r="A1720">
        <v>2026</v>
      </c>
      <c r="B1720" s="2">
        <v>7</v>
      </c>
      <c r="C1720" s="3" t="s">
        <v>134</v>
      </c>
      <c r="D1720" s="4" t="s">
        <v>52</v>
      </c>
      <c r="E1720" s="4" t="s">
        <v>232</v>
      </c>
      <c r="F1720" s="61" t="s">
        <v>232</v>
      </c>
      <c r="G1720" s="4" t="s">
        <v>234</v>
      </c>
      <c r="H1720" s="62">
        <v>478.4223999999997</v>
      </c>
      <c r="I1720" s="22">
        <v>2500</v>
      </c>
      <c r="K1720" t="s">
        <v>891</v>
      </c>
    </row>
    <row r="1721" spans="1:11" x14ac:dyDescent="0.3">
      <c r="A1721">
        <v>2026</v>
      </c>
      <c r="B1721" s="2">
        <v>7</v>
      </c>
      <c r="C1721" s="3" t="s">
        <v>64</v>
      </c>
      <c r="D1721" s="4" t="s">
        <v>140</v>
      </c>
      <c r="E1721" s="4" t="s">
        <v>232</v>
      </c>
      <c r="F1721" s="61" t="s">
        <v>232</v>
      </c>
      <c r="G1721" s="4" t="s">
        <v>234</v>
      </c>
      <c r="H1721" s="62">
        <v>2700</v>
      </c>
      <c r="I1721" s="22">
        <v>2500</v>
      </c>
      <c r="K1721" t="s">
        <v>892</v>
      </c>
    </row>
    <row r="1722" spans="1:11" x14ac:dyDescent="0.3">
      <c r="A1722">
        <v>2026</v>
      </c>
      <c r="B1722" s="2">
        <v>7</v>
      </c>
      <c r="C1722" s="3" t="s">
        <v>90</v>
      </c>
      <c r="D1722" s="4" t="s">
        <v>16</v>
      </c>
      <c r="E1722" s="4" t="s">
        <v>232</v>
      </c>
      <c r="F1722" s="61" t="s">
        <v>232</v>
      </c>
      <c r="G1722" s="4" t="s">
        <v>234</v>
      </c>
      <c r="H1722" s="62">
        <v>3000</v>
      </c>
      <c r="I1722" s="22">
        <v>2500</v>
      </c>
      <c r="K1722" t="s">
        <v>893</v>
      </c>
    </row>
    <row r="1723" spans="1:11" x14ac:dyDescent="0.3">
      <c r="A1723">
        <v>2026</v>
      </c>
      <c r="B1723" s="2">
        <v>7</v>
      </c>
      <c r="C1723" s="3" t="s">
        <v>23</v>
      </c>
      <c r="D1723" s="4" t="s">
        <v>24</v>
      </c>
      <c r="E1723" s="4" t="s">
        <v>232</v>
      </c>
      <c r="F1723" s="61" t="s">
        <v>232</v>
      </c>
      <c r="G1723" s="4" t="s">
        <v>234</v>
      </c>
      <c r="H1723" s="62">
        <v>2425.2864000000004</v>
      </c>
      <c r="I1723" s="22">
        <v>2500</v>
      </c>
      <c r="K1723" t="s">
        <v>894</v>
      </c>
    </row>
    <row r="1724" spans="1:11" x14ac:dyDescent="0.3">
      <c r="A1724">
        <v>2026</v>
      </c>
      <c r="B1724" s="2">
        <v>7</v>
      </c>
      <c r="C1724" s="3" t="s">
        <v>23</v>
      </c>
      <c r="D1724" s="4" t="s">
        <v>22</v>
      </c>
      <c r="E1724" s="4" t="s">
        <v>232</v>
      </c>
      <c r="F1724" s="61" t="s">
        <v>232</v>
      </c>
      <c r="G1724" s="4" t="s">
        <v>234</v>
      </c>
      <c r="H1724" s="62">
        <v>700</v>
      </c>
      <c r="I1724" s="22"/>
    </row>
    <row r="1725" spans="1:11" x14ac:dyDescent="0.3">
      <c r="A1725">
        <v>2026</v>
      </c>
      <c r="B1725" s="2">
        <v>7</v>
      </c>
      <c r="C1725" s="3" t="s">
        <v>108</v>
      </c>
      <c r="D1725" s="4" t="s">
        <v>75</v>
      </c>
      <c r="E1725" s="4" t="s">
        <v>241</v>
      </c>
      <c r="F1725" s="61" t="s">
        <v>291</v>
      </c>
      <c r="G1725" s="4" t="s">
        <v>234</v>
      </c>
      <c r="H1725" s="62">
        <v>3700</v>
      </c>
      <c r="I1725" s="22">
        <v>2500</v>
      </c>
      <c r="K1725" t="s">
        <v>895</v>
      </c>
    </row>
    <row r="1726" spans="1:11" x14ac:dyDescent="0.3">
      <c r="A1726">
        <v>2026</v>
      </c>
      <c r="B1726" s="2">
        <v>7</v>
      </c>
      <c r="C1726" s="3" t="s">
        <v>85</v>
      </c>
      <c r="D1726" s="4" t="s">
        <v>86</v>
      </c>
      <c r="E1726" s="4" t="s">
        <v>232</v>
      </c>
      <c r="F1726" s="61" t="s">
        <v>232</v>
      </c>
      <c r="G1726" s="4" t="s">
        <v>234</v>
      </c>
      <c r="H1726" s="62">
        <v>2999.1400000000012</v>
      </c>
      <c r="I1726" s="22">
        <v>2500</v>
      </c>
      <c r="K1726" t="s">
        <v>896</v>
      </c>
    </row>
    <row r="1727" spans="1:11" x14ac:dyDescent="0.3">
      <c r="A1727">
        <v>2026</v>
      </c>
      <c r="B1727" s="2">
        <v>7</v>
      </c>
      <c r="C1727" s="3" t="s">
        <v>136</v>
      </c>
      <c r="D1727" s="4" t="s">
        <v>56</v>
      </c>
      <c r="E1727" s="4" t="s">
        <v>241</v>
      </c>
      <c r="F1727" s="61" t="s">
        <v>291</v>
      </c>
      <c r="G1727" s="4" t="s">
        <v>234</v>
      </c>
      <c r="H1727" s="62">
        <v>3000</v>
      </c>
      <c r="I1727" s="22">
        <v>2500</v>
      </c>
      <c r="K1727" t="s">
        <v>897</v>
      </c>
    </row>
    <row r="1728" spans="1:11" x14ac:dyDescent="0.3">
      <c r="A1728">
        <v>2026</v>
      </c>
      <c r="B1728" s="2">
        <v>7</v>
      </c>
      <c r="C1728" s="3" t="s">
        <v>25</v>
      </c>
      <c r="D1728" s="4" t="s">
        <v>26</v>
      </c>
      <c r="E1728" s="4" t="s">
        <v>232</v>
      </c>
      <c r="F1728" s="61" t="s">
        <v>232</v>
      </c>
      <c r="G1728" s="4" t="s">
        <v>234</v>
      </c>
      <c r="H1728" s="62">
        <v>3132.24</v>
      </c>
      <c r="I1728" s="22">
        <v>2500</v>
      </c>
      <c r="K1728" t="s">
        <v>898</v>
      </c>
    </row>
    <row r="1729" spans="1:11" x14ac:dyDescent="0.3">
      <c r="A1729">
        <v>2026</v>
      </c>
      <c r="B1729" s="2">
        <v>7</v>
      </c>
      <c r="C1729" s="3" t="s">
        <v>27</v>
      </c>
      <c r="D1729" s="4" t="s">
        <v>137</v>
      </c>
      <c r="E1729" s="4" t="s">
        <v>232</v>
      </c>
      <c r="F1729" s="61" t="s">
        <v>232</v>
      </c>
      <c r="G1729" s="4" t="s">
        <v>234</v>
      </c>
      <c r="H1729" s="62">
        <v>-500</v>
      </c>
      <c r="I1729" s="22">
        <v>2500</v>
      </c>
      <c r="K1729" t="s">
        <v>899</v>
      </c>
    </row>
    <row r="1730" spans="1:11" x14ac:dyDescent="0.3">
      <c r="A1730">
        <v>2026</v>
      </c>
      <c r="B1730" s="2">
        <v>7</v>
      </c>
      <c r="C1730" s="3" t="s">
        <v>9</v>
      </c>
      <c r="D1730" s="4" t="s">
        <v>10</v>
      </c>
      <c r="E1730" s="4" t="s">
        <v>232</v>
      </c>
      <c r="F1730" s="61" t="s">
        <v>232</v>
      </c>
      <c r="G1730" s="4" t="s">
        <v>425</v>
      </c>
      <c r="H1730" s="62">
        <v>-700</v>
      </c>
      <c r="I1730" s="22">
        <v>2500</v>
      </c>
    </row>
    <row r="1731" spans="1:11" x14ac:dyDescent="0.3">
      <c r="A1731">
        <v>2026</v>
      </c>
      <c r="B1731" s="2">
        <v>7</v>
      </c>
      <c r="C1731" s="3" t="s">
        <v>70</v>
      </c>
      <c r="D1731" s="4" t="s">
        <v>71</v>
      </c>
      <c r="E1731" s="4" t="s">
        <v>232</v>
      </c>
      <c r="F1731" s="61" t="s">
        <v>232</v>
      </c>
      <c r="G1731" s="4" t="s">
        <v>234</v>
      </c>
      <c r="H1731" s="62">
        <v>5538</v>
      </c>
      <c r="I1731" s="22">
        <v>2500</v>
      </c>
      <c r="K1731" t="s">
        <v>900</v>
      </c>
    </row>
    <row r="1732" spans="1:11" x14ac:dyDescent="0.3">
      <c r="A1732">
        <v>2026</v>
      </c>
      <c r="B1732" s="2">
        <v>7</v>
      </c>
      <c r="C1732" s="3" t="s">
        <v>29</v>
      </c>
      <c r="D1732" s="4" t="s">
        <v>141</v>
      </c>
      <c r="E1732" s="4" t="s">
        <v>232</v>
      </c>
      <c r="F1732" s="61" t="s">
        <v>232</v>
      </c>
      <c r="G1732" s="4" t="s">
        <v>234</v>
      </c>
      <c r="H1732" s="62">
        <v>1098.2807999999995</v>
      </c>
      <c r="I1732" s="22">
        <v>2500</v>
      </c>
      <c r="K1732" t="s">
        <v>902</v>
      </c>
    </row>
    <row r="1733" spans="1:11" x14ac:dyDescent="0.3">
      <c r="A1733">
        <v>2026</v>
      </c>
      <c r="B1733" s="2">
        <v>7</v>
      </c>
      <c r="C1733" s="3" t="s">
        <v>109</v>
      </c>
      <c r="D1733" s="4" t="s">
        <v>142</v>
      </c>
      <c r="E1733" s="4" t="s">
        <v>232</v>
      </c>
      <c r="F1733" s="61" t="s">
        <v>232</v>
      </c>
      <c r="G1733" s="4" t="s">
        <v>425</v>
      </c>
      <c r="H1733" s="62">
        <v>-800</v>
      </c>
      <c r="I1733" s="22">
        <v>2500</v>
      </c>
      <c r="K1733" t="s">
        <v>903</v>
      </c>
    </row>
    <row r="1734" spans="1:11" x14ac:dyDescent="0.3">
      <c r="A1734">
        <v>2026</v>
      </c>
      <c r="B1734" s="2">
        <v>7</v>
      </c>
      <c r="C1734" s="3" t="s">
        <v>72</v>
      </c>
      <c r="D1734" s="4" t="s">
        <v>73</v>
      </c>
      <c r="E1734" s="4" t="s">
        <v>241</v>
      </c>
      <c r="F1734" s="61" t="s">
        <v>291</v>
      </c>
      <c r="G1734" s="4" t="s">
        <v>234</v>
      </c>
      <c r="H1734" s="62">
        <v>2500</v>
      </c>
      <c r="I1734" s="22">
        <v>2500</v>
      </c>
      <c r="K1734" t="s">
        <v>904</v>
      </c>
    </row>
    <row r="1735" spans="1:11" x14ac:dyDescent="0.3">
      <c r="A1735">
        <v>2026</v>
      </c>
      <c r="B1735" s="2">
        <v>7</v>
      </c>
      <c r="C1735" s="3" t="s">
        <v>92</v>
      </c>
      <c r="D1735" s="4" t="s">
        <v>30</v>
      </c>
      <c r="E1735" s="4" t="s">
        <v>232</v>
      </c>
      <c r="F1735" s="61" t="s">
        <v>232</v>
      </c>
      <c r="G1735" s="4" t="s">
        <v>234</v>
      </c>
      <c r="H1735" s="62">
        <v>3000</v>
      </c>
      <c r="I1735" s="22">
        <v>2500</v>
      </c>
      <c r="K1735" t="s">
        <v>905</v>
      </c>
    </row>
    <row r="1736" spans="1:11" x14ac:dyDescent="0.3">
      <c r="A1736">
        <v>2026</v>
      </c>
      <c r="B1736" s="2">
        <v>7</v>
      </c>
      <c r="C1736" s="3" t="s">
        <v>105</v>
      </c>
      <c r="D1736" s="4" t="s">
        <v>106</v>
      </c>
      <c r="E1736" s="4" t="s">
        <v>232</v>
      </c>
      <c r="F1736" s="61" t="s">
        <v>232</v>
      </c>
      <c r="G1736" s="4" t="s">
        <v>425</v>
      </c>
      <c r="H1736" s="62">
        <v>2500</v>
      </c>
      <c r="I1736" s="22">
        <v>2500</v>
      </c>
      <c r="K1736" t="s">
        <v>906</v>
      </c>
    </row>
    <row r="1737" spans="1:11" x14ac:dyDescent="0.3">
      <c r="A1737">
        <v>2026</v>
      </c>
      <c r="B1737" s="2">
        <v>7</v>
      </c>
      <c r="C1737" s="3" t="s">
        <v>31</v>
      </c>
      <c r="D1737" s="4" t="s">
        <v>143</v>
      </c>
      <c r="E1737" s="4" t="s">
        <v>232</v>
      </c>
      <c r="F1737" s="61" t="s">
        <v>232</v>
      </c>
      <c r="G1737" s="4" t="s">
        <v>234</v>
      </c>
      <c r="H1737" s="62">
        <v>2700</v>
      </c>
      <c r="I1737" s="22">
        <v>2500</v>
      </c>
      <c r="K1737" t="s">
        <v>908</v>
      </c>
    </row>
    <row r="1738" spans="1:11" x14ac:dyDescent="0.3">
      <c r="A1738">
        <v>2026</v>
      </c>
      <c r="B1738" s="2">
        <v>7</v>
      </c>
      <c r="C1738" s="3" t="s">
        <v>91</v>
      </c>
      <c r="D1738" s="4" t="s">
        <v>144</v>
      </c>
      <c r="E1738" s="4" t="s">
        <v>232</v>
      </c>
      <c r="F1738" s="61" t="s">
        <v>232</v>
      </c>
      <c r="G1738" s="4" t="s">
        <v>234</v>
      </c>
      <c r="H1738" s="62">
        <v>-3042.7200000000003</v>
      </c>
      <c r="I1738" s="22">
        <v>2500</v>
      </c>
    </row>
    <row r="1739" spans="1:11" x14ac:dyDescent="0.3">
      <c r="A1739">
        <v>2026</v>
      </c>
      <c r="B1739" s="2">
        <v>7</v>
      </c>
      <c r="C1739" s="3" t="s">
        <v>33</v>
      </c>
      <c r="D1739" s="4" t="s">
        <v>67</v>
      </c>
      <c r="E1739" s="4" t="s">
        <v>232</v>
      </c>
      <c r="F1739" s="61" t="s">
        <v>232</v>
      </c>
      <c r="G1739" s="4" t="s">
        <v>234</v>
      </c>
      <c r="H1739" s="62">
        <v>1102.3000000000002</v>
      </c>
      <c r="I1739" s="22">
        <v>2500</v>
      </c>
    </row>
    <row r="1740" spans="1:11" x14ac:dyDescent="0.3">
      <c r="A1740">
        <v>2026</v>
      </c>
      <c r="B1740" s="2">
        <v>7</v>
      </c>
      <c r="C1740" s="3" t="s">
        <v>35</v>
      </c>
      <c r="D1740" s="4" t="s">
        <v>36</v>
      </c>
      <c r="E1740" s="4" t="s">
        <v>232</v>
      </c>
      <c r="F1740" s="61" t="s">
        <v>232</v>
      </c>
      <c r="G1740" s="4" t="s">
        <v>234</v>
      </c>
      <c r="H1740" s="62">
        <v>2500</v>
      </c>
      <c r="I1740" s="22">
        <v>2500</v>
      </c>
      <c r="K1740" t="s">
        <v>910</v>
      </c>
    </row>
    <row r="1741" spans="1:11" x14ac:dyDescent="0.3">
      <c r="A1741">
        <v>2026</v>
      </c>
      <c r="B1741" s="2">
        <v>7</v>
      </c>
      <c r="C1741" s="3" t="s">
        <v>37</v>
      </c>
      <c r="D1741" s="4" t="s">
        <v>24</v>
      </c>
      <c r="E1741" s="4" t="s">
        <v>232</v>
      </c>
      <c r="F1741" s="61" t="s">
        <v>232</v>
      </c>
      <c r="G1741" s="4" t="s">
        <v>234</v>
      </c>
      <c r="H1741" s="62">
        <v>3202.9399999999996</v>
      </c>
      <c r="I1741" s="22">
        <v>2500</v>
      </c>
      <c r="K1741" t="s">
        <v>911</v>
      </c>
    </row>
    <row r="1742" spans="1:11" x14ac:dyDescent="0.3">
      <c r="A1742">
        <v>2026</v>
      </c>
      <c r="B1742" s="2">
        <v>7</v>
      </c>
      <c r="C1742" s="3" t="s">
        <v>138</v>
      </c>
      <c r="D1742" s="4" t="s">
        <v>50</v>
      </c>
      <c r="E1742" s="4" t="s">
        <v>232</v>
      </c>
      <c r="F1742" s="61" t="s">
        <v>232</v>
      </c>
      <c r="G1742" s="4" t="s">
        <v>234</v>
      </c>
      <c r="H1742" s="62">
        <v>2357.1428571428573</v>
      </c>
      <c r="I1742" s="22">
        <v>2500</v>
      </c>
      <c r="K1742" t="s">
        <v>879</v>
      </c>
    </row>
    <row r="1743" spans="1:11" x14ac:dyDescent="0.3">
      <c r="A1743">
        <v>2026</v>
      </c>
      <c r="B1743" s="2">
        <v>7</v>
      </c>
      <c r="C1743" s="3" t="s">
        <v>114</v>
      </c>
      <c r="D1743" s="4" t="s">
        <v>46</v>
      </c>
      <c r="E1743" s="4" t="s">
        <v>232</v>
      </c>
      <c r="F1743" s="61" t="s">
        <v>232</v>
      </c>
      <c r="G1743" s="4" t="s">
        <v>234</v>
      </c>
      <c r="H1743" s="62">
        <v>3000</v>
      </c>
      <c r="I1743" s="22">
        <v>2500</v>
      </c>
      <c r="K1743" t="s">
        <v>912</v>
      </c>
    </row>
    <row r="1744" spans="1:11" x14ac:dyDescent="0.3">
      <c r="A1744">
        <v>2026</v>
      </c>
      <c r="B1744" s="2">
        <v>7</v>
      </c>
      <c r="C1744" s="3" t="s">
        <v>43</v>
      </c>
      <c r="D1744" s="4" t="s">
        <v>145</v>
      </c>
      <c r="E1744" s="4" t="s">
        <v>232</v>
      </c>
      <c r="F1744" s="61" t="s">
        <v>232</v>
      </c>
      <c r="G1744" s="4" t="s">
        <v>234</v>
      </c>
      <c r="H1744" s="62">
        <v>3255.88</v>
      </c>
      <c r="I1744" s="22">
        <v>2500</v>
      </c>
      <c r="K1744" t="s">
        <v>914</v>
      </c>
    </row>
    <row r="1745" spans="1:11" x14ac:dyDescent="0.3">
      <c r="A1745">
        <v>2026</v>
      </c>
      <c r="B1745" s="2">
        <v>7</v>
      </c>
      <c r="C1745" s="3" t="s">
        <v>84</v>
      </c>
      <c r="D1745" s="4" t="s">
        <v>146</v>
      </c>
      <c r="E1745" s="4" t="s">
        <v>232</v>
      </c>
      <c r="F1745" s="61" t="s">
        <v>232</v>
      </c>
      <c r="G1745" s="4" t="s">
        <v>234</v>
      </c>
      <c r="H1745" s="62">
        <v>3245.2000000000035</v>
      </c>
      <c r="I1745" s="22">
        <v>2500</v>
      </c>
      <c r="K1745" t="s">
        <v>916</v>
      </c>
    </row>
    <row r="1746" spans="1:11" x14ac:dyDescent="0.3">
      <c r="A1746">
        <v>2026</v>
      </c>
      <c r="B1746" s="2">
        <v>7</v>
      </c>
      <c r="C1746" s="3" t="s">
        <v>89</v>
      </c>
      <c r="D1746" s="4" t="s">
        <v>4</v>
      </c>
      <c r="E1746" s="4" t="s">
        <v>232</v>
      </c>
      <c r="F1746" s="61" t="s">
        <v>232</v>
      </c>
      <c r="G1746" s="4" t="s">
        <v>234</v>
      </c>
      <c r="H1746" s="62">
        <v>3000</v>
      </c>
      <c r="I1746" s="22">
        <v>2500</v>
      </c>
      <c r="K1746" t="s">
        <v>917</v>
      </c>
    </row>
    <row r="1747" spans="1:11" x14ac:dyDescent="0.3">
      <c r="A1747">
        <v>2026</v>
      </c>
      <c r="B1747" s="2">
        <v>7</v>
      </c>
      <c r="C1747" s="3" t="s">
        <v>119</v>
      </c>
      <c r="D1747" s="4" t="s">
        <v>97</v>
      </c>
      <c r="E1747" s="4" t="s">
        <v>232</v>
      </c>
      <c r="F1747" s="61" t="s">
        <v>232</v>
      </c>
      <c r="G1747" s="4" t="s">
        <v>234</v>
      </c>
      <c r="H1747" s="62">
        <v>3000</v>
      </c>
      <c r="I1747" s="22">
        <v>2500</v>
      </c>
      <c r="K1747" t="s">
        <v>918</v>
      </c>
    </row>
    <row r="1748" spans="1:11" x14ac:dyDescent="0.3">
      <c r="A1748">
        <v>2026</v>
      </c>
      <c r="B1748" s="2">
        <v>7</v>
      </c>
      <c r="C1748" s="3" t="s">
        <v>123</v>
      </c>
      <c r="D1748" s="4" t="s">
        <v>59</v>
      </c>
      <c r="E1748" s="4" t="s">
        <v>232</v>
      </c>
      <c r="F1748" s="61" t="s">
        <v>232</v>
      </c>
      <c r="G1748" s="4" t="s">
        <v>234</v>
      </c>
      <c r="H1748" s="62">
        <v>3000</v>
      </c>
      <c r="I1748" s="22">
        <v>2500</v>
      </c>
      <c r="K1748" t="s">
        <v>919</v>
      </c>
    </row>
    <row r="1749" spans="1:11" x14ac:dyDescent="0.3">
      <c r="A1749">
        <v>2026</v>
      </c>
      <c r="B1749" s="2">
        <v>7</v>
      </c>
      <c r="C1749" s="3" t="s">
        <v>5</v>
      </c>
      <c r="D1749" s="4" t="s">
        <v>6</v>
      </c>
      <c r="E1749" s="4" t="s">
        <v>232</v>
      </c>
      <c r="F1749" s="61" t="s">
        <v>232</v>
      </c>
      <c r="G1749" s="4" t="s">
        <v>425</v>
      </c>
      <c r="H1749" s="62">
        <v>-1100</v>
      </c>
      <c r="I1749" s="22">
        <v>2500</v>
      </c>
      <c r="K1749" t="s">
        <v>920</v>
      </c>
    </row>
    <row r="1750" spans="1:11" x14ac:dyDescent="0.3">
      <c r="A1750">
        <v>2026</v>
      </c>
      <c r="B1750" s="2">
        <v>7</v>
      </c>
      <c r="C1750" s="3" t="s">
        <v>5</v>
      </c>
      <c r="D1750" s="4" t="s">
        <v>42</v>
      </c>
      <c r="E1750" s="4" t="s">
        <v>232</v>
      </c>
      <c r="F1750" s="61" t="s">
        <v>232</v>
      </c>
      <c r="G1750" s="4" t="s">
        <v>425</v>
      </c>
      <c r="H1750" s="62">
        <v>-500</v>
      </c>
      <c r="I1750" s="22"/>
    </row>
    <row r="1751" spans="1:11" x14ac:dyDescent="0.3">
      <c r="A1751">
        <v>2026</v>
      </c>
      <c r="B1751" s="2">
        <v>7</v>
      </c>
      <c r="C1751" s="3" t="s">
        <v>47</v>
      </c>
      <c r="D1751" s="4" t="s">
        <v>147</v>
      </c>
      <c r="E1751" s="4" t="s">
        <v>232</v>
      </c>
      <c r="F1751" s="61" t="s">
        <v>232</v>
      </c>
      <c r="G1751" s="4" t="s">
        <v>234</v>
      </c>
      <c r="H1751" s="62">
        <v>2093</v>
      </c>
      <c r="I1751" s="22">
        <v>2500</v>
      </c>
      <c r="K1751" t="s">
        <v>922</v>
      </c>
    </row>
    <row r="1752" spans="1:11" x14ac:dyDescent="0.3">
      <c r="A1752">
        <v>2026</v>
      </c>
      <c r="B1752" s="2">
        <v>7</v>
      </c>
      <c r="C1752" s="3" t="s">
        <v>49</v>
      </c>
      <c r="D1752" s="4" t="s">
        <v>96</v>
      </c>
      <c r="E1752" s="4" t="s">
        <v>232</v>
      </c>
      <c r="F1752" s="61" t="s">
        <v>232</v>
      </c>
      <c r="G1752" s="4" t="s">
        <v>234</v>
      </c>
      <c r="H1752" s="62">
        <v>2500</v>
      </c>
      <c r="I1752" s="22">
        <v>2500</v>
      </c>
      <c r="K1752" t="s">
        <v>923</v>
      </c>
    </row>
    <row r="1753" spans="1:11" x14ac:dyDescent="0.3">
      <c r="A1753">
        <v>2026</v>
      </c>
      <c r="B1753" s="2">
        <v>7</v>
      </c>
      <c r="C1753" s="3" t="s">
        <v>49</v>
      </c>
      <c r="D1753" s="4" t="s">
        <v>104</v>
      </c>
      <c r="E1753" s="4" t="s">
        <v>924</v>
      </c>
      <c r="F1753" s="61" t="s">
        <v>232</v>
      </c>
      <c r="G1753" s="4" t="s">
        <v>234</v>
      </c>
      <c r="H1753" s="62">
        <v>-700</v>
      </c>
      <c r="I1753" s="22"/>
    </row>
    <row r="1754" spans="1:11" x14ac:dyDescent="0.3">
      <c r="A1754">
        <v>2026</v>
      </c>
      <c r="B1754" s="2">
        <v>7</v>
      </c>
      <c r="C1754" s="3" t="s">
        <v>115</v>
      </c>
      <c r="D1754" s="4" t="s">
        <v>42</v>
      </c>
      <c r="E1754" s="4" t="s">
        <v>232</v>
      </c>
      <c r="F1754" s="61" t="s">
        <v>232</v>
      </c>
      <c r="G1754" s="4" t="s">
        <v>234</v>
      </c>
      <c r="H1754" s="62">
        <v>3000</v>
      </c>
      <c r="I1754" s="22">
        <v>2500</v>
      </c>
      <c r="K1754" t="s">
        <v>925</v>
      </c>
    </row>
    <row r="1755" spans="1:11" x14ac:dyDescent="0.3">
      <c r="A1755">
        <v>2026</v>
      </c>
      <c r="B1755" s="2">
        <v>7</v>
      </c>
      <c r="C1755" s="3" t="s">
        <v>74</v>
      </c>
      <c r="D1755" s="4" t="s">
        <v>77</v>
      </c>
      <c r="E1755" s="4" t="s">
        <v>232</v>
      </c>
      <c r="F1755" s="61" t="s">
        <v>232</v>
      </c>
      <c r="G1755" s="4" t="s">
        <v>234</v>
      </c>
      <c r="H1755" s="62">
        <v>-6727.6085714285718</v>
      </c>
      <c r="I1755" s="22">
        <v>2500</v>
      </c>
      <c r="K1755" t="s">
        <v>926</v>
      </c>
    </row>
    <row r="1756" spans="1:11" x14ac:dyDescent="0.3">
      <c r="A1756">
        <v>2026</v>
      </c>
      <c r="B1756" s="2">
        <v>7</v>
      </c>
      <c r="C1756" s="3" t="s">
        <v>132</v>
      </c>
      <c r="D1756" s="4" t="s">
        <v>54</v>
      </c>
      <c r="E1756" s="4" t="s">
        <v>232</v>
      </c>
      <c r="F1756" s="61" t="s">
        <v>232</v>
      </c>
      <c r="G1756" s="4" t="s">
        <v>234</v>
      </c>
      <c r="H1756" s="62">
        <v>-3321.38</v>
      </c>
      <c r="I1756" s="22">
        <v>2500</v>
      </c>
    </row>
    <row r="1757" spans="1:11" x14ac:dyDescent="0.3">
      <c r="A1757">
        <v>2026</v>
      </c>
      <c r="B1757" s="2">
        <v>7</v>
      </c>
      <c r="C1757" s="3" t="s">
        <v>51</v>
      </c>
      <c r="D1757" s="4" t="s">
        <v>52</v>
      </c>
      <c r="E1757" s="4" t="s">
        <v>232</v>
      </c>
      <c r="F1757" s="61" t="s">
        <v>232</v>
      </c>
      <c r="G1757" s="4" t="s">
        <v>234</v>
      </c>
      <c r="H1757" s="62">
        <v>3200</v>
      </c>
      <c r="I1757" s="22">
        <v>2500</v>
      </c>
      <c r="K1757" t="s">
        <v>927</v>
      </c>
    </row>
    <row r="1758" spans="1:11" x14ac:dyDescent="0.3">
      <c r="A1758">
        <v>2026</v>
      </c>
      <c r="B1758" s="2">
        <v>7</v>
      </c>
      <c r="C1758" s="3" t="s">
        <v>131</v>
      </c>
      <c r="D1758" s="4" t="s">
        <v>116</v>
      </c>
      <c r="E1758" s="4" t="s">
        <v>291</v>
      </c>
      <c r="F1758" s="61" t="s">
        <v>291</v>
      </c>
      <c r="G1758" s="4" t="s">
        <v>234</v>
      </c>
      <c r="H1758" s="62">
        <v>3000</v>
      </c>
      <c r="I1758" s="22">
        <v>2500</v>
      </c>
      <c r="K1758" t="s">
        <v>929</v>
      </c>
    </row>
    <row r="1759" spans="1:11" x14ac:dyDescent="0.3">
      <c r="A1759">
        <v>2026</v>
      </c>
      <c r="B1759" s="2">
        <v>7</v>
      </c>
      <c r="C1759" s="3" t="s">
        <v>78</v>
      </c>
      <c r="D1759" s="4" t="s">
        <v>79</v>
      </c>
      <c r="E1759" s="4" t="s">
        <v>291</v>
      </c>
      <c r="F1759" s="61" t="s">
        <v>291</v>
      </c>
      <c r="G1759" s="4" t="s">
        <v>234</v>
      </c>
      <c r="H1759" s="62">
        <v>951.92000000000007</v>
      </c>
      <c r="I1759" s="22">
        <v>2500</v>
      </c>
      <c r="K1759" t="s">
        <v>930</v>
      </c>
    </row>
    <row r="1760" spans="1:11" x14ac:dyDescent="0.3">
      <c r="A1760">
        <v>2026</v>
      </c>
      <c r="B1760" s="2">
        <v>7</v>
      </c>
      <c r="C1760" s="3" t="s">
        <v>107</v>
      </c>
      <c r="D1760" s="4" t="s">
        <v>148</v>
      </c>
      <c r="E1760" s="4" t="s">
        <v>232</v>
      </c>
      <c r="F1760" s="61" t="s">
        <v>232</v>
      </c>
      <c r="G1760" s="4" t="s">
        <v>234</v>
      </c>
      <c r="H1760" s="62">
        <v>3200.4599999999991</v>
      </c>
      <c r="I1760" s="22">
        <v>2500</v>
      </c>
      <c r="K1760" t="s">
        <v>932</v>
      </c>
    </row>
    <row r="1761" spans="1:11" x14ac:dyDescent="0.3">
      <c r="A1761">
        <v>2026</v>
      </c>
      <c r="B1761" s="2">
        <v>7</v>
      </c>
      <c r="C1761" s="3" t="s">
        <v>76</v>
      </c>
      <c r="D1761" s="4" t="s">
        <v>40</v>
      </c>
      <c r="E1761" s="4" t="s">
        <v>232</v>
      </c>
      <c r="F1761" s="61" t="s">
        <v>232</v>
      </c>
      <c r="G1761" s="4" t="s">
        <v>234</v>
      </c>
      <c r="H1761" s="62">
        <v>1205.4914285714276</v>
      </c>
      <c r="I1761" s="22">
        <v>2500</v>
      </c>
      <c r="K1761" t="s">
        <v>876</v>
      </c>
    </row>
    <row r="1762" spans="1:11" x14ac:dyDescent="0.3">
      <c r="A1762">
        <v>2026</v>
      </c>
      <c r="B1762" s="2">
        <v>7</v>
      </c>
      <c r="C1762" s="3" t="s">
        <v>87</v>
      </c>
      <c r="D1762" s="4" t="s">
        <v>83</v>
      </c>
      <c r="E1762" s="4" t="s">
        <v>232</v>
      </c>
      <c r="F1762" s="61" t="s">
        <v>232</v>
      </c>
      <c r="G1762" s="4" t="s">
        <v>234</v>
      </c>
      <c r="H1762" s="62">
        <v>3199.3399999999992</v>
      </c>
      <c r="I1762" s="22">
        <v>2500</v>
      </c>
      <c r="K1762" t="s">
        <v>933</v>
      </c>
    </row>
    <row r="1763" spans="1:11" x14ac:dyDescent="0.3">
      <c r="A1763">
        <v>2026</v>
      </c>
      <c r="B1763" s="2">
        <v>7</v>
      </c>
      <c r="C1763" s="3" t="s">
        <v>117</v>
      </c>
      <c r="D1763" s="4" t="s">
        <v>118</v>
      </c>
      <c r="E1763" s="4" t="s">
        <v>232</v>
      </c>
      <c r="F1763" s="61" t="s">
        <v>232</v>
      </c>
      <c r="G1763" s="4" t="s">
        <v>234</v>
      </c>
      <c r="H1763" s="62">
        <v>2999.4399999999987</v>
      </c>
      <c r="I1763" s="22">
        <v>2500</v>
      </c>
      <c r="K1763" t="s">
        <v>935</v>
      </c>
    </row>
    <row r="1764" spans="1:11" x14ac:dyDescent="0.3">
      <c r="A1764">
        <v>2026</v>
      </c>
      <c r="B1764" s="2">
        <v>7</v>
      </c>
      <c r="C1764" s="3" t="s">
        <v>98</v>
      </c>
      <c r="D1764" s="4" t="s">
        <v>112</v>
      </c>
      <c r="E1764" s="4" t="s">
        <v>232</v>
      </c>
      <c r="F1764" s="61" t="s">
        <v>232</v>
      </c>
      <c r="G1764" s="4" t="s">
        <v>234</v>
      </c>
      <c r="H1764" s="62">
        <v>6451.9600000000009</v>
      </c>
      <c r="I1764" s="22">
        <v>2500</v>
      </c>
      <c r="K1764" t="s">
        <v>936</v>
      </c>
    </row>
    <row r="1765" spans="1:11" x14ac:dyDescent="0.3">
      <c r="A1765">
        <v>2026</v>
      </c>
      <c r="B1765" s="69">
        <v>8</v>
      </c>
      <c r="C1765" s="3" t="s">
        <v>150</v>
      </c>
      <c r="D1765" s="4" t="s">
        <v>104</v>
      </c>
      <c r="E1765" s="4" t="s">
        <v>232</v>
      </c>
      <c r="F1765" s="61" t="s">
        <v>232</v>
      </c>
      <c r="G1765" s="4" t="s">
        <v>425</v>
      </c>
      <c r="H1765" s="62">
        <v>3000</v>
      </c>
      <c r="I1765" s="22">
        <v>2500</v>
      </c>
      <c r="K1765" t="s">
        <v>987</v>
      </c>
    </row>
    <row r="1766" spans="1:11" x14ac:dyDescent="0.3">
      <c r="A1766">
        <v>2026</v>
      </c>
      <c r="B1766" s="69">
        <v>8</v>
      </c>
      <c r="C1766" s="3" t="s">
        <v>11</v>
      </c>
      <c r="D1766" s="4" t="s">
        <v>12</v>
      </c>
      <c r="E1766" s="4" t="s">
        <v>232</v>
      </c>
      <c r="F1766" s="61" t="s">
        <v>232</v>
      </c>
      <c r="G1766" s="4" t="s">
        <v>234</v>
      </c>
      <c r="H1766" s="62">
        <v>2700</v>
      </c>
      <c r="I1766" s="22">
        <v>2500</v>
      </c>
      <c r="K1766" t="s">
        <v>946</v>
      </c>
    </row>
    <row r="1767" spans="1:11" x14ac:dyDescent="0.3">
      <c r="A1767">
        <v>2026</v>
      </c>
      <c r="B1767" s="69">
        <v>8</v>
      </c>
      <c r="C1767" s="3" t="s">
        <v>139</v>
      </c>
      <c r="D1767" s="4" t="s">
        <v>10</v>
      </c>
      <c r="E1767" s="4" t="s">
        <v>232</v>
      </c>
      <c r="F1767" s="61" t="s">
        <v>232</v>
      </c>
      <c r="G1767" s="4" t="s">
        <v>234</v>
      </c>
      <c r="H1767" s="62">
        <v>2132.8571428571431</v>
      </c>
      <c r="I1767" s="22">
        <v>2500</v>
      </c>
      <c r="K1767" t="s">
        <v>945</v>
      </c>
    </row>
    <row r="1768" spans="1:11" x14ac:dyDescent="0.3">
      <c r="A1768">
        <v>2026</v>
      </c>
      <c r="B1768" s="69">
        <v>8</v>
      </c>
      <c r="C1768" s="3" t="s">
        <v>80</v>
      </c>
      <c r="D1768" s="4" t="s">
        <v>81</v>
      </c>
      <c r="E1768" s="4" t="s">
        <v>232</v>
      </c>
      <c r="F1768" s="61" t="s">
        <v>232</v>
      </c>
      <c r="G1768" s="4" t="s">
        <v>234</v>
      </c>
      <c r="H1768" s="62">
        <v>2500</v>
      </c>
      <c r="I1768" s="22">
        <v>2500</v>
      </c>
      <c r="K1768" t="s">
        <v>947</v>
      </c>
    </row>
    <row r="1769" spans="1:11" x14ac:dyDescent="0.3">
      <c r="A1769">
        <v>2026</v>
      </c>
      <c r="B1769" s="69">
        <v>8</v>
      </c>
      <c r="C1769" s="3" t="s">
        <v>13</v>
      </c>
      <c r="D1769" s="4" t="s">
        <v>14</v>
      </c>
      <c r="E1769" s="4" t="s">
        <v>232</v>
      </c>
      <c r="F1769" s="61" t="s">
        <v>232</v>
      </c>
      <c r="G1769" s="4" t="s">
        <v>234</v>
      </c>
      <c r="H1769" s="62">
        <v>2700</v>
      </c>
      <c r="I1769" s="22">
        <v>2500</v>
      </c>
      <c r="K1769" t="s">
        <v>948</v>
      </c>
    </row>
    <row r="1770" spans="1:11" x14ac:dyDescent="0.3">
      <c r="A1770">
        <v>2026</v>
      </c>
      <c r="B1770" s="69">
        <v>8</v>
      </c>
      <c r="C1770" s="3" t="s">
        <v>15</v>
      </c>
      <c r="D1770" s="4" t="s">
        <v>137</v>
      </c>
      <c r="E1770" s="4" t="s">
        <v>232</v>
      </c>
      <c r="F1770" s="61" t="s">
        <v>232</v>
      </c>
      <c r="G1770" s="4" t="s">
        <v>234</v>
      </c>
      <c r="H1770" s="62">
        <v>1111.0511999999999</v>
      </c>
      <c r="I1770" s="22">
        <v>2500</v>
      </c>
      <c r="K1770" t="s">
        <v>944</v>
      </c>
    </row>
    <row r="1771" spans="1:11" x14ac:dyDescent="0.3">
      <c r="A1771">
        <v>2026</v>
      </c>
      <c r="B1771" s="69">
        <v>8</v>
      </c>
      <c r="C1771" s="3" t="s">
        <v>120</v>
      </c>
      <c r="D1771" s="4" t="s">
        <v>38</v>
      </c>
      <c r="E1771" s="4" t="s">
        <v>232</v>
      </c>
      <c r="F1771" s="61" t="s">
        <v>232</v>
      </c>
      <c r="G1771" s="4" t="s">
        <v>234</v>
      </c>
      <c r="H1771" s="62">
        <v>3000</v>
      </c>
      <c r="I1771" s="22">
        <v>2500</v>
      </c>
      <c r="K1771" t="s">
        <v>949</v>
      </c>
    </row>
    <row r="1772" spans="1:11" x14ac:dyDescent="0.3">
      <c r="A1772">
        <v>2026</v>
      </c>
      <c r="B1772" s="69">
        <v>8</v>
      </c>
      <c r="C1772" s="3" t="s">
        <v>111</v>
      </c>
      <c r="D1772" s="4" t="s">
        <v>63</v>
      </c>
      <c r="E1772" s="4" t="s">
        <v>291</v>
      </c>
      <c r="F1772" s="61" t="s">
        <v>291</v>
      </c>
      <c r="G1772" s="4" t="s">
        <v>234</v>
      </c>
      <c r="H1772" s="62">
        <v>3031</v>
      </c>
      <c r="I1772" s="22">
        <v>2500</v>
      </c>
      <c r="K1772" t="s">
        <v>950</v>
      </c>
    </row>
    <row r="1773" spans="1:11" x14ac:dyDescent="0.3">
      <c r="A1773">
        <v>2026</v>
      </c>
      <c r="B1773" s="69">
        <v>8</v>
      </c>
      <c r="C1773" s="3" t="s">
        <v>111</v>
      </c>
      <c r="D1773" s="4" t="s">
        <v>16</v>
      </c>
      <c r="E1773" s="4" t="s">
        <v>232</v>
      </c>
      <c r="F1773" s="61" t="s">
        <v>232</v>
      </c>
      <c r="G1773" s="4" t="s">
        <v>234</v>
      </c>
      <c r="H1773" s="62">
        <v>585</v>
      </c>
      <c r="I1773" s="22"/>
      <c r="K1773" t="s">
        <v>950</v>
      </c>
    </row>
    <row r="1774" spans="1:11" x14ac:dyDescent="0.3">
      <c r="A1774">
        <v>2026</v>
      </c>
      <c r="B1774" s="69">
        <v>8</v>
      </c>
      <c r="C1774" s="3" t="s">
        <v>121</v>
      </c>
      <c r="D1774" s="4" t="s">
        <v>156</v>
      </c>
      <c r="E1774" s="4" t="s">
        <v>232</v>
      </c>
      <c r="F1774" s="61" t="s">
        <v>232</v>
      </c>
      <c r="G1774" s="4" t="s">
        <v>234</v>
      </c>
      <c r="H1774" s="62">
        <v>3088</v>
      </c>
      <c r="I1774" s="22">
        <v>2500</v>
      </c>
      <c r="K1774" t="s">
        <v>951</v>
      </c>
    </row>
    <row r="1775" spans="1:11" x14ac:dyDescent="0.3">
      <c r="A1775">
        <v>2026</v>
      </c>
      <c r="B1775" s="69">
        <v>8</v>
      </c>
      <c r="C1775" s="3" t="s">
        <v>17</v>
      </c>
      <c r="D1775" s="4" t="s">
        <v>18</v>
      </c>
      <c r="E1775" s="4" t="s">
        <v>232</v>
      </c>
      <c r="F1775" s="61" t="s">
        <v>232</v>
      </c>
      <c r="G1775" s="4" t="s">
        <v>234</v>
      </c>
      <c r="H1775" s="62">
        <v>2699.3999999999987</v>
      </c>
      <c r="I1775" s="22">
        <v>2500</v>
      </c>
      <c r="K1775" t="s">
        <v>952</v>
      </c>
    </row>
    <row r="1776" spans="1:11" x14ac:dyDescent="0.3">
      <c r="A1776">
        <v>2026</v>
      </c>
      <c r="B1776" s="2">
        <v>8</v>
      </c>
      <c r="C1776" s="3" t="s">
        <v>149</v>
      </c>
      <c r="D1776" s="4" t="s">
        <v>71</v>
      </c>
      <c r="E1776" s="4" t="s">
        <v>232</v>
      </c>
      <c r="F1776" s="61" t="s">
        <v>232</v>
      </c>
      <c r="G1776" s="4" t="s">
        <v>234</v>
      </c>
      <c r="H1776" s="62">
        <v>3422.6000000000004</v>
      </c>
      <c r="I1776" s="22">
        <v>2500</v>
      </c>
    </row>
    <row r="1777" spans="1:11" x14ac:dyDescent="0.3">
      <c r="A1777">
        <v>2026</v>
      </c>
      <c r="B1777" s="69">
        <v>8</v>
      </c>
      <c r="C1777" s="3" t="s">
        <v>19</v>
      </c>
      <c r="D1777" s="4" t="s">
        <v>20</v>
      </c>
      <c r="E1777" s="4" t="s">
        <v>232</v>
      </c>
      <c r="F1777" s="61" t="s">
        <v>232</v>
      </c>
      <c r="G1777" s="4" t="s">
        <v>234</v>
      </c>
      <c r="H1777" s="62">
        <v>2500</v>
      </c>
      <c r="I1777" s="22">
        <v>2500</v>
      </c>
      <c r="K1777" t="s">
        <v>953</v>
      </c>
    </row>
    <row r="1778" spans="1:11" x14ac:dyDescent="0.3">
      <c r="A1778">
        <v>2026</v>
      </c>
      <c r="B1778" s="69">
        <v>8</v>
      </c>
      <c r="C1778" s="3" t="s">
        <v>128</v>
      </c>
      <c r="D1778" s="4" t="s">
        <v>44</v>
      </c>
      <c r="E1778" s="4" t="s">
        <v>232</v>
      </c>
      <c r="F1778" s="61" t="s">
        <v>232</v>
      </c>
      <c r="G1778" s="4" t="s">
        <v>234</v>
      </c>
      <c r="H1778" s="62">
        <v>3000</v>
      </c>
      <c r="I1778" s="22">
        <v>2500</v>
      </c>
      <c r="K1778" t="s">
        <v>954</v>
      </c>
    </row>
    <row r="1779" spans="1:11" x14ac:dyDescent="0.3">
      <c r="A1779">
        <v>2026</v>
      </c>
      <c r="B1779" s="69">
        <v>8</v>
      </c>
      <c r="C1779" s="3" t="s">
        <v>128</v>
      </c>
      <c r="D1779" s="4" t="s">
        <v>155</v>
      </c>
      <c r="E1779" s="4" t="s">
        <v>232</v>
      </c>
      <c r="F1779" s="61" t="s">
        <v>232</v>
      </c>
      <c r="G1779" s="4" t="s">
        <v>234</v>
      </c>
      <c r="H1779" s="62">
        <v>500</v>
      </c>
      <c r="I1779" s="22"/>
      <c r="K1779" t="s">
        <v>954</v>
      </c>
    </row>
    <row r="1780" spans="1:11" x14ac:dyDescent="0.3">
      <c r="A1780">
        <v>2026</v>
      </c>
      <c r="B1780" s="69">
        <v>8</v>
      </c>
      <c r="C1780" s="3" t="s">
        <v>21</v>
      </c>
      <c r="D1780" s="4" t="s">
        <v>22</v>
      </c>
      <c r="E1780" s="4" t="s">
        <v>232</v>
      </c>
      <c r="F1780" s="61" t="s">
        <v>232</v>
      </c>
      <c r="G1780" s="4" t="s">
        <v>234</v>
      </c>
      <c r="H1780" s="62">
        <v>3162.7799999999997</v>
      </c>
      <c r="I1780" s="22">
        <v>2500</v>
      </c>
      <c r="K1780" t="s">
        <v>955</v>
      </c>
    </row>
    <row r="1781" spans="1:11" x14ac:dyDescent="0.3">
      <c r="A1781">
        <v>2026</v>
      </c>
      <c r="B1781" s="2">
        <v>8</v>
      </c>
      <c r="C1781" s="3" t="s">
        <v>134</v>
      </c>
      <c r="D1781" s="4" t="s">
        <v>52</v>
      </c>
      <c r="E1781" s="4" t="s">
        <v>232</v>
      </c>
      <c r="F1781" s="61" t="s">
        <v>232</v>
      </c>
      <c r="G1781" s="4" t="s">
        <v>234</v>
      </c>
      <c r="H1781" s="62">
        <v>-1396.1457142857143</v>
      </c>
      <c r="I1781" s="22">
        <v>2500</v>
      </c>
      <c r="K1781" t="s">
        <v>988</v>
      </c>
    </row>
    <row r="1782" spans="1:11" x14ac:dyDescent="0.3">
      <c r="A1782">
        <v>2026</v>
      </c>
      <c r="B1782" s="69">
        <v>8</v>
      </c>
      <c r="C1782" s="3" t="s">
        <v>64</v>
      </c>
      <c r="D1782" s="4" t="s">
        <v>140</v>
      </c>
      <c r="E1782" s="4" t="s">
        <v>232</v>
      </c>
      <c r="F1782" s="61" t="s">
        <v>232</v>
      </c>
      <c r="G1782" s="4" t="s">
        <v>234</v>
      </c>
      <c r="H1782" s="62">
        <v>2700</v>
      </c>
      <c r="I1782" s="22">
        <v>2500</v>
      </c>
      <c r="K1782" t="s">
        <v>956</v>
      </c>
    </row>
    <row r="1783" spans="1:11" x14ac:dyDescent="0.3">
      <c r="A1783">
        <v>2026</v>
      </c>
      <c r="B1783" s="69">
        <v>8</v>
      </c>
      <c r="C1783" s="3" t="s">
        <v>90</v>
      </c>
      <c r="D1783" s="4" t="s">
        <v>16</v>
      </c>
      <c r="E1783" s="4" t="s">
        <v>232</v>
      </c>
      <c r="F1783" s="61" t="s">
        <v>232</v>
      </c>
      <c r="G1783" s="4" t="s">
        <v>234</v>
      </c>
      <c r="H1783" s="62">
        <v>3000</v>
      </c>
      <c r="I1783" s="22">
        <v>2500</v>
      </c>
      <c r="K1783" t="s">
        <v>957</v>
      </c>
    </row>
    <row r="1784" spans="1:11" x14ac:dyDescent="0.3">
      <c r="A1784">
        <v>2026</v>
      </c>
      <c r="B1784" s="69">
        <v>8</v>
      </c>
      <c r="C1784" s="3" t="s">
        <v>23</v>
      </c>
      <c r="D1784" s="4" t="s">
        <v>24</v>
      </c>
      <c r="E1784" s="4" t="s">
        <v>232</v>
      </c>
      <c r="F1784" s="61" t="s">
        <v>232</v>
      </c>
      <c r="G1784" s="4" t="s">
        <v>234</v>
      </c>
      <c r="H1784" s="62">
        <v>3347.6887999999994</v>
      </c>
      <c r="I1784" s="22">
        <v>2500</v>
      </c>
      <c r="K1784" t="s">
        <v>958</v>
      </c>
    </row>
    <row r="1785" spans="1:11" x14ac:dyDescent="0.3">
      <c r="A1785">
        <v>2026</v>
      </c>
      <c r="B1785" s="69">
        <v>8</v>
      </c>
      <c r="C1785" s="3" t="s">
        <v>23</v>
      </c>
      <c r="D1785" s="4" t="s">
        <v>22</v>
      </c>
      <c r="E1785" s="4" t="s">
        <v>232</v>
      </c>
      <c r="F1785" s="61" t="s">
        <v>232</v>
      </c>
      <c r="G1785" s="4" t="s">
        <v>234</v>
      </c>
      <c r="H1785" s="62">
        <v>500</v>
      </c>
      <c r="I1785" s="22"/>
    </row>
    <row r="1786" spans="1:11" x14ac:dyDescent="0.3">
      <c r="A1786">
        <v>2026</v>
      </c>
      <c r="B1786" s="69">
        <v>8</v>
      </c>
      <c r="C1786" s="3" t="s">
        <v>108</v>
      </c>
      <c r="D1786" s="4" t="s">
        <v>75</v>
      </c>
      <c r="E1786" s="4" t="s">
        <v>241</v>
      </c>
      <c r="F1786" s="61" t="s">
        <v>291</v>
      </c>
      <c r="G1786" s="4" t="s">
        <v>234</v>
      </c>
      <c r="H1786" s="62">
        <v>3700</v>
      </c>
      <c r="I1786" s="22">
        <v>2500</v>
      </c>
      <c r="K1786" t="s">
        <v>959</v>
      </c>
    </row>
    <row r="1787" spans="1:11" x14ac:dyDescent="0.3">
      <c r="A1787">
        <v>2026</v>
      </c>
      <c r="B1787" s="69">
        <v>8</v>
      </c>
      <c r="C1787" s="3" t="s">
        <v>85</v>
      </c>
      <c r="D1787" s="4" t="s">
        <v>86</v>
      </c>
      <c r="E1787" s="4" t="s">
        <v>232</v>
      </c>
      <c r="F1787" s="61" t="s">
        <v>232</v>
      </c>
      <c r="G1787" s="4" t="s">
        <v>234</v>
      </c>
      <c r="H1787" s="62">
        <v>3000</v>
      </c>
      <c r="I1787" s="22">
        <v>2500</v>
      </c>
      <c r="K1787" t="s">
        <v>960</v>
      </c>
    </row>
    <row r="1788" spans="1:11" x14ac:dyDescent="0.3">
      <c r="A1788">
        <v>2026</v>
      </c>
      <c r="B1788" s="69">
        <v>8</v>
      </c>
      <c r="C1788" s="4" t="s">
        <v>172</v>
      </c>
      <c r="D1788" s="4" t="s">
        <v>40</v>
      </c>
      <c r="E1788" s="4" t="s">
        <v>232</v>
      </c>
      <c r="F1788" s="4" t="s">
        <v>232</v>
      </c>
      <c r="G1788" s="4" t="s">
        <v>234</v>
      </c>
      <c r="H1788" s="62">
        <v>-135.54548571428575</v>
      </c>
      <c r="I1788" s="22">
        <v>2500</v>
      </c>
      <c r="K1788" t="s">
        <v>939</v>
      </c>
    </row>
    <row r="1789" spans="1:11" x14ac:dyDescent="0.3">
      <c r="A1789">
        <v>2026</v>
      </c>
      <c r="B1789" s="69">
        <v>8</v>
      </c>
      <c r="C1789" s="3" t="s">
        <v>136</v>
      </c>
      <c r="D1789" s="4" t="s">
        <v>56</v>
      </c>
      <c r="E1789" s="4" t="s">
        <v>241</v>
      </c>
      <c r="F1789" s="61" t="s">
        <v>291</v>
      </c>
      <c r="G1789" s="4" t="s">
        <v>234</v>
      </c>
      <c r="H1789" s="62">
        <v>2599.08</v>
      </c>
      <c r="I1789" s="22">
        <v>2500</v>
      </c>
      <c r="K1789" t="s">
        <v>961</v>
      </c>
    </row>
    <row r="1790" spans="1:11" x14ac:dyDescent="0.3">
      <c r="A1790">
        <v>2026</v>
      </c>
      <c r="B1790" s="2">
        <v>8</v>
      </c>
      <c r="C1790" t="s">
        <v>176</v>
      </c>
      <c r="D1790" s="4" t="s">
        <v>158</v>
      </c>
      <c r="E1790" s="4" t="s">
        <v>232</v>
      </c>
      <c r="F1790" s="61" t="s">
        <v>232</v>
      </c>
      <c r="G1790" s="4" t="s">
        <v>234</v>
      </c>
      <c r="H1790" s="62">
        <v>164</v>
      </c>
      <c r="I1790" s="22">
        <v>2500</v>
      </c>
    </row>
    <row r="1791" spans="1:11" x14ac:dyDescent="0.3">
      <c r="A1791">
        <v>2026</v>
      </c>
      <c r="B1791" s="69">
        <v>8</v>
      </c>
      <c r="C1791" s="3" t="s">
        <v>25</v>
      </c>
      <c r="D1791" s="4" t="s">
        <v>26</v>
      </c>
      <c r="E1791" s="4" t="s">
        <v>232</v>
      </c>
      <c r="F1791" s="61" t="s">
        <v>232</v>
      </c>
      <c r="G1791" s="4" t="s">
        <v>234</v>
      </c>
      <c r="H1791" s="62">
        <v>1416</v>
      </c>
      <c r="I1791" s="22">
        <v>2500</v>
      </c>
      <c r="K1791" t="s">
        <v>962</v>
      </c>
    </row>
    <row r="1792" spans="1:11" x14ac:dyDescent="0.3">
      <c r="A1792">
        <v>2026</v>
      </c>
      <c r="B1792" s="2">
        <v>8</v>
      </c>
      <c r="C1792" t="s">
        <v>177</v>
      </c>
      <c r="D1792" s="4" t="s">
        <v>40</v>
      </c>
      <c r="E1792" s="4" t="s">
        <v>232</v>
      </c>
      <c r="F1792" s="61" t="s">
        <v>232</v>
      </c>
      <c r="G1792" s="4" t="s">
        <v>234</v>
      </c>
      <c r="H1792" s="62">
        <v>4029.0600000000004</v>
      </c>
      <c r="I1792" s="22">
        <v>2500</v>
      </c>
    </row>
    <row r="1793" spans="1:11" x14ac:dyDescent="0.3">
      <c r="A1793">
        <v>2026</v>
      </c>
      <c r="B1793" s="69">
        <v>8</v>
      </c>
      <c r="C1793" s="3" t="s">
        <v>27</v>
      </c>
      <c r="D1793" s="4" t="s">
        <v>137</v>
      </c>
      <c r="E1793" s="4" t="s">
        <v>232</v>
      </c>
      <c r="F1793" s="61" t="s">
        <v>232</v>
      </c>
      <c r="G1793" s="4" t="s">
        <v>234</v>
      </c>
      <c r="H1793" s="62">
        <v>-500</v>
      </c>
      <c r="I1793" s="22">
        <v>2500</v>
      </c>
      <c r="K1793" t="s">
        <v>963</v>
      </c>
    </row>
    <row r="1794" spans="1:11" x14ac:dyDescent="0.3">
      <c r="A1794">
        <v>2026</v>
      </c>
      <c r="B1794" s="69">
        <v>8</v>
      </c>
      <c r="C1794" s="3" t="s">
        <v>9</v>
      </c>
      <c r="D1794" s="4" t="s">
        <v>10</v>
      </c>
      <c r="E1794" s="4" t="s">
        <v>232</v>
      </c>
      <c r="F1794" s="61" t="s">
        <v>232</v>
      </c>
      <c r="G1794" s="4" t="s">
        <v>425</v>
      </c>
      <c r="H1794" s="62">
        <v>-1484</v>
      </c>
      <c r="I1794" s="22">
        <v>2500</v>
      </c>
    </row>
    <row r="1795" spans="1:11" x14ac:dyDescent="0.3">
      <c r="A1795">
        <v>2026</v>
      </c>
      <c r="B1795" s="69">
        <v>8</v>
      </c>
      <c r="C1795" s="3" t="s">
        <v>70</v>
      </c>
      <c r="D1795" s="4" t="s">
        <v>71</v>
      </c>
      <c r="E1795" s="4" t="s">
        <v>232</v>
      </c>
      <c r="F1795" s="61" t="s">
        <v>232</v>
      </c>
      <c r="G1795" s="4" t="s">
        <v>234</v>
      </c>
      <c r="H1795" s="62">
        <v>309</v>
      </c>
      <c r="I1795" s="22">
        <v>2500</v>
      </c>
    </row>
    <row r="1796" spans="1:11" x14ac:dyDescent="0.3">
      <c r="A1796">
        <v>2026</v>
      </c>
      <c r="B1796" s="69">
        <v>8</v>
      </c>
      <c r="C1796" s="3" t="s">
        <v>29</v>
      </c>
      <c r="D1796" s="4" t="s">
        <v>141</v>
      </c>
      <c r="E1796" s="4" t="s">
        <v>232</v>
      </c>
      <c r="F1796" s="61" t="s">
        <v>232</v>
      </c>
      <c r="G1796" s="4" t="s">
        <v>234</v>
      </c>
      <c r="H1796" s="62">
        <v>169.44080000000031</v>
      </c>
      <c r="I1796" s="22">
        <v>2500</v>
      </c>
    </row>
    <row r="1797" spans="1:11" x14ac:dyDescent="0.3">
      <c r="A1797">
        <v>2026</v>
      </c>
      <c r="B1797" s="69">
        <v>8</v>
      </c>
      <c r="C1797" s="3" t="s">
        <v>109</v>
      </c>
      <c r="D1797" s="4" t="s">
        <v>142</v>
      </c>
      <c r="E1797" s="4" t="s">
        <v>232</v>
      </c>
      <c r="F1797" s="61" t="s">
        <v>232</v>
      </c>
      <c r="G1797" s="4" t="s">
        <v>425</v>
      </c>
      <c r="H1797" s="62">
        <v>-3840</v>
      </c>
      <c r="I1797" s="22">
        <v>2500</v>
      </c>
      <c r="K1797" t="s">
        <v>964</v>
      </c>
    </row>
    <row r="1798" spans="1:11" x14ac:dyDescent="0.3">
      <c r="A1798">
        <v>2026</v>
      </c>
      <c r="B1798" s="69">
        <v>8</v>
      </c>
      <c r="C1798" s="3" t="s">
        <v>72</v>
      </c>
      <c r="D1798" s="4" t="s">
        <v>73</v>
      </c>
      <c r="E1798" s="4" t="s">
        <v>241</v>
      </c>
      <c r="F1798" s="61" t="s">
        <v>291</v>
      </c>
      <c r="G1798" s="4" t="s">
        <v>234</v>
      </c>
      <c r="H1798" s="62">
        <v>3200</v>
      </c>
      <c r="I1798" s="22">
        <v>2500</v>
      </c>
      <c r="K1798" t="s">
        <v>965</v>
      </c>
    </row>
    <row r="1799" spans="1:11" x14ac:dyDescent="0.3">
      <c r="A1799">
        <v>2026</v>
      </c>
      <c r="B1799" s="69">
        <v>8</v>
      </c>
      <c r="C1799" s="3" t="s">
        <v>92</v>
      </c>
      <c r="D1799" s="4" t="s">
        <v>30</v>
      </c>
      <c r="E1799" s="4" t="s">
        <v>232</v>
      </c>
      <c r="F1799" s="61" t="s">
        <v>232</v>
      </c>
      <c r="G1799" s="4" t="s">
        <v>234</v>
      </c>
      <c r="H1799" s="62">
        <v>3000</v>
      </c>
      <c r="I1799" s="22">
        <v>2500</v>
      </c>
      <c r="K1799" t="s">
        <v>966</v>
      </c>
    </row>
    <row r="1800" spans="1:11" x14ac:dyDescent="0.3">
      <c r="A1800">
        <v>2026</v>
      </c>
      <c r="B1800" s="69">
        <v>8</v>
      </c>
      <c r="C1800" s="3" t="s">
        <v>105</v>
      </c>
      <c r="D1800" s="4" t="s">
        <v>106</v>
      </c>
      <c r="E1800" s="4" t="s">
        <v>232</v>
      </c>
      <c r="F1800" s="61" t="s">
        <v>232</v>
      </c>
      <c r="G1800" s="4" t="s">
        <v>425</v>
      </c>
      <c r="H1800" s="62">
        <v>2600</v>
      </c>
      <c r="I1800" s="22">
        <v>2500</v>
      </c>
      <c r="K1800" t="s">
        <v>967</v>
      </c>
    </row>
    <row r="1801" spans="1:11" x14ac:dyDescent="0.3">
      <c r="A1801">
        <v>2026</v>
      </c>
      <c r="B1801" s="69">
        <v>8</v>
      </c>
      <c r="C1801" s="3" t="s">
        <v>31</v>
      </c>
      <c r="D1801" s="4" t="s">
        <v>143</v>
      </c>
      <c r="E1801" s="4" t="s">
        <v>232</v>
      </c>
      <c r="F1801" s="61" t="s">
        <v>232</v>
      </c>
      <c r="G1801" s="4" t="s">
        <v>234</v>
      </c>
      <c r="H1801" s="62">
        <v>2700</v>
      </c>
      <c r="I1801" s="22">
        <v>2500</v>
      </c>
      <c r="K1801" t="s">
        <v>968</v>
      </c>
    </row>
    <row r="1802" spans="1:11" x14ac:dyDescent="0.3">
      <c r="A1802">
        <v>2026</v>
      </c>
      <c r="B1802" s="69">
        <v>8</v>
      </c>
      <c r="C1802" s="3" t="s">
        <v>91</v>
      </c>
      <c r="D1802" s="4" t="s">
        <v>144</v>
      </c>
      <c r="E1802" s="4" t="s">
        <v>232</v>
      </c>
      <c r="F1802" s="61" t="s">
        <v>232</v>
      </c>
      <c r="G1802" s="4" t="s">
        <v>234</v>
      </c>
      <c r="H1802" s="62">
        <v>320.65999999999985</v>
      </c>
      <c r="I1802" s="22">
        <v>2500</v>
      </c>
      <c r="K1802" t="s">
        <v>969</v>
      </c>
    </row>
    <row r="1803" spans="1:11" x14ac:dyDescent="0.3">
      <c r="A1803">
        <v>2026</v>
      </c>
      <c r="B1803" s="69">
        <v>8</v>
      </c>
      <c r="C1803" s="3" t="s">
        <v>33</v>
      </c>
      <c r="D1803" s="4" t="s">
        <v>67</v>
      </c>
      <c r="E1803" s="4" t="s">
        <v>232</v>
      </c>
      <c r="F1803" s="61" t="s">
        <v>232</v>
      </c>
      <c r="G1803" s="4" t="s">
        <v>234</v>
      </c>
      <c r="H1803" s="62">
        <v>68.640000000000327</v>
      </c>
      <c r="I1803" s="22">
        <v>2500</v>
      </c>
      <c r="K1803" t="s">
        <v>970</v>
      </c>
    </row>
    <row r="1804" spans="1:11" x14ac:dyDescent="0.3">
      <c r="A1804">
        <v>2026</v>
      </c>
      <c r="B1804" s="69">
        <v>8</v>
      </c>
      <c r="C1804" s="4" t="s">
        <v>173</v>
      </c>
      <c r="D1804" s="4" t="s">
        <v>52</v>
      </c>
      <c r="E1804" s="4" t="s">
        <v>232</v>
      </c>
      <c r="F1804" s="4" t="s">
        <v>232</v>
      </c>
      <c r="G1804" s="4" t="s">
        <v>234</v>
      </c>
      <c r="H1804" s="62">
        <v>1286.3257142857142</v>
      </c>
      <c r="I1804" s="22">
        <v>2500</v>
      </c>
      <c r="K1804" t="s">
        <v>940</v>
      </c>
    </row>
    <row r="1805" spans="1:11" x14ac:dyDescent="0.3">
      <c r="A1805">
        <v>2026</v>
      </c>
      <c r="B1805" s="69">
        <v>8</v>
      </c>
      <c r="C1805" s="4" t="s">
        <v>175</v>
      </c>
      <c r="D1805" s="4" t="s">
        <v>69</v>
      </c>
      <c r="E1805" s="4" t="s">
        <v>232</v>
      </c>
      <c r="F1805" s="4" t="s">
        <v>232</v>
      </c>
      <c r="G1805" s="4" t="s">
        <v>425</v>
      </c>
      <c r="H1805" s="62">
        <v>857.87028285714268</v>
      </c>
      <c r="I1805" s="22">
        <v>2500</v>
      </c>
      <c r="K1805" t="s">
        <v>942</v>
      </c>
    </row>
    <row r="1806" spans="1:11" x14ac:dyDescent="0.3">
      <c r="A1806">
        <v>2026</v>
      </c>
      <c r="B1806" s="69">
        <v>8</v>
      </c>
      <c r="C1806" s="3" t="s">
        <v>35</v>
      </c>
      <c r="D1806" s="4" t="s">
        <v>36</v>
      </c>
      <c r="E1806" s="4" t="s">
        <v>232</v>
      </c>
      <c r="F1806" s="61" t="s">
        <v>232</v>
      </c>
      <c r="G1806" s="4" t="s">
        <v>234</v>
      </c>
      <c r="H1806" s="62">
        <v>2294.4285714285716</v>
      </c>
      <c r="I1806" s="22">
        <v>2500</v>
      </c>
      <c r="K1806" t="s">
        <v>971</v>
      </c>
    </row>
    <row r="1807" spans="1:11" x14ac:dyDescent="0.3">
      <c r="A1807">
        <v>2026</v>
      </c>
      <c r="B1807" s="69">
        <v>8</v>
      </c>
      <c r="C1807" s="3" t="s">
        <v>37</v>
      </c>
      <c r="D1807" s="4" t="s">
        <v>24</v>
      </c>
      <c r="E1807" s="4" t="s">
        <v>232</v>
      </c>
      <c r="F1807" s="61" t="s">
        <v>232</v>
      </c>
      <c r="G1807" s="4" t="s">
        <v>234</v>
      </c>
      <c r="H1807" s="62">
        <v>-719.2000000000005</v>
      </c>
      <c r="I1807" s="22">
        <v>2500</v>
      </c>
    </row>
    <row r="1808" spans="1:11" x14ac:dyDescent="0.3">
      <c r="A1808">
        <v>2026</v>
      </c>
      <c r="B1808" s="69">
        <v>8</v>
      </c>
      <c r="C1808" s="4" t="s">
        <v>174</v>
      </c>
      <c r="D1808" s="4" t="s">
        <v>77</v>
      </c>
      <c r="E1808" s="4" t="s">
        <v>232</v>
      </c>
      <c r="F1808" s="4" t="s">
        <v>232</v>
      </c>
      <c r="G1808" s="4" t="s">
        <v>234</v>
      </c>
      <c r="H1808" s="62">
        <v>857.14285714285722</v>
      </c>
      <c r="I1808" s="22">
        <v>2500</v>
      </c>
      <c r="K1808" t="s">
        <v>941</v>
      </c>
    </row>
    <row r="1809" spans="1:11" x14ac:dyDescent="0.3">
      <c r="A1809">
        <v>2026</v>
      </c>
      <c r="B1809" s="69">
        <v>8</v>
      </c>
      <c r="C1809" s="3" t="s">
        <v>138</v>
      </c>
      <c r="D1809" s="4" t="s">
        <v>50</v>
      </c>
      <c r="E1809" s="4" t="s">
        <v>232</v>
      </c>
      <c r="F1809" s="61" t="s">
        <v>232</v>
      </c>
      <c r="G1809" s="4" t="s">
        <v>234</v>
      </c>
      <c r="H1809" s="62">
        <v>3000</v>
      </c>
      <c r="I1809" s="22">
        <v>2500</v>
      </c>
    </row>
    <row r="1810" spans="1:11" x14ac:dyDescent="0.3">
      <c r="A1810">
        <v>2026</v>
      </c>
      <c r="B1810" s="69">
        <v>8</v>
      </c>
      <c r="C1810" s="3" t="s">
        <v>114</v>
      </c>
      <c r="D1810" s="4" t="s">
        <v>46</v>
      </c>
      <c r="E1810" s="4" t="s">
        <v>232</v>
      </c>
      <c r="F1810" s="61" t="s">
        <v>232</v>
      </c>
      <c r="G1810" s="4" t="s">
        <v>234</v>
      </c>
      <c r="H1810" s="62">
        <v>2000</v>
      </c>
      <c r="I1810" s="22">
        <v>2500</v>
      </c>
      <c r="K1810" t="s">
        <v>972</v>
      </c>
    </row>
    <row r="1811" spans="1:11" x14ac:dyDescent="0.3">
      <c r="A1811">
        <v>2026</v>
      </c>
      <c r="B1811" s="69">
        <v>8</v>
      </c>
      <c r="C1811" s="3" t="s">
        <v>43</v>
      </c>
      <c r="D1811" s="4" t="s">
        <v>145</v>
      </c>
      <c r="E1811" s="4" t="s">
        <v>232</v>
      </c>
      <c r="F1811" s="61" t="s">
        <v>232</v>
      </c>
      <c r="G1811" s="4" t="s">
        <v>234</v>
      </c>
      <c r="H1811" s="62">
        <v>2168.96</v>
      </c>
      <c r="I1811" s="22">
        <v>2500</v>
      </c>
      <c r="K1811" t="s">
        <v>973</v>
      </c>
    </row>
    <row r="1812" spans="1:11" x14ac:dyDescent="0.3">
      <c r="A1812">
        <v>2026</v>
      </c>
      <c r="B1812" s="69">
        <v>8</v>
      </c>
      <c r="C1812" s="3" t="s">
        <v>84</v>
      </c>
      <c r="D1812" s="4" t="s">
        <v>146</v>
      </c>
      <c r="E1812" s="4" t="s">
        <v>232</v>
      </c>
      <c r="F1812" s="61" t="s">
        <v>232</v>
      </c>
      <c r="G1812" s="4" t="s">
        <v>234</v>
      </c>
      <c r="H1812" s="62">
        <v>3217.4600000000028</v>
      </c>
      <c r="I1812" s="22">
        <v>2500</v>
      </c>
      <c r="K1812" t="s">
        <v>974</v>
      </c>
    </row>
    <row r="1813" spans="1:11" x14ac:dyDescent="0.3">
      <c r="A1813">
        <v>2026</v>
      </c>
      <c r="B1813" s="69">
        <v>8</v>
      </c>
      <c r="C1813" s="3" t="s">
        <v>89</v>
      </c>
      <c r="D1813" s="4" t="s">
        <v>4</v>
      </c>
      <c r="E1813" s="4" t="s">
        <v>232</v>
      </c>
      <c r="F1813" s="61" t="s">
        <v>232</v>
      </c>
      <c r="G1813" s="4" t="s">
        <v>234</v>
      </c>
      <c r="H1813" s="62">
        <v>3000.7999999999993</v>
      </c>
      <c r="I1813" s="22">
        <v>2500</v>
      </c>
      <c r="K1813" t="s">
        <v>975</v>
      </c>
    </row>
    <row r="1814" spans="1:11" x14ac:dyDescent="0.3">
      <c r="A1814">
        <v>2026</v>
      </c>
      <c r="B1814" s="69">
        <v>8</v>
      </c>
      <c r="C1814" s="3" t="s">
        <v>123</v>
      </c>
      <c r="D1814" s="4" t="s">
        <v>59</v>
      </c>
      <c r="E1814" s="4" t="s">
        <v>232</v>
      </c>
      <c r="F1814" s="61" t="s">
        <v>232</v>
      </c>
      <c r="G1814" s="4" t="s">
        <v>234</v>
      </c>
      <c r="H1814" s="62">
        <v>3000.579999999999</v>
      </c>
      <c r="I1814" s="22">
        <v>2500</v>
      </c>
      <c r="K1814" t="s">
        <v>976</v>
      </c>
    </row>
    <row r="1815" spans="1:11" x14ac:dyDescent="0.3">
      <c r="A1815">
        <v>2026</v>
      </c>
      <c r="B1815" s="69">
        <v>8</v>
      </c>
      <c r="C1815" s="3" t="s">
        <v>5</v>
      </c>
      <c r="D1815" s="4" t="s">
        <v>6</v>
      </c>
      <c r="E1815" s="4" t="s">
        <v>232</v>
      </c>
      <c r="F1815" s="61" t="s">
        <v>232</v>
      </c>
      <c r="G1815" s="4" t="s">
        <v>425</v>
      </c>
      <c r="H1815" s="62">
        <v>-2076</v>
      </c>
      <c r="I1815" s="22">
        <v>2500</v>
      </c>
      <c r="K1815" t="s">
        <v>977</v>
      </c>
    </row>
    <row r="1816" spans="1:11" x14ac:dyDescent="0.3">
      <c r="A1816">
        <v>2026</v>
      </c>
      <c r="B1816" s="69">
        <v>8</v>
      </c>
      <c r="C1816" s="3" t="s">
        <v>5</v>
      </c>
      <c r="D1816" s="4" t="s">
        <v>42</v>
      </c>
      <c r="E1816" s="4" t="s">
        <v>232</v>
      </c>
      <c r="F1816" s="61" t="s">
        <v>232</v>
      </c>
      <c r="G1816" s="4" t="s">
        <v>425</v>
      </c>
      <c r="H1816" s="62">
        <v>500</v>
      </c>
      <c r="I1816" s="22"/>
    </row>
    <row r="1817" spans="1:11" x14ac:dyDescent="0.3">
      <c r="A1817">
        <v>2026</v>
      </c>
      <c r="B1817" s="69">
        <v>8</v>
      </c>
      <c r="C1817" s="3" t="s">
        <v>47</v>
      </c>
      <c r="D1817" s="4" t="s">
        <v>147</v>
      </c>
      <c r="E1817" s="4" t="s">
        <v>232</v>
      </c>
      <c r="F1817" s="61" t="s">
        <v>232</v>
      </c>
      <c r="G1817" s="4" t="s">
        <v>234</v>
      </c>
      <c r="H1817" s="62">
        <v>2700</v>
      </c>
      <c r="I1817" s="22">
        <v>2500</v>
      </c>
      <c r="K1817" t="s">
        <v>978</v>
      </c>
    </row>
    <row r="1818" spans="1:11" x14ac:dyDescent="0.3">
      <c r="A1818">
        <v>2026</v>
      </c>
      <c r="B1818" s="69">
        <v>8</v>
      </c>
      <c r="C1818" s="3" t="s">
        <v>49</v>
      </c>
      <c r="D1818" s="4" t="s">
        <v>96</v>
      </c>
      <c r="E1818" s="4" t="s">
        <v>232</v>
      </c>
      <c r="F1818" s="61" t="s">
        <v>232</v>
      </c>
      <c r="G1818" s="4" t="s">
        <v>234</v>
      </c>
      <c r="H1818" s="62">
        <v>3200</v>
      </c>
      <c r="I1818" s="22">
        <v>2500</v>
      </c>
      <c r="K1818" t="s">
        <v>979</v>
      </c>
    </row>
    <row r="1819" spans="1:11" x14ac:dyDescent="0.3">
      <c r="A1819">
        <v>2026</v>
      </c>
      <c r="B1819" s="69">
        <v>8</v>
      </c>
      <c r="C1819" s="3" t="s">
        <v>49</v>
      </c>
      <c r="D1819" s="4" t="s">
        <v>104</v>
      </c>
      <c r="E1819" s="4" t="s">
        <v>924</v>
      </c>
      <c r="F1819" s="61" t="s">
        <v>232</v>
      </c>
      <c r="G1819" s="4" t="s">
        <v>234</v>
      </c>
      <c r="H1819" s="62">
        <v>700</v>
      </c>
      <c r="I1819" s="22"/>
      <c r="K1819" t="s">
        <v>979</v>
      </c>
    </row>
    <row r="1820" spans="1:11" x14ac:dyDescent="0.3">
      <c r="A1820">
        <v>2026</v>
      </c>
      <c r="B1820" s="69">
        <v>8</v>
      </c>
      <c r="C1820" s="3" t="s">
        <v>115</v>
      </c>
      <c r="D1820" s="4" t="s">
        <v>42</v>
      </c>
      <c r="E1820" s="4" t="s">
        <v>232</v>
      </c>
      <c r="F1820" s="61" t="s">
        <v>232</v>
      </c>
      <c r="G1820" s="4" t="s">
        <v>234</v>
      </c>
      <c r="H1820" s="62">
        <v>2999.8799999999992</v>
      </c>
      <c r="I1820" s="22">
        <v>2500</v>
      </c>
      <c r="K1820" t="s">
        <v>980</v>
      </c>
    </row>
    <row r="1821" spans="1:11" x14ac:dyDescent="0.3">
      <c r="A1821">
        <v>2026</v>
      </c>
      <c r="B1821" s="69">
        <v>8</v>
      </c>
      <c r="C1821" s="3" t="s">
        <v>132</v>
      </c>
      <c r="D1821" s="4" t="s">
        <v>54</v>
      </c>
      <c r="E1821" s="4" t="s">
        <v>232</v>
      </c>
      <c r="F1821" s="61" t="s">
        <v>232</v>
      </c>
      <c r="G1821" s="4" t="s">
        <v>234</v>
      </c>
      <c r="H1821" s="62">
        <v>-6172.4285714285716</v>
      </c>
      <c r="I1821" s="22">
        <v>2500</v>
      </c>
      <c r="K1821" t="s">
        <v>981</v>
      </c>
    </row>
    <row r="1822" spans="1:11" x14ac:dyDescent="0.3">
      <c r="A1822">
        <v>2026</v>
      </c>
      <c r="B1822" s="69">
        <v>8</v>
      </c>
      <c r="C1822" s="3" t="s">
        <v>51</v>
      </c>
      <c r="D1822" s="4" t="s">
        <v>52</v>
      </c>
      <c r="E1822" s="4" t="s">
        <v>232</v>
      </c>
      <c r="F1822" s="61" t="s">
        <v>232</v>
      </c>
      <c r="G1822" s="4" t="s">
        <v>234</v>
      </c>
      <c r="H1822" s="62">
        <v>3200.74</v>
      </c>
      <c r="I1822" s="22">
        <v>2500</v>
      </c>
      <c r="K1822" t="s">
        <v>982</v>
      </c>
    </row>
    <row r="1823" spans="1:11" x14ac:dyDescent="0.3">
      <c r="A1823">
        <v>2026</v>
      </c>
      <c r="B1823" s="69">
        <v>8</v>
      </c>
      <c r="C1823" s="3" t="s">
        <v>131</v>
      </c>
      <c r="D1823" s="4" t="s">
        <v>116</v>
      </c>
      <c r="E1823" s="4" t="s">
        <v>291</v>
      </c>
      <c r="F1823" s="61" t="s">
        <v>291</v>
      </c>
      <c r="G1823" s="4" t="s">
        <v>234</v>
      </c>
      <c r="H1823" s="62">
        <v>3000</v>
      </c>
      <c r="I1823" s="22">
        <v>2500</v>
      </c>
      <c r="K1823" t="s">
        <v>983</v>
      </c>
    </row>
    <row r="1824" spans="1:11" x14ac:dyDescent="0.3">
      <c r="A1824">
        <v>2026</v>
      </c>
      <c r="B1824" s="69">
        <v>8</v>
      </c>
      <c r="C1824" s="3" t="s">
        <v>78</v>
      </c>
      <c r="D1824" s="4" t="s">
        <v>79</v>
      </c>
      <c r="E1824" s="4" t="s">
        <v>291</v>
      </c>
      <c r="F1824" s="61" t="s">
        <v>291</v>
      </c>
      <c r="G1824" s="4" t="s">
        <v>234</v>
      </c>
      <c r="H1824" s="62">
        <v>-2718.08</v>
      </c>
      <c r="I1824" s="22">
        <v>2500</v>
      </c>
    </row>
    <row r="1825" spans="1:11" x14ac:dyDescent="0.3">
      <c r="A1825">
        <v>2026</v>
      </c>
      <c r="B1825" s="69">
        <v>8</v>
      </c>
      <c r="C1825" s="3" t="s">
        <v>107</v>
      </c>
      <c r="D1825" s="4" t="s">
        <v>148</v>
      </c>
      <c r="E1825" s="4" t="s">
        <v>232</v>
      </c>
      <c r="F1825" s="61" t="s">
        <v>232</v>
      </c>
      <c r="G1825" s="4" t="s">
        <v>234</v>
      </c>
      <c r="H1825" s="62">
        <v>3199.7600000000011</v>
      </c>
      <c r="I1825" s="22">
        <v>2500</v>
      </c>
      <c r="K1825" t="s">
        <v>984</v>
      </c>
    </row>
    <row r="1826" spans="1:11" x14ac:dyDescent="0.3">
      <c r="A1826">
        <v>2026</v>
      </c>
      <c r="B1826" s="2">
        <v>8</v>
      </c>
      <c r="C1826" t="s">
        <v>178</v>
      </c>
      <c r="D1826" s="4"/>
      <c r="E1826" s="4" t="s">
        <v>232</v>
      </c>
      <c r="F1826" s="61" t="s">
        <v>232</v>
      </c>
      <c r="G1826" s="4" t="s">
        <v>234</v>
      </c>
      <c r="H1826" s="62">
        <v>1170</v>
      </c>
      <c r="I1826" s="22">
        <v>2500</v>
      </c>
    </row>
    <row r="1827" spans="1:11" x14ac:dyDescent="0.3">
      <c r="A1827">
        <v>2026</v>
      </c>
      <c r="B1827" s="69">
        <v>8</v>
      </c>
      <c r="C1827" s="3" t="s">
        <v>76</v>
      </c>
      <c r="D1827" s="4" t="s">
        <v>40</v>
      </c>
      <c r="E1827" s="4" t="s">
        <v>232</v>
      </c>
      <c r="F1827" s="61" t="s">
        <v>232</v>
      </c>
      <c r="G1827" s="4" t="s">
        <v>234</v>
      </c>
      <c r="H1827" s="62">
        <v>3124.96</v>
      </c>
      <c r="I1827" s="22">
        <v>2500</v>
      </c>
      <c r="K1827" t="s">
        <v>943</v>
      </c>
    </row>
    <row r="1828" spans="1:11" x14ac:dyDescent="0.3">
      <c r="A1828">
        <v>2026</v>
      </c>
      <c r="B1828" s="69">
        <v>8</v>
      </c>
      <c r="C1828" s="3" t="s">
        <v>87</v>
      </c>
      <c r="D1828" s="4" t="s">
        <v>83</v>
      </c>
      <c r="E1828" s="4" t="s">
        <v>232</v>
      </c>
      <c r="F1828" s="61" t="s">
        <v>232</v>
      </c>
      <c r="G1828" s="4" t="s">
        <v>234</v>
      </c>
      <c r="H1828" s="62">
        <v>3199.4799999999996</v>
      </c>
      <c r="I1828" s="22">
        <v>2500</v>
      </c>
      <c r="K1828" t="s">
        <v>985</v>
      </c>
    </row>
    <row r="1829" spans="1:11" x14ac:dyDescent="0.3">
      <c r="A1829">
        <v>2026</v>
      </c>
      <c r="B1829" s="69">
        <v>8</v>
      </c>
      <c r="C1829" s="3" t="s">
        <v>117</v>
      </c>
      <c r="D1829" s="4" t="s">
        <v>118</v>
      </c>
      <c r="E1829" s="4" t="s">
        <v>232</v>
      </c>
      <c r="F1829" s="61" t="s">
        <v>232</v>
      </c>
      <c r="G1829" s="4" t="s">
        <v>234</v>
      </c>
      <c r="H1829" s="62">
        <v>2998.159999999998</v>
      </c>
      <c r="I1829" s="22">
        <v>2500</v>
      </c>
    </row>
    <row r="1830" spans="1:11" x14ac:dyDescent="0.3">
      <c r="A1830">
        <v>2026</v>
      </c>
      <c r="B1830" s="69">
        <v>8</v>
      </c>
      <c r="C1830" s="3" t="s">
        <v>98</v>
      </c>
      <c r="D1830" s="4" t="s">
        <v>112</v>
      </c>
      <c r="E1830" s="4" t="s">
        <v>232</v>
      </c>
      <c r="F1830" s="61" t="s">
        <v>232</v>
      </c>
      <c r="G1830" s="4" t="s">
        <v>234</v>
      </c>
      <c r="H1830" s="62">
        <v>6415.0399999999991</v>
      </c>
      <c r="I1830" s="22">
        <v>2500</v>
      </c>
      <c r="K1830" t="s">
        <v>986</v>
      </c>
    </row>
    <row r="1831" spans="1:11" x14ac:dyDescent="0.3">
      <c r="A1831">
        <v>2026</v>
      </c>
      <c r="B1831" s="69">
        <v>9</v>
      </c>
      <c r="C1831" s="3" t="s">
        <v>150</v>
      </c>
      <c r="D1831" s="4" t="s">
        <v>104</v>
      </c>
      <c r="E1831" s="4" t="s">
        <v>364</v>
      </c>
      <c r="F1831" s="61" t="s">
        <v>364</v>
      </c>
      <c r="G1831" s="4" t="s">
        <v>425</v>
      </c>
      <c r="H1831" s="62">
        <v>3000</v>
      </c>
      <c r="I1831" s="22">
        <v>2500</v>
      </c>
      <c r="K1831" t="s">
        <v>1033</v>
      </c>
    </row>
    <row r="1832" spans="1:11" x14ac:dyDescent="0.3">
      <c r="A1832">
        <v>2026</v>
      </c>
      <c r="B1832" s="69">
        <v>9</v>
      </c>
      <c r="C1832" s="3" t="s">
        <v>11</v>
      </c>
      <c r="D1832" s="4" t="s">
        <v>12</v>
      </c>
      <c r="E1832" s="4" t="s">
        <v>232</v>
      </c>
      <c r="F1832" s="61" t="s">
        <v>232</v>
      </c>
      <c r="G1832" s="4" t="s">
        <v>234</v>
      </c>
      <c r="H1832" s="62">
        <v>-100</v>
      </c>
      <c r="I1832" s="22">
        <v>2500</v>
      </c>
      <c r="K1832" t="s">
        <v>1003</v>
      </c>
    </row>
    <row r="1833" spans="1:11" x14ac:dyDescent="0.3">
      <c r="A1833">
        <v>2026</v>
      </c>
      <c r="B1833" s="69">
        <v>9</v>
      </c>
      <c r="C1833" s="3" t="s">
        <v>139</v>
      </c>
      <c r="D1833" s="4" t="s">
        <v>10</v>
      </c>
      <c r="E1833" s="4" t="s">
        <v>232</v>
      </c>
      <c r="F1833" s="61" t="s">
        <v>232</v>
      </c>
      <c r="G1833" s="4" t="s">
        <v>234</v>
      </c>
      <c r="H1833" s="62">
        <v>3000.0399999999981</v>
      </c>
      <c r="I1833" s="22">
        <v>2500</v>
      </c>
      <c r="K1833" t="s">
        <v>1002</v>
      </c>
    </row>
    <row r="1834" spans="1:11" x14ac:dyDescent="0.3">
      <c r="A1834">
        <v>2026</v>
      </c>
      <c r="B1834" s="69">
        <v>9</v>
      </c>
      <c r="C1834" s="3" t="s">
        <v>80</v>
      </c>
      <c r="D1834" s="4" t="s">
        <v>81</v>
      </c>
      <c r="E1834" s="4" t="s">
        <v>232</v>
      </c>
      <c r="F1834" s="61" t="s">
        <v>232</v>
      </c>
      <c r="G1834" s="4" t="s">
        <v>234</v>
      </c>
      <c r="H1834" s="62">
        <v>2500</v>
      </c>
      <c r="I1834" s="22">
        <v>2500</v>
      </c>
      <c r="K1834" t="s">
        <v>1004</v>
      </c>
    </row>
    <row r="1835" spans="1:11" x14ac:dyDescent="0.3">
      <c r="A1835">
        <v>2026</v>
      </c>
      <c r="B1835" s="69">
        <v>9</v>
      </c>
      <c r="C1835" s="3" t="s">
        <v>13</v>
      </c>
      <c r="D1835" s="4" t="s">
        <v>14</v>
      </c>
      <c r="E1835" s="4" t="s">
        <v>232</v>
      </c>
      <c r="F1835" s="61" t="s">
        <v>232</v>
      </c>
      <c r="G1835" s="4" t="s">
        <v>234</v>
      </c>
      <c r="H1835" s="62">
        <v>2700</v>
      </c>
      <c r="I1835" s="22">
        <v>2500</v>
      </c>
      <c r="K1835" t="s">
        <v>995</v>
      </c>
    </row>
    <row r="1836" spans="1:11" x14ac:dyDescent="0.3">
      <c r="A1836">
        <v>2026</v>
      </c>
      <c r="B1836" s="69">
        <v>9</v>
      </c>
      <c r="C1836" s="4" t="s">
        <v>187</v>
      </c>
      <c r="D1836" s="4" t="s">
        <v>75</v>
      </c>
      <c r="E1836" s="4" t="s">
        <v>241</v>
      </c>
      <c r="F1836" s="4" t="s">
        <v>291</v>
      </c>
      <c r="G1836" s="4" t="s">
        <v>234</v>
      </c>
      <c r="H1836" s="62">
        <v>2571.5714285714271</v>
      </c>
      <c r="I1836" s="22">
        <v>2500</v>
      </c>
      <c r="J1836">
        <v>2000</v>
      </c>
      <c r="K1836" t="s">
        <v>991</v>
      </c>
    </row>
    <row r="1837" spans="1:11" x14ac:dyDescent="0.3">
      <c r="A1837">
        <v>2026</v>
      </c>
      <c r="B1837" s="69">
        <v>9</v>
      </c>
      <c r="C1837" s="3" t="s">
        <v>15</v>
      </c>
      <c r="D1837" s="4" t="s">
        <v>137</v>
      </c>
      <c r="E1837" s="4" t="s">
        <v>232</v>
      </c>
      <c r="F1837" s="61" t="s">
        <v>232</v>
      </c>
      <c r="G1837" s="4" t="s">
        <v>234</v>
      </c>
      <c r="H1837" s="62">
        <v>715.72080000000005</v>
      </c>
      <c r="I1837" s="22">
        <v>2500</v>
      </c>
      <c r="K1837" t="s">
        <v>1001</v>
      </c>
    </row>
    <row r="1838" spans="1:11" x14ac:dyDescent="0.3">
      <c r="A1838">
        <v>2026</v>
      </c>
      <c r="B1838" s="69">
        <v>9</v>
      </c>
      <c r="C1838" s="3" t="s">
        <v>120</v>
      </c>
      <c r="D1838" s="4" t="s">
        <v>38</v>
      </c>
      <c r="E1838" s="4" t="s">
        <v>232</v>
      </c>
      <c r="F1838" s="61" t="s">
        <v>232</v>
      </c>
      <c r="G1838" s="4" t="s">
        <v>234</v>
      </c>
      <c r="H1838" s="62">
        <v>2999.58</v>
      </c>
      <c r="I1838" s="22">
        <v>2500</v>
      </c>
      <c r="K1838" t="s">
        <v>1005</v>
      </c>
    </row>
    <row r="1839" spans="1:11" x14ac:dyDescent="0.3">
      <c r="A1839">
        <v>2026</v>
      </c>
      <c r="B1839" s="69">
        <v>9</v>
      </c>
      <c r="C1839" s="4" t="s">
        <v>186</v>
      </c>
      <c r="D1839" s="4" t="s">
        <v>54</v>
      </c>
      <c r="E1839" s="4" t="s">
        <v>232</v>
      </c>
      <c r="F1839" s="4" t="s">
        <v>232</v>
      </c>
      <c r="G1839" s="4" t="s">
        <v>234</v>
      </c>
      <c r="H1839" s="62">
        <v>2358.0571428571425</v>
      </c>
      <c r="I1839" s="22">
        <v>2500</v>
      </c>
      <c r="J1839">
        <v>1920</v>
      </c>
      <c r="K1839" t="s">
        <v>989</v>
      </c>
    </row>
    <row r="1840" spans="1:11" x14ac:dyDescent="0.3">
      <c r="A1840">
        <v>2026</v>
      </c>
      <c r="B1840" s="69">
        <v>9</v>
      </c>
      <c r="C1840" s="3" t="s">
        <v>111</v>
      </c>
      <c r="D1840" s="4" t="s">
        <v>63</v>
      </c>
      <c r="E1840" s="4" t="s">
        <v>291</v>
      </c>
      <c r="F1840" s="61" t="s">
        <v>291</v>
      </c>
      <c r="G1840" s="4" t="s">
        <v>234</v>
      </c>
      <c r="H1840" s="62">
        <v>2500</v>
      </c>
      <c r="I1840" s="22">
        <v>2500</v>
      </c>
      <c r="K1840" t="s">
        <v>995</v>
      </c>
    </row>
    <row r="1841" spans="1:11" x14ac:dyDescent="0.3">
      <c r="A1841">
        <v>2026</v>
      </c>
      <c r="B1841" s="69">
        <v>9</v>
      </c>
      <c r="C1841" s="3" t="s">
        <v>111</v>
      </c>
      <c r="D1841" s="4" t="s">
        <v>16</v>
      </c>
      <c r="E1841" s="4" t="s">
        <v>232</v>
      </c>
      <c r="F1841" s="61" t="s">
        <v>232</v>
      </c>
      <c r="G1841" s="4" t="s">
        <v>234</v>
      </c>
      <c r="H1841" s="62">
        <v>585</v>
      </c>
      <c r="I1841" s="22"/>
      <c r="K1841" t="s">
        <v>1006</v>
      </c>
    </row>
    <row r="1842" spans="1:11" x14ac:dyDescent="0.3">
      <c r="A1842">
        <v>2026</v>
      </c>
      <c r="B1842" s="69">
        <v>9</v>
      </c>
      <c r="C1842" s="3" t="s">
        <v>121</v>
      </c>
      <c r="D1842" s="4" t="s">
        <v>156</v>
      </c>
      <c r="E1842" s="4" t="s">
        <v>232</v>
      </c>
      <c r="F1842" s="61" t="s">
        <v>232</v>
      </c>
      <c r="G1842" s="4" t="s">
        <v>234</v>
      </c>
      <c r="H1842" s="62">
        <v>3200</v>
      </c>
      <c r="I1842" s="22">
        <v>2500</v>
      </c>
      <c r="K1842" t="s">
        <v>995</v>
      </c>
    </row>
    <row r="1843" spans="1:11" x14ac:dyDescent="0.3">
      <c r="A1843">
        <v>2026</v>
      </c>
      <c r="B1843" s="69">
        <v>9</v>
      </c>
      <c r="C1843" s="3" t="s">
        <v>17</v>
      </c>
      <c r="D1843" s="4" t="s">
        <v>18</v>
      </c>
      <c r="E1843" s="4" t="s">
        <v>232</v>
      </c>
      <c r="F1843" s="61" t="s">
        <v>232</v>
      </c>
      <c r="G1843" s="4" t="s">
        <v>234</v>
      </c>
      <c r="H1843" s="62">
        <v>249.38000000000011</v>
      </c>
      <c r="I1843" s="22">
        <v>2500</v>
      </c>
      <c r="K1843" t="s">
        <v>1007</v>
      </c>
    </row>
    <row r="1844" spans="1:11" x14ac:dyDescent="0.3">
      <c r="A1844">
        <v>2026</v>
      </c>
      <c r="B1844" s="69">
        <v>9</v>
      </c>
      <c r="C1844" s="4" t="s">
        <v>191</v>
      </c>
      <c r="D1844" s="4"/>
      <c r="E1844" s="4" t="s">
        <v>232</v>
      </c>
      <c r="F1844" s="61" t="s">
        <v>232</v>
      </c>
      <c r="G1844" s="4" t="s">
        <v>234</v>
      </c>
      <c r="H1844" s="62">
        <v>56</v>
      </c>
      <c r="I1844" s="22">
        <v>2500</v>
      </c>
    </row>
    <row r="1845" spans="1:11" x14ac:dyDescent="0.3">
      <c r="A1845">
        <v>2026</v>
      </c>
      <c r="B1845" s="69">
        <v>9</v>
      </c>
      <c r="C1845" s="3" t="s">
        <v>19</v>
      </c>
      <c r="D1845" s="4" t="s">
        <v>20</v>
      </c>
      <c r="E1845" s="4" t="s">
        <v>232</v>
      </c>
      <c r="F1845" s="61" t="s">
        <v>232</v>
      </c>
      <c r="G1845" s="4" t="s">
        <v>234</v>
      </c>
      <c r="H1845" s="62">
        <v>2500</v>
      </c>
      <c r="I1845" s="22">
        <v>2500</v>
      </c>
      <c r="K1845" t="s">
        <v>995</v>
      </c>
    </row>
    <row r="1846" spans="1:11" x14ac:dyDescent="0.3">
      <c r="A1846">
        <v>2026</v>
      </c>
      <c r="B1846" s="69">
        <v>9</v>
      </c>
      <c r="C1846" s="3" t="s">
        <v>128</v>
      </c>
      <c r="D1846" s="4" t="s">
        <v>44</v>
      </c>
      <c r="E1846" s="4" t="s">
        <v>232</v>
      </c>
      <c r="F1846" s="61" t="s">
        <v>232</v>
      </c>
      <c r="G1846" s="4" t="s">
        <v>234</v>
      </c>
      <c r="H1846" s="62">
        <v>3000</v>
      </c>
      <c r="I1846" s="22">
        <v>2500</v>
      </c>
      <c r="K1846" t="s">
        <v>995</v>
      </c>
    </row>
    <row r="1847" spans="1:11" x14ac:dyDescent="0.3">
      <c r="A1847">
        <v>2026</v>
      </c>
      <c r="B1847" s="69">
        <v>9</v>
      </c>
      <c r="C1847" s="3" t="s">
        <v>128</v>
      </c>
      <c r="D1847" s="4" t="s">
        <v>155</v>
      </c>
      <c r="E1847" s="4" t="s">
        <v>232</v>
      </c>
      <c r="F1847" s="61" t="s">
        <v>232</v>
      </c>
      <c r="G1847" s="4" t="s">
        <v>234</v>
      </c>
      <c r="H1847" s="62">
        <v>0</v>
      </c>
      <c r="I1847" s="22"/>
    </row>
    <row r="1848" spans="1:11" x14ac:dyDescent="0.3">
      <c r="A1848">
        <v>2026</v>
      </c>
      <c r="B1848" s="69">
        <v>9</v>
      </c>
      <c r="C1848" s="3" t="s">
        <v>21</v>
      </c>
      <c r="D1848" s="4" t="s">
        <v>22</v>
      </c>
      <c r="E1848" s="4" t="s">
        <v>232</v>
      </c>
      <c r="F1848" s="61" t="s">
        <v>232</v>
      </c>
      <c r="G1848" s="4" t="s">
        <v>234</v>
      </c>
      <c r="H1848" s="62">
        <v>1503.04</v>
      </c>
      <c r="I1848" s="22">
        <v>2500</v>
      </c>
      <c r="K1848" t="s">
        <v>1008</v>
      </c>
    </row>
    <row r="1849" spans="1:11" x14ac:dyDescent="0.3">
      <c r="A1849">
        <v>2026</v>
      </c>
      <c r="B1849" s="2">
        <v>9</v>
      </c>
      <c r="C1849" s="3" t="s">
        <v>134</v>
      </c>
      <c r="D1849" s="4" t="s">
        <v>52</v>
      </c>
      <c r="E1849" s="4" t="s">
        <v>232</v>
      </c>
      <c r="F1849" s="61" t="s">
        <v>232</v>
      </c>
      <c r="G1849" s="4" t="s">
        <v>234</v>
      </c>
      <c r="H1849" s="62">
        <v>0</v>
      </c>
      <c r="I1849" s="22">
        <v>2500</v>
      </c>
      <c r="K1849" t="s">
        <v>995</v>
      </c>
    </row>
    <row r="1850" spans="1:11" x14ac:dyDescent="0.3">
      <c r="A1850">
        <v>2026</v>
      </c>
      <c r="B1850" s="69">
        <v>9</v>
      </c>
      <c r="C1850" s="3" t="s">
        <v>64</v>
      </c>
      <c r="D1850" s="4" t="s">
        <v>140</v>
      </c>
      <c r="E1850" s="4" t="s">
        <v>232</v>
      </c>
      <c r="F1850" s="61" t="s">
        <v>232</v>
      </c>
      <c r="G1850" s="4" t="s">
        <v>234</v>
      </c>
      <c r="H1850" s="62">
        <v>2507.1428571428573</v>
      </c>
      <c r="I1850" s="22">
        <v>2500</v>
      </c>
      <c r="K1850" t="s">
        <v>1009</v>
      </c>
    </row>
    <row r="1851" spans="1:11" x14ac:dyDescent="0.3">
      <c r="A1851">
        <v>2026</v>
      </c>
      <c r="B1851" s="69">
        <v>9</v>
      </c>
      <c r="C1851" s="3" t="s">
        <v>90</v>
      </c>
      <c r="D1851" s="4" t="s">
        <v>16</v>
      </c>
      <c r="E1851" s="4" t="s">
        <v>232</v>
      </c>
      <c r="F1851" s="61" t="s">
        <v>232</v>
      </c>
      <c r="G1851" s="4" t="s">
        <v>234</v>
      </c>
      <c r="H1851" s="62">
        <v>2821.4285714285716</v>
      </c>
      <c r="I1851" s="22">
        <v>2500</v>
      </c>
      <c r="K1851" t="s">
        <v>1010</v>
      </c>
    </row>
    <row r="1852" spans="1:11" x14ac:dyDescent="0.3">
      <c r="A1852">
        <v>2026</v>
      </c>
      <c r="B1852" s="69">
        <v>9</v>
      </c>
      <c r="C1852" s="3" t="s">
        <v>23</v>
      </c>
      <c r="D1852" s="4" t="s">
        <v>24</v>
      </c>
      <c r="E1852" s="4" t="s">
        <v>232</v>
      </c>
      <c r="F1852" s="61" t="s">
        <v>232</v>
      </c>
      <c r="G1852" s="4" t="s">
        <v>234</v>
      </c>
      <c r="H1852" s="62">
        <v>827.01920000000064</v>
      </c>
      <c r="I1852" s="22">
        <v>2500</v>
      </c>
      <c r="K1852" t="s">
        <v>1011</v>
      </c>
    </row>
    <row r="1853" spans="1:11" x14ac:dyDescent="0.3">
      <c r="A1853">
        <v>2026</v>
      </c>
      <c r="B1853" s="69">
        <v>9</v>
      </c>
      <c r="C1853" s="3" t="s">
        <v>23</v>
      </c>
      <c r="D1853" s="4" t="s">
        <v>22</v>
      </c>
      <c r="E1853" s="4" t="s">
        <v>232</v>
      </c>
      <c r="F1853" s="61" t="s">
        <v>232</v>
      </c>
      <c r="G1853" s="4" t="s">
        <v>234</v>
      </c>
      <c r="H1853" s="62">
        <v>700</v>
      </c>
      <c r="I1853" s="22"/>
    </row>
    <row r="1854" spans="1:11" x14ac:dyDescent="0.3">
      <c r="A1854">
        <v>2026</v>
      </c>
      <c r="B1854" s="69">
        <v>9</v>
      </c>
      <c r="C1854" s="3" t="s">
        <v>108</v>
      </c>
      <c r="D1854" s="4" t="s">
        <v>75</v>
      </c>
      <c r="E1854" s="4" t="s">
        <v>241</v>
      </c>
      <c r="F1854" s="61" t="s">
        <v>291</v>
      </c>
      <c r="G1854" s="4" t="s">
        <v>234</v>
      </c>
      <c r="H1854" s="62">
        <v>3343</v>
      </c>
      <c r="I1854" s="22">
        <v>2500</v>
      </c>
      <c r="K1854" t="s">
        <v>995</v>
      </c>
    </row>
    <row r="1855" spans="1:11" x14ac:dyDescent="0.3">
      <c r="A1855">
        <v>2026</v>
      </c>
      <c r="B1855" s="69">
        <v>9</v>
      </c>
      <c r="C1855" s="3" t="s">
        <v>85</v>
      </c>
      <c r="D1855" s="4" t="s">
        <v>86</v>
      </c>
      <c r="E1855" s="4" t="s">
        <v>232</v>
      </c>
      <c r="F1855" s="61" t="s">
        <v>232</v>
      </c>
      <c r="G1855" s="4" t="s">
        <v>234</v>
      </c>
      <c r="H1855" s="62">
        <v>-428.4399999999996</v>
      </c>
      <c r="I1855" s="22">
        <v>2500</v>
      </c>
    </row>
    <row r="1856" spans="1:11" x14ac:dyDescent="0.3">
      <c r="A1856">
        <v>2026</v>
      </c>
      <c r="B1856" s="69">
        <v>9</v>
      </c>
      <c r="C1856" s="3" t="s">
        <v>136</v>
      </c>
      <c r="D1856" s="4" t="s">
        <v>56</v>
      </c>
      <c r="E1856" s="4" t="s">
        <v>241</v>
      </c>
      <c r="F1856" s="61" t="s">
        <v>291</v>
      </c>
      <c r="G1856" s="4" t="s">
        <v>234</v>
      </c>
      <c r="H1856" s="62">
        <v>3093.66</v>
      </c>
      <c r="I1856" s="22">
        <v>2500</v>
      </c>
      <c r="K1856" t="s">
        <v>1012</v>
      </c>
    </row>
    <row r="1857" spans="1:11" x14ac:dyDescent="0.3">
      <c r="A1857">
        <v>2026</v>
      </c>
      <c r="B1857" s="69">
        <v>9</v>
      </c>
      <c r="C1857" s="4" t="s">
        <v>190</v>
      </c>
      <c r="D1857" s="4" t="s">
        <v>50</v>
      </c>
      <c r="E1857" s="4" t="s">
        <v>232</v>
      </c>
      <c r="F1857" s="4" t="s">
        <v>232</v>
      </c>
      <c r="G1857" s="4" t="s">
        <v>234</v>
      </c>
      <c r="H1857" s="62">
        <v>1071.4285714285716</v>
      </c>
      <c r="I1857" s="22">
        <v>2500</v>
      </c>
      <c r="K1857" t="s">
        <v>992</v>
      </c>
    </row>
    <row r="1858" spans="1:11" x14ac:dyDescent="0.3">
      <c r="A1858">
        <v>2026</v>
      </c>
      <c r="B1858" s="69">
        <v>9</v>
      </c>
      <c r="C1858" s="4" t="s">
        <v>190</v>
      </c>
      <c r="D1858" s="4" t="s">
        <v>142</v>
      </c>
      <c r="E1858" s="4" t="s">
        <v>232</v>
      </c>
      <c r="F1858" s="4" t="s">
        <v>232</v>
      </c>
      <c r="G1858" s="4" t="s">
        <v>234</v>
      </c>
      <c r="H1858" s="62">
        <v>1129.4285714285686</v>
      </c>
      <c r="I1858" s="22"/>
      <c r="J1858">
        <v>2000</v>
      </c>
      <c r="K1858" t="s">
        <v>993</v>
      </c>
    </row>
    <row r="1859" spans="1:11" x14ac:dyDescent="0.3">
      <c r="A1859">
        <v>2026</v>
      </c>
      <c r="B1859" s="2">
        <v>9</v>
      </c>
      <c r="C1859" t="s">
        <v>176</v>
      </c>
      <c r="D1859" s="4" t="s">
        <v>158</v>
      </c>
      <c r="E1859" s="4" t="s">
        <v>232</v>
      </c>
      <c r="F1859" s="61" t="s">
        <v>232</v>
      </c>
      <c r="G1859" s="4" t="s">
        <v>234</v>
      </c>
      <c r="H1859" s="62">
        <v>50.22</v>
      </c>
      <c r="I1859" s="22">
        <v>2500</v>
      </c>
    </row>
    <row r="1860" spans="1:11" x14ac:dyDescent="0.3">
      <c r="A1860">
        <v>2026</v>
      </c>
      <c r="B1860" s="69">
        <v>9</v>
      </c>
      <c r="C1860" s="3" t="s">
        <v>25</v>
      </c>
      <c r="D1860" s="4" t="s">
        <v>26</v>
      </c>
      <c r="E1860" s="4" t="s">
        <v>232</v>
      </c>
      <c r="F1860" s="61" t="s">
        <v>232</v>
      </c>
      <c r="G1860" s="4" t="s">
        <v>234</v>
      </c>
      <c r="H1860" s="62">
        <v>-2927.08</v>
      </c>
      <c r="I1860" s="22">
        <v>2500</v>
      </c>
      <c r="K1860" t="s">
        <v>1013</v>
      </c>
    </row>
    <row r="1861" spans="1:11" x14ac:dyDescent="0.3">
      <c r="A1861">
        <v>2026</v>
      </c>
      <c r="B1861" s="69">
        <v>9</v>
      </c>
      <c r="C1861" s="3" t="s">
        <v>27</v>
      </c>
      <c r="D1861" s="4" t="s">
        <v>137</v>
      </c>
      <c r="E1861" s="4" t="s">
        <v>232</v>
      </c>
      <c r="F1861" s="61" t="s">
        <v>232</v>
      </c>
      <c r="G1861" s="4" t="s">
        <v>234</v>
      </c>
      <c r="H1861" s="62">
        <v>-500</v>
      </c>
      <c r="I1861" s="22">
        <v>2500</v>
      </c>
      <c r="K1861" t="s">
        <v>995</v>
      </c>
    </row>
    <row r="1862" spans="1:11" x14ac:dyDescent="0.3">
      <c r="A1862">
        <v>2026</v>
      </c>
      <c r="B1862" s="69">
        <v>9</v>
      </c>
      <c r="C1862" s="3" t="s">
        <v>9</v>
      </c>
      <c r="D1862" s="4" t="s">
        <v>10</v>
      </c>
      <c r="E1862" s="4" t="s">
        <v>232</v>
      </c>
      <c r="F1862" s="61" t="s">
        <v>232</v>
      </c>
      <c r="G1862" s="4" t="s">
        <v>425</v>
      </c>
      <c r="H1862" s="62">
        <v>-2184</v>
      </c>
      <c r="I1862" s="22">
        <v>2500</v>
      </c>
      <c r="K1862" t="s">
        <v>1014</v>
      </c>
    </row>
    <row r="1863" spans="1:11" x14ac:dyDescent="0.3">
      <c r="A1863">
        <v>2026</v>
      </c>
      <c r="B1863" s="69">
        <v>9</v>
      </c>
      <c r="C1863" s="4" t="s">
        <v>184</v>
      </c>
      <c r="D1863" s="4" t="s">
        <v>50</v>
      </c>
      <c r="E1863" s="4" t="s">
        <v>232</v>
      </c>
      <c r="F1863" s="61" t="s">
        <v>232</v>
      </c>
      <c r="G1863" s="4" t="s">
        <v>234</v>
      </c>
      <c r="H1863" s="62">
        <v>642.85714285714289</v>
      </c>
      <c r="I1863" s="22">
        <v>2500</v>
      </c>
      <c r="K1863" t="s">
        <v>1034</v>
      </c>
    </row>
    <row r="1864" spans="1:11" x14ac:dyDescent="0.3">
      <c r="A1864">
        <v>2026</v>
      </c>
      <c r="B1864" s="69">
        <v>9</v>
      </c>
      <c r="C1864" s="3" t="s">
        <v>70</v>
      </c>
      <c r="D1864" s="4" t="s">
        <v>71</v>
      </c>
      <c r="E1864" s="4" t="s">
        <v>232</v>
      </c>
      <c r="F1864" s="61" t="s">
        <v>232</v>
      </c>
      <c r="G1864" s="4" t="s">
        <v>234</v>
      </c>
      <c r="H1864" s="62">
        <v>4915</v>
      </c>
      <c r="I1864" s="22">
        <v>2500</v>
      </c>
    </row>
    <row r="1865" spans="1:11" x14ac:dyDescent="0.3">
      <c r="A1865">
        <v>2026</v>
      </c>
      <c r="B1865" s="69">
        <v>9</v>
      </c>
      <c r="C1865" s="3" t="s">
        <v>29</v>
      </c>
      <c r="D1865" s="4" t="s">
        <v>141</v>
      </c>
      <c r="E1865" s="4" t="s">
        <v>232</v>
      </c>
      <c r="F1865" s="61" t="s">
        <v>232</v>
      </c>
      <c r="G1865" s="4" t="s">
        <v>234</v>
      </c>
      <c r="H1865" s="62">
        <v>2325.3807999999999</v>
      </c>
      <c r="I1865" s="22">
        <v>2500</v>
      </c>
      <c r="K1865" t="s">
        <v>1015</v>
      </c>
    </row>
    <row r="1866" spans="1:11" x14ac:dyDescent="0.3">
      <c r="A1866">
        <v>2026</v>
      </c>
      <c r="B1866" s="69">
        <v>9</v>
      </c>
      <c r="C1866" s="3" t="s">
        <v>109</v>
      </c>
      <c r="D1866" s="4" t="s">
        <v>142</v>
      </c>
      <c r="E1866" s="4" t="s">
        <v>232</v>
      </c>
      <c r="F1866" s="61" t="s">
        <v>232</v>
      </c>
      <c r="G1866" s="4" t="s">
        <v>425</v>
      </c>
      <c r="H1866" s="62">
        <v>1602.8571428571431</v>
      </c>
      <c r="I1866" s="22">
        <v>2500</v>
      </c>
      <c r="K1866" t="s">
        <v>996</v>
      </c>
    </row>
    <row r="1867" spans="1:11" x14ac:dyDescent="0.3">
      <c r="A1867">
        <v>2026</v>
      </c>
      <c r="B1867" s="69">
        <v>9</v>
      </c>
      <c r="C1867" s="3" t="s">
        <v>72</v>
      </c>
      <c r="D1867" s="4" t="s">
        <v>73</v>
      </c>
      <c r="E1867" s="4" t="s">
        <v>241</v>
      </c>
      <c r="F1867" s="61" t="s">
        <v>291</v>
      </c>
      <c r="G1867" s="4" t="s">
        <v>234</v>
      </c>
      <c r="H1867" s="62">
        <v>3200</v>
      </c>
      <c r="I1867" s="22">
        <v>2500</v>
      </c>
      <c r="K1867" t="s">
        <v>1016</v>
      </c>
    </row>
    <row r="1868" spans="1:11" x14ac:dyDescent="0.3">
      <c r="A1868">
        <v>2026</v>
      </c>
      <c r="B1868" s="69">
        <v>9</v>
      </c>
      <c r="C1868" s="3" t="s">
        <v>92</v>
      </c>
      <c r="D1868" s="4" t="s">
        <v>30</v>
      </c>
      <c r="E1868" s="4" t="s">
        <v>232</v>
      </c>
      <c r="F1868" s="61" t="s">
        <v>232</v>
      </c>
      <c r="G1868" s="4" t="s">
        <v>234</v>
      </c>
      <c r="H1868" s="62">
        <v>3000</v>
      </c>
      <c r="I1868" s="22">
        <v>2500</v>
      </c>
      <c r="K1868" t="s">
        <v>995</v>
      </c>
    </row>
    <row r="1869" spans="1:11" x14ac:dyDescent="0.3">
      <c r="A1869">
        <v>2026</v>
      </c>
      <c r="B1869" s="69">
        <v>9</v>
      </c>
      <c r="C1869" s="3" t="s">
        <v>105</v>
      </c>
      <c r="D1869" s="4" t="s">
        <v>106</v>
      </c>
      <c r="E1869" s="4" t="s">
        <v>232</v>
      </c>
      <c r="F1869" s="61" t="s">
        <v>232</v>
      </c>
      <c r="G1869" s="4" t="s">
        <v>425</v>
      </c>
      <c r="H1869" s="62">
        <v>2400</v>
      </c>
      <c r="I1869" s="22">
        <v>2500</v>
      </c>
      <c r="K1869" t="s">
        <v>1017</v>
      </c>
    </row>
    <row r="1870" spans="1:11" x14ac:dyDescent="0.3">
      <c r="A1870">
        <v>2026</v>
      </c>
      <c r="B1870" s="69">
        <v>9</v>
      </c>
      <c r="C1870" s="3" t="s">
        <v>31</v>
      </c>
      <c r="D1870" s="4" t="s">
        <v>143</v>
      </c>
      <c r="E1870" s="4" t="s">
        <v>232</v>
      </c>
      <c r="F1870" s="61" t="s">
        <v>232</v>
      </c>
      <c r="G1870" s="4" t="s">
        <v>234</v>
      </c>
      <c r="H1870" s="62">
        <v>2507.1428571428573</v>
      </c>
      <c r="I1870" s="22">
        <v>2500</v>
      </c>
      <c r="K1870" t="s">
        <v>1018</v>
      </c>
    </row>
    <row r="1871" spans="1:11" x14ac:dyDescent="0.3">
      <c r="A1871">
        <v>2026</v>
      </c>
      <c r="B1871" s="69">
        <v>9</v>
      </c>
      <c r="C1871" s="3" t="s">
        <v>91</v>
      </c>
      <c r="D1871" s="4" t="s">
        <v>144</v>
      </c>
      <c r="E1871" s="4" t="s">
        <v>232</v>
      </c>
      <c r="F1871" s="61" t="s">
        <v>232</v>
      </c>
      <c r="G1871" s="4" t="s">
        <v>234</v>
      </c>
      <c r="H1871" s="62">
        <v>1671.7999999999997</v>
      </c>
      <c r="I1871" s="22">
        <v>2500</v>
      </c>
      <c r="K1871" t="s">
        <v>1019</v>
      </c>
    </row>
    <row r="1872" spans="1:11" x14ac:dyDescent="0.3">
      <c r="A1872">
        <v>2026</v>
      </c>
      <c r="B1872" s="69">
        <v>9</v>
      </c>
      <c r="C1872" s="3" t="s">
        <v>33</v>
      </c>
      <c r="D1872" s="4" t="s">
        <v>67</v>
      </c>
      <c r="E1872" s="4" t="s">
        <v>232</v>
      </c>
      <c r="F1872" s="61" t="s">
        <v>232</v>
      </c>
      <c r="G1872" s="4" t="s">
        <v>234</v>
      </c>
      <c r="H1872" s="62">
        <v>-1695.46</v>
      </c>
      <c r="I1872" s="22">
        <v>2500</v>
      </c>
    </row>
    <row r="1873" spans="1:11" x14ac:dyDescent="0.3">
      <c r="A1873">
        <v>2026</v>
      </c>
      <c r="B1873" s="69">
        <v>9</v>
      </c>
      <c r="C1873" s="4" t="s">
        <v>173</v>
      </c>
      <c r="D1873" s="4" t="s">
        <v>52</v>
      </c>
      <c r="E1873" s="4" t="s">
        <v>232</v>
      </c>
      <c r="F1873" s="4" t="s">
        <v>232</v>
      </c>
      <c r="G1873" s="4" t="s">
        <v>234</v>
      </c>
      <c r="H1873" s="62">
        <v>2999.8</v>
      </c>
      <c r="I1873" s="22">
        <v>2500</v>
      </c>
      <c r="K1873" t="s">
        <v>998</v>
      </c>
    </row>
    <row r="1874" spans="1:11" x14ac:dyDescent="0.3">
      <c r="A1874">
        <v>2026</v>
      </c>
      <c r="B1874" s="69">
        <v>9</v>
      </c>
      <c r="C1874" s="4" t="s">
        <v>175</v>
      </c>
      <c r="D1874" s="4" t="s">
        <v>69</v>
      </c>
      <c r="E1874" s="4" t="s">
        <v>232</v>
      </c>
      <c r="F1874" s="4" t="s">
        <v>232</v>
      </c>
      <c r="G1874" s="4" t="s">
        <v>425</v>
      </c>
      <c r="H1874" s="62">
        <v>-1559.9347400000006</v>
      </c>
      <c r="I1874" s="22">
        <v>2500</v>
      </c>
      <c r="K1874" t="s">
        <v>999</v>
      </c>
    </row>
    <row r="1875" spans="1:11" x14ac:dyDescent="0.3">
      <c r="A1875">
        <v>2026</v>
      </c>
      <c r="B1875" s="69">
        <v>9</v>
      </c>
      <c r="C1875" s="3" t="s">
        <v>35</v>
      </c>
      <c r="D1875" s="4" t="s">
        <v>36</v>
      </c>
      <c r="E1875" s="4" t="s">
        <v>232</v>
      </c>
      <c r="F1875" s="61" t="s">
        <v>232</v>
      </c>
      <c r="G1875" s="4" t="s">
        <v>234</v>
      </c>
      <c r="H1875" s="62">
        <v>2500</v>
      </c>
      <c r="I1875" s="22">
        <v>2500</v>
      </c>
      <c r="K1875" t="s">
        <v>995</v>
      </c>
    </row>
    <row r="1876" spans="1:11" x14ac:dyDescent="0.3">
      <c r="A1876">
        <v>2026</v>
      </c>
      <c r="B1876" s="69">
        <v>9</v>
      </c>
      <c r="C1876" s="3" t="s">
        <v>37</v>
      </c>
      <c r="D1876" s="4" t="s">
        <v>24</v>
      </c>
      <c r="E1876" s="4" t="s">
        <v>232</v>
      </c>
      <c r="F1876" s="61" t="s">
        <v>232</v>
      </c>
      <c r="G1876" s="4" t="s">
        <v>234</v>
      </c>
      <c r="H1876" s="62">
        <v>-6419.4285714285716</v>
      </c>
      <c r="I1876" s="22">
        <v>2500</v>
      </c>
      <c r="K1876" t="s">
        <v>997</v>
      </c>
    </row>
    <row r="1877" spans="1:11" x14ac:dyDescent="0.3">
      <c r="A1877">
        <v>2026</v>
      </c>
      <c r="B1877" s="69">
        <v>9</v>
      </c>
      <c r="C1877" s="4" t="s">
        <v>183</v>
      </c>
      <c r="D1877" s="4" t="s">
        <v>40</v>
      </c>
      <c r="E1877" s="4" t="s">
        <v>232</v>
      </c>
      <c r="F1877" s="4" t="s">
        <v>232</v>
      </c>
      <c r="G1877" s="4" t="s">
        <v>234</v>
      </c>
      <c r="H1877" s="62">
        <v>1758.6571428571422</v>
      </c>
      <c r="I1877" s="22">
        <v>2500</v>
      </c>
      <c r="K1877" t="s">
        <v>990</v>
      </c>
    </row>
    <row r="1878" spans="1:11" x14ac:dyDescent="0.3">
      <c r="A1878">
        <v>2026</v>
      </c>
      <c r="B1878" s="69">
        <v>9</v>
      </c>
      <c r="C1878" s="4" t="s">
        <v>189</v>
      </c>
      <c r="D1878" s="4" t="s">
        <v>24</v>
      </c>
      <c r="E1878" s="4" t="s">
        <v>232</v>
      </c>
      <c r="F1878" s="4" t="s">
        <v>232</v>
      </c>
      <c r="G1878" s="4" t="s">
        <v>234</v>
      </c>
      <c r="H1878" s="62">
        <v>1714.2857142857188</v>
      </c>
      <c r="I1878" s="22">
        <v>2500</v>
      </c>
      <c r="J1878">
        <v>1000</v>
      </c>
      <c r="K1878" t="s">
        <v>995</v>
      </c>
    </row>
    <row r="1879" spans="1:11" x14ac:dyDescent="0.3">
      <c r="A1879">
        <v>2026</v>
      </c>
      <c r="B1879" s="69">
        <v>9</v>
      </c>
      <c r="C1879" s="4" t="s">
        <v>174</v>
      </c>
      <c r="D1879" s="4" t="s">
        <v>77</v>
      </c>
      <c r="E1879" s="4" t="s">
        <v>232</v>
      </c>
      <c r="F1879" s="4" t="s">
        <v>232</v>
      </c>
      <c r="G1879" s="4" t="s">
        <v>234</v>
      </c>
      <c r="H1879" s="62">
        <v>3000</v>
      </c>
      <c r="I1879" s="22">
        <v>2500</v>
      </c>
      <c r="K1879" t="s">
        <v>995</v>
      </c>
    </row>
    <row r="1880" spans="1:11" x14ac:dyDescent="0.3">
      <c r="A1880">
        <v>2026</v>
      </c>
      <c r="B1880" s="69">
        <v>9</v>
      </c>
      <c r="C1880" t="s">
        <v>138</v>
      </c>
      <c r="D1880" s="4" t="s">
        <v>50</v>
      </c>
      <c r="E1880" s="4" t="s">
        <v>232</v>
      </c>
      <c r="F1880" s="61" t="s">
        <v>232</v>
      </c>
      <c r="G1880" s="4" t="s">
        <v>234</v>
      </c>
      <c r="H1880" s="62">
        <v>-393</v>
      </c>
      <c r="I1880" s="22">
        <v>2500</v>
      </c>
      <c r="K1880" t="s">
        <v>995</v>
      </c>
    </row>
    <row r="1881" spans="1:11" x14ac:dyDescent="0.3">
      <c r="A1881">
        <v>2026</v>
      </c>
      <c r="B1881" s="69">
        <v>9</v>
      </c>
      <c r="C1881" s="3" t="s">
        <v>114</v>
      </c>
      <c r="D1881" s="4" t="s">
        <v>46</v>
      </c>
      <c r="E1881" s="4" t="s">
        <v>232</v>
      </c>
      <c r="F1881" s="61" t="s">
        <v>232</v>
      </c>
      <c r="G1881" s="4" t="s">
        <v>234</v>
      </c>
      <c r="H1881" s="62">
        <v>3454.3999999999996</v>
      </c>
      <c r="I1881" s="22">
        <v>2500</v>
      </c>
      <c r="K1881" t="s">
        <v>1020</v>
      </c>
    </row>
    <row r="1882" spans="1:11" x14ac:dyDescent="0.3">
      <c r="A1882">
        <v>2026</v>
      </c>
      <c r="B1882" s="69">
        <v>9</v>
      </c>
      <c r="C1882" s="3" t="s">
        <v>43</v>
      </c>
      <c r="D1882" s="4" t="s">
        <v>145</v>
      </c>
      <c r="E1882" s="4" t="s">
        <v>232</v>
      </c>
      <c r="F1882" s="61" t="s">
        <v>232</v>
      </c>
      <c r="G1882" s="4" t="s">
        <v>234</v>
      </c>
      <c r="H1882" s="62">
        <v>2453.3799999999992</v>
      </c>
      <c r="I1882" s="22">
        <v>2500</v>
      </c>
      <c r="K1882" t="s">
        <v>1021</v>
      </c>
    </row>
    <row r="1883" spans="1:11" x14ac:dyDescent="0.3">
      <c r="A1883">
        <v>2026</v>
      </c>
      <c r="B1883" s="69">
        <v>9</v>
      </c>
      <c r="C1883" s="3" t="s">
        <v>84</v>
      </c>
      <c r="D1883" s="4" t="s">
        <v>146</v>
      </c>
      <c r="E1883" s="4" t="s">
        <v>232</v>
      </c>
      <c r="F1883" s="61" t="s">
        <v>232</v>
      </c>
      <c r="G1883" s="4" t="s">
        <v>234</v>
      </c>
      <c r="H1883" s="62">
        <v>2245.3542857142907</v>
      </c>
      <c r="I1883" s="22">
        <v>2500</v>
      </c>
      <c r="K1883" t="s">
        <v>1022</v>
      </c>
    </row>
    <row r="1884" spans="1:11" x14ac:dyDescent="0.3">
      <c r="A1884">
        <v>2026</v>
      </c>
      <c r="B1884" s="69">
        <v>9</v>
      </c>
      <c r="C1884" s="3" t="s">
        <v>89</v>
      </c>
      <c r="D1884" s="4" t="s">
        <v>4</v>
      </c>
      <c r="E1884" s="4" t="s">
        <v>232</v>
      </c>
      <c r="F1884" s="61" t="s">
        <v>232</v>
      </c>
      <c r="G1884" s="4" t="s">
        <v>234</v>
      </c>
      <c r="H1884" s="62">
        <v>3000</v>
      </c>
      <c r="I1884" s="22">
        <v>2500</v>
      </c>
      <c r="K1884" t="s">
        <v>995</v>
      </c>
    </row>
    <row r="1885" spans="1:11" x14ac:dyDescent="0.3">
      <c r="A1885">
        <v>2026</v>
      </c>
      <c r="B1885" s="69">
        <v>9</v>
      </c>
      <c r="C1885" s="3" t="s">
        <v>119</v>
      </c>
      <c r="D1885" s="4" t="s">
        <v>97</v>
      </c>
      <c r="E1885" s="4" t="s">
        <v>232</v>
      </c>
      <c r="F1885" s="61" t="s">
        <v>232</v>
      </c>
      <c r="G1885" s="4" t="s">
        <v>234</v>
      </c>
      <c r="H1885" s="62">
        <v>-920</v>
      </c>
      <c r="I1885" s="22">
        <v>2500</v>
      </c>
      <c r="K1885" t="s">
        <v>995</v>
      </c>
    </row>
    <row r="1886" spans="1:11" x14ac:dyDescent="0.3">
      <c r="A1886">
        <v>2026</v>
      </c>
      <c r="B1886" s="69">
        <v>9</v>
      </c>
      <c r="C1886" s="3" t="s">
        <v>123</v>
      </c>
      <c r="D1886" s="4" t="s">
        <v>59</v>
      </c>
      <c r="E1886" s="4" t="s">
        <v>232</v>
      </c>
      <c r="F1886" s="61" t="s">
        <v>232</v>
      </c>
      <c r="G1886" s="4" t="s">
        <v>234</v>
      </c>
      <c r="H1886" s="62">
        <v>2999.0599999999995</v>
      </c>
      <c r="I1886" s="22">
        <v>2500</v>
      </c>
      <c r="K1886" t="s">
        <v>1023</v>
      </c>
    </row>
    <row r="1887" spans="1:11" x14ac:dyDescent="0.3">
      <c r="A1887">
        <v>2026</v>
      </c>
      <c r="B1887" s="69">
        <v>9</v>
      </c>
      <c r="C1887" s="3" t="s">
        <v>5</v>
      </c>
      <c r="D1887" s="4" t="s">
        <v>6</v>
      </c>
      <c r="E1887" s="4" t="s">
        <v>232</v>
      </c>
      <c r="F1887" s="61" t="s">
        <v>232</v>
      </c>
      <c r="G1887" s="4" t="s">
        <v>425</v>
      </c>
      <c r="H1887" s="62">
        <v>1273.4514285714286</v>
      </c>
      <c r="I1887" s="22">
        <v>2500</v>
      </c>
      <c r="K1887" t="s">
        <v>1024</v>
      </c>
    </row>
    <row r="1888" spans="1:11" x14ac:dyDescent="0.3">
      <c r="A1888">
        <v>2026</v>
      </c>
      <c r="B1888" s="69">
        <v>9</v>
      </c>
      <c r="C1888" s="3" t="s">
        <v>5</v>
      </c>
      <c r="D1888" s="4" t="s">
        <v>50</v>
      </c>
      <c r="E1888" s="4" t="s">
        <v>232</v>
      </c>
      <c r="F1888" s="61" t="s">
        <v>232</v>
      </c>
      <c r="G1888" s="4" t="s">
        <v>425</v>
      </c>
      <c r="H1888" s="62">
        <v>700</v>
      </c>
      <c r="I1888" s="22"/>
      <c r="K1888" t="s">
        <v>1025</v>
      </c>
    </row>
    <row r="1889" spans="1:11" x14ac:dyDescent="0.3">
      <c r="A1889">
        <v>2026</v>
      </c>
      <c r="B1889" s="69">
        <v>9</v>
      </c>
      <c r="C1889" s="4" t="s">
        <v>185</v>
      </c>
      <c r="D1889" s="4" t="s">
        <v>34</v>
      </c>
      <c r="E1889" s="4" t="s">
        <v>232</v>
      </c>
      <c r="F1889" s="4" t="s">
        <v>232</v>
      </c>
      <c r="G1889" s="4" t="s">
        <v>234</v>
      </c>
      <c r="H1889" s="62">
        <v>1715.1942857142812</v>
      </c>
      <c r="I1889" s="22">
        <v>2500</v>
      </c>
      <c r="J1889">
        <v>2000</v>
      </c>
      <c r="K1889" t="s">
        <v>994</v>
      </c>
    </row>
    <row r="1890" spans="1:11" x14ac:dyDescent="0.3">
      <c r="A1890">
        <v>2026</v>
      </c>
      <c r="B1890" s="69">
        <v>9</v>
      </c>
      <c r="C1890" s="3" t="s">
        <v>47</v>
      </c>
      <c r="D1890" s="4" t="s">
        <v>147</v>
      </c>
      <c r="E1890" s="4" t="s">
        <v>232</v>
      </c>
      <c r="F1890" s="61" t="s">
        <v>232</v>
      </c>
      <c r="G1890" s="4" t="s">
        <v>234</v>
      </c>
      <c r="H1890" s="62">
        <v>2699.8600000000006</v>
      </c>
      <c r="I1890" s="22">
        <v>2500</v>
      </c>
      <c r="K1890" t="s">
        <v>1026</v>
      </c>
    </row>
    <row r="1891" spans="1:11" x14ac:dyDescent="0.3">
      <c r="A1891">
        <v>2026</v>
      </c>
      <c r="B1891" s="69">
        <v>9</v>
      </c>
      <c r="C1891" s="3" t="s">
        <v>49</v>
      </c>
      <c r="D1891" s="4" t="s">
        <v>96</v>
      </c>
      <c r="E1891" s="4" t="s">
        <v>232</v>
      </c>
      <c r="F1891" s="61" t="s">
        <v>232</v>
      </c>
      <c r="G1891" s="4" t="s">
        <v>234</v>
      </c>
      <c r="H1891" s="62">
        <v>356.85714285714283</v>
      </c>
      <c r="I1891" s="22">
        <v>2500</v>
      </c>
      <c r="K1891" t="s">
        <v>1006</v>
      </c>
    </row>
    <row r="1892" spans="1:11" x14ac:dyDescent="0.3">
      <c r="A1892">
        <v>2026</v>
      </c>
      <c r="B1892" s="69">
        <v>9</v>
      </c>
      <c r="C1892" s="3" t="s">
        <v>49</v>
      </c>
      <c r="D1892" s="4" t="s">
        <v>12</v>
      </c>
      <c r="E1892" s="4" t="s">
        <v>232</v>
      </c>
      <c r="F1892" s="61" t="s">
        <v>232</v>
      </c>
      <c r="G1892" s="4" t="s">
        <v>234</v>
      </c>
      <c r="H1892" s="62">
        <v>2314.2857142857147</v>
      </c>
      <c r="I1892" s="22"/>
      <c r="K1892" t="s">
        <v>995</v>
      </c>
    </row>
    <row r="1893" spans="1:11" x14ac:dyDescent="0.3">
      <c r="A1893">
        <v>2026</v>
      </c>
      <c r="B1893" s="69">
        <v>9</v>
      </c>
      <c r="C1893" s="3" t="s">
        <v>49</v>
      </c>
      <c r="D1893" s="4" t="s">
        <v>104</v>
      </c>
      <c r="E1893" s="4" t="s">
        <v>924</v>
      </c>
      <c r="F1893" s="61" t="s">
        <v>232</v>
      </c>
      <c r="G1893" s="4" t="s">
        <v>234</v>
      </c>
      <c r="H1893" s="62">
        <v>700</v>
      </c>
      <c r="I1893" s="22"/>
      <c r="K1893" t="s">
        <v>1006</v>
      </c>
    </row>
    <row r="1894" spans="1:11" x14ac:dyDescent="0.3">
      <c r="A1894">
        <v>2026</v>
      </c>
      <c r="B1894" s="69">
        <v>9</v>
      </c>
      <c r="C1894" s="3" t="s">
        <v>152</v>
      </c>
      <c r="D1894" s="4" t="s">
        <v>42</v>
      </c>
      <c r="E1894" s="4" t="s">
        <v>232</v>
      </c>
      <c r="F1894" s="61" t="s">
        <v>232</v>
      </c>
      <c r="G1894" s="4" t="s">
        <v>234</v>
      </c>
      <c r="H1894" s="62">
        <v>3000.26</v>
      </c>
      <c r="I1894" s="22">
        <v>2500</v>
      </c>
      <c r="K1894" t="s">
        <v>1027</v>
      </c>
    </row>
    <row r="1895" spans="1:11" x14ac:dyDescent="0.3">
      <c r="A1895">
        <v>2026</v>
      </c>
      <c r="B1895" s="69">
        <v>9</v>
      </c>
      <c r="C1895" s="3" t="s">
        <v>51</v>
      </c>
      <c r="D1895" s="4" t="s">
        <v>52</v>
      </c>
      <c r="E1895" s="4" t="s">
        <v>232</v>
      </c>
      <c r="F1895" s="61" t="s">
        <v>232</v>
      </c>
      <c r="G1895" s="4" t="s">
        <v>234</v>
      </c>
      <c r="H1895" s="62">
        <v>3200</v>
      </c>
      <c r="I1895" s="22">
        <v>2500</v>
      </c>
      <c r="K1895" t="s">
        <v>995</v>
      </c>
    </row>
    <row r="1896" spans="1:11" x14ac:dyDescent="0.3">
      <c r="A1896">
        <v>2026</v>
      </c>
      <c r="B1896" s="69">
        <v>9</v>
      </c>
      <c r="C1896" s="3" t="s">
        <v>131</v>
      </c>
      <c r="D1896" s="4" t="s">
        <v>116</v>
      </c>
      <c r="E1896" s="4" t="s">
        <v>291</v>
      </c>
      <c r="F1896" s="61" t="s">
        <v>291</v>
      </c>
      <c r="G1896" s="4" t="s">
        <v>234</v>
      </c>
      <c r="H1896" s="62">
        <v>3000</v>
      </c>
      <c r="I1896" s="22">
        <v>2500</v>
      </c>
      <c r="K1896" t="s">
        <v>995</v>
      </c>
    </row>
    <row r="1897" spans="1:11" x14ac:dyDescent="0.3">
      <c r="A1897">
        <v>2026</v>
      </c>
      <c r="B1897" s="69">
        <v>9</v>
      </c>
      <c r="C1897" s="3" t="s">
        <v>78</v>
      </c>
      <c r="D1897" s="4" t="s">
        <v>79</v>
      </c>
      <c r="E1897" s="4" t="s">
        <v>291</v>
      </c>
      <c r="F1897" s="61" t="s">
        <v>291</v>
      </c>
      <c r="G1897" s="4" t="s">
        <v>234</v>
      </c>
      <c r="H1897" s="62">
        <v>-38.182857142856903</v>
      </c>
      <c r="I1897" s="22">
        <v>2500</v>
      </c>
      <c r="K1897" t="s">
        <v>1028</v>
      </c>
    </row>
    <row r="1898" spans="1:11" x14ac:dyDescent="0.3">
      <c r="A1898">
        <v>2026</v>
      </c>
      <c r="B1898" s="69">
        <v>9</v>
      </c>
      <c r="C1898" s="3" t="s">
        <v>107</v>
      </c>
      <c r="D1898" s="4" t="s">
        <v>148</v>
      </c>
      <c r="E1898" s="4" t="s">
        <v>232</v>
      </c>
      <c r="F1898" s="61" t="s">
        <v>232</v>
      </c>
      <c r="G1898" s="4" t="s">
        <v>234</v>
      </c>
      <c r="H1898" s="62">
        <v>2864.1428571428573</v>
      </c>
      <c r="I1898" s="22">
        <v>2500</v>
      </c>
      <c r="K1898" t="s">
        <v>1029</v>
      </c>
    </row>
    <row r="1899" spans="1:11" x14ac:dyDescent="0.3">
      <c r="A1899">
        <v>2026</v>
      </c>
      <c r="B1899" s="69">
        <v>9</v>
      </c>
      <c r="C1899" s="3" t="s">
        <v>178</v>
      </c>
      <c r="D1899" s="4"/>
      <c r="E1899" s="4" t="s">
        <v>232</v>
      </c>
      <c r="F1899" s="61" t="s">
        <v>232</v>
      </c>
      <c r="G1899" s="4" t="s">
        <v>234</v>
      </c>
      <c r="H1899" s="62">
        <v>353</v>
      </c>
      <c r="I1899" s="22">
        <v>2500</v>
      </c>
    </row>
    <row r="1900" spans="1:11" x14ac:dyDescent="0.3">
      <c r="A1900">
        <v>2026</v>
      </c>
      <c r="B1900" s="69">
        <v>9</v>
      </c>
      <c r="C1900" s="3" t="s">
        <v>76</v>
      </c>
      <c r="D1900" s="4" t="s">
        <v>40</v>
      </c>
      <c r="E1900" s="4" t="s">
        <v>232</v>
      </c>
      <c r="F1900" s="61" t="s">
        <v>232</v>
      </c>
      <c r="G1900" s="4" t="s">
        <v>234</v>
      </c>
      <c r="H1900" s="62">
        <v>1750.92</v>
      </c>
      <c r="I1900" s="22">
        <v>2500</v>
      </c>
      <c r="K1900" t="s">
        <v>1000</v>
      </c>
    </row>
    <row r="1901" spans="1:11" x14ac:dyDescent="0.3">
      <c r="A1901">
        <v>2026</v>
      </c>
      <c r="B1901" s="69">
        <v>9</v>
      </c>
      <c r="C1901" s="3" t="s">
        <v>87</v>
      </c>
      <c r="D1901" s="4" t="s">
        <v>83</v>
      </c>
      <c r="E1901" s="4" t="s">
        <v>232</v>
      </c>
      <c r="F1901" s="61" t="s">
        <v>232</v>
      </c>
      <c r="G1901" s="4" t="s">
        <v>234</v>
      </c>
      <c r="H1901" s="62">
        <v>3200.9000000000005</v>
      </c>
      <c r="I1901" s="22">
        <v>2500</v>
      </c>
      <c r="K1901" t="s">
        <v>1030</v>
      </c>
    </row>
    <row r="1902" spans="1:11" x14ac:dyDescent="0.3">
      <c r="A1902">
        <v>2026</v>
      </c>
      <c r="B1902" s="69">
        <v>9</v>
      </c>
      <c r="C1902" s="3" t="s">
        <v>117</v>
      </c>
      <c r="D1902" s="4" t="s">
        <v>118</v>
      </c>
      <c r="E1902" s="4" t="s">
        <v>232</v>
      </c>
      <c r="F1902" s="61" t="s">
        <v>232</v>
      </c>
      <c r="G1902" s="4" t="s">
        <v>234</v>
      </c>
      <c r="H1902" s="62">
        <v>3000.8599999999988</v>
      </c>
      <c r="I1902" s="22">
        <v>2500</v>
      </c>
      <c r="K1902" t="s">
        <v>1031</v>
      </c>
    </row>
    <row r="1903" spans="1:11" x14ac:dyDescent="0.3">
      <c r="A1903">
        <v>2026</v>
      </c>
      <c r="B1903" s="69">
        <v>9</v>
      </c>
      <c r="C1903" s="3" t="s">
        <v>98</v>
      </c>
      <c r="D1903" s="4" t="s">
        <v>112</v>
      </c>
      <c r="E1903" s="4" t="s">
        <v>232</v>
      </c>
      <c r="F1903" s="61" t="s">
        <v>232</v>
      </c>
      <c r="G1903" s="4" t="s">
        <v>234</v>
      </c>
      <c r="H1903" s="62">
        <v>4140.0200000000004</v>
      </c>
      <c r="I1903" s="22">
        <v>2500</v>
      </c>
      <c r="K1903" t="s">
        <v>1032</v>
      </c>
    </row>
    <row r="1904" spans="1:11" x14ac:dyDescent="0.3">
      <c r="A1904">
        <v>2026</v>
      </c>
      <c r="B1904" s="69">
        <v>10</v>
      </c>
      <c r="C1904" s="3" t="s">
        <v>150</v>
      </c>
      <c r="D1904" s="4" t="s">
        <v>96</v>
      </c>
      <c r="E1904" s="4" t="s">
        <v>232</v>
      </c>
      <c r="F1904" s="61" t="s">
        <v>232</v>
      </c>
      <c r="G1904" s="4" t="s">
        <v>425</v>
      </c>
      <c r="H1904" s="62">
        <v>1929.4285714285711</v>
      </c>
      <c r="I1904" s="22">
        <v>2500</v>
      </c>
      <c r="K1904" t="s">
        <v>1036</v>
      </c>
    </row>
    <row r="1905" spans="1:11" x14ac:dyDescent="0.3">
      <c r="A1905">
        <v>2026</v>
      </c>
      <c r="B1905" s="69">
        <v>10</v>
      </c>
      <c r="C1905" s="3" t="s">
        <v>139</v>
      </c>
      <c r="D1905" s="4" t="s">
        <v>10</v>
      </c>
      <c r="E1905" s="4" t="s">
        <v>232</v>
      </c>
      <c r="F1905" s="61" t="s">
        <v>232</v>
      </c>
      <c r="G1905" s="4" t="s">
        <v>234</v>
      </c>
      <c r="H1905" s="62">
        <v>3000.3399999999992</v>
      </c>
      <c r="I1905" s="22">
        <v>2500</v>
      </c>
      <c r="K1905" t="s">
        <v>1046</v>
      </c>
    </row>
    <row r="1906" spans="1:11" x14ac:dyDescent="0.3">
      <c r="A1906">
        <v>2026</v>
      </c>
      <c r="B1906" s="69">
        <v>10</v>
      </c>
      <c r="C1906" s="3" t="s">
        <v>80</v>
      </c>
      <c r="D1906" s="4" t="s">
        <v>81</v>
      </c>
      <c r="E1906" s="4" t="s">
        <v>232</v>
      </c>
      <c r="F1906" s="61" t="s">
        <v>232</v>
      </c>
      <c r="G1906" s="4" t="s">
        <v>234</v>
      </c>
      <c r="H1906" s="62">
        <v>2500</v>
      </c>
      <c r="I1906" s="22">
        <v>2500</v>
      </c>
      <c r="K1906" t="s">
        <v>1047</v>
      </c>
    </row>
    <row r="1907" spans="1:11" x14ac:dyDescent="0.3">
      <c r="A1907">
        <v>2026</v>
      </c>
      <c r="B1907" s="69">
        <v>10</v>
      </c>
      <c r="C1907" s="3" t="s">
        <v>13</v>
      </c>
      <c r="D1907" s="4" t="s">
        <v>14</v>
      </c>
      <c r="E1907" s="4" t="s">
        <v>232</v>
      </c>
      <c r="F1907" s="61" t="s">
        <v>232</v>
      </c>
      <c r="G1907" s="4" t="s">
        <v>234</v>
      </c>
      <c r="H1907" s="62">
        <v>2700</v>
      </c>
      <c r="I1907" s="22">
        <v>2500</v>
      </c>
    </row>
    <row r="1908" spans="1:11" x14ac:dyDescent="0.3">
      <c r="A1908">
        <v>2026</v>
      </c>
      <c r="B1908" s="69">
        <v>10</v>
      </c>
      <c r="C1908" s="4" t="s">
        <v>187</v>
      </c>
      <c r="D1908" s="4" t="s">
        <v>75</v>
      </c>
      <c r="E1908" s="4" t="s">
        <v>241</v>
      </c>
      <c r="F1908" s="4" t="s">
        <v>291</v>
      </c>
      <c r="G1908" s="4" t="s">
        <v>234</v>
      </c>
      <c r="H1908" s="62">
        <v>3000</v>
      </c>
      <c r="I1908" s="22">
        <v>2500</v>
      </c>
      <c r="K1908" t="s">
        <v>1040</v>
      </c>
    </row>
    <row r="1909" spans="1:11" x14ac:dyDescent="0.3">
      <c r="A1909">
        <v>2026</v>
      </c>
      <c r="B1909" s="69">
        <v>10</v>
      </c>
      <c r="C1909" s="3" t="s">
        <v>15</v>
      </c>
      <c r="D1909" s="4" t="s">
        <v>137</v>
      </c>
      <c r="E1909" s="4" t="s">
        <v>232</v>
      </c>
      <c r="F1909" s="61" t="s">
        <v>232</v>
      </c>
      <c r="G1909" s="4" t="s">
        <v>234</v>
      </c>
      <c r="H1909" s="62">
        <v>-579.04640000000018</v>
      </c>
      <c r="I1909" s="22">
        <v>2500</v>
      </c>
      <c r="K1909" t="s">
        <v>1045</v>
      </c>
    </row>
    <row r="1910" spans="1:11" x14ac:dyDescent="0.3">
      <c r="A1910">
        <v>2026</v>
      </c>
      <c r="B1910" s="69">
        <v>10</v>
      </c>
      <c r="C1910" s="3" t="s">
        <v>120</v>
      </c>
      <c r="D1910" s="4" t="s">
        <v>38</v>
      </c>
      <c r="E1910" s="4" t="s">
        <v>232</v>
      </c>
      <c r="F1910" s="61" t="s">
        <v>232</v>
      </c>
      <c r="G1910" s="4" t="s">
        <v>234</v>
      </c>
      <c r="H1910" s="62">
        <v>2785.2000000000007</v>
      </c>
      <c r="I1910" s="22">
        <v>2500</v>
      </c>
      <c r="K1910" t="s">
        <v>1048</v>
      </c>
    </row>
    <row r="1911" spans="1:11" x14ac:dyDescent="0.3">
      <c r="A1911">
        <v>2026</v>
      </c>
      <c r="B1911" s="69">
        <v>10</v>
      </c>
      <c r="C1911" s="4" t="s">
        <v>186</v>
      </c>
      <c r="D1911" s="4" t="s">
        <v>54</v>
      </c>
      <c r="E1911" s="4" t="s">
        <v>232</v>
      </c>
      <c r="F1911" s="4" t="s">
        <v>232</v>
      </c>
      <c r="G1911" s="4" t="s">
        <v>234</v>
      </c>
      <c r="H1911" s="62">
        <v>3092.340000000002</v>
      </c>
      <c r="I1911" s="22">
        <v>2500</v>
      </c>
      <c r="K1911" t="s">
        <v>1038</v>
      </c>
    </row>
    <row r="1912" spans="1:11" x14ac:dyDescent="0.3">
      <c r="A1912">
        <v>2026</v>
      </c>
      <c r="B1912" s="69">
        <v>10</v>
      </c>
      <c r="C1912" s="3" t="s">
        <v>111</v>
      </c>
      <c r="D1912" s="4" t="s">
        <v>63</v>
      </c>
      <c r="E1912" s="4" t="s">
        <v>291</v>
      </c>
      <c r="F1912" s="61" t="s">
        <v>291</v>
      </c>
      <c r="G1912" s="4" t="s">
        <v>234</v>
      </c>
      <c r="H1912" s="62">
        <v>2500</v>
      </c>
      <c r="I1912" s="22">
        <v>2500</v>
      </c>
    </row>
    <row r="1913" spans="1:11" x14ac:dyDescent="0.3">
      <c r="A1913">
        <v>2026</v>
      </c>
      <c r="B1913" s="69">
        <v>10</v>
      </c>
      <c r="C1913" s="3" t="s">
        <v>121</v>
      </c>
      <c r="D1913" s="4" t="s">
        <v>156</v>
      </c>
      <c r="E1913" s="4" t="s">
        <v>232</v>
      </c>
      <c r="F1913" s="61" t="s">
        <v>232</v>
      </c>
      <c r="G1913" s="4" t="s">
        <v>234</v>
      </c>
      <c r="H1913" s="62">
        <v>2879</v>
      </c>
      <c r="I1913" s="22">
        <v>2500</v>
      </c>
    </row>
    <row r="1914" spans="1:11" x14ac:dyDescent="0.3">
      <c r="A1914">
        <v>2026</v>
      </c>
      <c r="B1914" s="69">
        <v>10</v>
      </c>
      <c r="C1914" s="3" t="s">
        <v>17</v>
      </c>
      <c r="D1914" s="4" t="s">
        <v>18</v>
      </c>
      <c r="E1914" s="4" t="s">
        <v>232</v>
      </c>
      <c r="F1914" s="61" t="s">
        <v>232</v>
      </c>
      <c r="G1914" s="4" t="s">
        <v>234</v>
      </c>
      <c r="H1914" s="62">
        <v>3924.8600000000006</v>
      </c>
      <c r="I1914" s="22">
        <v>2500</v>
      </c>
      <c r="K1914" t="s">
        <v>1049</v>
      </c>
    </row>
    <row r="1915" spans="1:11" x14ac:dyDescent="0.3">
      <c r="A1915">
        <v>2026</v>
      </c>
      <c r="B1915" s="69">
        <v>10</v>
      </c>
      <c r="C1915" s="4" t="s">
        <v>191</v>
      </c>
      <c r="D1915" s="4" t="s">
        <v>79</v>
      </c>
      <c r="E1915" s="4" t="s">
        <v>291</v>
      </c>
      <c r="F1915" s="61" t="s">
        <v>291</v>
      </c>
      <c r="G1915" s="4" t="s">
        <v>234</v>
      </c>
      <c r="H1915" s="62">
        <v>183.18</v>
      </c>
      <c r="I1915" s="22">
        <v>2500</v>
      </c>
    </row>
    <row r="1916" spans="1:11" x14ac:dyDescent="0.3">
      <c r="A1916">
        <v>2026</v>
      </c>
      <c r="B1916" s="69">
        <v>10</v>
      </c>
      <c r="C1916" s="3" t="s">
        <v>19</v>
      </c>
      <c r="D1916" s="4" t="s">
        <v>20</v>
      </c>
      <c r="E1916" s="4" t="s">
        <v>232</v>
      </c>
      <c r="F1916" s="61" t="s">
        <v>232</v>
      </c>
      <c r="G1916" s="4" t="s">
        <v>234</v>
      </c>
      <c r="H1916" s="62">
        <v>2500</v>
      </c>
      <c r="I1916" s="22">
        <v>2500</v>
      </c>
    </row>
    <row r="1917" spans="1:11" x14ac:dyDescent="0.3">
      <c r="A1917">
        <v>2026</v>
      </c>
      <c r="B1917" s="69">
        <v>10</v>
      </c>
      <c r="C1917" s="3" t="s">
        <v>128</v>
      </c>
      <c r="D1917" s="4" t="s">
        <v>155</v>
      </c>
      <c r="E1917" s="4" t="s">
        <v>232</v>
      </c>
      <c r="F1917" s="61" t="s">
        <v>232</v>
      </c>
      <c r="G1917" s="4" t="s">
        <v>234</v>
      </c>
      <c r="H1917" s="62">
        <v>2893</v>
      </c>
      <c r="I1917" s="22">
        <v>2500</v>
      </c>
    </row>
    <row r="1918" spans="1:11" x14ac:dyDescent="0.3">
      <c r="A1918">
        <v>2026</v>
      </c>
      <c r="B1918" s="69">
        <v>10</v>
      </c>
      <c r="C1918" s="3" t="s">
        <v>21</v>
      </c>
      <c r="D1918" s="4" t="s">
        <v>22</v>
      </c>
      <c r="E1918" s="4" t="s">
        <v>232</v>
      </c>
      <c r="F1918" s="61" t="s">
        <v>232</v>
      </c>
      <c r="G1918" s="4" t="s">
        <v>234</v>
      </c>
      <c r="H1918" s="62">
        <v>-4048</v>
      </c>
      <c r="I1918" s="22">
        <v>2500</v>
      </c>
      <c r="K1918" t="s">
        <v>1050</v>
      </c>
    </row>
    <row r="1919" spans="1:11" x14ac:dyDescent="0.3">
      <c r="A1919">
        <v>2026</v>
      </c>
      <c r="B1919" s="69">
        <v>10</v>
      </c>
      <c r="C1919" s="3" t="s">
        <v>64</v>
      </c>
      <c r="D1919" s="4" t="s">
        <v>140</v>
      </c>
      <c r="E1919" s="4" t="s">
        <v>232</v>
      </c>
      <c r="F1919" s="61" t="s">
        <v>232</v>
      </c>
      <c r="G1919" s="4" t="s">
        <v>234</v>
      </c>
      <c r="H1919" s="62">
        <v>2700</v>
      </c>
      <c r="I1919" s="22">
        <v>2500</v>
      </c>
    </row>
    <row r="1920" spans="1:11" x14ac:dyDescent="0.3">
      <c r="A1920">
        <v>2026</v>
      </c>
      <c r="B1920" s="69">
        <v>10</v>
      </c>
      <c r="C1920" s="3" t="s">
        <v>90</v>
      </c>
      <c r="D1920" s="4" t="s">
        <v>16</v>
      </c>
      <c r="E1920" s="4" t="s">
        <v>232</v>
      </c>
      <c r="F1920" s="61" t="s">
        <v>232</v>
      </c>
      <c r="G1920" s="4" t="s">
        <v>234</v>
      </c>
      <c r="H1920" s="62">
        <v>3000</v>
      </c>
      <c r="I1920" s="22">
        <v>2500</v>
      </c>
    </row>
    <row r="1921" spans="1:11" x14ac:dyDescent="0.3">
      <c r="A1921">
        <v>2026</v>
      </c>
      <c r="B1921" s="69">
        <v>10</v>
      </c>
      <c r="C1921" s="3" t="s">
        <v>23</v>
      </c>
      <c r="D1921" s="4" t="s">
        <v>24</v>
      </c>
      <c r="E1921" s="4" t="s">
        <v>232</v>
      </c>
      <c r="F1921" s="61" t="s">
        <v>232</v>
      </c>
      <c r="G1921" s="4" t="s">
        <v>234</v>
      </c>
      <c r="H1921" s="62">
        <v>977.38319999999931</v>
      </c>
      <c r="I1921" s="22">
        <v>2500</v>
      </c>
      <c r="K1921" t="s">
        <v>1051</v>
      </c>
    </row>
    <row r="1922" spans="1:11" x14ac:dyDescent="0.3">
      <c r="A1922">
        <v>2026</v>
      </c>
      <c r="B1922" s="69">
        <v>10</v>
      </c>
      <c r="C1922" s="3" t="s">
        <v>23</v>
      </c>
      <c r="D1922" s="4" t="s">
        <v>22</v>
      </c>
      <c r="E1922" s="4" t="s">
        <v>232</v>
      </c>
      <c r="F1922" s="61" t="s">
        <v>232</v>
      </c>
      <c r="G1922" s="4" t="s">
        <v>234</v>
      </c>
      <c r="H1922" s="62">
        <v>500</v>
      </c>
      <c r="I1922" s="22"/>
      <c r="K1922" t="s">
        <v>1052</v>
      </c>
    </row>
    <row r="1923" spans="1:11" x14ac:dyDescent="0.3">
      <c r="A1923">
        <v>2026</v>
      </c>
      <c r="B1923" s="69">
        <v>10</v>
      </c>
      <c r="C1923" s="3" t="s">
        <v>108</v>
      </c>
      <c r="D1923" s="4" t="s">
        <v>75</v>
      </c>
      <c r="E1923" s="4" t="s">
        <v>241</v>
      </c>
      <c r="F1923" s="61" t="s">
        <v>291</v>
      </c>
      <c r="G1923" s="4" t="s">
        <v>234</v>
      </c>
      <c r="H1923" s="62">
        <v>3200</v>
      </c>
      <c r="I1923" s="22">
        <v>2500</v>
      </c>
    </row>
    <row r="1924" spans="1:11" x14ac:dyDescent="0.3">
      <c r="A1924">
        <v>2026</v>
      </c>
      <c r="B1924" s="69">
        <v>10</v>
      </c>
      <c r="C1924" s="3" t="s">
        <v>85</v>
      </c>
      <c r="D1924" s="4" t="s">
        <v>86</v>
      </c>
      <c r="E1924" s="4" t="s">
        <v>232</v>
      </c>
      <c r="F1924" s="61" t="s">
        <v>232</v>
      </c>
      <c r="G1924" s="4" t="s">
        <v>234</v>
      </c>
      <c r="H1924" s="62">
        <v>3462.8</v>
      </c>
      <c r="I1924" s="22">
        <v>2500</v>
      </c>
      <c r="K1924" t="s">
        <v>1053</v>
      </c>
    </row>
    <row r="1925" spans="1:11" x14ac:dyDescent="0.3">
      <c r="A1925">
        <v>2026</v>
      </c>
      <c r="B1925" s="69">
        <v>10</v>
      </c>
      <c r="C1925" s="3" t="s">
        <v>136</v>
      </c>
      <c r="D1925" s="4" t="s">
        <v>56</v>
      </c>
      <c r="E1925" s="4" t="s">
        <v>241</v>
      </c>
      <c r="F1925" s="61" t="s">
        <v>291</v>
      </c>
      <c r="G1925" s="4" t="s">
        <v>234</v>
      </c>
      <c r="H1925" s="62">
        <v>2661.16</v>
      </c>
      <c r="I1925" s="22">
        <v>2500</v>
      </c>
    </row>
    <row r="1926" spans="1:11" x14ac:dyDescent="0.3">
      <c r="A1926">
        <v>2026</v>
      </c>
      <c r="B1926" s="69">
        <v>10</v>
      </c>
      <c r="C1926" s="4" t="s">
        <v>190</v>
      </c>
      <c r="D1926" s="4" t="s">
        <v>142</v>
      </c>
      <c r="E1926" s="4" t="s">
        <v>232</v>
      </c>
      <c r="F1926" s="4" t="s">
        <v>232</v>
      </c>
      <c r="G1926" s="4" t="s">
        <v>234</v>
      </c>
      <c r="H1926" s="62">
        <v>3200</v>
      </c>
      <c r="I1926" s="22">
        <v>2500</v>
      </c>
    </row>
    <row r="1927" spans="1:11" x14ac:dyDescent="0.3">
      <c r="A1927">
        <v>2026</v>
      </c>
      <c r="B1927" s="69">
        <v>10</v>
      </c>
      <c r="C1927" t="s">
        <v>176</v>
      </c>
      <c r="D1927" s="4" t="s">
        <v>158</v>
      </c>
      <c r="E1927" s="4" t="s">
        <v>232</v>
      </c>
      <c r="F1927" s="61" t="s">
        <v>232</v>
      </c>
      <c r="G1927" s="4" t="s">
        <v>234</v>
      </c>
      <c r="H1927" s="62">
        <v>712.40000000000009</v>
      </c>
      <c r="I1927" s="22">
        <v>2500</v>
      </c>
    </row>
    <row r="1928" spans="1:11" x14ac:dyDescent="0.3">
      <c r="A1928">
        <v>2026</v>
      </c>
      <c r="B1928" s="69">
        <v>10</v>
      </c>
      <c r="C1928" s="3" t="s">
        <v>25</v>
      </c>
      <c r="D1928" s="4" t="s">
        <v>26</v>
      </c>
      <c r="E1928" s="4" t="s">
        <v>232</v>
      </c>
      <c r="F1928" s="61" t="s">
        <v>232</v>
      </c>
      <c r="G1928" s="4" t="s">
        <v>234</v>
      </c>
      <c r="H1928" s="62">
        <v>-3735.04</v>
      </c>
      <c r="I1928" s="22">
        <v>2500</v>
      </c>
      <c r="K1928" t="s">
        <v>1054</v>
      </c>
    </row>
    <row r="1929" spans="1:11" x14ac:dyDescent="0.3">
      <c r="A1929">
        <v>2026</v>
      </c>
      <c r="B1929" s="69">
        <v>10</v>
      </c>
      <c r="C1929" t="s">
        <v>177</v>
      </c>
      <c r="D1929" s="4" t="s">
        <v>157</v>
      </c>
      <c r="E1929" s="4" t="s">
        <v>232</v>
      </c>
      <c r="F1929" s="61" t="s">
        <v>232</v>
      </c>
      <c r="G1929" s="4" t="s">
        <v>234</v>
      </c>
      <c r="H1929" s="62">
        <v>2969.88</v>
      </c>
      <c r="I1929" s="22">
        <v>2500</v>
      </c>
    </row>
    <row r="1930" spans="1:11" x14ac:dyDescent="0.3">
      <c r="A1930">
        <v>2026</v>
      </c>
      <c r="B1930" s="69">
        <v>10</v>
      </c>
      <c r="C1930" s="3" t="s">
        <v>27</v>
      </c>
      <c r="D1930" s="4" t="s">
        <v>137</v>
      </c>
      <c r="E1930" s="4" t="s">
        <v>232</v>
      </c>
      <c r="F1930" s="61" t="s">
        <v>232</v>
      </c>
      <c r="G1930" s="4" t="s">
        <v>234</v>
      </c>
      <c r="H1930" s="62">
        <v>-500</v>
      </c>
      <c r="I1930" s="22">
        <v>2500</v>
      </c>
      <c r="K1930" t="s">
        <v>1040</v>
      </c>
    </row>
    <row r="1931" spans="1:11" x14ac:dyDescent="0.3">
      <c r="A1931">
        <v>2026</v>
      </c>
      <c r="B1931" s="69">
        <v>10</v>
      </c>
      <c r="C1931" s="3" t="s">
        <v>9</v>
      </c>
      <c r="D1931" s="4" t="s">
        <v>10</v>
      </c>
      <c r="E1931" s="4" t="s">
        <v>232</v>
      </c>
      <c r="F1931" s="61" t="s">
        <v>232</v>
      </c>
      <c r="G1931" s="4" t="s">
        <v>425</v>
      </c>
      <c r="H1931" s="62">
        <v>-700</v>
      </c>
      <c r="I1931" s="22">
        <v>2500</v>
      </c>
      <c r="K1931" t="s">
        <v>1055</v>
      </c>
    </row>
    <row r="1932" spans="1:11" x14ac:dyDescent="0.3">
      <c r="A1932">
        <v>2026</v>
      </c>
      <c r="B1932" s="69">
        <v>10</v>
      </c>
      <c r="C1932" s="4" t="s">
        <v>184</v>
      </c>
      <c r="D1932" s="4" t="s">
        <v>50</v>
      </c>
      <c r="E1932" s="4" t="s">
        <v>232</v>
      </c>
      <c r="F1932" s="61" t="s">
        <v>232</v>
      </c>
      <c r="G1932" s="4" t="s">
        <v>234</v>
      </c>
      <c r="H1932" s="62">
        <v>2982</v>
      </c>
      <c r="I1932" s="22">
        <v>2500</v>
      </c>
      <c r="K1932" t="s">
        <v>1071</v>
      </c>
    </row>
    <row r="1933" spans="1:11" x14ac:dyDescent="0.3">
      <c r="A1933">
        <v>2026</v>
      </c>
      <c r="B1933" s="69">
        <v>10</v>
      </c>
      <c r="C1933" s="3" t="s">
        <v>70</v>
      </c>
      <c r="D1933" s="4" t="s">
        <v>71</v>
      </c>
      <c r="E1933" s="4" t="s">
        <v>232</v>
      </c>
      <c r="F1933" s="61" t="s">
        <v>232</v>
      </c>
      <c r="G1933" s="4" t="s">
        <v>234</v>
      </c>
      <c r="H1933" s="62">
        <v>2438.3999999999996</v>
      </c>
      <c r="I1933" s="22">
        <v>2500</v>
      </c>
    </row>
    <row r="1934" spans="1:11" x14ac:dyDescent="0.3">
      <c r="A1934">
        <v>2026</v>
      </c>
      <c r="B1934" s="69">
        <v>10</v>
      </c>
      <c r="C1934" s="3" t="s">
        <v>29</v>
      </c>
      <c r="D1934" s="4" t="s">
        <v>141</v>
      </c>
      <c r="E1934" s="4" t="s">
        <v>232</v>
      </c>
      <c r="F1934" s="61" t="s">
        <v>232</v>
      </c>
      <c r="G1934" s="4" t="s">
        <v>234</v>
      </c>
      <c r="H1934" s="62">
        <v>3954.0807999999993</v>
      </c>
      <c r="I1934" s="22">
        <v>2500</v>
      </c>
      <c r="K1934" t="s">
        <v>1056</v>
      </c>
    </row>
    <row r="1935" spans="1:11" x14ac:dyDescent="0.3">
      <c r="A1935">
        <v>2026</v>
      </c>
      <c r="B1935" s="69">
        <v>10</v>
      </c>
      <c r="C1935" s="3" t="s">
        <v>72</v>
      </c>
      <c r="D1935" s="4" t="s">
        <v>73</v>
      </c>
      <c r="E1935" s="4" t="s">
        <v>241</v>
      </c>
      <c r="F1935" s="61" t="s">
        <v>291</v>
      </c>
      <c r="G1935" s="4" t="s">
        <v>234</v>
      </c>
      <c r="H1935" s="62">
        <v>3200</v>
      </c>
      <c r="I1935" s="22">
        <v>2500</v>
      </c>
    </row>
    <row r="1936" spans="1:11" x14ac:dyDescent="0.3">
      <c r="A1936">
        <v>2026</v>
      </c>
      <c r="B1936" s="69">
        <v>10</v>
      </c>
      <c r="C1936" s="3" t="s">
        <v>92</v>
      </c>
      <c r="D1936" s="4" t="s">
        <v>30</v>
      </c>
      <c r="E1936" s="4" t="s">
        <v>232</v>
      </c>
      <c r="F1936" s="61" t="s">
        <v>232</v>
      </c>
      <c r="G1936" s="4" t="s">
        <v>234</v>
      </c>
      <c r="H1936" s="62">
        <v>3000</v>
      </c>
      <c r="I1936" s="22">
        <v>2500</v>
      </c>
      <c r="K1936" t="s">
        <v>1040</v>
      </c>
    </row>
    <row r="1937" spans="1:11" x14ac:dyDescent="0.3">
      <c r="A1937">
        <v>2026</v>
      </c>
      <c r="B1937" s="69">
        <v>10</v>
      </c>
      <c r="C1937" s="3" t="s">
        <v>105</v>
      </c>
      <c r="D1937" s="4" t="s">
        <v>106</v>
      </c>
      <c r="E1937" s="4" t="s">
        <v>232</v>
      </c>
      <c r="F1937" s="61" t="s">
        <v>232</v>
      </c>
      <c r="G1937" s="4" t="s">
        <v>425</v>
      </c>
      <c r="H1937" s="62">
        <v>2300</v>
      </c>
      <c r="I1937" s="22">
        <v>2500</v>
      </c>
      <c r="K1937" t="s">
        <v>1047</v>
      </c>
    </row>
    <row r="1938" spans="1:11" x14ac:dyDescent="0.3">
      <c r="A1938">
        <v>2026</v>
      </c>
      <c r="B1938" s="69">
        <v>10</v>
      </c>
      <c r="C1938" s="3" t="s">
        <v>31</v>
      </c>
      <c r="D1938" s="4" t="s">
        <v>143</v>
      </c>
      <c r="E1938" s="4" t="s">
        <v>232</v>
      </c>
      <c r="F1938" s="61" t="s">
        <v>232</v>
      </c>
      <c r="G1938" s="4" t="s">
        <v>234</v>
      </c>
      <c r="H1938" s="62">
        <v>2700</v>
      </c>
      <c r="I1938" s="22">
        <v>2500</v>
      </c>
    </row>
    <row r="1939" spans="1:11" x14ac:dyDescent="0.3">
      <c r="A1939">
        <v>2026</v>
      </c>
      <c r="B1939" s="69">
        <v>10</v>
      </c>
      <c r="C1939" s="3" t="s">
        <v>91</v>
      </c>
      <c r="D1939" s="4" t="s">
        <v>144</v>
      </c>
      <c r="E1939" s="4" t="s">
        <v>232</v>
      </c>
      <c r="F1939" s="61" t="s">
        <v>232</v>
      </c>
      <c r="G1939" s="4" t="s">
        <v>234</v>
      </c>
      <c r="H1939" s="62">
        <v>2102.7200000000007</v>
      </c>
      <c r="I1939" s="22">
        <v>2500</v>
      </c>
      <c r="K1939" t="s">
        <v>1057</v>
      </c>
    </row>
    <row r="1940" spans="1:11" x14ac:dyDescent="0.3">
      <c r="A1940">
        <v>2026</v>
      </c>
      <c r="B1940" s="69">
        <v>10</v>
      </c>
      <c r="C1940" s="3" t="s">
        <v>33</v>
      </c>
      <c r="D1940" s="4" t="s">
        <v>67</v>
      </c>
      <c r="E1940" s="4" t="s">
        <v>232</v>
      </c>
      <c r="F1940" s="61" t="s">
        <v>232</v>
      </c>
      <c r="G1940" s="4" t="s">
        <v>234</v>
      </c>
      <c r="H1940" s="62">
        <v>-3362.3200000000006</v>
      </c>
      <c r="I1940" s="22">
        <v>2500</v>
      </c>
    </row>
    <row r="1941" spans="1:11" x14ac:dyDescent="0.3">
      <c r="A1941">
        <v>2026</v>
      </c>
      <c r="B1941" s="69">
        <v>10</v>
      </c>
      <c r="C1941" s="4" t="s">
        <v>173</v>
      </c>
      <c r="D1941" s="4" t="s">
        <v>52</v>
      </c>
      <c r="E1941" s="4" t="s">
        <v>232</v>
      </c>
      <c r="F1941" s="4" t="s">
        <v>232</v>
      </c>
      <c r="G1941" s="4" t="s">
        <v>234</v>
      </c>
      <c r="H1941" s="62">
        <v>2999.66</v>
      </c>
      <c r="I1941" s="22">
        <v>2500</v>
      </c>
      <c r="K1941" t="s">
        <v>1042</v>
      </c>
    </row>
    <row r="1942" spans="1:11" x14ac:dyDescent="0.3">
      <c r="A1942">
        <v>2026</v>
      </c>
      <c r="B1942" s="69">
        <v>10</v>
      </c>
      <c r="C1942" s="4" t="s">
        <v>175</v>
      </c>
      <c r="D1942" s="4" t="s">
        <v>69</v>
      </c>
      <c r="E1942" s="4" t="s">
        <v>232</v>
      </c>
      <c r="F1942" s="4" t="s">
        <v>232</v>
      </c>
      <c r="G1942" s="4" t="s">
        <v>425</v>
      </c>
      <c r="H1942" s="62">
        <v>1148.2430856000001</v>
      </c>
      <c r="I1942" s="22">
        <v>2500</v>
      </c>
      <c r="K1942" t="s">
        <v>1043</v>
      </c>
    </row>
    <row r="1943" spans="1:11" x14ac:dyDescent="0.3">
      <c r="A1943">
        <v>2026</v>
      </c>
      <c r="B1943" s="69">
        <v>10</v>
      </c>
      <c r="C1943" s="3" t="s">
        <v>35</v>
      </c>
      <c r="D1943" s="4" t="s">
        <v>36</v>
      </c>
      <c r="E1943" s="4" t="s">
        <v>232</v>
      </c>
      <c r="F1943" s="61" t="s">
        <v>232</v>
      </c>
      <c r="G1943" s="4" t="s">
        <v>234</v>
      </c>
      <c r="H1943" s="62">
        <v>2500</v>
      </c>
      <c r="I1943" s="22">
        <v>2500</v>
      </c>
    </row>
    <row r="1944" spans="1:11" x14ac:dyDescent="0.3">
      <c r="A1944">
        <v>2026</v>
      </c>
      <c r="B1944" s="69">
        <v>10</v>
      </c>
      <c r="C1944" s="4" t="s">
        <v>183</v>
      </c>
      <c r="D1944" s="4" t="s">
        <v>40</v>
      </c>
      <c r="E1944" s="4" t="s">
        <v>232</v>
      </c>
      <c r="F1944" s="4" t="s">
        <v>232</v>
      </c>
      <c r="G1944" s="4" t="s">
        <v>234</v>
      </c>
      <c r="H1944" s="62">
        <v>2803.58</v>
      </c>
      <c r="I1944" s="22">
        <v>2500</v>
      </c>
      <c r="K1944" t="s">
        <v>1039</v>
      </c>
    </row>
    <row r="1945" spans="1:11" x14ac:dyDescent="0.3">
      <c r="A1945">
        <v>2026</v>
      </c>
      <c r="B1945" s="69">
        <v>10</v>
      </c>
      <c r="C1945" s="4" t="s">
        <v>189</v>
      </c>
      <c r="D1945" s="4" t="s">
        <v>24</v>
      </c>
      <c r="E1945" s="4" t="s">
        <v>232</v>
      </c>
      <c r="F1945" s="4" t="s">
        <v>232</v>
      </c>
      <c r="G1945" s="4" t="s">
        <v>234</v>
      </c>
      <c r="H1945" s="62">
        <v>2645.7799999999997</v>
      </c>
      <c r="I1945" s="22">
        <v>2500</v>
      </c>
    </row>
    <row r="1946" spans="1:11" x14ac:dyDescent="0.3">
      <c r="A1946">
        <v>2026</v>
      </c>
      <c r="B1946" s="69">
        <v>10</v>
      </c>
      <c r="C1946" s="4" t="s">
        <v>174</v>
      </c>
      <c r="D1946" s="4" t="s">
        <v>77</v>
      </c>
      <c r="E1946" s="4" t="s">
        <v>232</v>
      </c>
      <c r="F1946" s="4" t="s">
        <v>232</v>
      </c>
      <c r="G1946" s="4" t="s">
        <v>234</v>
      </c>
      <c r="H1946" s="62">
        <v>3000</v>
      </c>
      <c r="I1946" s="22">
        <v>2500</v>
      </c>
    </row>
    <row r="1947" spans="1:11" x14ac:dyDescent="0.3">
      <c r="A1947">
        <v>2026</v>
      </c>
      <c r="B1947" s="69">
        <v>10</v>
      </c>
      <c r="C1947" s="3" t="s">
        <v>114</v>
      </c>
      <c r="D1947" s="4" t="s">
        <v>46</v>
      </c>
      <c r="E1947" s="4" t="s">
        <v>232</v>
      </c>
      <c r="F1947" s="61" t="s">
        <v>232</v>
      </c>
      <c r="G1947" s="4" t="s">
        <v>234</v>
      </c>
      <c r="H1947" s="62">
        <v>2604.2000000000007</v>
      </c>
      <c r="I1947" s="22">
        <v>2500</v>
      </c>
      <c r="K1947" t="s">
        <v>1058</v>
      </c>
    </row>
    <row r="1948" spans="1:11" x14ac:dyDescent="0.3">
      <c r="A1948">
        <v>2026</v>
      </c>
      <c r="B1948" s="69">
        <v>10</v>
      </c>
      <c r="C1948" s="3" t="s">
        <v>43</v>
      </c>
      <c r="D1948" s="4" t="s">
        <v>145</v>
      </c>
      <c r="E1948" s="4" t="s">
        <v>232</v>
      </c>
      <c r="F1948" s="61" t="s">
        <v>232</v>
      </c>
      <c r="G1948" s="4" t="s">
        <v>234</v>
      </c>
      <c r="H1948" s="62">
        <v>691.53428571428572</v>
      </c>
      <c r="I1948" s="22">
        <v>2500</v>
      </c>
      <c r="K1948" t="s">
        <v>1059</v>
      </c>
    </row>
    <row r="1949" spans="1:11" x14ac:dyDescent="0.3">
      <c r="A1949">
        <v>2026</v>
      </c>
      <c r="B1949" s="69">
        <v>10</v>
      </c>
      <c r="C1949" s="3" t="s">
        <v>84</v>
      </c>
      <c r="D1949" s="4" t="s">
        <v>146</v>
      </c>
      <c r="E1949" s="4" t="s">
        <v>232</v>
      </c>
      <c r="F1949" s="61" t="s">
        <v>232</v>
      </c>
      <c r="G1949" s="4" t="s">
        <v>234</v>
      </c>
      <c r="H1949" s="62">
        <v>2439.6999999999998</v>
      </c>
      <c r="I1949" s="22">
        <v>2500</v>
      </c>
      <c r="K1949" t="s">
        <v>1060</v>
      </c>
    </row>
    <row r="1950" spans="1:11" x14ac:dyDescent="0.3">
      <c r="A1950">
        <v>2026</v>
      </c>
      <c r="B1950" s="69">
        <v>10</v>
      </c>
      <c r="C1950" s="3" t="s">
        <v>89</v>
      </c>
      <c r="D1950" s="4" t="s">
        <v>4</v>
      </c>
      <c r="E1950" s="4" t="s">
        <v>232</v>
      </c>
      <c r="F1950" s="61" t="s">
        <v>232</v>
      </c>
      <c r="G1950" s="4" t="s">
        <v>234</v>
      </c>
      <c r="H1950" s="62">
        <v>3000.9399999999987</v>
      </c>
      <c r="I1950" s="22">
        <v>2500</v>
      </c>
      <c r="K1950" t="s">
        <v>1061</v>
      </c>
    </row>
    <row r="1951" spans="1:11" x14ac:dyDescent="0.3">
      <c r="A1951">
        <v>2026</v>
      </c>
      <c r="B1951" s="69">
        <v>10</v>
      </c>
      <c r="C1951" s="3" t="s">
        <v>119</v>
      </c>
      <c r="D1951" s="4" t="s">
        <v>97</v>
      </c>
      <c r="E1951" s="4" t="s">
        <v>232</v>
      </c>
      <c r="F1951" s="61" t="s">
        <v>232</v>
      </c>
      <c r="G1951" s="4" t="s">
        <v>234</v>
      </c>
      <c r="H1951" s="62">
        <v>-500</v>
      </c>
      <c r="I1951" s="22">
        <v>2500</v>
      </c>
      <c r="K1951" t="s">
        <v>1040</v>
      </c>
    </row>
    <row r="1952" spans="1:11" x14ac:dyDescent="0.3">
      <c r="A1952">
        <v>2026</v>
      </c>
      <c r="B1952" s="69">
        <v>10</v>
      </c>
      <c r="C1952" s="3" t="s">
        <v>123</v>
      </c>
      <c r="D1952" s="4" t="s">
        <v>59</v>
      </c>
      <c r="E1952" s="4" t="s">
        <v>232</v>
      </c>
      <c r="F1952" s="61" t="s">
        <v>232</v>
      </c>
      <c r="G1952" s="4" t="s">
        <v>234</v>
      </c>
      <c r="H1952" s="62">
        <v>1607</v>
      </c>
      <c r="I1952" s="22">
        <v>2500</v>
      </c>
    </row>
    <row r="1953" spans="1:11" x14ac:dyDescent="0.3">
      <c r="A1953">
        <v>2026</v>
      </c>
      <c r="B1953" s="69">
        <v>10</v>
      </c>
      <c r="C1953" s="3" t="s">
        <v>123</v>
      </c>
      <c r="D1953" s="4" t="s">
        <v>71</v>
      </c>
      <c r="E1953" s="4" t="s">
        <v>232</v>
      </c>
      <c r="F1953" s="61" t="s">
        <v>232</v>
      </c>
      <c r="G1953" s="4" t="s">
        <v>234</v>
      </c>
      <c r="H1953" s="62">
        <v>1350</v>
      </c>
      <c r="I1953" s="22"/>
      <c r="K1953" t="s">
        <v>1062</v>
      </c>
    </row>
    <row r="1954" spans="1:11" x14ac:dyDescent="0.3">
      <c r="A1954">
        <v>2026</v>
      </c>
      <c r="B1954" s="69">
        <v>10</v>
      </c>
      <c r="C1954" s="3" t="s">
        <v>5</v>
      </c>
      <c r="D1954" s="4" t="s">
        <v>6</v>
      </c>
      <c r="E1954" s="4" t="s">
        <v>232</v>
      </c>
      <c r="F1954" s="61" t="s">
        <v>232</v>
      </c>
      <c r="G1954" s="4" t="s">
        <v>425</v>
      </c>
      <c r="H1954" s="62">
        <v>3209.76</v>
      </c>
      <c r="I1954" s="22">
        <v>2500</v>
      </c>
      <c r="K1954" t="s">
        <v>1063</v>
      </c>
    </row>
    <row r="1955" spans="1:11" x14ac:dyDescent="0.3">
      <c r="A1955">
        <v>2026</v>
      </c>
      <c r="B1955" s="69">
        <v>10</v>
      </c>
      <c r="C1955" s="3" t="s">
        <v>5</v>
      </c>
      <c r="D1955" s="4" t="s">
        <v>50</v>
      </c>
      <c r="E1955" s="4" t="s">
        <v>232</v>
      </c>
      <c r="F1955" s="61" t="s">
        <v>232</v>
      </c>
      <c r="G1955" s="4" t="s">
        <v>425</v>
      </c>
      <c r="H1955" s="62">
        <v>700</v>
      </c>
      <c r="I1955" s="22"/>
      <c r="K1955" t="s">
        <v>1064</v>
      </c>
    </row>
    <row r="1956" spans="1:11" x14ac:dyDescent="0.3">
      <c r="A1956">
        <v>2026</v>
      </c>
      <c r="B1956" s="69">
        <v>10</v>
      </c>
      <c r="C1956" s="4" t="s">
        <v>185</v>
      </c>
      <c r="D1956" s="4" t="s">
        <v>34</v>
      </c>
      <c r="E1956" s="4" t="s">
        <v>232</v>
      </c>
      <c r="F1956" s="4" t="s">
        <v>232</v>
      </c>
      <c r="G1956" s="4" t="s">
        <v>234</v>
      </c>
      <c r="H1956" s="62">
        <v>2999.9400000000014</v>
      </c>
      <c r="I1956" s="22">
        <v>2500</v>
      </c>
      <c r="K1956" t="s">
        <v>1041</v>
      </c>
    </row>
    <row r="1957" spans="1:11" x14ac:dyDescent="0.3">
      <c r="A1957">
        <v>2026</v>
      </c>
      <c r="B1957" s="69">
        <v>10</v>
      </c>
      <c r="C1957" s="3" t="s">
        <v>47</v>
      </c>
      <c r="D1957" s="4" t="s">
        <v>147</v>
      </c>
      <c r="E1957" s="4" t="s">
        <v>232</v>
      </c>
      <c r="F1957" s="61" t="s">
        <v>232</v>
      </c>
      <c r="G1957" s="4" t="s">
        <v>234</v>
      </c>
      <c r="H1957" s="62">
        <v>2700</v>
      </c>
      <c r="I1957" s="22">
        <v>2500</v>
      </c>
      <c r="K1957" t="s">
        <v>1040</v>
      </c>
    </row>
    <row r="1958" spans="1:11" x14ac:dyDescent="0.3">
      <c r="A1958">
        <v>2026</v>
      </c>
      <c r="B1958" s="69">
        <v>10</v>
      </c>
      <c r="C1958" s="3" t="s">
        <v>49</v>
      </c>
      <c r="D1958" s="4" t="s">
        <v>12</v>
      </c>
      <c r="E1958" s="4" t="s">
        <v>232</v>
      </c>
      <c r="F1958" s="61" t="s">
        <v>232</v>
      </c>
      <c r="G1958" s="4" t="s">
        <v>234</v>
      </c>
      <c r="H1958" s="62">
        <v>2700</v>
      </c>
      <c r="I1958" s="22">
        <v>2500</v>
      </c>
      <c r="K1958" t="s">
        <v>1040</v>
      </c>
    </row>
    <row r="1959" spans="1:11" x14ac:dyDescent="0.3">
      <c r="A1959">
        <v>2026</v>
      </c>
      <c r="B1959" s="69">
        <v>10</v>
      </c>
      <c r="C1959" s="3" t="s">
        <v>49</v>
      </c>
      <c r="D1959" s="4" t="s">
        <v>104</v>
      </c>
      <c r="E1959" s="4" t="s">
        <v>924</v>
      </c>
      <c r="F1959" s="61" t="s">
        <v>232</v>
      </c>
      <c r="G1959" s="4" t="s">
        <v>234</v>
      </c>
      <c r="H1959" s="62">
        <v>700</v>
      </c>
      <c r="I1959" s="22"/>
      <c r="K1959" t="s">
        <v>1065</v>
      </c>
    </row>
    <row r="1960" spans="1:11" x14ac:dyDescent="0.3">
      <c r="A1960">
        <v>2026</v>
      </c>
      <c r="B1960" s="69">
        <v>10</v>
      </c>
      <c r="C1960" s="3" t="s">
        <v>192</v>
      </c>
      <c r="D1960" s="4" t="s">
        <v>79</v>
      </c>
      <c r="E1960" s="4" t="s">
        <v>291</v>
      </c>
      <c r="F1960" s="61" t="s">
        <v>291</v>
      </c>
      <c r="G1960" s="4" t="s">
        <v>234</v>
      </c>
      <c r="H1960" s="62">
        <v>1500.94</v>
      </c>
      <c r="I1960" s="22">
        <v>2500</v>
      </c>
      <c r="J1960">
        <v>1800</v>
      </c>
      <c r="K1960" t="s">
        <v>1037</v>
      </c>
    </row>
    <row r="1961" spans="1:11" x14ac:dyDescent="0.3">
      <c r="A1961">
        <v>2026</v>
      </c>
      <c r="B1961" s="69">
        <v>10</v>
      </c>
      <c r="C1961" s="3" t="s">
        <v>152</v>
      </c>
      <c r="D1961" s="4" t="s">
        <v>42</v>
      </c>
      <c r="E1961" s="4" t="s">
        <v>232</v>
      </c>
      <c r="F1961" s="61" t="s">
        <v>232</v>
      </c>
      <c r="G1961" s="4" t="s">
        <v>234</v>
      </c>
      <c r="H1961" s="62">
        <v>3000.5599999999995</v>
      </c>
      <c r="I1961" s="22">
        <v>2500</v>
      </c>
      <c r="K1961" t="s">
        <v>1066</v>
      </c>
    </row>
    <row r="1962" spans="1:11" x14ac:dyDescent="0.3">
      <c r="A1962">
        <v>2026</v>
      </c>
      <c r="B1962" s="69">
        <v>10</v>
      </c>
      <c r="C1962" s="3" t="s">
        <v>51</v>
      </c>
      <c r="D1962" s="4" t="s">
        <v>52</v>
      </c>
      <c r="E1962" s="4" t="s">
        <v>232</v>
      </c>
      <c r="F1962" s="61" t="s">
        <v>232</v>
      </c>
      <c r="G1962" s="4" t="s">
        <v>234</v>
      </c>
      <c r="H1962" s="62">
        <v>3200.38</v>
      </c>
      <c r="I1962" s="22">
        <v>2500</v>
      </c>
      <c r="K1962" t="s">
        <v>1067</v>
      </c>
    </row>
    <row r="1963" spans="1:11" x14ac:dyDescent="0.3">
      <c r="A1963">
        <v>2026</v>
      </c>
      <c r="B1963" s="69">
        <v>10</v>
      </c>
      <c r="C1963" s="3" t="s">
        <v>131</v>
      </c>
      <c r="D1963" s="4" t="s">
        <v>116</v>
      </c>
      <c r="E1963" s="4" t="s">
        <v>291</v>
      </c>
      <c r="F1963" s="61" t="s">
        <v>291</v>
      </c>
      <c r="G1963" s="4" t="s">
        <v>234</v>
      </c>
      <c r="H1963" s="62">
        <v>3000</v>
      </c>
      <c r="I1963" s="22">
        <v>2500</v>
      </c>
      <c r="K1963" t="s">
        <v>1040</v>
      </c>
    </row>
    <row r="1964" spans="1:11" x14ac:dyDescent="0.3">
      <c r="A1964">
        <v>2026</v>
      </c>
      <c r="B1964" s="69">
        <v>10</v>
      </c>
      <c r="C1964" s="3" t="s">
        <v>107</v>
      </c>
      <c r="D1964" s="4" t="s">
        <v>148</v>
      </c>
      <c r="E1964" s="4" t="s">
        <v>232</v>
      </c>
      <c r="F1964" s="61" t="s">
        <v>232</v>
      </c>
      <c r="G1964" s="4" t="s">
        <v>234</v>
      </c>
      <c r="H1964" s="62">
        <v>3424.4000000000015</v>
      </c>
      <c r="I1964" s="22">
        <v>2500</v>
      </c>
      <c r="K1964" t="s">
        <v>1068</v>
      </c>
    </row>
    <row r="1965" spans="1:11" x14ac:dyDescent="0.3">
      <c r="A1965">
        <v>2026</v>
      </c>
      <c r="B1965" s="69">
        <v>10</v>
      </c>
      <c r="C1965" s="4" t="s">
        <v>197</v>
      </c>
      <c r="D1965" s="4" t="s">
        <v>79</v>
      </c>
      <c r="E1965" s="4" t="s">
        <v>291</v>
      </c>
      <c r="F1965" s="61" t="s">
        <v>291</v>
      </c>
      <c r="G1965" s="4" t="s">
        <v>234</v>
      </c>
      <c r="H1965" s="62">
        <v>521.5771428571428</v>
      </c>
      <c r="I1965" s="22">
        <v>2500</v>
      </c>
    </row>
    <row r="1966" spans="1:11" x14ac:dyDescent="0.3">
      <c r="A1966">
        <v>2026</v>
      </c>
      <c r="B1966" s="69">
        <v>10</v>
      </c>
      <c r="C1966" s="3" t="s">
        <v>76</v>
      </c>
      <c r="D1966" s="4" t="s">
        <v>40</v>
      </c>
      <c r="E1966" s="4" t="s">
        <v>232</v>
      </c>
      <c r="F1966" s="61" t="s">
        <v>232</v>
      </c>
      <c r="G1966" s="4" t="s">
        <v>234</v>
      </c>
      <c r="H1966" s="62">
        <v>3068.8239999999996</v>
      </c>
      <c r="I1966" s="22">
        <v>2500</v>
      </c>
      <c r="K1966" t="s">
        <v>1044</v>
      </c>
    </row>
    <row r="1967" spans="1:11" x14ac:dyDescent="0.3">
      <c r="A1967">
        <v>2026</v>
      </c>
      <c r="B1967" s="69">
        <v>10</v>
      </c>
      <c r="C1967" s="3" t="s">
        <v>87</v>
      </c>
      <c r="D1967" s="4" t="s">
        <v>83</v>
      </c>
      <c r="E1967" s="4" t="s">
        <v>232</v>
      </c>
      <c r="F1967" s="61" t="s">
        <v>232</v>
      </c>
      <c r="G1967" s="4" t="s">
        <v>234</v>
      </c>
      <c r="H1967" s="62">
        <v>-176.05999999999949</v>
      </c>
      <c r="I1967" s="22">
        <v>2500</v>
      </c>
      <c r="K1967" t="s">
        <v>1069</v>
      </c>
    </row>
    <row r="1968" spans="1:11" x14ac:dyDescent="0.3">
      <c r="A1968">
        <v>2026</v>
      </c>
      <c r="B1968" s="69">
        <v>10</v>
      </c>
      <c r="C1968" s="3" t="s">
        <v>117</v>
      </c>
      <c r="D1968" s="4" t="s">
        <v>118</v>
      </c>
      <c r="E1968" s="4" t="s">
        <v>232</v>
      </c>
      <c r="F1968" s="61" t="s">
        <v>232</v>
      </c>
      <c r="G1968" s="4" t="s">
        <v>234</v>
      </c>
      <c r="H1968" s="62">
        <v>2813.9400000000032</v>
      </c>
      <c r="I1968" s="22">
        <v>2500</v>
      </c>
      <c r="K1968" t="s">
        <v>1070</v>
      </c>
    </row>
    <row r="1969" spans="1:11" x14ac:dyDescent="0.3">
      <c r="A1969">
        <v>2026</v>
      </c>
      <c r="B1969" s="69">
        <v>10</v>
      </c>
      <c r="C1969" s="3" t="s">
        <v>98</v>
      </c>
      <c r="D1969" s="4" t="s">
        <v>112</v>
      </c>
      <c r="E1969" s="4" t="s">
        <v>232</v>
      </c>
      <c r="F1969" s="61" t="s">
        <v>232</v>
      </c>
      <c r="G1969" s="4" t="s">
        <v>234</v>
      </c>
      <c r="H1969" s="62">
        <v>2812.1</v>
      </c>
      <c r="I1969" s="22">
        <v>2500</v>
      </c>
    </row>
    <row r="1970" spans="1:11" x14ac:dyDescent="0.3">
      <c r="A1970">
        <v>2026</v>
      </c>
      <c r="B1970" s="69">
        <v>11</v>
      </c>
      <c r="C1970" s="3" t="s">
        <v>150</v>
      </c>
      <c r="D1970" s="4" t="s">
        <v>96</v>
      </c>
      <c r="E1970" s="4" t="s">
        <v>232</v>
      </c>
      <c r="F1970" s="61" t="s">
        <v>232</v>
      </c>
      <c r="G1970" s="4" t="s">
        <v>425</v>
      </c>
      <c r="H1970" s="62">
        <v>3000</v>
      </c>
      <c r="I1970">
        <v>2500</v>
      </c>
      <c r="K1970" t="s">
        <v>1081</v>
      </c>
    </row>
    <row r="1971" spans="1:11" x14ac:dyDescent="0.3">
      <c r="A1971">
        <v>2026</v>
      </c>
      <c r="B1971" s="69">
        <v>11</v>
      </c>
      <c r="C1971" s="3" t="s">
        <v>139</v>
      </c>
      <c r="D1971" s="4" t="s">
        <v>10</v>
      </c>
      <c r="E1971" s="4" t="s">
        <v>232</v>
      </c>
      <c r="F1971" s="61" t="s">
        <v>232</v>
      </c>
      <c r="G1971" s="4" t="s">
        <v>234</v>
      </c>
      <c r="H1971" s="62">
        <v>2999.6200000000008</v>
      </c>
      <c r="I1971">
        <v>2500</v>
      </c>
      <c r="K1971" t="s">
        <v>1091</v>
      </c>
    </row>
    <row r="1972" spans="1:11" x14ac:dyDescent="0.3">
      <c r="A1972">
        <v>2026</v>
      </c>
      <c r="B1972" s="69">
        <v>11</v>
      </c>
      <c r="C1972" s="3" t="s">
        <v>80</v>
      </c>
      <c r="D1972" s="4" t="s">
        <v>81</v>
      </c>
      <c r="E1972" s="4" t="s">
        <v>232</v>
      </c>
      <c r="F1972" s="61" t="s">
        <v>232</v>
      </c>
      <c r="G1972" s="4" t="s">
        <v>234</v>
      </c>
      <c r="H1972" s="62">
        <v>2500</v>
      </c>
      <c r="I1972">
        <v>2500</v>
      </c>
      <c r="K1972" t="s">
        <v>1092</v>
      </c>
    </row>
    <row r="1973" spans="1:11" x14ac:dyDescent="0.3">
      <c r="A1973">
        <v>2026</v>
      </c>
      <c r="B1973" s="69">
        <v>11</v>
      </c>
      <c r="C1973" s="3" t="s">
        <v>13</v>
      </c>
      <c r="D1973" s="4" t="s">
        <v>14</v>
      </c>
      <c r="E1973" s="4" t="s">
        <v>232</v>
      </c>
      <c r="F1973" s="61" t="s">
        <v>232</v>
      </c>
      <c r="G1973" s="4" t="s">
        <v>234</v>
      </c>
      <c r="H1973" s="62">
        <v>2507.1428571428569</v>
      </c>
      <c r="I1973">
        <v>2500</v>
      </c>
      <c r="K1973" t="s">
        <v>1093</v>
      </c>
    </row>
    <row r="1974" spans="1:11" x14ac:dyDescent="0.3">
      <c r="A1974">
        <v>2026</v>
      </c>
      <c r="B1974" s="69">
        <v>11</v>
      </c>
      <c r="C1974" s="4" t="s">
        <v>187</v>
      </c>
      <c r="D1974" s="4" t="s">
        <v>75</v>
      </c>
      <c r="E1974" s="4" t="s">
        <v>241</v>
      </c>
      <c r="F1974" s="4" t="s">
        <v>291</v>
      </c>
      <c r="G1974" s="4" t="s">
        <v>234</v>
      </c>
      <c r="H1974" s="62">
        <v>1929.4285714285713</v>
      </c>
      <c r="I1974">
        <v>2500</v>
      </c>
      <c r="K1974" t="s">
        <v>1084</v>
      </c>
    </row>
    <row r="1975" spans="1:11" x14ac:dyDescent="0.3">
      <c r="A1975">
        <v>2026</v>
      </c>
      <c r="B1975" s="69">
        <v>11</v>
      </c>
      <c r="C1975" s="4" t="s">
        <v>187</v>
      </c>
      <c r="D1975" s="61" t="s">
        <v>204</v>
      </c>
      <c r="E1975" s="4" t="s">
        <v>364</v>
      </c>
      <c r="F1975" s="61" t="s">
        <v>291</v>
      </c>
      <c r="G1975" s="4" t="s">
        <v>234</v>
      </c>
      <c r="H1975" s="62">
        <v>1071</v>
      </c>
    </row>
    <row r="1976" spans="1:11" x14ac:dyDescent="0.3">
      <c r="A1976">
        <v>2026</v>
      </c>
      <c r="B1976" s="69">
        <v>11</v>
      </c>
      <c r="C1976" s="3" t="s">
        <v>15</v>
      </c>
      <c r="D1976" s="4" t="s">
        <v>137</v>
      </c>
      <c r="E1976" s="4" t="s">
        <v>232</v>
      </c>
      <c r="F1976" s="61" t="s">
        <v>232</v>
      </c>
      <c r="G1976" s="4" t="s">
        <v>234</v>
      </c>
      <c r="H1976" s="62">
        <v>2856.7000000000003</v>
      </c>
      <c r="I1976">
        <v>2500</v>
      </c>
      <c r="K1976" t="s">
        <v>1090</v>
      </c>
    </row>
    <row r="1977" spans="1:11" x14ac:dyDescent="0.3">
      <c r="A1977">
        <v>2026</v>
      </c>
      <c r="B1977" s="69">
        <v>11</v>
      </c>
      <c r="C1977" s="3" t="s">
        <v>120</v>
      </c>
      <c r="D1977" s="4" t="s">
        <v>38</v>
      </c>
      <c r="E1977" s="4" t="s">
        <v>232</v>
      </c>
      <c r="F1977" s="61" t="s">
        <v>232</v>
      </c>
      <c r="G1977" s="4" t="s">
        <v>234</v>
      </c>
      <c r="H1977" s="62">
        <v>2502.0599999999995</v>
      </c>
      <c r="I1977">
        <v>2500</v>
      </c>
      <c r="K1977" t="s">
        <v>1094</v>
      </c>
    </row>
    <row r="1978" spans="1:11" x14ac:dyDescent="0.3">
      <c r="A1978">
        <v>2026</v>
      </c>
      <c r="B1978" s="69">
        <v>11</v>
      </c>
      <c r="C1978" s="4" t="s">
        <v>186</v>
      </c>
      <c r="D1978" s="4" t="s">
        <v>54</v>
      </c>
      <c r="E1978" s="4" t="s">
        <v>232</v>
      </c>
      <c r="F1978" s="4" t="s">
        <v>232</v>
      </c>
      <c r="G1978" s="4" t="s">
        <v>234</v>
      </c>
      <c r="H1978" s="62">
        <v>849.53999999999905</v>
      </c>
      <c r="I1978">
        <v>2500</v>
      </c>
      <c r="K1978" t="s">
        <v>1082</v>
      </c>
    </row>
    <row r="1979" spans="1:11" x14ac:dyDescent="0.3">
      <c r="A1979">
        <v>2026</v>
      </c>
      <c r="B1979" s="69">
        <v>11</v>
      </c>
      <c r="C1979" s="3" t="s">
        <v>111</v>
      </c>
      <c r="D1979" s="4" t="s">
        <v>63</v>
      </c>
      <c r="E1979" s="4" t="s">
        <v>291</v>
      </c>
      <c r="F1979" s="61" t="s">
        <v>291</v>
      </c>
      <c r="G1979" s="4" t="s">
        <v>234</v>
      </c>
      <c r="H1979" s="62">
        <v>2500</v>
      </c>
      <c r="I1979">
        <v>2500</v>
      </c>
      <c r="K1979" t="s">
        <v>410</v>
      </c>
    </row>
    <row r="1980" spans="1:11" x14ac:dyDescent="0.3">
      <c r="A1980">
        <v>2026</v>
      </c>
      <c r="B1980" s="69">
        <v>11</v>
      </c>
      <c r="C1980" s="3" t="s">
        <v>121</v>
      </c>
      <c r="D1980" s="4" t="s">
        <v>156</v>
      </c>
      <c r="E1980" s="4" t="s">
        <v>232</v>
      </c>
      <c r="F1980" s="61" t="s">
        <v>232</v>
      </c>
      <c r="G1980" s="4" t="s">
        <v>234</v>
      </c>
      <c r="H1980" s="62">
        <v>2507.1428571428573</v>
      </c>
      <c r="I1980">
        <v>2500</v>
      </c>
      <c r="K1980" t="s">
        <v>1093</v>
      </c>
    </row>
    <row r="1981" spans="1:11" x14ac:dyDescent="0.3">
      <c r="A1981">
        <v>2026</v>
      </c>
      <c r="B1981" s="69">
        <v>11</v>
      </c>
      <c r="C1981" s="3" t="s">
        <v>17</v>
      </c>
      <c r="D1981" s="4" t="s">
        <v>18</v>
      </c>
      <c r="E1981" s="4" t="s">
        <v>232</v>
      </c>
      <c r="F1981" s="61" t="s">
        <v>232</v>
      </c>
      <c r="G1981" s="4" t="s">
        <v>234</v>
      </c>
      <c r="H1981" s="62">
        <v>2700.7800000000007</v>
      </c>
      <c r="I1981">
        <v>2500</v>
      </c>
      <c r="K1981">
        <v>46095</v>
      </c>
    </row>
    <row r="1982" spans="1:11" x14ac:dyDescent="0.3">
      <c r="A1982">
        <v>2026</v>
      </c>
      <c r="B1982" s="69">
        <v>11</v>
      </c>
      <c r="C1982" s="3" t="s">
        <v>19</v>
      </c>
      <c r="D1982" s="4" t="s">
        <v>20</v>
      </c>
      <c r="E1982" s="4" t="s">
        <v>232</v>
      </c>
      <c r="F1982" s="61" t="s">
        <v>232</v>
      </c>
      <c r="G1982" s="4" t="s">
        <v>234</v>
      </c>
      <c r="H1982" s="62">
        <v>2321.4285714285716</v>
      </c>
      <c r="I1982">
        <v>2500</v>
      </c>
    </row>
    <row r="1983" spans="1:11" x14ac:dyDescent="0.3">
      <c r="A1983">
        <v>2026</v>
      </c>
      <c r="B1983" s="69">
        <v>11</v>
      </c>
      <c r="C1983" s="3" t="s">
        <v>128</v>
      </c>
      <c r="D1983" s="4" t="s">
        <v>155</v>
      </c>
      <c r="E1983" s="4" t="s">
        <v>232</v>
      </c>
      <c r="F1983" s="61" t="s">
        <v>232</v>
      </c>
      <c r="G1983" s="4" t="s">
        <v>234</v>
      </c>
      <c r="H1983" s="62">
        <v>2500</v>
      </c>
      <c r="I1983">
        <v>2500</v>
      </c>
    </row>
    <row r="1984" spans="1:11" x14ac:dyDescent="0.3">
      <c r="A1984">
        <v>2026</v>
      </c>
      <c r="B1984" s="69">
        <v>11</v>
      </c>
      <c r="C1984" s="3" t="s">
        <v>21</v>
      </c>
      <c r="D1984" s="4" t="s">
        <v>22</v>
      </c>
      <c r="E1984" s="4" t="s">
        <v>232</v>
      </c>
      <c r="F1984" s="61" t="s">
        <v>232</v>
      </c>
      <c r="G1984" s="4" t="s">
        <v>234</v>
      </c>
      <c r="H1984" s="62">
        <v>-4237.58</v>
      </c>
      <c r="I1984">
        <v>2500</v>
      </c>
    </row>
    <row r="1985" spans="1:11" x14ac:dyDescent="0.3">
      <c r="A1985">
        <v>2026</v>
      </c>
      <c r="B1985" s="69">
        <v>11</v>
      </c>
      <c r="C1985" s="3" t="s">
        <v>64</v>
      </c>
      <c r="D1985" s="4" t="s">
        <v>140</v>
      </c>
      <c r="E1985" s="4" t="s">
        <v>232</v>
      </c>
      <c r="F1985" s="61" t="s">
        <v>232</v>
      </c>
      <c r="G1985" s="4" t="s">
        <v>234</v>
      </c>
      <c r="H1985" s="62">
        <v>2700</v>
      </c>
      <c r="I1985">
        <v>2500</v>
      </c>
    </row>
    <row r="1986" spans="1:11" x14ac:dyDescent="0.3">
      <c r="A1986">
        <v>2026</v>
      </c>
      <c r="B1986" s="69">
        <v>11</v>
      </c>
      <c r="C1986" s="3" t="s">
        <v>90</v>
      </c>
      <c r="D1986" s="4" t="s">
        <v>16</v>
      </c>
      <c r="E1986" s="4" t="s">
        <v>232</v>
      </c>
      <c r="F1986" s="61" t="s">
        <v>232</v>
      </c>
      <c r="G1986" s="4" t="s">
        <v>234</v>
      </c>
      <c r="H1986" s="62">
        <v>3000</v>
      </c>
      <c r="I1986">
        <v>2500</v>
      </c>
    </row>
    <row r="1987" spans="1:11" x14ac:dyDescent="0.3">
      <c r="A1987">
        <v>2026</v>
      </c>
      <c r="B1987" s="69">
        <v>11</v>
      </c>
      <c r="C1987" s="3" t="s">
        <v>23</v>
      </c>
      <c r="D1987" s="4" t="s">
        <v>24</v>
      </c>
      <c r="E1987" s="4" t="s">
        <v>232</v>
      </c>
      <c r="F1987" s="61" t="s">
        <v>232</v>
      </c>
      <c r="G1987" s="4" t="s">
        <v>234</v>
      </c>
      <c r="H1987" s="62">
        <v>4174.5776000000005</v>
      </c>
      <c r="I1987">
        <v>2500</v>
      </c>
      <c r="K1987" t="s">
        <v>1095</v>
      </c>
    </row>
    <row r="1988" spans="1:11" x14ac:dyDescent="0.3">
      <c r="A1988">
        <v>2026</v>
      </c>
      <c r="B1988" s="69">
        <v>11</v>
      </c>
      <c r="C1988" s="3" t="s">
        <v>23</v>
      </c>
      <c r="D1988" s="4" t="s">
        <v>22</v>
      </c>
      <c r="E1988" s="4" t="s">
        <v>232</v>
      </c>
      <c r="F1988" s="61" t="s">
        <v>232</v>
      </c>
      <c r="G1988" s="4" t="s">
        <v>234</v>
      </c>
      <c r="H1988" s="62">
        <v>700</v>
      </c>
      <c r="K1988" t="s">
        <v>1096</v>
      </c>
    </row>
    <row r="1989" spans="1:11" x14ac:dyDescent="0.3">
      <c r="A1989">
        <v>2026</v>
      </c>
      <c r="B1989" s="69">
        <v>11</v>
      </c>
      <c r="C1989" s="3" t="s">
        <v>108</v>
      </c>
      <c r="D1989" s="4" t="s">
        <v>75</v>
      </c>
      <c r="E1989" s="4" t="s">
        <v>241</v>
      </c>
      <c r="F1989" s="61" t="s">
        <v>291</v>
      </c>
      <c r="G1989" s="4" t="s">
        <v>234</v>
      </c>
      <c r="H1989" s="62">
        <v>3021.4285714285716</v>
      </c>
      <c r="I1989">
        <v>2500</v>
      </c>
      <c r="K1989" t="s">
        <v>1093</v>
      </c>
    </row>
    <row r="1990" spans="1:11" x14ac:dyDescent="0.3">
      <c r="A1990">
        <v>2026</v>
      </c>
      <c r="B1990" s="69">
        <v>11</v>
      </c>
      <c r="C1990" s="3" t="s">
        <v>85</v>
      </c>
      <c r="D1990" s="4" t="s">
        <v>86</v>
      </c>
      <c r="E1990" s="4" t="s">
        <v>232</v>
      </c>
      <c r="F1990" s="61" t="s">
        <v>232</v>
      </c>
      <c r="G1990" s="4" t="s">
        <v>234</v>
      </c>
      <c r="H1990" s="62">
        <v>-2072.4057142857146</v>
      </c>
      <c r="I1990">
        <v>2500</v>
      </c>
    </row>
    <row r="1991" spans="1:11" x14ac:dyDescent="0.3">
      <c r="A1991">
        <v>2026</v>
      </c>
      <c r="B1991" s="69">
        <v>11</v>
      </c>
      <c r="C1991" s="3" t="s">
        <v>136</v>
      </c>
      <c r="D1991" s="4" t="s">
        <v>56</v>
      </c>
      <c r="E1991" s="4" t="s">
        <v>241</v>
      </c>
      <c r="F1991" s="61" t="s">
        <v>291</v>
      </c>
      <c r="G1991" s="4" t="s">
        <v>234</v>
      </c>
      <c r="H1991" s="62">
        <v>3188.7999999999993</v>
      </c>
      <c r="I1991">
        <v>2500</v>
      </c>
      <c r="K1991" t="s">
        <v>1097</v>
      </c>
    </row>
    <row r="1992" spans="1:11" x14ac:dyDescent="0.3">
      <c r="A1992">
        <v>2026</v>
      </c>
      <c r="B1992" s="69">
        <v>11</v>
      </c>
      <c r="C1992" s="4" t="s">
        <v>190</v>
      </c>
      <c r="D1992" s="4" t="s">
        <v>142</v>
      </c>
      <c r="E1992" s="4" t="s">
        <v>232</v>
      </c>
      <c r="F1992" s="4" t="s">
        <v>232</v>
      </c>
      <c r="G1992" s="4" t="s">
        <v>234</v>
      </c>
      <c r="H1992" s="62">
        <v>3200</v>
      </c>
      <c r="I1992">
        <v>2500</v>
      </c>
    </row>
    <row r="1993" spans="1:11" x14ac:dyDescent="0.3">
      <c r="A1993">
        <v>2026</v>
      </c>
      <c r="B1993" s="69">
        <v>11</v>
      </c>
      <c r="C1993" s="4" t="s">
        <v>176</v>
      </c>
      <c r="D1993" s="4" t="s">
        <v>158</v>
      </c>
      <c r="E1993" s="4" t="s">
        <v>232</v>
      </c>
      <c r="F1993" s="61" t="s">
        <v>232</v>
      </c>
      <c r="G1993" s="4" t="s">
        <v>234</v>
      </c>
      <c r="H1993" s="62">
        <v>8.0000000000000071E-2</v>
      </c>
      <c r="I1993">
        <v>2500</v>
      </c>
    </row>
    <row r="1994" spans="1:11" x14ac:dyDescent="0.3">
      <c r="A1994">
        <v>2026</v>
      </c>
      <c r="B1994" s="69">
        <v>11</v>
      </c>
      <c r="C1994" s="3" t="s">
        <v>25</v>
      </c>
      <c r="D1994" s="4" t="s">
        <v>26</v>
      </c>
      <c r="E1994" s="4" t="s">
        <v>232</v>
      </c>
      <c r="F1994" s="61" t="s">
        <v>232</v>
      </c>
      <c r="G1994" s="4" t="s">
        <v>234</v>
      </c>
      <c r="H1994" s="62">
        <v>-1800.7399999999998</v>
      </c>
      <c r="I1994">
        <v>2500</v>
      </c>
      <c r="K1994" t="s">
        <v>1098</v>
      </c>
    </row>
    <row r="1995" spans="1:11" x14ac:dyDescent="0.3">
      <c r="A1995">
        <v>2026</v>
      </c>
      <c r="B1995" s="69">
        <v>11</v>
      </c>
      <c r="C1995" s="4" t="s">
        <v>177</v>
      </c>
      <c r="D1995" s="4" t="s">
        <v>157</v>
      </c>
      <c r="E1995" s="4" t="s">
        <v>232</v>
      </c>
      <c r="F1995" s="61" t="s">
        <v>232</v>
      </c>
      <c r="G1995" s="4" t="s">
        <v>234</v>
      </c>
      <c r="H1995" s="62">
        <v>933</v>
      </c>
      <c r="I1995">
        <v>2500</v>
      </c>
    </row>
    <row r="1996" spans="1:11" x14ac:dyDescent="0.3">
      <c r="A1996">
        <v>2026</v>
      </c>
      <c r="B1996" s="69">
        <v>11</v>
      </c>
      <c r="C1996" s="3" t="s">
        <v>27</v>
      </c>
      <c r="D1996" s="4" t="s">
        <v>137</v>
      </c>
      <c r="E1996" s="4" t="s">
        <v>232</v>
      </c>
      <c r="F1996" s="61" t="s">
        <v>232</v>
      </c>
      <c r="G1996" s="4" t="s">
        <v>234</v>
      </c>
      <c r="H1996" s="62">
        <v>-500</v>
      </c>
      <c r="I1996">
        <v>2500</v>
      </c>
    </row>
    <row r="1997" spans="1:11" x14ac:dyDescent="0.3">
      <c r="A1997">
        <v>2026</v>
      </c>
      <c r="B1997" s="69">
        <v>11</v>
      </c>
      <c r="C1997" s="3" t="s">
        <v>9</v>
      </c>
      <c r="D1997" s="4" t="s">
        <v>10</v>
      </c>
      <c r="E1997" s="4" t="s">
        <v>232</v>
      </c>
      <c r="F1997" s="61" t="s">
        <v>232</v>
      </c>
      <c r="G1997" s="4" t="s">
        <v>425</v>
      </c>
      <c r="H1997" s="62">
        <v>-7225</v>
      </c>
      <c r="I1997">
        <v>2500</v>
      </c>
      <c r="K1997" t="s">
        <v>841</v>
      </c>
    </row>
    <row r="1998" spans="1:11" x14ac:dyDescent="0.3">
      <c r="A1998">
        <v>2026</v>
      </c>
      <c r="B1998" s="69">
        <v>11</v>
      </c>
      <c r="C1998" s="4" t="s">
        <v>184</v>
      </c>
      <c r="D1998" s="4" t="s">
        <v>50</v>
      </c>
      <c r="E1998" s="4" t="s">
        <v>232</v>
      </c>
      <c r="F1998" s="61" t="s">
        <v>232</v>
      </c>
      <c r="G1998" s="4" t="s">
        <v>234</v>
      </c>
      <c r="H1998" s="62">
        <v>3000</v>
      </c>
      <c r="I1998">
        <v>2500</v>
      </c>
    </row>
    <row r="1999" spans="1:11" x14ac:dyDescent="0.3">
      <c r="A1999">
        <v>2026</v>
      </c>
      <c r="B1999" s="69">
        <v>11</v>
      </c>
      <c r="C1999" s="4" t="s">
        <v>70</v>
      </c>
      <c r="D1999" s="4" t="s">
        <v>26</v>
      </c>
      <c r="E1999" s="4" t="s">
        <v>232</v>
      </c>
      <c r="F1999" s="61" t="s">
        <v>232</v>
      </c>
      <c r="G1999" s="4" t="s">
        <v>234</v>
      </c>
      <c r="H1999" s="62">
        <v>857.14285714285722</v>
      </c>
      <c r="I1999">
        <v>2500</v>
      </c>
    </row>
    <row r="2000" spans="1:11" x14ac:dyDescent="0.3">
      <c r="A2000">
        <v>2026</v>
      </c>
      <c r="B2000" s="69">
        <v>11</v>
      </c>
      <c r="C2000" s="4" t="s">
        <v>198</v>
      </c>
      <c r="D2000" s="4" t="s">
        <v>28</v>
      </c>
      <c r="E2000" s="4" t="s">
        <v>232</v>
      </c>
      <c r="F2000" s="61" t="s">
        <v>232</v>
      </c>
      <c r="G2000" s="4" t="s">
        <v>234</v>
      </c>
      <c r="H2000" s="62">
        <v>1804.2857142857144</v>
      </c>
      <c r="I2000">
        <v>2500</v>
      </c>
      <c r="K2000" t="s">
        <v>1080</v>
      </c>
    </row>
    <row r="2001" spans="1:11" x14ac:dyDescent="0.3">
      <c r="A2001">
        <v>2026</v>
      </c>
      <c r="B2001" s="69">
        <v>11</v>
      </c>
      <c r="C2001" s="3" t="s">
        <v>29</v>
      </c>
      <c r="D2001" s="4" t="s">
        <v>141</v>
      </c>
      <c r="E2001" s="4" t="s">
        <v>232</v>
      </c>
      <c r="F2001" s="61" t="s">
        <v>232</v>
      </c>
      <c r="G2001" s="4" t="s">
        <v>234</v>
      </c>
      <c r="H2001" s="62">
        <v>2225.0288</v>
      </c>
      <c r="I2001">
        <v>2500</v>
      </c>
      <c r="K2001" t="s">
        <v>1099</v>
      </c>
    </row>
    <row r="2002" spans="1:11" x14ac:dyDescent="0.3">
      <c r="A2002">
        <v>2026</v>
      </c>
      <c r="B2002" s="69">
        <v>11</v>
      </c>
      <c r="C2002" s="3" t="s">
        <v>72</v>
      </c>
      <c r="D2002" s="4" t="s">
        <v>73</v>
      </c>
      <c r="E2002" s="4" t="s">
        <v>241</v>
      </c>
      <c r="F2002" s="61" t="s">
        <v>291</v>
      </c>
      <c r="G2002" s="4" t="s">
        <v>234</v>
      </c>
      <c r="H2002" s="62">
        <v>2160</v>
      </c>
      <c r="I2002">
        <v>2500</v>
      </c>
      <c r="K2002" t="s">
        <v>1100</v>
      </c>
    </row>
    <row r="2003" spans="1:11" x14ac:dyDescent="0.3">
      <c r="A2003">
        <v>2026</v>
      </c>
      <c r="B2003" s="69">
        <v>11</v>
      </c>
      <c r="C2003" s="3" t="s">
        <v>92</v>
      </c>
      <c r="D2003" s="4" t="s">
        <v>30</v>
      </c>
      <c r="E2003" s="4" t="s">
        <v>232</v>
      </c>
      <c r="F2003" s="61" t="s">
        <v>232</v>
      </c>
      <c r="G2003" s="4" t="s">
        <v>234</v>
      </c>
      <c r="H2003" s="62">
        <v>3000</v>
      </c>
      <c r="I2003">
        <v>2500</v>
      </c>
    </row>
    <row r="2004" spans="1:11" x14ac:dyDescent="0.3">
      <c r="A2004">
        <v>2026</v>
      </c>
      <c r="B2004" s="69">
        <v>11</v>
      </c>
      <c r="C2004" s="3" t="s">
        <v>105</v>
      </c>
      <c r="D2004" s="4" t="s">
        <v>106</v>
      </c>
      <c r="E2004" s="4" t="s">
        <v>232</v>
      </c>
      <c r="F2004" s="61" t="s">
        <v>232</v>
      </c>
      <c r="G2004" s="4" t="s">
        <v>425</v>
      </c>
      <c r="H2004" s="62">
        <v>2400</v>
      </c>
      <c r="I2004">
        <v>2500</v>
      </c>
      <c r="K2004" t="s">
        <v>1101</v>
      </c>
    </row>
    <row r="2005" spans="1:11" x14ac:dyDescent="0.3">
      <c r="A2005">
        <v>2026</v>
      </c>
      <c r="B2005" s="69">
        <v>11</v>
      </c>
      <c r="C2005" s="3" t="s">
        <v>31</v>
      </c>
      <c r="D2005" s="4" t="s">
        <v>143</v>
      </c>
      <c r="E2005" s="4" t="s">
        <v>232</v>
      </c>
      <c r="F2005" s="61" t="s">
        <v>232</v>
      </c>
      <c r="G2005" s="4" t="s">
        <v>234</v>
      </c>
      <c r="H2005" s="62">
        <v>2700</v>
      </c>
      <c r="I2005">
        <v>2500</v>
      </c>
    </row>
    <row r="2006" spans="1:11" x14ac:dyDescent="0.3">
      <c r="A2006">
        <v>2026</v>
      </c>
      <c r="B2006" s="69">
        <v>11</v>
      </c>
      <c r="C2006" s="3" t="s">
        <v>91</v>
      </c>
      <c r="D2006" s="4" t="s">
        <v>144</v>
      </c>
      <c r="E2006" s="4" t="s">
        <v>232</v>
      </c>
      <c r="F2006" s="61" t="s">
        <v>232</v>
      </c>
      <c r="G2006" s="4" t="s">
        <v>234</v>
      </c>
      <c r="H2006" s="62">
        <v>-422.98000000000047</v>
      </c>
      <c r="I2006">
        <v>2500</v>
      </c>
    </row>
    <row r="2007" spans="1:11" x14ac:dyDescent="0.3">
      <c r="A2007">
        <v>2026</v>
      </c>
      <c r="B2007" s="69">
        <v>11</v>
      </c>
      <c r="C2007" s="3" t="s">
        <v>33</v>
      </c>
      <c r="D2007" s="4" t="s">
        <v>67</v>
      </c>
      <c r="E2007" s="4" t="s">
        <v>232</v>
      </c>
      <c r="F2007" s="61" t="s">
        <v>232</v>
      </c>
      <c r="G2007" s="4" t="s">
        <v>234</v>
      </c>
      <c r="H2007" s="62">
        <v>2989.4542857142851</v>
      </c>
      <c r="I2007">
        <v>2500</v>
      </c>
      <c r="K2007" t="s">
        <v>1102</v>
      </c>
    </row>
    <row r="2008" spans="1:11" x14ac:dyDescent="0.3">
      <c r="A2008">
        <v>2026</v>
      </c>
      <c r="B2008" s="69">
        <v>11</v>
      </c>
      <c r="C2008" s="4" t="s">
        <v>173</v>
      </c>
      <c r="D2008" s="4" t="s">
        <v>52</v>
      </c>
      <c r="E2008" s="4" t="s">
        <v>232</v>
      </c>
      <c r="F2008" s="4" t="s">
        <v>232</v>
      </c>
      <c r="G2008" s="4" t="s">
        <v>234</v>
      </c>
      <c r="H2008" s="62">
        <v>2999.08</v>
      </c>
      <c r="I2008">
        <v>2500</v>
      </c>
      <c r="K2008" t="s">
        <v>1087</v>
      </c>
    </row>
    <row r="2009" spans="1:11" x14ac:dyDescent="0.3">
      <c r="A2009">
        <v>2026</v>
      </c>
      <c r="B2009" s="69">
        <v>11</v>
      </c>
      <c r="C2009" s="4" t="s">
        <v>175</v>
      </c>
      <c r="D2009" s="4" t="s">
        <v>69</v>
      </c>
      <c r="E2009" s="4" t="s">
        <v>232</v>
      </c>
      <c r="F2009" s="4" t="s">
        <v>232</v>
      </c>
      <c r="G2009" s="4" t="s">
        <v>425</v>
      </c>
      <c r="H2009" s="62">
        <v>5110.6042371428575</v>
      </c>
      <c r="I2009">
        <v>2500</v>
      </c>
      <c r="K2009" t="s">
        <v>1088</v>
      </c>
    </row>
    <row r="2010" spans="1:11" x14ac:dyDescent="0.3">
      <c r="A2010">
        <v>2026</v>
      </c>
      <c r="B2010" s="69">
        <v>11</v>
      </c>
      <c r="C2010" s="3" t="s">
        <v>35</v>
      </c>
      <c r="D2010" s="4" t="s">
        <v>36</v>
      </c>
      <c r="E2010" s="4" t="s">
        <v>232</v>
      </c>
      <c r="F2010" s="61" t="s">
        <v>232</v>
      </c>
      <c r="G2010" s="4" t="s">
        <v>234</v>
      </c>
      <c r="H2010" s="62">
        <v>2500</v>
      </c>
      <c r="I2010">
        <v>2500</v>
      </c>
    </row>
    <row r="2011" spans="1:11" x14ac:dyDescent="0.3">
      <c r="A2011">
        <v>2026</v>
      </c>
      <c r="B2011" s="69">
        <v>11</v>
      </c>
      <c r="C2011" s="4" t="s">
        <v>183</v>
      </c>
      <c r="D2011" s="4" t="s">
        <v>40</v>
      </c>
      <c r="E2011" s="4" t="s">
        <v>232</v>
      </c>
      <c r="F2011" s="4" t="s">
        <v>232</v>
      </c>
      <c r="G2011" s="4" t="s">
        <v>234</v>
      </c>
      <c r="H2011" s="62">
        <v>1418.5199999999986</v>
      </c>
      <c r="I2011">
        <v>2500</v>
      </c>
      <c r="K2011" t="s">
        <v>1083</v>
      </c>
    </row>
    <row r="2012" spans="1:11" x14ac:dyDescent="0.3">
      <c r="A2012">
        <v>2026</v>
      </c>
      <c r="B2012" s="69">
        <v>11</v>
      </c>
      <c r="C2012" s="4" t="s">
        <v>189</v>
      </c>
      <c r="D2012" s="4" t="s">
        <v>24</v>
      </c>
      <c r="E2012" s="4" t="s">
        <v>232</v>
      </c>
      <c r="F2012" s="4" t="s">
        <v>232</v>
      </c>
      <c r="G2012" s="4" t="s">
        <v>234</v>
      </c>
      <c r="H2012" s="62">
        <v>3510.6800000000003</v>
      </c>
      <c r="I2012">
        <v>2500</v>
      </c>
      <c r="K2012" t="s">
        <v>1086</v>
      </c>
    </row>
    <row r="2013" spans="1:11" x14ac:dyDescent="0.3">
      <c r="A2013">
        <v>2026</v>
      </c>
      <c r="B2013" s="69">
        <v>11</v>
      </c>
      <c r="C2013" s="4" t="s">
        <v>174</v>
      </c>
      <c r="D2013" s="4" t="s">
        <v>77</v>
      </c>
      <c r="E2013" s="4" t="s">
        <v>232</v>
      </c>
      <c r="F2013" s="4" t="s">
        <v>232</v>
      </c>
      <c r="G2013" s="4" t="s">
        <v>234</v>
      </c>
      <c r="H2013" s="62">
        <v>3000</v>
      </c>
      <c r="I2013">
        <v>2500</v>
      </c>
    </row>
    <row r="2014" spans="1:11" x14ac:dyDescent="0.3">
      <c r="A2014">
        <v>2026</v>
      </c>
      <c r="B2014" s="69">
        <v>11</v>
      </c>
      <c r="C2014" s="3" t="s">
        <v>138</v>
      </c>
      <c r="D2014" s="4" t="s">
        <v>50</v>
      </c>
      <c r="E2014" s="4" t="s">
        <v>232</v>
      </c>
      <c r="F2014" s="61" t="s">
        <v>232</v>
      </c>
      <c r="G2014" s="4" t="s">
        <v>234</v>
      </c>
      <c r="H2014" s="62">
        <v>-500</v>
      </c>
      <c r="I2014">
        <v>2500</v>
      </c>
    </row>
    <row r="2015" spans="1:11" x14ac:dyDescent="0.3">
      <c r="A2015">
        <v>2026</v>
      </c>
      <c r="B2015" s="69">
        <v>11</v>
      </c>
      <c r="C2015" s="3" t="s">
        <v>114</v>
      </c>
      <c r="D2015" s="4" t="s">
        <v>46</v>
      </c>
      <c r="E2015" s="4" t="s">
        <v>232</v>
      </c>
      <c r="F2015" s="61" t="s">
        <v>232</v>
      </c>
      <c r="G2015" s="4" t="s">
        <v>234</v>
      </c>
      <c r="H2015" s="62">
        <v>-3255.36</v>
      </c>
      <c r="I2015">
        <v>2500</v>
      </c>
      <c r="K2015" t="s">
        <v>1103</v>
      </c>
    </row>
    <row r="2016" spans="1:11" x14ac:dyDescent="0.3">
      <c r="A2016">
        <v>2026</v>
      </c>
      <c r="B2016" s="69">
        <v>11</v>
      </c>
      <c r="C2016" s="3" t="s">
        <v>43</v>
      </c>
      <c r="D2016" s="4" t="s">
        <v>145</v>
      </c>
      <c r="E2016" s="4" t="s">
        <v>232</v>
      </c>
      <c r="F2016" s="61" t="s">
        <v>232</v>
      </c>
      <c r="G2016" s="4" t="s">
        <v>234</v>
      </c>
      <c r="H2016" s="62">
        <v>2928.92</v>
      </c>
      <c r="I2016">
        <v>2500</v>
      </c>
      <c r="K2016" t="s">
        <v>1104</v>
      </c>
    </row>
    <row r="2017" spans="1:11" x14ac:dyDescent="0.3">
      <c r="A2017">
        <v>2026</v>
      </c>
      <c r="B2017" s="69">
        <v>11</v>
      </c>
      <c r="C2017" s="3" t="s">
        <v>84</v>
      </c>
      <c r="D2017" s="4" t="s">
        <v>146</v>
      </c>
      <c r="E2017" s="4" t="s">
        <v>232</v>
      </c>
      <c r="F2017" s="61" t="s">
        <v>232</v>
      </c>
      <c r="G2017" s="4" t="s">
        <v>234</v>
      </c>
      <c r="H2017" s="62">
        <v>2572.1028571428574</v>
      </c>
      <c r="I2017">
        <v>2500</v>
      </c>
    </row>
    <row r="2018" spans="1:11" x14ac:dyDescent="0.3">
      <c r="A2018">
        <v>2026</v>
      </c>
      <c r="B2018" s="69">
        <v>11</v>
      </c>
      <c r="C2018" s="3" t="s">
        <v>89</v>
      </c>
      <c r="D2018" s="4" t="s">
        <v>4</v>
      </c>
      <c r="E2018" s="4" t="s">
        <v>232</v>
      </c>
      <c r="F2018" s="61" t="s">
        <v>232</v>
      </c>
      <c r="G2018" s="4" t="s">
        <v>234</v>
      </c>
      <c r="H2018" s="62">
        <v>3000</v>
      </c>
      <c r="I2018">
        <v>2500</v>
      </c>
    </row>
    <row r="2019" spans="1:11" x14ac:dyDescent="0.3">
      <c r="A2019">
        <v>2026</v>
      </c>
      <c r="B2019" s="69">
        <v>11</v>
      </c>
      <c r="C2019" s="3" t="s">
        <v>119</v>
      </c>
      <c r="D2019" s="4" t="s">
        <v>97</v>
      </c>
      <c r="E2019" s="4" t="s">
        <v>232</v>
      </c>
      <c r="F2019" s="61" t="s">
        <v>232</v>
      </c>
      <c r="G2019" s="4" t="s">
        <v>234</v>
      </c>
      <c r="H2019" s="62">
        <v>-500</v>
      </c>
      <c r="I2019">
        <v>2500</v>
      </c>
    </row>
    <row r="2020" spans="1:11" x14ac:dyDescent="0.3">
      <c r="A2020">
        <v>2026</v>
      </c>
      <c r="B2020" s="69">
        <v>11</v>
      </c>
      <c r="C2020" s="3" t="s">
        <v>123</v>
      </c>
      <c r="D2020" s="4" t="s">
        <v>59</v>
      </c>
      <c r="E2020" s="4" t="s">
        <v>232</v>
      </c>
      <c r="F2020" s="61" t="s">
        <v>232</v>
      </c>
      <c r="G2020" s="4" t="s">
        <v>234</v>
      </c>
      <c r="H2020" s="62">
        <v>1428.5285714285708</v>
      </c>
      <c r="I2020">
        <v>2500</v>
      </c>
      <c r="K2020" t="s">
        <v>1105</v>
      </c>
    </row>
    <row r="2021" spans="1:11" x14ac:dyDescent="0.3">
      <c r="A2021">
        <v>2026</v>
      </c>
      <c r="B2021" s="69">
        <v>11</v>
      </c>
      <c r="C2021" s="3" t="s">
        <v>123</v>
      </c>
      <c r="D2021" s="4" t="s">
        <v>71</v>
      </c>
      <c r="E2021" s="4" t="s">
        <v>232</v>
      </c>
      <c r="F2021" s="61" t="s">
        <v>232</v>
      </c>
      <c r="G2021" s="4" t="s">
        <v>234</v>
      </c>
      <c r="H2021" s="62">
        <v>1156.8571428571429</v>
      </c>
      <c r="K2021" t="s">
        <v>1105</v>
      </c>
    </row>
    <row r="2022" spans="1:11" x14ac:dyDescent="0.3">
      <c r="A2022">
        <v>2026</v>
      </c>
      <c r="B2022" s="69">
        <v>11</v>
      </c>
      <c r="C2022" s="3" t="s">
        <v>5</v>
      </c>
      <c r="D2022" s="4" t="s">
        <v>6</v>
      </c>
      <c r="E2022" s="4" t="s">
        <v>232</v>
      </c>
      <c r="F2022" s="61" t="s">
        <v>232</v>
      </c>
      <c r="G2022" s="4" t="s">
        <v>425</v>
      </c>
      <c r="H2022" s="62">
        <v>1491.3714285714286</v>
      </c>
      <c r="I2022">
        <v>2500</v>
      </c>
      <c r="K2022" t="s">
        <v>1105</v>
      </c>
    </row>
    <row r="2023" spans="1:11" x14ac:dyDescent="0.3">
      <c r="A2023">
        <v>2026</v>
      </c>
      <c r="B2023" s="69">
        <v>11</v>
      </c>
      <c r="C2023" s="3" t="s">
        <v>5</v>
      </c>
      <c r="D2023" s="4" t="s">
        <v>50</v>
      </c>
      <c r="E2023" s="4" t="s">
        <v>232</v>
      </c>
      <c r="F2023" s="61" t="s">
        <v>232</v>
      </c>
      <c r="G2023" s="4" t="s">
        <v>425</v>
      </c>
      <c r="H2023" s="62">
        <v>700</v>
      </c>
      <c r="K2023" t="s">
        <v>1105</v>
      </c>
    </row>
    <row r="2024" spans="1:11" x14ac:dyDescent="0.3">
      <c r="A2024">
        <v>2026</v>
      </c>
      <c r="B2024" s="69">
        <v>11</v>
      </c>
      <c r="C2024" s="4" t="s">
        <v>185</v>
      </c>
      <c r="D2024" s="4" t="s">
        <v>34</v>
      </c>
      <c r="E2024" s="4" t="s">
        <v>232</v>
      </c>
      <c r="F2024" s="4" t="s">
        <v>232</v>
      </c>
      <c r="G2024" s="4" t="s">
        <v>234</v>
      </c>
      <c r="H2024" s="62">
        <v>2999.5599999999986</v>
      </c>
      <c r="I2024">
        <v>2500</v>
      </c>
      <c r="K2024" t="s">
        <v>1085</v>
      </c>
    </row>
    <row r="2025" spans="1:11" x14ac:dyDescent="0.3">
      <c r="A2025">
        <v>2026</v>
      </c>
      <c r="B2025" s="69">
        <v>11</v>
      </c>
      <c r="C2025" s="3" t="s">
        <v>47</v>
      </c>
      <c r="D2025" s="4" t="s">
        <v>147</v>
      </c>
      <c r="E2025" s="4" t="s">
        <v>232</v>
      </c>
      <c r="F2025" s="61" t="s">
        <v>232</v>
      </c>
      <c r="G2025" s="4" t="s">
        <v>234</v>
      </c>
      <c r="H2025" s="62">
        <v>3700</v>
      </c>
      <c r="I2025">
        <v>2500</v>
      </c>
      <c r="K2025" t="s">
        <v>1106</v>
      </c>
    </row>
    <row r="2026" spans="1:11" x14ac:dyDescent="0.3">
      <c r="A2026">
        <v>2026</v>
      </c>
      <c r="B2026" s="69">
        <v>11</v>
      </c>
      <c r="C2026" s="3" t="s">
        <v>49</v>
      </c>
      <c r="D2026" s="4" t="s">
        <v>12</v>
      </c>
      <c r="E2026" s="4" t="s">
        <v>232</v>
      </c>
      <c r="F2026" s="61" t="s">
        <v>232</v>
      </c>
      <c r="G2026" s="4" t="s">
        <v>234</v>
      </c>
      <c r="H2026" s="62">
        <v>2700</v>
      </c>
      <c r="I2026">
        <v>2500</v>
      </c>
    </row>
    <row r="2027" spans="1:11" x14ac:dyDescent="0.3">
      <c r="A2027">
        <v>2026</v>
      </c>
      <c r="B2027" s="69">
        <v>11</v>
      </c>
      <c r="C2027" s="3" t="s">
        <v>49</v>
      </c>
      <c r="D2027" s="4" t="s">
        <v>104</v>
      </c>
      <c r="E2027" s="4" t="s">
        <v>1107</v>
      </c>
      <c r="F2027" s="61" t="s">
        <v>232</v>
      </c>
      <c r="G2027" s="4" t="s">
        <v>234</v>
      </c>
      <c r="H2027" s="62">
        <v>700</v>
      </c>
      <c r="K2027" t="s">
        <v>1108</v>
      </c>
    </row>
    <row r="2028" spans="1:11" x14ac:dyDescent="0.3">
      <c r="A2028">
        <v>2026</v>
      </c>
      <c r="B2028" s="69">
        <v>11</v>
      </c>
      <c r="C2028" s="3" t="s">
        <v>192</v>
      </c>
      <c r="D2028" s="4" t="s">
        <v>79</v>
      </c>
      <c r="E2028" s="4" t="s">
        <v>291</v>
      </c>
      <c r="F2028" s="61" t="s">
        <v>291</v>
      </c>
      <c r="G2028" s="4" t="s">
        <v>234</v>
      </c>
      <c r="H2028" s="62">
        <v>-1887.2800000000004</v>
      </c>
      <c r="I2028">
        <v>2500</v>
      </c>
    </row>
    <row r="2029" spans="1:11" x14ac:dyDescent="0.3">
      <c r="A2029">
        <v>2026</v>
      </c>
      <c r="B2029" s="69">
        <v>11</v>
      </c>
      <c r="C2029" s="3" t="s">
        <v>152</v>
      </c>
      <c r="D2029" s="4" t="s">
        <v>42</v>
      </c>
      <c r="E2029" s="4" t="s">
        <v>232</v>
      </c>
      <c r="F2029" s="61" t="s">
        <v>232</v>
      </c>
      <c r="G2029" s="4" t="s">
        <v>234</v>
      </c>
      <c r="H2029" s="62">
        <v>2286.7600000000002</v>
      </c>
      <c r="I2029">
        <v>2500</v>
      </c>
      <c r="K2029" t="s">
        <v>1109</v>
      </c>
    </row>
    <row r="2030" spans="1:11" x14ac:dyDescent="0.3">
      <c r="A2030">
        <v>2026</v>
      </c>
      <c r="B2030" s="69">
        <v>11</v>
      </c>
      <c r="C2030" s="3" t="s">
        <v>51</v>
      </c>
      <c r="D2030" s="4" t="s">
        <v>52</v>
      </c>
      <c r="E2030" s="4" t="s">
        <v>232</v>
      </c>
      <c r="F2030" s="61" t="s">
        <v>232</v>
      </c>
      <c r="G2030" s="4" t="s">
        <v>234</v>
      </c>
      <c r="H2030" s="62">
        <v>714.28571428571422</v>
      </c>
      <c r="I2030">
        <v>2500</v>
      </c>
    </row>
    <row r="2031" spans="1:11" x14ac:dyDescent="0.3">
      <c r="A2031">
        <v>2026</v>
      </c>
      <c r="B2031" s="69">
        <v>11</v>
      </c>
      <c r="C2031" s="3" t="s">
        <v>51</v>
      </c>
      <c r="D2031" s="4" t="s">
        <v>157</v>
      </c>
      <c r="E2031" s="4" t="s">
        <v>232</v>
      </c>
      <c r="F2031" s="61" t="s">
        <v>232</v>
      </c>
      <c r="G2031" s="4" t="s">
        <v>234</v>
      </c>
      <c r="H2031" s="62">
        <v>2143.1428571428601</v>
      </c>
      <c r="K2031" t="s">
        <v>1110</v>
      </c>
    </row>
    <row r="2032" spans="1:11" x14ac:dyDescent="0.3">
      <c r="A2032">
        <v>2026</v>
      </c>
      <c r="B2032" s="69">
        <v>11</v>
      </c>
      <c r="C2032" s="3" t="s">
        <v>131</v>
      </c>
      <c r="D2032" s="4" t="s">
        <v>116</v>
      </c>
      <c r="E2032" s="4" t="s">
        <v>291</v>
      </c>
      <c r="F2032" s="61" t="s">
        <v>291</v>
      </c>
      <c r="G2032" s="4" t="s">
        <v>234</v>
      </c>
      <c r="H2032" s="62">
        <v>2714.4285714285716</v>
      </c>
      <c r="I2032">
        <v>2500</v>
      </c>
      <c r="K2032" t="s">
        <v>1093</v>
      </c>
    </row>
    <row r="2033" spans="1:11" x14ac:dyDescent="0.3">
      <c r="A2033">
        <v>2026</v>
      </c>
      <c r="B2033" s="69">
        <v>11</v>
      </c>
      <c r="C2033" s="3" t="s">
        <v>107</v>
      </c>
      <c r="D2033" s="4" t="s">
        <v>148</v>
      </c>
      <c r="E2033" s="4" t="s">
        <v>232</v>
      </c>
      <c r="F2033" s="61" t="s">
        <v>232</v>
      </c>
      <c r="G2033" s="4" t="s">
        <v>234</v>
      </c>
      <c r="H2033" s="62">
        <v>3014.1438857142862</v>
      </c>
      <c r="I2033">
        <v>2500</v>
      </c>
      <c r="K2033" t="s">
        <v>1111</v>
      </c>
    </row>
    <row r="2034" spans="1:11" x14ac:dyDescent="0.3">
      <c r="A2034">
        <v>2026</v>
      </c>
      <c r="B2034" s="69">
        <v>11</v>
      </c>
      <c r="C2034" s="4" t="s">
        <v>197</v>
      </c>
      <c r="D2034" s="4" t="s">
        <v>79</v>
      </c>
      <c r="E2034" s="4" t="s">
        <v>291</v>
      </c>
      <c r="F2034" s="61" t="s">
        <v>291</v>
      </c>
      <c r="G2034" s="4" t="s">
        <v>234</v>
      </c>
      <c r="H2034" s="62">
        <v>-188.16000000000003</v>
      </c>
      <c r="I2034">
        <v>2500</v>
      </c>
      <c r="K2034" t="s">
        <v>1114</v>
      </c>
    </row>
    <row r="2035" spans="1:11" x14ac:dyDescent="0.3">
      <c r="A2035">
        <v>2026</v>
      </c>
      <c r="B2035" s="69">
        <v>11</v>
      </c>
      <c r="C2035" s="3" t="s">
        <v>76</v>
      </c>
      <c r="D2035" s="4" t="s">
        <v>40</v>
      </c>
      <c r="E2035" s="4" t="s">
        <v>232</v>
      </c>
      <c r="F2035" s="61" t="s">
        <v>232</v>
      </c>
      <c r="G2035" s="4" t="s">
        <v>234</v>
      </c>
      <c r="H2035" s="62">
        <v>3995.9199999999996</v>
      </c>
      <c r="I2035">
        <v>2500</v>
      </c>
      <c r="K2035" t="s">
        <v>1089</v>
      </c>
    </row>
    <row r="2036" spans="1:11" x14ac:dyDescent="0.3">
      <c r="A2036">
        <v>2026</v>
      </c>
      <c r="B2036" s="69">
        <v>11</v>
      </c>
      <c r="C2036" s="3" t="s">
        <v>87</v>
      </c>
      <c r="D2036" s="4" t="s">
        <v>83</v>
      </c>
      <c r="E2036" s="4" t="s">
        <v>232</v>
      </c>
      <c r="F2036" s="61" t="s">
        <v>232</v>
      </c>
      <c r="G2036" s="4" t="s">
        <v>234</v>
      </c>
      <c r="H2036" s="62">
        <v>1308.7599999999998</v>
      </c>
      <c r="I2036">
        <v>2500</v>
      </c>
      <c r="K2036" t="s">
        <v>1112</v>
      </c>
    </row>
    <row r="2037" spans="1:11" x14ac:dyDescent="0.3">
      <c r="A2037">
        <v>2026</v>
      </c>
      <c r="B2037" s="69">
        <v>11</v>
      </c>
      <c r="C2037" s="3" t="s">
        <v>117</v>
      </c>
      <c r="D2037" s="4" t="s">
        <v>118</v>
      </c>
      <c r="E2037" s="4" t="s">
        <v>232</v>
      </c>
      <c r="F2037" s="61" t="s">
        <v>232</v>
      </c>
      <c r="G2037" s="4" t="s">
        <v>234</v>
      </c>
      <c r="H2037" s="62">
        <v>3204.4600000000105</v>
      </c>
      <c r="I2037">
        <v>2500</v>
      </c>
      <c r="K2037">
        <v>46098</v>
      </c>
    </row>
    <row r="2038" spans="1:11" x14ac:dyDescent="0.3">
      <c r="A2038">
        <v>2026</v>
      </c>
      <c r="B2038" s="69">
        <v>11</v>
      </c>
      <c r="C2038" s="3" t="s">
        <v>98</v>
      </c>
      <c r="D2038" s="4" t="s">
        <v>112</v>
      </c>
      <c r="E2038" s="4" t="s">
        <v>232</v>
      </c>
      <c r="F2038" s="61" t="s">
        <v>232</v>
      </c>
      <c r="G2038" s="4" t="s">
        <v>234</v>
      </c>
      <c r="H2038" s="62">
        <v>4912.32</v>
      </c>
      <c r="I2038">
        <v>2500</v>
      </c>
      <c r="K2038" t="s">
        <v>1113</v>
      </c>
    </row>
    <row r="2039" spans="1:11" x14ac:dyDescent="0.3">
      <c r="A2039">
        <v>2026</v>
      </c>
      <c r="B2039" s="69">
        <v>12</v>
      </c>
      <c r="C2039" s="3" t="s">
        <v>150</v>
      </c>
      <c r="D2039" s="4" t="s">
        <v>96</v>
      </c>
      <c r="E2039" s="4" t="s">
        <v>232</v>
      </c>
      <c r="F2039" s="61" t="s">
        <v>232</v>
      </c>
      <c r="G2039" s="4" t="s">
        <v>425</v>
      </c>
      <c r="H2039" s="62">
        <v>3000</v>
      </c>
      <c r="I2039">
        <v>2500</v>
      </c>
      <c r="K2039" t="s">
        <v>1115</v>
      </c>
    </row>
    <row r="2040" spans="1:11" x14ac:dyDescent="0.3">
      <c r="A2040">
        <v>2026</v>
      </c>
      <c r="B2040" s="69">
        <v>12</v>
      </c>
      <c r="C2040" s="3" t="s">
        <v>139</v>
      </c>
      <c r="D2040" s="4" t="s">
        <v>10</v>
      </c>
      <c r="E2040" s="4" t="s">
        <v>232</v>
      </c>
      <c r="F2040" s="61" t="s">
        <v>232</v>
      </c>
      <c r="G2040" s="4" t="s">
        <v>234</v>
      </c>
      <c r="H2040" s="62">
        <v>3000.8799999999992</v>
      </c>
      <c r="I2040">
        <v>2500</v>
      </c>
      <c r="K2040" t="s">
        <v>1116</v>
      </c>
    </row>
    <row r="2041" spans="1:11" x14ac:dyDescent="0.3">
      <c r="A2041">
        <v>2026</v>
      </c>
      <c r="B2041" s="69">
        <v>12</v>
      </c>
      <c r="C2041" s="3" t="s">
        <v>80</v>
      </c>
      <c r="D2041" s="4" t="s">
        <v>81</v>
      </c>
      <c r="E2041" s="4" t="s">
        <v>232</v>
      </c>
      <c r="F2041" s="61" t="s">
        <v>232</v>
      </c>
      <c r="G2041" s="4" t="s">
        <v>234</v>
      </c>
      <c r="H2041" s="62">
        <v>2500</v>
      </c>
      <c r="I2041">
        <v>2500</v>
      </c>
      <c r="K2041" t="s">
        <v>1117</v>
      </c>
    </row>
    <row r="2042" spans="1:11" x14ac:dyDescent="0.3">
      <c r="A2042">
        <v>2026</v>
      </c>
      <c r="B2042" s="69">
        <v>12</v>
      </c>
      <c r="C2042" s="3" t="s">
        <v>13</v>
      </c>
      <c r="D2042" s="4" t="s">
        <v>14</v>
      </c>
      <c r="E2042" s="4" t="s">
        <v>232</v>
      </c>
      <c r="F2042" s="61" t="s">
        <v>232</v>
      </c>
      <c r="G2042" s="4" t="s">
        <v>234</v>
      </c>
      <c r="H2042" s="62">
        <v>2700</v>
      </c>
      <c r="I2042">
        <v>2500</v>
      </c>
    </row>
    <row r="2043" spans="1:11" x14ac:dyDescent="0.3">
      <c r="A2043">
        <v>2026</v>
      </c>
      <c r="B2043" s="69">
        <v>12</v>
      </c>
      <c r="C2043" s="4" t="s">
        <v>1118</v>
      </c>
      <c r="D2043" s="4" t="s">
        <v>195</v>
      </c>
      <c r="E2043" s="4" t="s">
        <v>232</v>
      </c>
      <c r="F2043" s="4" t="s">
        <v>232</v>
      </c>
      <c r="G2043" s="4" t="s">
        <v>234</v>
      </c>
      <c r="H2043" s="62">
        <v>1800</v>
      </c>
      <c r="I2043">
        <v>2500</v>
      </c>
      <c r="K2043" t="s">
        <v>1119</v>
      </c>
    </row>
    <row r="2044" spans="1:11" x14ac:dyDescent="0.3">
      <c r="A2044">
        <v>2026</v>
      </c>
      <c r="B2044" s="69">
        <v>12</v>
      </c>
      <c r="C2044" s="4" t="s">
        <v>187</v>
      </c>
      <c r="D2044" s="61" t="s">
        <v>204</v>
      </c>
      <c r="E2044" s="4" t="s">
        <v>364</v>
      </c>
      <c r="F2044" s="61" t="s">
        <v>291</v>
      </c>
      <c r="G2044" s="4" t="s">
        <v>234</v>
      </c>
      <c r="H2044" s="62">
        <v>3000.08</v>
      </c>
      <c r="I2044">
        <v>2500</v>
      </c>
      <c r="K2044" t="s">
        <v>1120</v>
      </c>
    </row>
    <row r="2045" spans="1:11" x14ac:dyDescent="0.3">
      <c r="A2045">
        <v>2026</v>
      </c>
      <c r="B2045" s="69">
        <v>12</v>
      </c>
      <c r="C2045" s="4" t="s">
        <v>1121</v>
      </c>
      <c r="D2045" s="4" t="s">
        <v>22</v>
      </c>
      <c r="E2045" s="4" t="s">
        <v>232</v>
      </c>
      <c r="F2045" s="4" t="s">
        <v>232</v>
      </c>
      <c r="G2045" s="4" t="s">
        <v>234</v>
      </c>
      <c r="H2045" s="62">
        <v>1500</v>
      </c>
      <c r="I2045">
        <v>2500</v>
      </c>
      <c r="J2045">
        <v>2000</v>
      </c>
    </row>
    <row r="2046" spans="1:11" x14ac:dyDescent="0.3">
      <c r="A2046">
        <v>2026</v>
      </c>
      <c r="B2046" s="69">
        <v>12</v>
      </c>
      <c r="C2046" s="3" t="s">
        <v>15</v>
      </c>
      <c r="D2046" s="4" t="s">
        <v>144</v>
      </c>
      <c r="E2046" s="4" t="s">
        <v>232</v>
      </c>
      <c r="F2046" s="4" t="s">
        <v>232</v>
      </c>
      <c r="G2046" s="4" t="s">
        <v>234</v>
      </c>
      <c r="H2046" s="62">
        <v>3163.7142857142858</v>
      </c>
      <c r="I2046">
        <v>2500</v>
      </c>
      <c r="K2046" t="s">
        <v>1122</v>
      </c>
    </row>
    <row r="2047" spans="1:11" x14ac:dyDescent="0.3">
      <c r="A2047">
        <v>2026</v>
      </c>
      <c r="B2047" s="69">
        <v>12</v>
      </c>
      <c r="C2047" s="3" t="s">
        <v>15</v>
      </c>
      <c r="D2047" s="4" t="s">
        <v>137</v>
      </c>
      <c r="E2047" s="4" t="s">
        <v>232</v>
      </c>
      <c r="F2047" s="61" t="s">
        <v>232</v>
      </c>
      <c r="G2047" s="4" t="s">
        <v>234</v>
      </c>
      <c r="H2047" s="62">
        <v>-34.314285714285916</v>
      </c>
      <c r="K2047" t="s">
        <v>1123</v>
      </c>
    </row>
    <row r="2048" spans="1:11" x14ac:dyDescent="0.3">
      <c r="A2048">
        <v>2026</v>
      </c>
      <c r="B2048" s="69">
        <v>12</v>
      </c>
      <c r="C2048" s="3" t="s">
        <v>120</v>
      </c>
      <c r="D2048" s="4" t="s">
        <v>38</v>
      </c>
      <c r="E2048" s="4" t="s">
        <v>232</v>
      </c>
      <c r="F2048" s="61" t="s">
        <v>232</v>
      </c>
      <c r="G2048" s="4" t="s">
        <v>234</v>
      </c>
      <c r="H2048" s="62">
        <v>2500.9999999999991</v>
      </c>
      <c r="I2048">
        <v>2500</v>
      </c>
      <c r="K2048" t="s">
        <v>1124</v>
      </c>
    </row>
    <row r="2049" spans="1:11" x14ac:dyDescent="0.3">
      <c r="A2049">
        <v>2026</v>
      </c>
      <c r="B2049" s="69">
        <v>12</v>
      </c>
      <c r="C2049" s="4" t="s">
        <v>186</v>
      </c>
      <c r="D2049" s="4" t="s">
        <v>54</v>
      </c>
      <c r="E2049" s="4" t="s">
        <v>232</v>
      </c>
      <c r="F2049" s="4" t="s">
        <v>232</v>
      </c>
      <c r="G2049" s="4" t="s">
        <v>234</v>
      </c>
      <c r="H2049" s="62">
        <v>1797.9799999999996</v>
      </c>
      <c r="I2049">
        <v>2500</v>
      </c>
      <c r="K2049" t="s">
        <v>1125</v>
      </c>
    </row>
    <row r="2050" spans="1:11" x14ac:dyDescent="0.3">
      <c r="A2050">
        <v>2026</v>
      </c>
      <c r="B2050" s="69">
        <v>12</v>
      </c>
      <c r="C2050" s="3" t="s">
        <v>111</v>
      </c>
      <c r="D2050" s="4" t="s">
        <v>63</v>
      </c>
      <c r="E2050" s="4" t="s">
        <v>291</v>
      </c>
      <c r="F2050" s="61" t="s">
        <v>291</v>
      </c>
      <c r="G2050" s="4" t="s">
        <v>234</v>
      </c>
      <c r="H2050" s="62">
        <v>2500</v>
      </c>
      <c r="I2050">
        <v>2500</v>
      </c>
    </row>
    <row r="2051" spans="1:11" x14ac:dyDescent="0.3">
      <c r="A2051">
        <v>2026</v>
      </c>
      <c r="B2051" s="69">
        <v>12</v>
      </c>
      <c r="C2051" s="3" t="s">
        <v>121</v>
      </c>
      <c r="D2051" s="4" t="s">
        <v>156</v>
      </c>
      <c r="E2051" s="4" t="s">
        <v>232</v>
      </c>
      <c r="F2051" s="61" t="s">
        <v>232</v>
      </c>
      <c r="G2051" s="4" t="s">
        <v>234</v>
      </c>
      <c r="H2051" s="62">
        <v>2700</v>
      </c>
      <c r="I2051">
        <v>2500</v>
      </c>
    </row>
    <row r="2052" spans="1:11" x14ac:dyDescent="0.3">
      <c r="A2052">
        <v>2026</v>
      </c>
      <c r="B2052" s="69">
        <v>12</v>
      </c>
      <c r="C2052" s="3" t="s">
        <v>17</v>
      </c>
      <c r="D2052" s="4" t="s">
        <v>18</v>
      </c>
      <c r="E2052" s="4" t="s">
        <v>232</v>
      </c>
      <c r="F2052" s="61" t="s">
        <v>232</v>
      </c>
      <c r="G2052" s="4" t="s">
        <v>234</v>
      </c>
      <c r="H2052" s="62">
        <v>2699.2199999999993</v>
      </c>
      <c r="I2052">
        <v>2500</v>
      </c>
      <c r="K2052" t="s">
        <v>1126</v>
      </c>
    </row>
    <row r="2053" spans="1:11" x14ac:dyDescent="0.3">
      <c r="A2053">
        <v>2026</v>
      </c>
      <c r="B2053" s="69">
        <v>12</v>
      </c>
      <c r="C2053" s="3" t="s">
        <v>19</v>
      </c>
      <c r="D2053" s="4" t="s">
        <v>20</v>
      </c>
      <c r="E2053" s="4" t="s">
        <v>232</v>
      </c>
      <c r="F2053" s="61" t="s">
        <v>232</v>
      </c>
      <c r="G2053" s="4" t="s">
        <v>234</v>
      </c>
      <c r="H2053" s="62">
        <v>3821</v>
      </c>
      <c r="I2053">
        <v>2500</v>
      </c>
    </row>
    <row r="2054" spans="1:11" x14ac:dyDescent="0.3">
      <c r="A2054">
        <v>2026</v>
      </c>
      <c r="B2054" s="69">
        <v>12</v>
      </c>
      <c r="C2054" s="3" t="s">
        <v>128</v>
      </c>
      <c r="D2054" s="4" t="s">
        <v>155</v>
      </c>
      <c r="E2054" s="4" t="s">
        <v>232</v>
      </c>
      <c r="F2054" s="61" t="s">
        <v>232</v>
      </c>
      <c r="G2054" s="4" t="s">
        <v>234</v>
      </c>
      <c r="H2054" s="62">
        <v>2500</v>
      </c>
      <c r="I2054">
        <v>2500</v>
      </c>
    </row>
    <row r="2055" spans="1:11" x14ac:dyDescent="0.3">
      <c r="A2055">
        <v>2026</v>
      </c>
      <c r="B2055" s="69">
        <v>12</v>
      </c>
      <c r="C2055" s="3" t="s">
        <v>21</v>
      </c>
      <c r="D2055" s="4" t="s">
        <v>22</v>
      </c>
      <c r="E2055" s="4" t="s">
        <v>232</v>
      </c>
      <c r="F2055" s="61" t="s">
        <v>232</v>
      </c>
      <c r="G2055" s="4" t="s">
        <v>234</v>
      </c>
      <c r="H2055" s="62">
        <v>102</v>
      </c>
      <c r="I2055">
        <v>2500</v>
      </c>
    </row>
    <row r="2056" spans="1:11" x14ac:dyDescent="0.3">
      <c r="A2056">
        <v>2026</v>
      </c>
      <c r="B2056" s="69">
        <v>12</v>
      </c>
      <c r="C2056" s="3" t="s">
        <v>64</v>
      </c>
      <c r="D2056" s="4" t="s">
        <v>140</v>
      </c>
      <c r="E2056" s="4" t="s">
        <v>232</v>
      </c>
      <c r="F2056" s="61" t="s">
        <v>232</v>
      </c>
      <c r="G2056" s="4" t="s">
        <v>234</v>
      </c>
      <c r="H2056" s="62">
        <v>2700</v>
      </c>
      <c r="I2056">
        <v>2500</v>
      </c>
    </row>
    <row r="2057" spans="1:11" x14ac:dyDescent="0.3">
      <c r="A2057">
        <v>2026</v>
      </c>
      <c r="B2057" s="69">
        <v>12</v>
      </c>
      <c r="C2057" s="3" t="s">
        <v>90</v>
      </c>
      <c r="D2057" s="4" t="s">
        <v>16</v>
      </c>
      <c r="E2057" s="4" t="s">
        <v>232</v>
      </c>
      <c r="F2057" s="61" t="s">
        <v>232</v>
      </c>
      <c r="G2057" s="4" t="s">
        <v>234</v>
      </c>
      <c r="H2057" s="62">
        <v>2607</v>
      </c>
      <c r="I2057">
        <v>2500</v>
      </c>
    </row>
    <row r="2058" spans="1:11" x14ac:dyDescent="0.3">
      <c r="A2058">
        <v>2026</v>
      </c>
      <c r="B2058" s="69">
        <v>12</v>
      </c>
      <c r="C2058" s="3" t="s">
        <v>23</v>
      </c>
      <c r="D2058" s="4" t="s">
        <v>24</v>
      </c>
      <c r="E2058" s="4" t="s">
        <v>232</v>
      </c>
      <c r="F2058" s="61" t="s">
        <v>232</v>
      </c>
      <c r="G2058" s="4" t="s">
        <v>234</v>
      </c>
      <c r="H2058" s="62">
        <v>2708.4400000000014</v>
      </c>
      <c r="I2058">
        <v>2500</v>
      </c>
      <c r="K2058" t="s">
        <v>1127</v>
      </c>
    </row>
    <row r="2059" spans="1:11" x14ac:dyDescent="0.3">
      <c r="A2059">
        <v>2026</v>
      </c>
      <c r="B2059" s="69">
        <v>12</v>
      </c>
      <c r="C2059" s="3" t="s">
        <v>23</v>
      </c>
      <c r="D2059" s="4" t="s">
        <v>22</v>
      </c>
      <c r="E2059" s="4" t="s">
        <v>232</v>
      </c>
      <c r="F2059" s="61" t="s">
        <v>232</v>
      </c>
      <c r="G2059" s="4" t="s">
        <v>234</v>
      </c>
      <c r="H2059" s="62">
        <v>500</v>
      </c>
      <c r="K2059" t="s">
        <v>1128</v>
      </c>
    </row>
    <row r="2060" spans="1:11" x14ac:dyDescent="0.3">
      <c r="A2060">
        <v>2026</v>
      </c>
      <c r="B2060" s="69">
        <v>12</v>
      </c>
      <c r="C2060" s="3" t="s">
        <v>108</v>
      </c>
      <c r="D2060" s="4" t="s">
        <v>75</v>
      </c>
      <c r="E2060" s="4" t="s">
        <v>241</v>
      </c>
      <c r="F2060" s="61" t="s">
        <v>291</v>
      </c>
      <c r="G2060" s="4" t="s">
        <v>234</v>
      </c>
      <c r="H2060" s="62">
        <v>2486</v>
      </c>
      <c r="I2060">
        <v>2500</v>
      </c>
    </row>
    <row r="2061" spans="1:11" x14ac:dyDescent="0.3">
      <c r="A2061">
        <v>2026</v>
      </c>
      <c r="B2061" s="69">
        <v>12</v>
      </c>
      <c r="C2061" s="3" t="s">
        <v>85</v>
      </c>
      <c r="D2061" s="4" t="s">
        <v>86</v>
      </c>
      <c r="E2061" s="4" t="s">
        <v>232</v>
      </c>
      <c r="F2061" s="61" t="s">
        <v>232</v>
      </c>
      <c r="G2061" s="4" t="s">
        <v>234</v>
      </c>
      <c r="H2061" s="62">
        <v>-2320.6400000000003</v>
      </c>
      <c r="I2061">
        <v>2500</v>
      </c>
    </row>
    <row r="2062" spans="1:11" x14ac:dyDescent="0.3">
      <c r="A2062">
        <v>2026</v>
      </c>
      <c r="B2062" s="69">
        <v>12</v>
      </c>
      <c r="C2062" s="3" t="s">
        <v>136</v>
      </c>
      <c r="D2062" s="4" t="s">
        <v>56</v>
      </c>
      <c r="E2062" s="4" t="s">
        <v>241</v>
      </c>
      <c r="F2062" s="61" t="s">
        <v>291</v>
      </c>
      <c r="G2062" s="4" t="s">
        <v>234</v>
      </c>
      <c r="H2062" s="62">
        <v>2713.4999999999991</v>
      </c>
      <c r="I2062">
        <v>2500</v>
      </c>
    </row>
    <row r="2063" spans="1:11" x14ac:dyDescent="0.3">
      <c r="A2063">
        <v>2026</v>
      </c>
      <c r="B2063" s="69">
        <v>12</v>
      </c>
      <c r="C2063" s="4" t="s">
        <v>1129</v>
      </c>
      <c r="D2063" s="4" t="s">
        <v>71</v>
      </c>
      <c r="E2063" s="4" t="s">
        <v>291</v>
      </c>
      <c r="F2063" s="61" t="s">
        <v>291</v>
      </c>
      <c r="G2063" s="4" t="s">
        <v>234</v>
      </c>
      <c r="H2063" s="62">
        <v>2402.77</v>
      </c>
      <c r="I2063">
        <v>2500</v>
      </c>
    </row>
    <row r="2064" spans="1:11" x14ac:dyDescent="0.3">
      <c r="A2064">
        <v>2026</v>
      </c>
      <c r="B2064" s="69">
        <v>12</v>
      </c>
      <c r="C2064" s="4" t="s">
        <v>190</v>
      </c>
      <c r="D2064" s="4" t="s">
        <v>142</v>
      </c>
      <c r="E2064" s="4" t="s">
        <v>232</v>
      </c>
      <c r="F2064" s="4" t="s">
        <v>232</v>
      </c>
      <c r="G2064" s="4" t="s">
        <v>234</v>
      </c>
      <c r="H2064" s="62">
        <v>3200</v>
      </c>
      <c r="I2064">
        <v>2500</v>
      </c>
    </row>
    <row r="2065" spans="1:11" x14ac:dyDescent="0.3">
      <c r="A2065">
        <v>2026</v>
      </c>
      <c r="B2065" s="69">
        <v>12</v>
      </c>
      <c r="C2065" s="4" t="s">
        <v>1130</v>
      </c>
      <c r="D2065" s="4" t="s">
        <v>46</v>
      </c>
      <c r="E2065" s="4" t="s">
        <v>232</v>
      </c>
      <c r="F2065" s="4" t="s">
        <v>232</v>
      </c>
      <c r="G2065" s="4" t="s">
        <v>234</v>
      </c>
      <c r="H2065" s="62">
        <v>856.91714285714227</v>
      </c>
      <c r="I2065">
        <v>2500</v>
      </c>
      <c r="K2065" t="s">
        <v>1131</v>
      </c>
    </row>
    <row r="2066" spans="1:11" x14ac:dyDescent="0.3">
      <c r="A2066">
        <v>2026</v>
      </c>
      <c r="B2066" s="69">
        <v>12</v>
      </c>
      <c r="C2066" s="4" t="s">
        <v>177</v>
      </c>
      <c r="D2066" s="4" t="s">
        <v>157</v>
      </c>
      <c r="E2066" s="4" t="s">
        <v>232</v>
      </c>
      <c r="F2066" s="61" t="s">
        <v>232</v>
      </c>
      <c r="G2066" s="4" t="s">
        <v>234</v>
      </c>
      <c r="H2066" s="62">
        <v>1.88</v>
      </c>
      <c r="I2066">
        <v>2500</v>
      </c>
    </row>
    <row r="2067" spans="1:11" x14ac:dyDescent="0.3">
      <c r="A2067">
        <v>2026</v>
      </c>
      <c r="B2067" s="69">
        <v>12</v>
      </c>
      <c r="C2067" s="3" t="s">
        <v>27</v>
      </c>
      <c r="D2067" s="4" t="s">
        <v>137</v>
      </c>
      <c r="E2067" s="4" t="s">
        <v>232</v>
      </c>
      <c r="F2067" s="61" t="s">
        <v>232</v>
      </c>
      <c r="G2067" s="4" t="s">
        <v>234</v>
      </c>
      <c r="H2067" s="62">
        <v>-500</v>
      </c>
      <c r="I2067">
        <v>2500</v>
      </c>
    </row>
    <row r="2068" spans="1:11" x14ac:dyDescent="0.3">
      <c r="A2068">
        <v>2026</v>
      </c>
      <c r="B2068" s="69">
        <v>12</v>
      </c>
      <c r="C2068" s="4" t="s">
        <v>184</v>
      </c>
      <c r="D2068" s="4" t="s">
        <v>50</v>
      </c>
      <c r="E2068" s="4" t="s">
        <v>232</v>
      </c>
      <c r="F2068" s="61" t="s">
        <v>232</v>
      </c>
      <c r="G2068" s="4" t="s">
        <v>234</v>
      </c>
      <c r="H2068" s="62">
        <v>3000</v>
      </c>
      <c r="I2068">
        <v>2500</v>
      </c>
    </row>
    <row r="2069" spans="1:11" x14ac:dyDescent="0.3">
      <c r="A2069">
        <v>2026</v>
      </c>
      <c r="B2069" s="69">
        <v>12</v>
      </c>
      <c r="C2069" s="4" t="s">
        <v>70</v>
      </c>
      <c r="D2069" s="4" t="s">
        <v>26</v>
      </c>
      <c r="E2069" s="4" t="s">
        <v>232</v>
      </c>
      <c r="F2069" s="61" t="s">
        <v>232</v>
      </c>
      <c r="G2069" s="4" t="s">
        <v>234</v>
      </c>
      <c r="H2069" s="62">
        <v>3040.7000000000007</v>
      </c>
      <c r="I2069">
        <v>2500</v>
      </c>
      <c r="K2069" t="s">
        <v>1132</v>
      </c>
    </row>
    <row r="2070" spans="1:11" x14ac:dyDescent="0.3">
      <c r="A2070">
        <v>2026</v>
      </c>
      <c r="B2070" s="69">
        <v>12</v>
      </c>
      <c r="C2070" s="4" t="s">
        <v>198</v>
      </c>
      <c r="D2070" s="4" t="s">
        <v>28</v>
      </c>
      <c r="E2070" s="4" t="s">
        <v>232</v>
      </c>
      <c r="F2070" s="61" t="s">
        <v>232</v>
      </c>
      <c r="G2070" s="4" t="s">
        <v>234</v>
      </c>
      <c r="H2070" s="62">
        <v>3011.8200000000015</v>
      </c>
      <c r="I2070">
        <v>2500</v>
      </c>
      <c r="K2070" t="s">
        <v>1133</v>
      </c>
    </row>
    <row r="2071" spans="1:11" x14ac:dyDescent="0.3">
      <c r="A2071">
        <v>2026</v>
      </c>
      <c r="B2071" s="69">
        <v>12</v>
      </c>
      <c r="C2071" s="3" t="s">
        <v>29</v>
      </c>
      <c r="D2071" s="4" t="s">
        <v>141</v>
      </c>
      <c r="E2071" s="4" t="s">
        <v>232</v>
      </c>
      <c r="F2071" s="61" t="s">
        <v>232</v>
      </c>
      <c r="G2071" s="4" t="s">
        <v>234</v>
      </c>
      <c r="H2071" s="62">
        <v>2579.4550857142858</v>
      </c>
      <c r="I2071">
        <v>2500</v>
      </c>
      <c r="K2071" t="s">
        <v>1134</v>
      </c>
    </row>
    <row r="2072" spans="1:11" x14ac:dyDescent="0.3">
      <c r="A2072">
        <v>2026</v>
      </c>
      <c r="B2072" s="69">
        <v>12</v>
      </c>
      <c r="C2072" s="3" t="s">
        <v>72</v>
      </c>
      <c r="D2072" s="4" t="s">
        <v>73</v>
      </c>
      <c r="E2072" s="4" t="s">
        <v>241</v>
      </c>
      <c r="F2072" s="61" t="s">
        <v>291</v>
      </c>
      <c r="G2072" s="4" t="s">
        <v>234</v>
      </c>
      <c r="H2072" s="62">
        <v>2500</v>
      </c>
      <c r="I2072">
        <v>2500</v>
      </c>
    </row>
    <row r="2073" spans="1:11" x14ac:dyDescent="0.3">
      <c r="A2073">
        <v>2026</v>
      </c>
      <c r="B2073" s="69">
        <v>12</v>
      </c>
      <c r="C2073" s="3" t="s">
        <v>92</v>
      </c>
      <c r="D2073" s="4" t="s">
        <v>30</v>
      </c>
      <c r="E2073" s="4" t="s">
        <v>232</v>
      </c>
      <c r="F2073" s="61" t="s">
        <v>232</v>
      </c>
      <c r="G2073" s="4" t="s">
        <v>234</v>
      </c>
      <c r="H2073" s="62">
        <v>2536</v>
      </c>
      <c r="I2073">
        <v>2500</v>
      </c>
    </row>
    <row r="2074" spans="1:11" x14ac:dyDescent="0.3">
      <c r="A2074">
        <v>2026</v>
      </c>
      <c r="B2074" s="69">
        <v>12</v>
      </c>
      <c r="C2074" s="3" t="s">
        <v>105</v>
      </c>
      <c r="D2074" s="4" t="s">
        <v>106</v>
      </c>
      <c r="E2074" s="4" t="s">
        <v>232</v>
      </c>
      <c r="F2074" s="61" t="s">
        <v>232</v>
      </c>
      <c r="G2074" s="4" t="s">
        <v>425</v>
      </c>
      <c r="H2074" s="62">
        <v>2176</v>
      </c>
      <c r="I2074">
        <v>2500</v>
      </c>
      <c r="K2074" t="s">
        <v>1135</v>
      </c>
    </row>
    <row r="2075" spans="1:11" x14ac:dyDescent="0.3">
      <c r="A2075">
        <v>2026</v>
      </c>
      <c r="B2075" s="69">
        <v>12</v>
      </c>
      <c r="C2075" s="3" t="s">
        <v>31</v>
      </c>
      <c r="D2075" s="4" t="s">
        <v>143</v>
      </c>
      <c r="E2075" s="4" t="s">
        <v>232</v>
      </c>
      <c r="F2075" s="61" t="s">
        <v>232</v>
      </c>
      <c r="G2075" s="4" t="s">
        <v>234</v>
      </c>
      <c r="H2075" s="62">
        <v>2700</v>
      </c>
      <c r="I2075">
        <v>2500</v>
      </c>
    </row>
    <row r="2076" spans="1:11" x14ac:dyDescent="0.3">
      <c r="A2076">
        <v>2026</v>
      </c>
      <c r="B2076" s="69">
        <v>12</v>
      </c>
      <c r="C2076" s="3" t="s">
        <v>33</v>
      </c>
      <c r="D2076" s="4" t="s">
        <v>67</v>
      </c>
      <c r="E2076" s="4" t="s">
        <v>232</v>
      </c>
      <c r="F2076" s="61" t="s">
        <v>232</v>
      </c>
      <c r="G2076" s="4" t="s">
        <v>234</v>
      </c>
      <c r="H2076" s="62">
        <v>-1140.4199999999998</v>
      </c>
      <c r="I2076">
        <v>2500</v>
      </c>
    </row>
    <row r="2077" spans="1:11" x14ac:dyDescent="0.3">
      <c r="A2077">
        <v>2026</v>
      </c>
      <c r="B2077" s="69">
        <v>12</v>
      </c>
      <c r="C2077" s="4" t="s">
        <v>173</v>
      </c>
      <c r="D2077" s="4" t="s">
        <v>52</v>
      </c>
      <c r="E2077" s="4" t="s">
        <v>232</v>
      </c>
      <c r="F2077" s="4" t="s">
        <v>232</v>
      </c>
      <c r="G2077" s="4" t="s">
        <v>234</v>
      </c>
      <c r="H2077" s="62">
        <v>3000</v>
      </c>
      <c r="I2077">
        <v>2500</v>
      </c>
      <c r="K2077" t="s">
        <v>1136</v>
      </c>
    </row>
    <row r="2078" spans="1:11" x14ac:dyDescent="0.3">
      <c r="A2078">
        <v>2026</v>
      </c>
      <c r="B2078" s="69">
        <v>12</v>
      </c>
      <c r="C2078" s="4" t="s">
        <v>175</v>
      </c>
      <c r="D2078" s="4" t="s">
        <v>69</v>
      </c>
      <c r="E2078" s="4" t="s">
        <v>232</v>
      </c>
      <c r="F2078" s="4" t="s">
        <v>232</v>
      </c>
      <c r="G2078" s="4" t="s">
        <v>425</v>
      </c>
      <c r="H2078" s="62">
        <v>3000.8142399999997</v>
      </c>
      <c r="I2078">
        <v>2500</v>
      </c>
      <c r="K2078" t="s">
        <v>1137</v>
      </c>
    </row>
    <row r="2079" spans="1:11" x14ac:dyDescent="0.3">
      <c r="A2079">
        <v>2026</v>
      </c>
      <c r="B2079" s="69">
        <v>12</v>
      </c>
      <c r="C2079" s="3" t="s">
        <v>35</v>
      </c>
      <c r="D2079" s="4" t="s">
        <v>36</v>
      </c>
      <c r="E2079" s="4" t="s">
        <v>232</v>
      </c>
      <c r="F2079" s="61" t="s">
        <v>232</v>
      </c>
      <c r="G2079" s="4" t="s">
        <v>234</v>
      </c>
      <c r="H2079" s="62">
        <v>2500</v>
      </c>
      <c r="I2079">
        <v>2500</v>
      </c>
    </row>
    <row r="2080" spans="1:11" x14ac:dyDescent="0.3">
      <c r="A2080">
        <v>2026</v>
      </c>
      <c r="B2080" s="69">
        <v>12</v>
      </c>
      <c r="C2080" s="4" t="s">
        <v>183</v>
      </c>
      <c r="D2080" s="4" t="s">
        <v>40</v>
      </c>
      <c r="E2080" s="4" t="s">
        <v>232</v>
      </c>
      <c r="F2080" s="4" t="s">
        <v>232</v>
      </c>
      <c r="G2080" s="4" t="s">
        <v>234</v>
      </c>
      <c r="H2080" s="62">
        <v>1267.46</v>
      </c>
      <c r="I2080">
        <v>2500</v>
      </c>
      <c r="K2080" t="s">
        <v>1138</v>
      </c>
    </row>
    <row r="2081" spans="1:11" x14ac:dyDescent="0.3">
      <c r="A2081">
        <v>2026</v>
      </c>
      <c r="B2081" s="69">
        <v>12</v>
      </c>
      <c r="C2081" s="4" t="s">
        <v>189</v>
      </c>
      <c r="D2081" s="4" t="s">
        <v>24</v>
      </c>
      <c r="E2081" s="4" t="s">
        <v>232</v>
      </c>
      <c r="F2081" s="4" t="s">
        <v>232</v>
      </c>
      <c r="G2081" s="4" t="s">
        <v>234</v>
      </c>
      <c r="H2081" s="62">
        <v>3200.4752000000008</v>
      </c>
      <c r="I2081">
        <v>2500</v>
      </c>
      <c r="K2081" t="s">
        <v>1139</v>
      </c>
    </row>
    <row r="2082" spans="1:11" x14ac:dyDescent="0.3">
      <c r="A2082">
        <v>2026</v>
      </c>
      <c r="B2082" s="69">
        <v>12</v>
      </c>
      <c r="C2082" s="4" t="s">
        <v>174</v>
      </c>
      <c r="D2082" s="4" t="s">
        <v>77</v>
      </c>
      <c r="E2082" s="4" t="s">
        <v>232</v>
      </c>
      <c r="F2082" s="4" t="s">
        <v>232</v>
      </c>
      <c r="G2082" s="4" t="s">
        <v>234</v>
      </c>
      <c r="H2082" s="62">
        <v>3000</v>
      </c>
      <c r="I2082">
        <v>2500</v>
      </c>
    </row>
    <row r="2083" spans="1:11" x14ac:dyDescent="0.3">
      <c r="A2083">
        <v>2026</v>
      </c>
      <c r="B2083" s="69">
        <v>12</v>
      </c>
      <c r="C2083" s="3" t="s">
        <v>114</v>
      </c>
      <c r="D2083" s="4" t="s">
        <v>46</v>
      </c>
      <c r="E2083" s="4" t="s">
        <v>232</v>
      </c>
      <c r="F2083" s="61" t="s">
        <v>232</v>
      </c>
      <c r="G2083" s="4" t="s">
        <v>234</v>
      </c>
      <c r="H2083" s="62">
        <v>-4183.5714285714284</v>
      </c>
      <c r="I2083">
        <v>2500</v>
      </c>
      <c r="K2083" t="s">
        <v>1140</v>
      </c>
    </row>
    <row r="2084" spans="1:11" x14ac:dyDescent="0.3">
      <c r="A2084">
        <v>2026</v>
      </c>
      <c r="B2084" s="69">
        <v>12</v>
      </c>
      <c r="C2084" s="3" t="s">
        <v>43</v>
      </c>
      <c r="D2084" s="4" t="s">
        <v>145</v>
      </c>
      <c r="E2084" s="4" t="s">
        <v>232</v>
      </c>
      <c r="F2084" s="61" t="s">
        <v>232</v>
      </c>
      <c r="G2084" s="4" t="s">
        <v>234</v>
      </c>
      <c r="H2084" s="62">
        <v>2717.7200000000003</v>
      </c>
      <c r="I2084">
        <v>2500</v>
      </c>
      <c r="K2084" t="s">
        <v>1141</v>
      </c>
    </row>
    <row r="2085" spans="1:11" x14ac:dyDescent="0.3">
      <c r="A2085">
        <v>2026</v>
      </c>
      <c r="B2085" s="69">
        <v>12</v>
      </c>
      <c r="C2085" s="3" t="s">
        <v>84</v>
      </c>
      <c r="D2085" s="4" t="s">
        <v>146</v>
      </c>
      <c r="E2085" s="4" t="s">
        <v>232</v>
      </c>
      <c r="F2085" s="61" t="s">
        <v>232</v>
      </c>
      <c r="G2085" s="4" t="s">
        <v>234</v>
      </c>
      <c r="H2085" s="62">
        <v>2095.46</v>
      </c>
      <c r="I2085">
        <v>2500</v>
      </c>
      <c r="K2085" t="s">
        <v>1142</v>
      </c>
    </row>
    <row r="2086" spans="1:11" x14ac:dyDescent="0.3">
      <c r="A2086">
        <v>2026</v>
      </c>
      <c r="B2086" s="69">
        <v>12</v>
      </c>
      <c r="C2086" s="3" t="s">
        <v>89</v>
      </c>
      <c r="D2086" s="4" t="s">
        <v>4</v>
      </c>
      <c r="E2086" s="4" t="s">
        <v>232</v>
      </c>
      <c r="F2086" s="61" t="s">
        <v>232</v>
      </c>
      <c r="G2086" s="4" t="s">
        <v>234</v>
      </c>
      <c r="H2086" s="62">
        <v>2643</v>
      </c>
      <c r="I2086">
        <v>2500</v>
      </c>
    </row>
    <row r="2087" spans="1:11" x14ac:dyDescent="0.3">
      <c r="A2087">
        <v>2026</v>
      </c>
      <c r="B2087" s="69">
        <v>12</v>
      </c>
      <c r="C2087" s="3" t="s">
        <v>119</v>
      </c>
      <c r="D2087" s="4" t="s">
        <v>97</v>
      </c>
      <c r="E2087" s="4" t="s">
        <v>232</v>
      </c>
      <c r="F2087" s="61" t="s">
        <v>232</v>
      </c>
      <c r="G2087" s="4" t="s">
        <v>234</v>
      </c>
      <c r="H2087" s="62">
        <v>-500</v>
      </c>
      <c r="I2087">
        <v>2500</v>
      </c>
    </row>
    <row r="2088" spans="1:11" x14ac:dyDescent="0.3">
      <c r="A2088">
        <v>2026</v>
      </c>
      <c r="B2088" s="69">
        <v>12</v>
      </c>
      <c r="C2088" s="3" t="s">
        <v>123</v>
      </c>
      <c r="D2088" s="4" t="s">
        <v>59</v>
      </c>
      <c r="E2088" s="4" t="s">
        <v>232</v>
      </c>
      <c r="F2088" s="61" t="s">
        <v>232</v>
      </c>
      <c r="G2088" s="4" t="s">
        <v>234</v>
      </c>
      <c r="H2088" s="62">
        <v>2999.6399999999994</v>
      </c>
      <c r="I2088">
        <v>2500</v>
      </c>
      <c r="K2088" t="s">
        <v>1143</v>
      </c>
    </row>
    <row r="2089" spans="1:11" x14ac:dyDescent="0.3">
      <c r="A2089">
        <v>2026</v>
      </c>
      <c r="B2089" s="69">
        <v>12</v>
      </c>
      <c r="C2089" s="3" t="s">
        <v>5</v>
      </c>
      <c r="D2089" s="4" t="s">
        <v>6</v>
      </c>
      <c r="E2089" s="4" t="s">
        <v>232</v>
      </c>
      <c r="F2089" s="61" t="s">
        <v>232</v>
      </c>
      <c r="G2089" s="4" t="s">
        <v>425</v>
      </c>
      <c r="H2089" s="62">
        <v>5729.92</v>
      </c>
      <c r="I2089">
        <v>2500</v>
      </c>
      <c r="K2089" t="s">
        <v>1144</v>
      </c>
    </row>
    <row r="2090" spans="1:11" x14ac:dyDescent="0.3">
      <c r="A2090">
        <v>2026</v>
      </c>
      <c r="B2090" s="69">
        <v>12</v>
      </c>
      <c r="C2090" s="3" t="s">
        <v>5</v>
      </c>
      <c r="D2090" s="4" t="s">
        <v>50</v>
      </c>
      <c r="E2090" s="4" t="s">
        <v>232</v>
      </c>
      <c r="F2090" s="61" t="s">
        <v>232</v>
      </c>
      <c r="G2090" s="4" t="s">
        <v>425</v>
      </c>
      <c r="H2090" s="62">
        <v>420</v>
      </c>
    </row>
    <row r="2091" spans="1:11" x14ac:dyDescent="0.3">
      <c r="A2091">
        <v>2026</v>
      </c>
      <c r="B2091" s="69">
        <v>12</v>
      </c>
      <c r="C2091" s="4" t="s">
        <v>185</v>
      </c>
      <c r="D2091" s="4" t="s">
        <v>34</v>
      </c>
      <c r="E2091" s="4" t="s">
        <v>232</v>
      </c>
      <c r="F2091" s="4" t="s">
        <v>232</v>
      </c>
      <c r="G2091" s="4" t="s">
        <v>234</v>
      </c>
      <c r="H2091" s="62">
        <v>3000</v>
      </c>
      <c r="I2091">
        <v>2500</v>
      </c>
    </row>
    <row r="2092" spans="1:11" x14ac:dyDescent="0.3">
      <c r="A2092">
        <v>2026</v>
      </c>
      <c r="B2092" s="69">
        <v>12</v>
      </c>
      <c r="C2092" s="3" t="s">
        <v>47</v>
      </c>
      <c r="D2092" s="4" t="s">
        <v>147</v>
      </c>
      <c r="E2092" s="4" t="s">
        <v>232</v>
      </c>
      <c r="F2092" s="61" t="s">
        <v>232</v>
      </c>
      <c r="G2092" s="4" t="s">
        <v>234</v>
      </c>
      <c r="H2092" s="62">
        <v>3699.8999999999996</v>
      </c>
      <c r="I2092">
        <v>2500</v>
      </c>
      <c r="K2092" t="s">
        <v>1145</v>
      </c>
    </row>
    <row r="2093" spans="1:11" x14ac:dyDescent="0.3">
      <c r="A2093">
        <v>2026</v>
      </c>
      <c r="B2093" s="69">
        <v>12</v>
      </c>
      <c r="C2093" s="3" t="s">
        <v>49</v>
      </c>
      <c r="D2093" s="4" t="s">
        <v>12</v>
      </c>
      <c r="E2093" s="4" t="s">
        <v>232</v>
      </c>
      <c r="F2093" s="61" t="s">
        <v>232</v>
      </c>
      <c r="G2093" s="4" t="s">
        <v>234</v>
      </c>
      <c r="H2093" s="62">
        <v>2700</v>
      </c>
      <c r="I2093">
        <v>2500</v>
      </c>
    </row>
    <row r="2094" spans="1:11" x14ac:dyDescent="0.3">
      <c r="A2094">
        <v>2026</v>
      </c>
      <c r="B2094" s="69">
        <v>12</v>
      </c>
      <c r="C2094" s="3" t="s">
        <v>49</v>
      </c>
      <c r="D2094" s="4" t="s">
        <v>104</v>
      </c>
      <c r="E2094" s="4" t="s">
        <v>1107</v>
      </c>
      <c r="F2094" s="61" t="s">
        <v>232</v>
      </c>
      <c r="G2094" s="4" t="s">
        <v>234</v>
      </c>
      <c r="H2094" s="62">
        <v>700</v>
      </c>
      <c r="K2094" t="s">
        <v>1110</v>
      </c>
    </row>
    <row r="2095" spans="1:11" x14ac:dyDescent="0.3">
      <c r="A2095">
        <v>2026</v>
      </c>
      <c r="B2095" s="69">
        <v>12</v>
      </c>
      <c r="C2095" s="3" t="s">
        <v>192</v>
      </c>
      <c r="D2095" s="4" t="s">
        <v>79</v>
      </c>
      <c r="E2095" s="4" t="s">
        <v>291</v>
      </c>
      <c r="F2095" s="61" t="s">
        <v>291</v>
      </c>
      <c r="G2095" s="4" t="s">
        <v>234</v>
      </c>
      <c r="H2095" s="62">
        <v>-1585.5085714285715</v>
      </c>
      <c r="I2095">
        <v>2500</v>
      </c>
      <c r="K2095" t="s">
        <v>1146</v>
      </c>
    </row>
    <row r="2096" spans="1:11" x14ac:dyDescent="0.3">
      <c r="A2096">
        <v>2026</v>
      </c>
      <c r="B2096" s="69">
        <v>12</v>
      </c>
      <c r="C2096" s="3" t="s">
        <v>152</v>
      </c>
      <c r="D2096" s="4" t="s">
        <v>42</v>
      </c>
      <c r="E2096" s="4" t="s">
        <v>232</v>
      </c>
      <c r="F2096" s="61" t="s">
        <v>232</v>
      </c>
      <c r="G2096" s="4" t="s">
        <v>234</v>
      </c>
      <c r="H2096" s="62">
        <v>58.220000000000255</v>
      </c>
      <c r="I2096">
        <v>2500</v>
      </c>
    </row>
    <row r="2097" spans="1:11" x14ac:dyDescent="0.3">
      <c r="A2097">
        <v>2026</v>
      </c>
      <c r="B2097" s="69">
        <v>12</v>
      </c>
      <c r="C2097" s="3" t="s">
        <v>51</v>
      </c>
      <c r="D2097" s="4" t="s">
        <v>157</v>
      </c>
      <c r="E2097" s="4" t="s">
        <v>232</v>
      </c>
      <c r="F2097" s="61" t="s">
        <v>232</v>
      </c>
      <c r="G2097" s="4" t="s">
        <v>234</v>
      </c>
      <c r="H2097" s="62">
        <v>2571.4285714285716</v>
      </c>
      <c r="I2097">
        <v>2500</v>
      </c>
    </row>
    <row r="2098" spans="1:11" x14ac:dyDescent="0.3">
      <c r="A2098">
        <v>2026</v>
      </c>
      <c r="B2098" s="69">
        <v>12</v>
      </c>
      <c r="C2098" s="3" t="s">
        <v>131</v>
      </c>
      <c r="D2098" s="4" t="s">
        <v>116</v>
      </c>
      <c r="E2098" s="4" t="s">
        <v>291</v>
      </c>
      <c r="F2098" s="61" t="s">
        <v>291</v>
      </c>
      <c r="G2098" s="4" t="s">
        <v>234</v>
      </c>
      <c r="H2098" s="62">
        <v>2500</v>
      </c>
      <c r="I2098">
        <v>2500</v>
      </c>
    </row>
    <row r="2099" spans="1:11" x14ac:dyDescent="0.3">
      <c r="A2099">
        <v>2026</v>
      </c>
      <c r="B2099" s="69">
        <v>12</v>
      </c>
      <c r="C2099" s="3" t="s">
        <v>107</v>
      </c>
      <c r="D2099" s="4" t="s">
        <v>148</v>
      </c>
      <c r="E2099" s="4" t="s">
        <v>232</v>
      </c>
      <c r="F2099" s="61" t="s">
        <v>232</v>
      </c>
      <c r="G2099" s="4" t="s">
        <v>234</v>
      </c>
      <c r="H2099" s="62">
        <v>3399.66</v>
      </c>
      <c r="I2099">
        <v>2500</v>
      </c>
      <c r="K2099" t="s">
        <v>1147</v>
      </c>
    </row>
    <row r="2100" spans="1:11" x14ac:dyDescent="0.3">
      <c r="A2100">
        <v>2026</v>
      </c>
      <c r="B2100" s="69">
        <v>12</v>
      </c>
      <c r="C2100" s="3" t="s">
        <v>76</v>
      </c>
      <c r="D2100" s="4" t="s">
        <v>40</v>
      </c>
      <c r="E2100" s="4" t="s">
        <v>232</v>
      </c>
      <c r="F2100" s="61" t="s">
        <v>232</v>
      </c>
      <c r="G2100" s="4" t="s">
        <v>234</v>
      </c>
      <c r="H2100" s="62">
        <v>3445.0023999999994</v>
      </c>
      <c r="I2100">
        <v>2500</v>
      </c>
      <c r="K2100" t="s">
        <v>1148</v>
      </c>
    </row>
    <row r="2101" spans="1:11" x14ac:dyDescent="0.3">
      <c r="A2101">
        <v>2026</v>
      </c>
      <c r="B2101" s="69">
        <v>12</v>
      </c>
      <c r="C2101" s="3" t="s">
        <v>87</v>
      </c>
      <c r="D2101" s="4" t="s">
        <v>83</v>
      </c>
      <c r="E2101" s="4" t="s">
        <v>232</v>
      </c>
      <c r="F2101" s="61" t="s">
        <v>232</v>
      </c>
      <c r="G2101" s="4" t="s">
        <v>234</v>
      </c>
      <c r="H2101" s="62">
        <v>4817.6399999999994</v>
      </c>
      <c r="I2101">
        <v>2500</v>
      </c>
      <c r="K2101" t="s">
        <v>1149</v>
      </c>
    </row>
    <row r="2102" spans="1:11" x14ac:dyDescent="0.3">
      <c r="A2102">
        <v>2026</v>
      </c>
      <c r="B2102" s="69">
        <v>12</v>
      </c>
      <c r="C2102" s="3" t="s">
        <v>117</v>
      </c>
      <c r="D2102" s="4" t="s">
        <v>118</v>
      </c>
      <c r="E2102" s="4" t="s">
        <v>232</v>
      </c>
      <c r="F2102" s="61" t="s">
        <v>232</v>
      </c>
      <c r="G2102" s="4" t="s">
        <v>234</v>
      </c>
      <c r="H2102" s="62">
        <v>3200</v>
      </c>
      <c r="I2102">
        <v>2500</v>
      </c>
    </row>
    <row r="2103" spans="1:11" x14ac:dyDescent="0.3">
      <c r="A2103">
        <v>2026</v>
      </c>
      <c r="B2103" s="69">
        <v>12</v>
      </c>
      <c r="C2103" s="3" t="s">
        <v>98</v>
      </c>
      <c r="D2103" s="4" t="s">
        <v>112</v>
      </c>
      <c r="E2103" s="4" t="s">
        <v>232</v>
      </c>
      <c r="F2103" s="61" t="s">
        <v>232</v>
      </c>
      <c r="G2103" s="4" t="s">
        <v>234</v>
      </c>
      <c r="H2103" s="62">
        <v>4065.3599999999997</v>
      </c>
      <c r="I2103">
        <v>2500</v>
      </c>
      <c r="K2103" t="s">
        <v>1150</v>
      </c>
    </row>
  </sheetData>
  <autoFilter ref="A1:K2103" xr:uid="{F02D91D7-2E7D-4148-A550-55845A64D8CA}"/>
  <conditionalFormatting sqref="C1355:C1402">
    <cfRule type="duplicateValues" dxfId="19" priority="11"/>
  </conditionalFormatting>
  <conditionalFormatting sqref="C1403:C1457">
    <cfRule type="duplicateValues" dxfId="18" priority="12"/>
  </conditionalFormatting>
  <conditionalFormatting sqref="C1458:C1515">
    <cfRule type="duplicateValues" dxfId="17" priority="10"/>
  </conditionalFormatting>
  <conditionalFormatting sqref="C1516:C1579">
    <cfRule type="duplicateValues" dxfId="16" priority="9"/>
  </conditionalFormatting>
  <conditionalFormatting sqref="C1580:C1642">
    <cfRule type="duplicateValues" dxfId="15" priority="8"/>
  </conditionalFormatting>
  <conditionalFormatting sqref="C1643:C1705">
    <cfRule type="duplicateValues" dxfId="14" priority="7"/>
  </conditionalFormatting>
  <conditionalFormatting sqref="C1706:C1764">
    <cfRule type="duplicateValues" dxfId="13" priority="6"/>
  </conditionalFormatting>
  <conditionalFormatting sqref="C1765:C1830">
    <cfRule type="duplicateValues" dxfId="12" priority="5"/>
  </conditionalFormatting>
  <conditionalFormatting sqref="C1831:C1903">
    <cfRule type="duplicateValues" dxfId="11" priority="4"/>
  </conditionalFormatting>
  <conditionalFormatting sqref="C1898">
    <cfRule type="duplicateValues" dxfId="10" priority="20"/>
    <cfRule type="duplicateValues" dxfId="9" priority="21"/>
  </conditionalFormatting>
  <conditionalFormatting sqref="C1904:C1969">
    <cfRule type="duplicateValues" dxfId="8" priority="3"/>
  </conditionalFormatting>
  <conditionalFormatting sqref="C1964">
    <cfRule type="duplicateValues" dxfId="7" priority="18"/>
    <cfRule type="duplicateValues" dxfId="6" priority="19"/>
  </conditionalFormatting>
  <conditionalFormatting sqref="C1970:C2038">
    <cfRule type="duplicateValues" dxfId="5" priority="2"/>
  </conditionalFormatting>
  <conditionalFormatting sqref="C2032">
    <cfRule type="duplicateValues" dxfId="4" priority="16"/>
    <cfRule type="duplicateValues" dxfId="3" priority="17"/>
  </conditionalFormatting>
  <conditionalFormatting sqref="C2039:C2103">
    <cfRule type="duplicateValues" dxfId="2" priority="1"/>
  </conditionalFormatting>
  <conditionalFormatting sqref="C2096">
    <cfRule type="duplicateValues" dxfId="1" priority="14"/>
    <cfRule type="duplicateValues" dxfId="0" priority="1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254C-D1E6-417E-A813-F5D1D59014D8}">
  <dimension ref="B1:F18"/>
  <sheetViews>
    <sheetView workbookViewId="0"/>
  </sheetViews>
  <sheetFormatPr baseColWidth="10" defaultRowHeight="13.8" x14ac:dyDescent="0.3"/>
  <cols>
    <col min="2" max="2" width="27.44140625" bestFit="1" customWidth="1"/>
    <col min="3" max="3" width="17.109375" bestFit="1" customWidth="1"/>
    <col min="4" max="4" width="27.44140625" bestFit="1" customWidth="1"/>
    <col min="5" max="5" width="15.109375" bestFit="1" customWidth="1"/>
    <col min="6" max="7" width="15.33203125" bestFit="1" customWidth="1"/>
    <col min="8" max="18" width="25.33203125" bestFit="1" customWidth="1"/>
    <col min="19" max="19" width="10.5546875" bestFit="1" customWidth="1"/>
    <col min="20" max="28" width="7.44140625" bestFit="1" customWidth="1"/>
    <col min="29" max="29" width="10.5546875" bestFit="1" customWidth="1"/>
    <col min="30" max="30" width="12.44140625" bestFit="1" customWidth="1"/>
  </cols>
  <sheetData>
    <row r="1" spans="2:6" x14ac:dyDescent="0.3">
      <c r="B1" s="73" t="s">
        <v>1</v>
      </c>
      <c r="C1" t="s">
        <v>1173</v>
      </c>
    </row>
    <row r="3" spans="2:6" x14ac:dyDescent="0.3">
      <c r="B3" s="73" t="s">
        <v>1073</v>
      </c>
      <c r="C3" s="73" t="s">
        <v>0</v>
      </c>
      <c r="D3" t="s">
        <v>1074</v>
      </c>
      <c r="E3" t="s">
        <v>1170</v>
      </c>
      <c r="F3" t="s">
        <v>1171</v>
      </c>
    </row>
    <row r="4" spans="2:6" x14ac:dyDescent="0.3">
      <c r="B4">
        <v>2025</v>
      </c>
      <c r="C4">
        <v>2</v>
      </c>
      <c r="D4" s="72">
        <v>-210.85200000000009</v>
      </c>
      <c r="F4">
        <v>1</v>
      </c>
    </row>
    <row r="5" spans="2:6" x14ac:dyDescent="0.3">
      <c r="C5">
        <v>3</v>
      </c>
      <c r="D5" s="72">
        <v>-1733.5503999999992</v>
      </c>
      <c r="F5">
        <v>1</v>
      </c>
    </row>
    <row r="6" spans="2:6" x14ac:dyDescent="0.3">
      <c r="B6" t="s">
        <v>1172</v>
      </c>
      <c r="D6" s="72">
        <v>-1944.4023999999993</v>
      </c>
      <c r="F6">
        <v>2</v>
      </c>
    </row>
    <row r="7" spans="2:6" x14ac:dyDescent="0.3">
      <c r="B7">
        <v>2026</v>
      </c>
      <c r="C7">
        <v>3</v>
      </c>
      <c r="D7" s="72">
        <v>857.14285714285722</v>
      </c>
      <c r="E7">
        <v>1000</v>
      </c>
      <c r="F7">
        <v>1</v>
      </c>
    </row>
    <row r="8" spans="2:6" x14ac:dyDescent="0.3">
      <c r="C8">
        <v>4</v>
      </c>
      <c r="D8" s="72">
        <v>2999.5200000000004</v>
      </c>
      <c r="F8">
        <v>1</v>
      </c>
    </row>
    <row r="9" spans="2:6" x14ac:dyDescent="0.3">
      <c r="C9">
        <v>5</v>
      </c>
      <c r="D9" s="72">
        <v>2963.8571428571427</v>
      </c>
      <c r="F9">
        <v>1</v>
      </c>
    </row>
    <row r="10" spans="2:6" x14ac:dyDescent="0.3">
      <c r="C10">
        <v>6</v>
      </c>
      <c r="D10" s="72">
        <v>3199.7800000000007</v>
      </c>
      <c r="F10">
        <v>1</v>
      </c>
    </row>
    <row r="11" spans="2:6" x14ac:dyDescent="0.3">
      <c r="C11">
        <v>7</v>
      </c>
      <c r="D11" s="72">
        <v>3200.4599999999991</v>
      </c>
      <c r="F11">
        <v>1</v>
      </c>
    </row>
    <row r="12" spans="2:6" x14ac:dyDescent="0.3">
      <c r="C12">
        <v>8</v>
      </c>
      <c r="D12" s="72">
        <v>3199.7600000000011</v>
      </c>
      <c r="F12">
        <v>1</v>
      </c>
    </row>
    <row r="13" spans="2:6" x14ac:dyDescent="0.3">
      <c r="C13">
        <v>9</v>
      </c>
      <c r="D13" s="72">
        <v>2864.1428571428573</v>
      </c>
      <c r="F13">
        <v>1</v>
      </c>
    </row>
    <row r="14" spans="2:6" x14ac:dyDescent="0.3">
      <c r="C14">
        <v>10</v>
      </c>
      <c r="D14" s="72">
        <v>3424.4000000000015</v>
      </c>
      <c r="F14">
        <v>1</v>
      </c>
    </row>
    <row r="15" spans="2:6" x14ac:dyDescent="0.3">
      <c r="C15">
        <v>11</v>
      </c>
      <c r="D15" s="72">
        <v>3014.1438857142862</v>
      </c>
      <c r="F15">
        <v>1</v>
      </c>
    </row>
    <row r="16" spans="2:6" x14ac:dyDescent="0.3">
      <c r="C16">
        <v>12</v>
      </c>
      <c r="D16" s="72">
        <v>3399.66</v>
      </c>
      <c r="F16">
        <v>1</v>
      </c>
    </row>
    <row r="17" spans="2:6" x14ac:dyDescent="0.3">
      <c r="B17" t="s">
        <v>1076</v>
      </c>
      <c r="D17" s="72">
        <v>29122.866742857146</v>
      </c>
      <c r="E17">
        <v>1000</v>
      </c>
      <c r="F17">
        <v>10</v>
      </c>
    </row>
    <row r="18" spans="2:6" x14ac:dyDescent="0.3">
      <c r="B18" t="s">
        <v>1075</v>
      </c>
      <c r="D18" s="72">
        <v>27178.464342857147</v>
      </c>
      <c r="E18">
        <v>1000</v>
      </c>
      <c r="F18">
        <v>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3081-39D9-4F1B-986D-88380FA3C9EE}">
  <dimension ref="A1:C621"/>
  <sheetViews>
    <sheetView workbookViewId="0"/>
  </sheetViews>
  <sheetFormatPr baseColWidth="10" defaultRowHeight="13.8" x14ac:dyDescent="0.3"/>
  <cols>
    <col min="1" max="1" width="4.33203125" bestFit="1" customWidth="1"/>
    <col min="2" max="2" width="31" bestFit="1" customWidth="1"/>
    <col min="3" max="3" width="29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</v>
      </c>
      <c r="B2" t="s">
        <v>114</v>
      </c>
      <c r="C2" t="s">
        <v>46</v>
      </c>
    </row>
    <row r="3" spans="1:3" x14ac:dyDescent="0.3">
      <c r="A3">
        <v>7</v>
      </c>
      <c r="B3" t="s">
        <v>151</v>
      </c>
      <c r="C3" t="s">
        <v>97</v>
      </c>
    </row>
    <row r="4" spans="1:3" x14ac:dyDescent="0.3">
      <c r="A4">
        <v>7</v>
      </c>
      <c r="B4" t="s">
        <v>151</v>
      </c>
      <c r="C4" t="s">
        <v>69</v>
      </c>
    </row>
    <row r="5" spans="1:3" x14ac:dyDescent="0.3">
      <c r="A5">
        <v>7</v>
      </c>
      <c r="B5" t="s">
        <v>76</v>
      </c>
      <c r="C5" t="s">
        <v>40</v>
      </c>
    </row>
    <row r="6" spans="1:3" x14ac:dyDescent="0.3">
      <c r="A6">
        <v>7</v>
      </c>
      <c r="B6" t="s">
        <v>138</v>
      </c>
      <c r="C6" t="s">
        <v>50</v>
      </c>
    </row>
    <row r="7" spans="1:3" x14ac:dyDescent="0.3">
      <c r="A7">
        <v>7</v>
      </c>
      <c r="B7" t="s">
        <v>89</v>
      </c>
      <c r="C7" t="s">
        <v>4</v>
      </c>
    </row>
    <row r="8" spans="1:3" x14ac:dyDescent="0.3">
      <c r="A8">
        <v>7</v>
      </c>
      <c r="B8" t="s">
        <v>136</v>
      </c>
      <c r="C8" t="s">
        <v>56</v>
      </c>
    </row>
    <row r="9" spans="1:3" x14ac:dyDescent="0.3">
      <c r="A9">
        <v>7</v>
      </c>
      <c r="B9" t="s">
        <v>151</v>
      </c>
      <c r="C9" t="s">
        <v>34</v>
      </c>
    </row>
    <row r="10" spans="1:3" x14ac:dyDescent="0.3">
      <c r="A10">
        <v>7</v>
      </c>
      <c r="B10" t="s">
        <v>108</v>
      </c>
      <c r="C10" t="s">
        <v>75</v>
      </c>
    </row>
    <row r="11" spans="1:3" x14ac:dyDescent="0.3">
      <c r="A11">
        <v>7</v>
      </c>
      <c r="B11" t="s">
        <v>152</v>
      </c>
      <c r="C11" t="s">
        <v>42</v>
      </c>
    </row>
    <row r="12" spans="1:3" x14ac:dyDescent="0.3">
      <c r="A12">
        <v>7</v>
      </c>
      <c r="B12" t="s">
        <v>51</v>
      </c>
      <c r="C12" t="s">
        <v>28</v>
      </c>
    </row>
    <row r="13" spans="1:3" x14ac:dyDescent="0.3">
      <c r="A13">
        <v>7</v>
      </c>
      <c r="B13" t="s">
        <v>19</v>
      </c>
      <c r="C13" t="s">
        <v>20</v>
      </c>
    </row>
    <row r="14" spans="1:3" x14ac:dyDescent="0.3">
      <c r="A14">
        <v>7</v>
      </c>
      <c r="B14" t="s">
        <v>21</v>
      </c>
      <c r="C14" t="s">
        <v>22</v>
      </c>
    </row>
    <row r="15" spans="1:3" x14ac:dyDescent="0.3">
      <c r="A15">
        <v>7</v>
      </c>
      <c r="B15" t="s">
        <v>132</v>
      </c>
      <c r="C15" t="s">
        <v>54</v>
      </c>
    </row>
    <row r="16" spans="1:3" x14ac:dyDescent="0.3">
      <c r="A16">
        <v>7</v>
      </c>
      <c r="B16" t="s">
        <v>98</v>
      </c>
      <c r="C16" t="s">
        <v>112</v>
      </c>
    </row>
    <row r="17" spans="1:3" x14ac:dyDescent="0.3">
      <c r="A17">
        <v>7</v>
      </c>
      <c r="B17" t="s">
        <v>33</v>
      </c>
      <c r="C17" t="s">
        <v>67</v>
      </c>
    </row>
    <row r="18" spans="1:3" x14ac:dyDescent="0.3">
      <c r="A18">
        <v>7</v>
      </c>
      <c r="B18" t="s">
        <v>80</v>
      </c>
      <c r="C18" t="s">
        <v>81</v>
      </c>
    </row>
    <row r="19" spans="1:3" x14ac:dyDescent="0.3">
      <c r="A19">
        <v>7</v>
      </c>
      <c r="B19" t="s">
        <v>153</v>
      </c>
      <c r="C19" t="s">
        <v>10</v>
      </c>
    </row>
    <row r="20" spans="1:3" x14ac:dyDescent="0.3">
      <c r="A20">
        <v>7</v>
      </c>
      <c r="B20" t="s">
        <v>111</v>
      </c>
      <c r="C20" t="s">
        <v>63</v>
      </c>
    </row>
    <row r="21" spans="1:3" x14ac:dyDescent="0.3">
      <c r="A21">
        <v>7</v>
      </c>
      <c r="B21" t="s">
        <v>134</v>
      </c>
      <c r="C21" t="s">
        <v>52</v>
      </c>
    </row>
    <row r="22" spans="1:3" x14ac:dyDescent="0.3">
      <c r="A22">
        <v>7</v>
      </c>
      <c r="B22" t="s">
        <v>90</v>
      </c>
      <c r="C22" t="s">
        <v>16</v>
      </c>
    </row>
    <row r="23" spans="1:3" x14ac:dyDescent="0.3">
      <c r="A23">
        <v>7</v>
      </c>
      <c r="B23" t="s">
        <v>105</v>
      </c>
      <c r="C23" t="s">
        <v>106</v>
      </c>
    </row>
    <row r="24" spans="1:3" x14ac:dyDescent="0.3">
      <c r="A24">
        <v>7</v>
      </c>
      <c r="B24" t="s">
        <v>72</v>
      </c>
      <c r="C24" t="s">
        <v>73</v>
      </c>
    </row>
    <row r="25" spans="1:3" x14ac:dyDescent="0.3">
      <c r="A25">
        <v>7</v>
      </c>
      <c r="B25" t="s">
        <v>151</v>
      </c>
      <c r="C25" t="s">
        <v>44</v>
      </c>
    </row>
    <row r="26" spans="1:3" x14ac:dyDescent="0.3">
      <c r="A26">
        <v>7</v>
      </c>
      <c r="B26" t="s">
        <v>78</v>
      </c>
      <c r="C26" t="s">
        <v>79</v>
      </c>
    </row>
    <row r="27" spans="1:3" x14ac:dyDescent="0.3">
      <c r="A27">
        <v>7</v>
      </c>
      <c r="B27" t="s">
        <v>92</v>
      </c>
      <c r="C27" t="s">
        <v>30</v>
      </c>
    </row>
    <row r="28" spans="1:3" x14ac:dyDescent="0.3">
      <c r="A28">
        <v>7</v>
      </c>
      <c r="B28" t="s">
        <v>151</v>
      </c>
      <c r="C28" t="s">
        <v>77</v>
      </c>
    </row>
    <row r="29" spans="1:3" x14ac:dyDescent="0.3">
      <c r="A29">
        <v>7</v>
      </c>
      <c r="B29" t="s">
        <v>85</v>
      </c>
      <c r="C29" t="s">
        <v>86</v>
      </c>
    </row>
    <row r="30" spans="1:3" x14ac:dyDescent="0.3">
      <c r="A30">
        <v>7</v>
      </c>
      <c r="B30" t="s">
        <v>123</v>
      </c>
      <c r="C30" t="s">
        <v>59</v>
      </c>
    </row>
    <row r="31" spans="1:3" x14ac:dyDescent="0.3">
      <c r="A31">
        <v>7</v>
      </c>
      <c r="B31" t="s">
        <v>35</v>
      </c>
      <c r="C31" t="s">
        <v>36</v>
      </c>
    </row>
    <row r="32" spans="1:3" x14ac:dyDescent="0.3">
      <c r="A32">
        <v>7</v>
      </c>
      <c r="B32" t="s">
        <v>13</v>
      </c>
      <c r="C32" t="s">
        <v>14</v>
      </c>
    </row>
    <row r="33" spans="1:3" x14ac:dyDescent="0.3">
      <c r="A33">
        <v>7</v>
      </c>
      <c r="B33" t="s">
        <v>11</v>
      </c>
      <c r="C33" t="s">
        <v>12</v>
      </c>
    </row>
    <row r="34" spans="1:3" x14ac:dyDescent="0.3">
      <c r="A34">
        <v>7</v>
      </c>
      <c r="B34" t="s">
        <v>37</v>
      </c>
      <c r="C34" t="s">
        <v>24</v>
      </c>
    </row>
    <row r="35" spans="1:3" x14ac:dyDescent="0.3">
      <c r="A35">
        <v>7</v>
      </c>
      <c r="B35" t="s">
        <v>17</v>
      </c>
      <c r="C35" t="s">
        <v>18</v>
      </c>
    </row>
    <row r="36" spans="1:3" x14ac:dyDescent="0.3">
      <c r="A36">
        <v>7</v>
      </c>
      <c r="B36" t="s">
        <v>87</v>
      </c>
      <c r="C36" t="s">
        <v>83</v>
      </c>
    </row>
    <row r="37" spans="1:3" x14ac:dyDescent="0.3">
      <c r="A37">
        <v>7</v>
      </c>
      <c r="B37" t="s">
        <v>25</v>
      </c>
      <c r="C37" t="s">
        <v>26</v>
      </c>
    </row>
    <row r="38" spans="1:3" x14ac:dyDescent="0.3">
      <c r="A38">
        <v>7</v>
      </c>
      <c r="B38" t="s">
        <v>120</v>
      </c>
      <c r="C38" t="s">
        <v>38</v>
      </c>
    </row>
    <row r="39" spans="1:3" x14ac:dyDescent="0.3">
      <c r="A39">
        <v>7</v>
      </c>
      <c r="B39" t="s">
        <v>5</v>
      </c>
      <c r="C39" t="s">
        <v>6</v>
      </c>
    </row>
    <row r="40" spans="1:3" x14ac:dyDescent="0.3">
      <c r="A40">
        <v>7</v>
      </c>
      <c r="B40" t="s">
        <v>76</v>
      </c>
      <c r="C40" t="s">
        <v>122</v>
      </c>
    </row>
    <row r="41" spans="1:3" x14ac:dyDescent="0.3">
      <c r="A41">
        <v>7</v>
      </c>
      <c r="B41" t="s">
        <v>131</v>
      </c>
      <c r="C41" t="s">
        <v>116</v>
      </c>
    </row>
    <row r="42" spans="1:3" x14ac:dyDescent="0.3">
      <c r="A42">
        <v>7</v>
      </c>
      <c r="B42" t="s">
        <v>117</v>
      </c>
      <c r="C42" t="s">
        <v>118</v>
      </c>
    </row>
    <row r="43" spans="1:3" x14ac:dyDescent="0.3">
      <c r="A43">
        <v>7</v>
      </c>
      <c r="B43" t="s">
        <v>49</v>
      </c>
      <c r="C43" t="s">
        <v>96</v>
      </c>
    </row>
    <row r="44" spans="1:3" x14ac:dyDescent="0.3">
      <c r="A44">
        <v>7</v>
      </c>
      <c r="B44" t="s">
        <v>31</v>
      </c>
      <c r="C44" t="s">
        <v>143</v>
      </c>
    </row>
    <row r="45" spans="1:3" x14ac:dyDescent="0.3">
      <c r="A45">
        <v>7</v>
      </c>
      <c r="B45" t="s">
        <v>64</v>
      </c>
      <c r="C45" t="s">
        <v>140</v>
      </c>
    </row>
    <row r="46" spans="1:3" x14ac:dyDescent="0.3">
      <c r="A46">
        <v>7</v>
      </c>
      <c r="B46" t="s">
        <v>47</v>
      </c>
      <c r="C46" t="s">
        <v>147</v>
      </c>
    </row>
    <row r="47" spans="1:3" x14ac:dyDescent="0.3">
      <c r="A47">
        <v>7</v>
      </c>
      <c r="B47" t="s">
        <v>70</v>
      </c>
      <c r="C47" t="s">
        <v>71</v>
      </c>
    </row>
    <row r="48" spans="1:3" x14ac:dyDescent="0.3">
      <c r="A48">
        <v>7</v>
      </c>
      <c r="B48" t="s">
        <v>109</v>
      </c>
      <c r="C48" t="s">
        <v>142</v>
      </c>
    </row>
    <row r="49" spans="1:3" x14ac:dyDescent="0.3">
      <c r="A49">
        <v>7</v>
      </c>
      <c r="B49" t="s">
        <v>29</v>
      </c>
      <c r="C49" t="s">
        <v>141</v>
      </c>
    </row>
    <row r="50" spans="1:3" x14ac:dyDescent="0.3">
      <c r="A50">
        <v>7</v>
      </c>
      <c r="B50" t="s">
        <v>107</v>
      </c>
      <c r="C50" t="s">
        <v>148</v>
      </c>
    </row>
    <row r="51" spans="1:3" x14ac:dyDescent="0.3">
      <c r="A51">
        <v>7</v>
      </c>
      <c r="B51" t="s">
        <v>43</v>
      </c>
      <c r="C51" t="s">
        <v>145</v>
      </c>
    </row>
    <row r="52" spans="1:3" x14ac:dyDescent="0.3">
      <c r="A52">
        <v>7</v>
      </c>
      <c r="B52" t="s">
        <v>15</v>
      </c>
      <c r="C52" t="s">
        <v>137</v>
      </c>
    </row>
    <row r="53" spans="1:3" x14ac:dyDescent="0.3">
      <c r="A53">
        <v>7</v>
      </c>
      <c r="B53" t="s">
        <v>84</v>
      </c>
      <c r="C53" t="s">
        <v>146</v>
      </c>
    </row>
    <row r="54" spans="1:3" x14ac:dyDescent="0.3">
      <c r="A54">
        <v>7</v>
      </c>
      <c r="B54" t="s">
        <v>23</v>
      </c>
      <c r="C54" t="s">
        <v>154</v>
      </c>
    </row>
    <row r="55" spans="1:3" x14ac:dyDescent="0.3">
      <c r="A55">
        <v>7</v>
      </c>
      <c r="B55" t="s">
        <v>91</v>
      </c>
      <c r="C55" t="s">
        <v>144</v>
      </c>
    </row>
    <row r="56" spans="1:3" x14ac:dyDescent="0.3">
      <c r="A56">
        <v>7</v>
      </c>
      <c r="B56" t="s">
        <v>128</v>
      </c>
      <c r="C56" t="s">
        <v>155</v>
      </c>
    </row>
    <row r="57" spans="1:3" x14ac:dyDescent="0.3">
      <c r="A57">
        <v>7</v>
      </c>
      <c r="B57" t="s">
        <v>121</v>
      </c>
      <c r="C57" t="s">
        <v>156</v>
      </c>
    </row>
    <row r="58" spans="1:3" x14ac:dyDescent="0.3">
      <c r="A58">
        <v>7</v>
      </c>
      <c r="B58" t="s">
        <v>151</v>
      </c>
      <c r="C58" t="s">
        <v>157</v>
      </c>
    </row>
    <row r="59" spans="1:3" x14ac:dyDescent="0.3">
      <c r="A59">
        <v>7</v>
      </c>
      <c r="B59" t="s">
        <v>151</v>
      </c>
      <c r="C59" t="s">
        <v>158</v>
      </c>
    </row>
    <row r="60" spans="1:3" x14ac:dyDescent="0.3">
      <c r="A60">
        <v>6</v>
      </c>
      <c r="B60" t="s">
        <v>114</v>
      </c>
      <c r="C60" t="s">
        <v>46</v>
      </c>
    </row>
    <row r="61" spans="1:3" x14ac:dyDescent="0.3">
      <c r="A61">
        <v>6</v>
      </c>
      <c r="B61" t="s">
        <v>119</v>
      </c>
      <c r="C61" t="s">
        <v>97</v>
      </c>
    </row>
    <row r="62" spans="1:3" x14ac:dyDescent="0.3">
      <c r="A62">
        <v>6</v>
      </c>
      <c r="B62" t="s">
        <v>151</v>
      </c>
      <c r="C62" t="s">
        <v>69</v>
      </c>
    </row>
    <row r="63" spans="1:3" x14ac:dyDescent="0.3">
      <c r="A63">
        <v>6</v>
      </c>
      <c r="B63" t="s">
        <v>76</v>
      </c>
      <c r="C63" t="s">
        <v>40</v>
      </c>
    </row>
    <row r="64" spans="1:3" x14ac:dyDescent="0.3">
      <c r="A64">
        <v>6</v>
      </c>
      <c r="B64" t="s">
        <v>130</v>
      </c>
      <c r="C64" t="s">
        <v>50</v>
      </c>
    </row>
    <row r="65" spans="1:3" x14ac:dyDescent="0.3">
      <c r="A65">
        <v>6</v>
      </c>
      <c r="B65" t="s">
        <v>89</v>
      </c>
      <c r="C65" t="s">
        <v>4</v>
      </c>
    </row>
    <row r="66" spans="1:3" x14ac:dyDescent="0.3">
      <c r="A66">
        <v>6</v>
      </c>
      <c r="B66" t="s">
        <v>136</v>
      </c>
      <c r="C66" t="s">
        <v>56</v>
      </c>
    </row>
    <row r="67" spans="1:3" x14ac:dyDescent="0.3">
      <c r="A67">
        <v>6</v>
      </c>
      <c r="B67" t="s">
        <v>151</v>
      </c>
      <c r="C67" t="s">
        <v>34</v>
      </c>
    </row>
    <row r="68" spans="1:3" x14ac:dyDescent="0.3">
      <c r="A68">
        <v>6</v>
      </c>
      <c r="B68" t="s">
        <v>108</v>
      </c>
      <c r="C68" t="s">
        <v>75</v>
      </c>
    </row>
    <row r="69" spans="1:3" x14ac:dyDescent="0.3">
      <c r="A69">
        <v>6</v>
      </c>
      <c r="B69" t="s">
        <v>152</v>
      </c>
      <c r="C69" t="s">
        <v>42</v>
      </c>
    </row>
    <row r="70" spans="1:3" x14ac:dyDescent="0.3">
      <c r="A70">
        <v>6</v>
      </c>
      <c r="B70" t="s">
        <v>51</v>
      </c>
      <c r="C70" t="s">
        <v>28</v>
      </c>
    </row>
    <row r="71" spans="1:3" x14ac:dyDescent="0.3">
      <c r="A71">
        <v>6</v>
      </c>
      <c r="B71" t="s">
        <v>19</v>
      </c>
      <c r="C71" t="s">
        <v>20</v>
      </c>
    </row>
    <row r="72" spans="1:3" x14ac:dyDescent="0.3">
      <c r="A72">
        <v>6</v>
      </c>
      <c r="B72" t="s">
        <v>21</v>
      </c>
      <c r="C72" t="s">
        <v>22</v>
      </c>
    </row>
    <row r="73" spans="1:3" x14ac:dyDescent="0.3">
      <c r="A73">
        <v>6</v>
      </c>
      <c r="B73" t="s">
        <v>132</v>
      </c>
      <c r="C73" t="s">
        <v>54</v>
      </c>
    </row>
    <row r="74" spans="1:3" x14ac:dyDescent="0.3">
      <c r="A74">
        <v>6</v>
      </c>
      <c r="B74" t="s">
        <v>98</v>
      </c>
      <c r="C74" t="s">
        <v>112</v>
      </c>
    </row>
    <row r="75" spans="1:3" x14ac:dyDescent="0.3">
      <c r="A75">
        <v>6</v>
      </c>
      <c r="B75" t="s">
        <v>33</v>
      </c>
      <c r="C75" t="s">
        <v>67</v>
      </c>
    </row>
    <row r="76" spans="1:3" x14ac:dyDescent="0.3">
      <c r="A76">
        <v>6</v>
      </c>
      <c r="B76" t="s">
        <v>80</v>
      </c>
      <c r="C76" t="s">
        <v>81</v>
      </c>
    </row>
    <row r="77" spans="1:3" x14ac:dyDescent="0.3">
      <c r="A77">
        <v>6</v>
      </c>
      <c r="B77" t="s">
        <v>139</v>
      </c>
      <c r="C77" t="s">
        <v>10</v>
      </c>
    </row>
    <row r="78" spans="1:3" x14ac:dyDescent="0.3">
      <c r="A78">
        <v>6</v>
      </c>
      <c r="B78" t="s">
        <v>111</v>
      </c>
      <c r="C78" t="s">
        <v>63</v>
      </c>
    </row>
    <row r="79" spans="1:3" x14ac:dyDescent="0.3">
      <c r="A79">
        <v>6</v>
      </c>
      <c r="B79" t="s">
        <v>134</v>
      </c>
      <c r="C79" t="s">
        <v>52</v>
      </c>
    </row>
    <row r="80" spans="1:3" x14ac:dyDescent="0.3">
      <c r="A80">
        <v>6</v>
      </c>
      <c r="B80" t="s">
        <v>90</v>
      </c>
      <c r="C80" t="s">
        <v>16</v>
      </c>
    </row>
    <row r="81" spans="1:3" x14ac:dyDescent="0.3">
      <c r="A81">
        <v>6</v>
      </c>
      <c r="B81" t="s">
        <v>105</v>
      </c>
      <c r="C81" t="s">
        <v>106</v>
      </c>
    </row>
    <row r="82" spans="1:3" x14ac:dyDescent="0.3">
      <c r="A82">
        <v>6</v>
      </c>
      <c r="B82" t="s">
        <v>72</v>
      </c>
      <c r="C82" t="s">
        <v>73</v>
      </c>
    </row>
    <row r="83" spans="1:3" x14ac:dyDescent="0.3">
      <c r="A83">
        <v>6</v>
      </c>
      <c r="B83" t="s">
        <v>128</v>
      </c>
      <c r="C83" t="s">
        <v>44</v>
      </c>
    </row>
    <row r="84" spans="1:3" x14ac:dyDescent="0.3">
      <c r="A84">
        <v>6</v>
      </c>
      <c r="B84" t="s">
        <v>78</v>
      </c>
      <c r="C84" t="s">
        <v>79</v>
      </c>
    </row>
    <row r="85" spans="1:3" x14ac:dyDescent="0.3">
      <c r="A85">
        <v>6</v>
      </c>
      <c r="B85" t="s">
        <v>92</v>
      </c>
      <c r="C85" t="s">
        <v>30</v>
      </c>
    </row>
    <row r="86" spans="1:3" x14ac:dyDescent="0.3">
      <c r="A86">
        <v>6</v>
      </c>
      <c r="B86" t="s">
        <v>76</v>
      </c>
      <c r="C86" t="s">
        <v>77</v>
      </c>
    </row>
    <row r="87" spans="1:3" x14ac:dyDescent="0.3">
      <c r="A87">
        <v>6</v>
      </c>
      <c r="B87" t="s">
        <v>85</v>
      </c>
      <c r="C87" t="s">
        <v>86</v>
      </c>
    </row>
    <row r="88" spans="1:3" x14ac:dyDescent="0.3">
      <c r="A88">
        <v>6</v>
      </c>
      <c r="B88" t="s">
        <v>123</v>
      </c>
      <c r="C88" t="s">
        <v>59</v>
      </c>
    </row>
    <row r="89" spans="1:3" x14ac:dyDescent="0.3">
      <c r="A89">
        <v>6</v>
      </c>
      <c r="B89" t="s">
        <v>35</v>
      </c>
      <c r="C89" t="s">
        <v>36</v>
      </c>
    </row>
    <row r="90" spans="1:3" x14ac:dyDescent="0.3">
      <c r="A90">
        <v>6</v>
      </c>
      <c r="B90" t="s">
        <v>13</v>
      </c>
      <c r="C90" t="s">
        <v>14</v>
      </c>
    </row>
    <row r="91" spans="1:3" x14ac:dyDescent="0.3">
      <c r="A91">
        <v>6</v>
      </c>
      <c r="B91" t="s">
        <v>11</v>
      </c>
      <c r="C91" t="s">
        <v>12</v>
      </c>
    </row>
    <row r="92" spans="1:3" x14ac:dyDescent="0.3">
      <c r="A92">
        <v>6</v>
      </c>
      <c r="B92" t="s">
        <v>37</v>
      </c>
      <c r="C92" t="s">
        <v>24</v>
      </c>
    </row>
    <row r="93" spans="1:3" x14ac:dyDescent="0.3">
      <c r="A93">
        <v>6</v>
      </c>
      <c r="B93" t="s">
        <v>17</v>
      </c>
      <c r="C93" t="s">
        <v>18</v>
      </c>
    </row>
    <row r="94" spans="1:3" x14ac:dyDescent="0.3">
      <c r="A94">
        <v>6</v>
      </c>
      <c r="B94" t="s">
        <v>87</v>
      </c>
      <c r="C94" t="s">
        <v>83</v>
      </c>
    </row>
    <row r="95" spans="1:3" x14ac:dyDescent="0.3">
      <c r="A95">
        <v>6</v>
      </c>
      <c r="B95" t="s">
        <v>25</v>
      </c>
      <c r="C95" t="s">
        <v>26</v>
      </c>
    </row>
    <row r="96" spans="1:3" x14ac:dyDescent="0.3">
      <c r="A96">
        <v>6</v>
      </c>
      <c r="B96" t="s">
        <v>120</v>
      </c>
      <c r="C96" t="s">
        <v>38</v>
      </c>
    </row>
    <row r="97" spans="1:3" x14ac:dyDescent="0.3">
      <c r="A97">
        <v>6</v>
      </c>
      <c r="B97" t="s">
        <v>5</v>
      </c>
      <c r="C97" t="s">
        <v>6</v>
      </c>
    </row>
    <row r="98" spans="1:3" x14ac:dyDescent="0.3">
      <c r="A98">
        <v>6</v>
      </c>
      <c r="B98" t="s">
        <v>121</v>
      </c>
      <c r="C98" t="s">
        <v>122</v>
      </c>
    </row>
    <row r="99" spans="1:3" x14ac:dyDescent="0.3">
      <c r="A99">
        <v>6</v>
      </c>
      <c r="B99" t="s">
        <v>131</v>
      </c>
      <c r="C99" t="s">
        <v>116</v>
      </c>
    </row>
    <row r="100" spans="1:3" x14ac:dyDescent="0.3">
      <c r="A100">
        <v>6</v>
      </c>
      <c r="B100" t="s">
        <v>117</v>
      </c>
      <c r="C100" t="s">
        <v>118</v>
      </c>
    </row>
    <row r="101" spans="1:3" x14ac:dyDescent="0.3">
      <c r="A101">
        <v>6</v>
      </c>
      <c r="B101" t="s">
        <v>49</v>
      </c>
      <c r="C101" t="s">
        <v>96</v>
      </c>
    </row>
    <row r="102" spans="1:3" x14ac:dyDescent="0.3">
      <c r="A102">
        <v>6</v>
      </c>
      <c r="B102" t="s">
        <v>31</v>
      </c>
      <c r="C102" t="s">
        <v>143</v>
      </c>
    </row>
    <row r="103" spans="1:3" x14ac:dyDescent="0.3">
      <c r="A103">
        <v>6</v>
      </c>
      <c r="B103" t="s">
        <v>64</v>
      </c>
      <c r="C103" t="s">
        <v>140</v>
      </c>
    </row>
    <row r="104" spans="1:3" x14ac:dyDescent="0.3">
      <c r="A104">
        <v>6</v>
      </c>
      <c r="B104" t="s">
        <v>47</v>
      </c>
      <c r="C104" t="s">
        <v>147</v>
      </c>
    </row>
    <row r="105" spans="1:3" x14ac:dyDescent="0.3">
      <c r="A105">
        <v>6</v>
      </c>
      <c r="B105" t="s">
        <v>70</v>
      </c>
      <c r="C105" t="s">
        <v>71</v>
      </c>
    </row>
    <row r="106" spans="1:3" x14ac:dyDescent="0.3">
      <c r="A106">
        <v>6</v>
      </c>
      <c r="B106" t="s">
        <v>109</v>
      </c>
      <c r="C106" t="s">
        <v>142</v>
      </c>
    </row>
    <row r="107" spans="1:3" x14ac:dyDescent="0.3">
      <c r="A107">
        <v>6</v>
      </c>
      <c r="B107" t="s">
        <v>29</v>
      </c>
      <c r="C107" t="s">
        <v>141</v>
      </c>
    </row>
    <row r="108" spans="1:3" x14ac:dyDescent="0.3">
      <c r="A108">
        <v>6</v>
      </c>
      <c r="B108" t="s">
        <v>107</v>
      </c>
      <c r="C108" t="s">
        <v>148</v>
      </c>
    </row>
    <row r="109" spans="1:3" x14ac:dyDescent="0.3">
      <c r="A109">
        <v>6</v>
      </c>
      <c r="B109" t="s">
        <v>43</v>
      </c>
      <c r="C109" t="s">
        <v>145</v>
      </c>
    </row>
    <row r="110" spans="1:3" x14ac:dyDescent="0.3">
      <c r="A110">
        <v>6</v>
      </c>
      <c r="B110" t="s">
        <v>15</v>
      </c>
      <c r="C110" t="s">
        <v>137</v>
      </c>
    </row>
    <row r="111" spans="1:3" x14ac:dyDescent="0.3">
      <c r="A111">
        <v>6</v>
      </c>
      <c r="B111" t="s">
        <v>84</v>
      </c>
      <c r="C111" t="s">
        <v>146</v>
      </c>
    </row>
    <row r="112" spans="1:3" x14ac:dyDescent="0.3">
      <c r="A112">
        <v>6</v>
      </c>
      <c r="B112" t="s">
        <v>23</v>
      </c>
      <c r="C112" t="s">
        <v>154</v>
      </c>
    </row>
    <row r="113" spans="1:3" x14ac:dyDescent="0.3">
      <c r="A113">
        <v>6</v>
      </c>
      <c r="B113" t="s">
        <v>91</v>
      </c>
      <c r="C113" t="s">
        <v>144</v>
      </c>
    </row>
    <row r="114" spans="1:3" x14ac:dyDescent="0.3">
      <c r="A114">
        <v>6</v>
      </c>
      <c r="B114" t="s">
        <v>151</v>
      </c>
      <c r="C114" t="s">
        <v>159</v>
      </c>
    </row>
    <row r="115" spans="1:3" x14ac:dyDescent="0.3">
      <c r="A115">
        <v>6</v>
      </c>
      <c r="B115" t="s">
        <v>151</v>
      </c>
      <c r="C115" t="s">
        <v>160</v>
      </c>
    </row>
    <row r="116" spans="1:3" x14ac:dyDescent="0.3">
      <c r="A116">
        <v>6</v>
      </c>
      <c r="B116" t="s">
        <v>151</v>
      </c>
      <c r="C116" t="s">
        <v>161</v>
      </c>
    </row>
    <row r="117" spans="1:3" x14ac:dyDescent="0.3">
      <c r="A117">
        <v>6</v>
      </c>
      <c r="B117" t="s">
        <v>151</v>
      </c>
      <c r="C117" t="s">
        <v>160</v>
      </c>
    </row>
    <row r="118" spans="1:3" x14ac:dyDescent="0.3">
      <c r="A118">
        <v>6</v>
      </c>
      <c r="B118" t="s">
        <v>151</v>
      </c>
      <c r="C118" t="s">
        <v>162</v>
      </c>
    </row>
    <row r="119" spans="1:3" x14ac:dyDescent="0.3">
      <c r="A119">
        <v>5</v>
      </c>
      <c r="B119" t="s">
        <v>114</v>
      </c>
      <c r="C119" t="s">
        <v>46</v>
      </c>
    </row>
    <row r="120" spans="1:3" x14ac:dyDescent="0.3">
      <c r="A120">
        <v>5</v>
      </c>
      <c r="B120" t="s">
        <v>119</v>
      </c>
      <c r="C120" t="s">
        <v>97</v>
      </c>
    </row>
    <row r="121" spans="1:3" x14ac:dyDescent="0.3">
      <c r="A121">
        <v>5</v>
      </c>
      <c r="B121" t="s">
        <v>128</v>
      </c>
      <c r="C121" t="s">
        <v>69</v>
      </c>
    </row>
    <row r="122" spans="1:3" x14ac:dyDescent="0.3">
      <c r="A122">
        <v>5</v>
      </c>
      <c r="B122" t="s">
        <v>163</v>
      </c>
      <c r="C122" t="s">
        <v>40</v>
      </c>
    </row>
    <row r="123" spans="1:3" x14ac:dyDescent="0.3">
      <c r="A123">
        <v>5</v>
      </c>
      <c r="B123" t="s">
        <v>130</v>
      </c>
      <c r="C123" t="s">
        <v>50</v>
      </c>
    </row>
    <row r="124" spans="1:3" x14ac:dyDescent="0.3">
      <c r="A124">
        <v>5</v>
      </c>
      <c r="B124" t="s">
        <v>89</v>
      </c>
      <c r="C124" t="s">
        <v>4</v>
      </c>
    </row>
    <row r="125" spans="1:3" x14ac:dyDescent="0.3">
      <c r="A125">
        <v>5</v>
      </c>
      <c r="B125" t="s">
        <v>164</v>
      </c>
      <c r="C125" t="s">
        <v>56</v>
      </c>
    </row>
    <row r="126" spans="1:3" x14ac:dyDescent="0.3">
      <c r="A126">
        <v>5</v>
      </c>
      <c r="B126" t="s">
        <v>33</v>
      </c>
      <c r="C126" t="s">
        <v>34</v>
      </c>
    </row>
    <row r="127" spans="1:3" x14ac:dyDescent="0.3">
      <c r="A127">
        <v>5</v>
      </c>
      <c r="B127" t="s">
        <v>108</v>
      </c>
      <c r="C127" t="s">
        <v>75</v>
      </c>
    </row>
    <row r="128" spans="1:3" x14ac:dyDescent="0.3">
      <c r="A128">
        <v>5</v>
      </c>
      <c r="B128" t="s">
        <v>152</v>
      </c>
      <c r="C128" t="s">
        <v>42</v>
      </c>
    </row>
    <row r="129" spans="1:3" x14ac:dyDescent="0.3">
      <c r="A129">
        <v>5</v>
      </c>
      <c r="B129" t="s">
        <v>51</v>
      </c>
      <c r="C129" t="s">
        <v>28</v>
      </c>
    </row>
    <row r="130" spans="1:3" x14ac:dyDescent="0.3">
      <c r="A130">
        <v>5</v>
      </c>
      <c r="B130" t="s">
        <v>19</v>
      </c>
      <c r="C130" t="s">
        <v>20</v>
      </c>
    </row>
    <row r="131" spans="1:3" x14ac:dyDescent="0.3">
      <c r="A131">
        <v>5</v>
      </c>
      <c r="B131" t="s">
        <v>21</v>
      </c>
      <c r="C131" t="s">
        <v>22</v>
      </c>
    </row>
    <row r="132" spans="1:3" x14ac:dyDescent="0.3">
      <c r="A132">
        <v>5</v>
      </c>
      <c r="B132" t="s">
        <v>132</v>
      </c>
      <c r="C132" t="s">
        <v>54</v>
      </c>
    </row>
    <row r="133" spans="1:3" x14ac:dyDescent="0.3">
      <c r="A133">
        <v>5</v>
      </c>
      <c r="B133" t="s">
        <v>98</v>
      </c>
      <c r="C133" t="s">
        <v>112</v>
      </c>
    </row>
    <row r="134" spans="1:3" x14ac:dyDescent="0.3">
      <c r="A134">
        <v>5</v>
      </c>
      <c r="B134" t="s">
        <v>66</v>
      </c>
      <c r="C134" t="s">
        <v>67</v>
      </c>
    </row>
    <row r="135" spans="1:3" x14ac:dyDescent="0.3">
      <c r="A135">
        <v>5</v>
      </c>
      <c r="B135" t="s">
        <v>80</v>
      </c>
      <c r="C135" t="s">
        <v>81</v>
      </c>
    </row>
    <row r="136" spans="1:3" x14ac:dyDescent="0.3">
      <c r="A136">
        <v>5</v>
      </c>
      <c r="B136" t="s">
        <v>151</v>
      </c>
      <c r="C136" t="s">
        <v>10</v>
      </c>
    </row>
    <row r="137" spans="1:3" x14ac:dyDescent="0.3">
      <c r="A137">
        <v>5</v>
      </c>
      <c r="B137" t="s">
        <v>111</v>
      </c>
      <c r="C137" t="s">
        <v>63</v>
      </c>
    </row>
    <row r="138" spans="1:3" x14ac:dyDescent="0.3">
      <c r="A138">
        <v>5</v>
      </c>
      <c r="B138" t="s">
        <v>134</v>
      </c>
      <c r="C138" t="s">
        <v>52</v>
      </c>
    </row>
    <row r="139" spans="1:3" x14ac:dyDescent="0.3">
      <c r="A139">
        <v>5</v>
      </c>
      <c r="B139" t="s">
        <v>90</v>
      </c>
      <c r="C139" t="s">
        <v>16</v>
      </c>
    </row>
    <row r="140" spans="1:3" x14ac:dyDescent="0.3">
      <c r="A140">
        <v>5</v>
      </c>
      <c r="B140" t="s">
        <v>105</v>
      </c>
      <c r="C140" t="s">
        <v>106</v>
      </c>
    </row>
    <row r="141" spans="1:3" x14ac:dyDescent="0.3">
      <c r="A141">
        <v>5</v>
      </c>
      <c r="B141" t="s">
        <v>72</v>
      </c>
      <c r="C141" t="s">
        <v>73</v>
      </c>
    </row>
    <row r="142" spans="1:3" x14ac:dyDescent="0.3">
      <c r="A142">
        <v>5</v>
      </c>
      <c r="B142" t="s">
        <v>120</v>
      </c>
      <c r="C142" t="s">
        <v>44</v>
      </c>
    </row>
    <row r="143" spans="1:3" x14ac:dyDescent="0.3">
      <c r="A143">
        <v>5</v>
      </c>
      <c r="B143" t="s">
        <v>78</v>
      </c>
      <c r="C143" t="s">
        <v>79</v>
      </c>
    </row>
    <row r="144" spans="1:3" x14ac:dyDescent="0.3">
      <c r="A144">
        <v>5</v>
      </c>
      <c r="B144" t="s">
        <v>92</v>
      </c>
      <c r="C144" t="s">
        <v>30</v>
      </c>
    </row>
    <row r="145" spans="1:3" x14ac:dyDescent="0.3">
      <c r="A145">
        <v>5</v>
      </c>
      <c r="B145" t="s">
        <v>76</v>
      </c>
      <c r="C145" t="s">
        <v>77</v>
      </c>
    </row>
    <row r="146" spans="1:3" x14ac:dyDescent="0.3">
      <c r="A146">
        <v>5</v>
      </c>
      <c r="B146" t="s">
        <v>85</v>
      </c>
      <c r="C146" t="s">
        <v>86</v>
      </c>
    </row>
    <row r="147" spans="1:3" x14ac:dyDescent="0.3">
      <c r="A147">
        <v>5</v>
      </c>
      <c r="B147" t="s">
        <v>123</v>
      </c>
      <c r="C147" t="s">
        <v>59</v>
      </c>
    </row>
    <row r="148" spans="1:3" x14ac:dyDescent="0.3">
      <c r="A148">
        <v>5</v>
      </c>
      <c r="B148" t="s">
        <v>35</v>
      </c>
      <c r="C148" t="s">
        <v>36</v>
      </c>
    </row>
    <row r="149" spans="1:3" x14ac:dyDescent="0.3">
      <c r="A149">
        <v>5</v>
      </c>
      <c r="B149" t="s">
        <v>13</v>
      </c>
      <c r="C149" t="s">
        <v>14</v>
      </c>
    </row>
    <row r="150" spans="1:3" x14ac:dyDescent="0.3">
      <c r="A150">
        <v>5</v>
      </c>
      <c r="B150" t="s">
        <v>11</v>
      </c>
      <c r="C150" t="s">
        <v>12</v>
      </c>
    </row>
    <row r="151" spans="1:3" x14ac:dyDescent="0.3">
      <c r="A151">
        <v>5</v>
      </c>
      <c r="B151" t="s">
        <v>151</v>
      </c>
      <c r="C151" t="s">
        <v>24</v>
      </c>
    </row>
    <row r="152" spans="1:3" x14ac:dyDescent="0.3">
      <c r="A152">
        <v>5</v>
      </c>
      <c r="B152" t="s">
        <v>17</v>
      </c>
      <c r="C152" t="s">
        <v>18</v>
      </c>
    </row>
    <row r="153" spans="1:3" x14ac:dyDescent="0.3">
      <c r="A153">
        <v>5</v>
      </c>
      <c r="B153" t="s">
        <v>87</v>
      </c>
      <c r="C153" t="s">
        <v>83</v>
      </c>
    </row>
    <row r="154" spans="1:3" x14ac:dyDescent="0.3">
      <c r="A154">
        <v>5</v>
      </c>
      <c r="B154" t="s">
        <v>25</v>
      </c>
      <c r="C154" t="s">
        <v>26</v>
      </c>
    </row>
    <row r="155" spans="1:3" x14ac:dyDescent="0.3">
      <c r="A155">
        <v>5</v>
      </c>
      <c r="B155" t="s">
        <v>113</v>
      </c>
      <c r="C155" t="s">
        <v>38</v>
      </c>
    </row>
    <row r="156" spans="1:3" x14ac:dyDescent="0.3">
      <c r="A156">
        <v>5</v>
      </c>
      <c r="B156" t="s">
        <v>5</v>
      </c>
      <c r="C156" t="s">
        <v>6</v>
      </c>
    </row>
    <row r="157" spans="1:3" x14ac:dyDescent="0.3">
      <c r="A157">
        <v>5</v>
      </c>
      <c r="B157" t="s">
        <v>121</v>
      </c>
      <c r="C157" t="s">
        <v>122</v>
      </c>
    </row>
    <row r="158" spans="1:3" x14ac:dyDescent="0.3">
      <c r="A158">
        <v>5</v>
      </c>
      <c r="B158" t="s">
        <v>131</v>
      </c>
      <c r="C158" t="s">
        <v>116</v>
      </c>
    </row>
    <row r="159" spans="1:3" x14ac:dyDescent="0.3">
      <c r="A159">
        <v>5</v>
      </c>
      <c r="B159" t="s">
        <v>117</v>
      </c>
      <c r="C159" t="s">
        <v>118</v>
      </c>
    </row>
    <row r="160" spans="1:3" x14ac:dyDescent="0.3">
      <c r="A160">
        <v>5</v>
      </c>
      <c r="B160" t="s">
        <v>49</v>
      </c>
      <c r="C160" t="s">
        <v>96</v>
      </c>
    </row>
    <row r="161" spans="1:3" x14ac:dyDescent="0.3">
      <c r="A161">
        <v>5</v>
      </c>
      <c r="B161" t="s">
        <v>31</v>
      </c>
      <c r="C161" t="s">
        <v>143</v>
      </c>
    </row>
    <row r="162" spans="1:3" x14ac:dyDescent="0.3">
      <c r="A162">
        <v>5</v>
      </c>
      <c r="B162" t="s">
        <v>64</v>
      </c>
      <c r="C162" t="s">
        <v>140</v>
      </c>
    </row>
    <row r="163" spans="1:3" x14ac:dyDescent="0.3">
      <c r="A163">
        <v>5</v>
      </c>
      <c r="B163" t="s">
        <v>47</v>
      </c>
      <c r="C163" t="s">
        <v>147</v>
      </c>
    </row>
    <row r="164" spans="1:3" x14ac:dyDescent="0.3">
      <c r="A164">
        <v>5</v>
      </c>
      <c r="B164" t="s">
        <v>165</v>
      </c>
      <c r="C164" t="s">
        <v>71</v>
      </c>
    </row>
    <row r="165" spans="1:3" x14ac:dyDescent="0.3">
      <c r="A165">
        <v>5</v>
      </c>
      <c r="B165" t="s">
        <v>109</v>
      </c>
      <c r="C165" t="s">
        <v>142</v>
      </c>
    </row>
    <row r="166" spans="1:3" x14ac:dyDescent="0.3">
      <c r="A166">
        <v>5</v>
      </c>
      <c r="B166" t="s">
        <v>29</v>
      </c>
      <c r="C166" t="s">
        <v>141</v>
      </c>
    </row>
    <row r="167" spans="1:3" x14ac:dyDescent="0.3">
      <c r="A167">
        <v>5</v>
      </c>
      <c r="B167" t="s">
        <v>107</v>
      </c>
      <c r="C167" t="s">
        <v>148</v>
      </c>
    </row>
    <row r="168" spans="1:3" x14ac:dyDescent="0.3">
      <c r="A168">
        <v>5</v>
      </c>
      <c r="B168" t="s">
        <v>43</v>
      </c>
      <c r="C168" t="s">
        <v>145</v>
      </c>
    </row>
    <row r="169" spans="1:3" x14ac:dyDescent="0.3">
      <c r="A169">
        <v>5</v>
      </c>
      <c r="B169" t="s">
        <v>151</v>
      </c>
      <c r="C169" t="s">
        <v>137</v>
      </c>
    </row>
    <row r="170" spans="1:3" x14ac:dyDescent="0.3">
      <c r="A170">
        <v>5</v>
      </c>
      <c r="B170" t="s">
        <v>84</v>
      </c>
      <c r="C170" t="s">
        <v>146</v>
      </c>
    </row>
    <row r="171" spans="1:3" x14ac:dyDescent="0.3">
      <c r="A171">
        <v>5</v>
      </c>
      <c r="B171" t="s">
        <v>23</v>
      </c>
      <c r="C171" t="s">
        <v>154</v>
      </c>
    </row>
    <row r="172" spans="1:3" x14ac:dyDescent="0.3">
      <c r="A172">
        <v>5</v>
      </c>
      <c r="B172" t="s">
        <v>91</v>
      </c>
      <c r="C172" t="s">
        <v>144</v>
      </c>
    </row>
    <row r="173" spans="1:3" x14ac:dyDescent="0.3">
      <c r="A173">
        <v>4</v>
      </c>
      <c r="B173" t="s">
        <v>114</v>
      </c>
      <c r="C173" t="s">
        <v>46</v>
      </c>
    </row>
    <row r="174" spans="1:3" x14ac:dyDescent="0.3">
      <c r="A174">
        <v>4</v>
      </c>
      <c r="B174" t="s">
        <v>119</v>
      </c>
      <c r="C174" t="s">
        <v>97</v>
      </c>
    </row>
    <row r="175" spans="1:3" x14ac:dyDescent="0.3">
      <c r="A175">
        <v>4</v>
      </c>
      <c r="B175" t="s">
        <v>128</v>
      </c>
      <c r="C175" t="s">
        <v>69</v>
      </c>
    </row>
    <row r="176" spans="1:3" x14ac:dyDescent="0.3">
      <c r="A176">
        <v>4</v>
      </c>
      <c r="B176" t="s">
        <v>39</v>
      </c>
      <c r="C176" t="s">
        <v>40</v>
      </c>
    </row>
    <row r="177" spans="1:3" x14ac:dyDescent="0.3">
      <c r="A177">
        <v>4</v>
      </c>
      <c r="B177" t="s">
        <v>151</v>
      </c>
      <c r="C177" t="s">
        <v>50</v>
      </c>
    </row>
    <row r="178" spans="1:3" x14ac:dyDescent="0.3">
      <c r="A178">
        <v>4</v>
      </c>
      <c r="B178" t="s">
        <v>89</v>
      </c>
      <c r="C178" t="s">
        <v>4</v>
      </c>
    </row>
    <row r="179" spans="1:3" x14ac:dyDescent="0.3">
      <c r="A179">
        <v>4</v>
      </c>
      <c r="B179" t="s">
        <v>151</v>
      </c>
      <c r="C179" t="s">
        <v>56</v>
      </c>
    </row>
    <row r="180" spans="1:3" x14ac:dyDescent="0.3">
      <c r="A180">
        <v>4</v>
      </c>
      <c r="B180" t="s">
        <v>33</v>
      </c>
      <c r="C180" t="s">
        <v>34</v>
      </c>
    </row>
    <row r="181" spans="1:3" x14ac:dyDescent="0.3">
      <c r="A181">
        <v>4</v>
      </c>
      <c r="B181" t="s">
        <v>108</v>
      </c>
      <c r="C181" t="s">
        <v>75</v>
      </c>
    </row>
    <row r="182" spans="1:3" x14ac:dyDescent="0.3">
      <c r="A182">
        <v>4</v>
      </c>
      <c r="B182" t="s">
        <v>152</v>
      </c>
      <c r="C182" t="s">
        <v>42</v>
      </c>
    </row>
    <row r="183" spans="1:3" x14ac:dyDescent="0.3">
      <c r="A183">
        <v>4</v>
      </c>
      <c r="B183" t="s">
        <v>151</v>
      </c>
      <c r="C183" t="s">
        <v>28</v>
      </c>
    </row>
    <row r="184" spans="1:3" x14ac:dyDescent="0.3">
      <c r="A184">
        <v>4</v>
      </c>
      <c r="B184" t="s">
        <v>19</v>
      </c>
      <c r="C184" t="s">
        <v>20</v>
      </c>
    </row>
    <row r="185" spans="1:3" x14ac:dyDescent="0.3">
      <c r="A185">
        <v>4</v>
      </c>
      <c r="B185" t="s">
        <v>21</v>
      </c>
      <c r="C185" t="s">
        <v>22</v>
      </c>
    </row>
    <row r="186" spans="1:3" x14ac:dyDescent="0.3">
      <c r="A186">
        <v>4</v>
      </c>
      <c r="B186" t="s">
        <v>53</v>
      </c>
      <c r="C186" t="s">
        <v>54</v>
      </c>
    </row>
    <row r="187" spans="1:3" x14ac:dyDescent="0.3">
      <c r="A187">
        <v>4</v>
      </c>
      <c r="B187" t="s">
        <v>98</v>
      </c>
      <c r="C187" t="s">
        <v>112</v>
      </c>
    </row>
    <row r="188" spans="1:3" x14ac:dyDescent="0.3">
      <c r="A188">
        <v>4</v>
      </c>
      <c r="B188" t="s">
        <v>66</v>
      </c>
      <c r="C188" t="s">
        <v>67</v>
      </c>
    </row>
    <row r="189" spans="1:3" x14ac:dyDescent="0.3">
      <c r="A189">
        <v>4</v>
      </c>
      <c r="B189" t="s">
        <v>80</v>
      </c>
      <c r="C189" t="s">
        <v>81</v>
      </c>
    </row>
    <row r="190" spans="1:3" x14ac:dyDescent="0.3">
      <c r="A190">
        <v>4</v>
      </c>
      <c r="B190" t="s">
        <v>9</v>
      </c>
      <c r="C190" t="s">
        <v>10</v>
      </c>
    </row>
    <row r="191" spans="1:3" x14ac:dyDescent="0.3">
      <c r="A191">
        <v>4</v>
      </c>
      <c r="B191" t="s">
        <v>111</v>
      </c>
      <c r="C191" t="s">
        <v>63</v>
      </c>
    </row>
    <row r="192" spans="1:3" x14ac:dyDescent="0.3">
      <c r="A192">
        <v>4</v>
      </c>
      <c r="B192" t="s">
        <v>51</v>
      </c>
      <c r="C192" t="s">
        <v>52</v>
      </c>
    </row>
    <row r="193" spans="1:3" x14ac:dyDescent="0.3">
      <c r="A193">
        <v>4</v>
      </c>
      <c r="B193" t="s">
        <v>90</v>
      </c>
      <c r="C193" t="s">
        <v>16</v>
      </c>
    </row>
    <row r="194" spans="1:3" x14ac:dyDescent="0.3">
      <c r="A194">
        <v>4</v>
      </c>
      <c r="B194" t="s">
        <v>105</v>
      </c>
      <c r="C194" t="s">
        <v>106</v>
      </c>
    </row>
    <row r="195" spans="1:3" x14ac:dyDescent="0.3">
      <c r="A195">
        <v>4</v>
      </c>
      <c r="B195" t="s">
        <v>72</v>
      </c>
      <c r="C195" t="s">
        <v>73</v>
      </c>
    </row>
    <row r="196" spans="1:3" x14ac:dyDescent="0.3">
      <c r="A196">
        <v>4</v>
      </c>
      <c r="B196" t="s">
        <v>120</v>
      </c>
      <c r="C196" t="s">
        <v>44</v>
      </c>
    </row>
    <row r="197" spans="1:3" x14ac:dyDescent="0.3">
      <c r="A197">
        <v>4</v>
      </c>
      <c r="B197" t="s">
        <v>78</v>
      </c>
      <c r="C197" t="s">
        <v>79</v>
      </c>
    </row>
    <row r="198" spans="1:3" x14ac:dyDescent="0.3">
      <c r="A198">
        <v>4</v>
      </c>
      <c r="B198" t="s">
        <v>92</v>
      </c>
      <c r="C198" t="s">
        <v>30</v>
      </c>
    </row>
    <row r="199" spans="1:3" x14ac:dyDescent="0.3">
      <c r="A199">
        <v>4</v>
      </c>
      <c r="B199" t="s">
        <v>76</v>
      </c>
      <c r="C199" t="s">
        <v>77</v>
      </c>
    </row>
    <row r="200" spans="1:3" x14ac:dyDescent="0.3">
      <c r="A200">
        <v>4</v>
      </c>
      <c r="B200" t="s">
        <v>85</v>
      </c>
      <c r="C200" t="s">
        <v>86</v>
      </c>
    </row>
    <row r="201" spans="1:3" x14ac:dyDescent="0.3">
      <c r="A201">
        <v>4</v>
      </c>
      <c r="B201" t="s">
        <v>123</v>
      </c>
      <c r="C201" t="s">
        <v>59</v>
      </c>
    </row>
    <row r="202" spans="1:3" x14ac:dyDescent="0.3">
      <c r="A202">
        <v>4</v>
      </c>
      <c r="B202" t="s">
        <v>35</v>
      </c>
      <c r="C202" t="s">
        <v>36</v>
      </c>
    </row>
    <row r="203" spans="1:3" x14ac:dyDescent="0.3">
      <c r="A203">
        <v>4</v>
      </c>
      <c r="B203" t="s">
        <v>13</v>
      </c>
      <c r="C203" t="s">
        <v>14</v>
      </c>
    </row>
    <row r="204" spans="1:3" x14ac:dyDescent="0.3">
      <c r="A204">
        <v>4</v>
      </c>
      <c r="B204" t="s">
        <v>11</v>
      </c>
      <c r="C204" t="s">
        <v>12</v>
      </c>
    </row>
    <row r="205" spans="1:3" x14ac:dyDescent="0.3">
      <c r="A205">
        <v>4</v>
      </c>
      <c r="B205" t="s">
        <v>166</v>
      </c>
      <c r="C205" t="s">
        <v>24</v>
      </c>
    </row>
    <row r="206" spans="1:3" x14ac:dyDescent="0.3">
      <c r="A206">
        <v>4</v>
      </c>
      <c r="B206" t="s">
        <v>17</v>
      </c>
      <c r="C206" t="s">
        <v>18</v>
      </c>
    </row>
    <row r="207" spans="1:3" x14ac:dyDescent="0.3">
      <c r="A207">
        <v>4</v>
      </c>
      <c r="B207" t="s">
        <v>87</v>
      </c>
      <c r="C207" t="s">
        <v>83</v>
      </c>
    </row>
    <row r="208" spans="1:3" x14ac:dyDescent="0.3">
      <c r="A208">
        <v>4</v>
      </c>
      <c r="B208" t="s">
        <v>25</v>
      </c>
      <c r="C208" t="s">
        <v>26</v>
      </c>
    </row>
    <row r="209" spans="1:3" x14ac:dyDescent="0.3">
      <c r="A209">
        <v>4</v>
      </c>
      <c r="B209" t="s">
        <v>113</v>
      </c>
      <c r="C209" t="s">
        <v>38</v>
      </c>
    </row>
    <row r="210" spans="1:3" x14ac:dyDescent="0.3">
      <c r="A210">
        <v>4</v>
      </c>
      <c r="B210" t="s">
        <v>5</v>
      </c>
      <c r="C210" t="s">
        <v>6</v>
      </c>
    </row>
    <row r="211" spans="1:3" x14ac:dyDescent="0.3">
      <c r="A211">
        <v>4</v>
      </c>
      <c r="B211" t="s">
        <v>121</v>
      </c>
      <c r="C211" t="s">
        <v>122</v>
      </c>
    </row>
    <row r="212" spans="1:3" x14ac:dyDescent="0.3">
      <c r="A212">
        <v>4</v>
      </c>
      <c r="B212" t="s">
        <v>151</v>
      </c>
      <c r="C212" t="s">
        <v>116</v>
      </c>
    </row>
    <row r="213" spans="1:3" x14ac:dyDescent="0.3">
      <c r="A213">
        <v>4</v>
      </c>
      <c r="B213" t="s">
        <v>117</v>
      </c>
      <c r="C213" t="s">
        <v>118</v>
      </c>
    </row>
    <row r="214" spans="1:3" x14ac:dyDescent="0.3">
      <c r="A214">
        <v>4</v>
      </c>
      <c r="B214" t="s">
        <v>49</v>
      </c>
      <c r="C214" t="s">
        <v>96</v>
      </c>
    </row>
    <row r="215" spans="1:3" x14ac:dyDescent="0.3">
      <c r="A215">
        <v>4</v>
      </c>
      <c r="B215" t="s">
        <v>31</v>
      </c>
      <c r="C215" t="s">
        <v>32</v>
      </c>
    </row>
    <row r="216" spans="1:3" x14ac:dyDescent="0.3">
      <c r="A216">
        <v>4</v>
      </c>
      <c r="B216" t="s">
        <v>64</v>
      </c>
      <c r="C216" t="s">
        <v>65</v>
      </c>
    </row>
    <row r="217" spans="1:3" x14ac:dyDescent="0.3">
      <c r="A217">
        <v>4</v>
      </c>
      <c r="B217" t="s">
        <v>47</v>
      </c>
      <c r="C217" t="s">
        <v>48</v>
      </c>
    </row>
    <row r="218" spans="1:3" x14ac:dyDescent="0.3">
      <c r="A218">
        <v>4</v>
      </c>
      <c r="B218" t="s">
        <v>151</v>
      </c>
      <c r="C218" t="s">
        <v>71</v>
      </c>
    </row>
    <row r="219" spans="1:3" x14ac:dyDescent="0.3">
      <c r="A219">
        <v>4</v>
      </c>
      <c r="B219" t="s">
        <v>109</v>
      </c>
      <c r="C219" t="s">
        <v>93</v>
      </c>
    </row>
    <row r="220" spans="1:3" x14ac:dyDescent="0.3">
      <c r="A220">
        <v>4</v>
      </c>
      <c r="B220" t="s">
        <v>29</v>
      </c>
      <c r="C220" t="s">
        <v>95</v>
      </c>
    </row>
    <row r="221" spans="1:3" x14ac:dyDescent="0.3">
      <c r="A221">
        <v>4</v>
      </c>
      <c r="B221" t="s">
        <v>107</v>
      </c>
      <c r="C221" t="s">
        <v>167</v>
      </c>
    </row>
    <row r="222" spans="1:3" x14ac:dyDescent="0.3">
      <c r="A222">
        <v>4</v>
      </c>
      <c r="B222" t="s">
        <v>43</v>
      </c>
      <c r="C222" t="s">
        <v>145</v>
      </c>
    </row>
    <row r="223" spans="1:3" x14ac:dyDescent="0.3">
      <c r="A223">
        <v>4</v>
      </c>
      <c r="B223" t="s">
        <v>27</v>
      </c>
      <c r="C223" t="s">
        <v>137</v>
      </c>
    </row>
    <row r="224" spans="1:3" x14ac:dyDescent="0.3">
      <c r="A224">
        <v>4</v>
      </c>
      <c r="B224" t="s">
        <v>84</v>
      </c>
      <c r="C224" t="s">
        <v>146</v>
      </c>
    </row>
    <row r="225" spans="1:3" x14ac:dyDescent="0.3">
      <c r="A225">
        <v>4</v>
      </c>
      <c r="B225" t="s">
        <v>23</v>
      </c>
      <c r="C225" t="s">
        <v>154</v>
      </c>
    </row>
    <row r="226" spans="1:3" x14ac:dyDescent="0.3">
      <c r="A226">
        <v>4</v>
      </c>
      <c r="B226" t="s">
        <v>91</v>
      </c>
      <c r="C226" t="s">
        <v>144</v>
      </c>
    </row>
    <row r="227" spans="1:3" x14ac:dyDescent="0.3">
      <c r="A227">
        <v>3</v>
      </c>
      <c r="B227" t="s">
        <v>151</v>
      </c>
      <c r="C227" t="s">
        <v>46</v>
      </c>
    </row>
    <row r="228" spans="1:3" x14ac:dyDescent="0.3">
      <c r="A228">
        <v>3</v>
      </c>
      <c r="B228" t="s">
        <v>91</v>
      </c>
      <c r="C228" t="s">
        <v>97</v>
      </c>
    </row>
    <row r="229" spans="1:3" x14ac:dyDescent="0.3">
      <c r="A229">
        <v>3</v>
      </c>
      <c r="B229" t="s">
        <v>68</v>
      </c>
      <c r="C229" t="s">
        <v>69</v>
      </c>
    </row>
    <row r="230" spans="1:3" x14ac:dyDescent="0.3">
      <c r="A230">
        <v>3</v>
      </c>
      <c r="B230" t="s">
        <v>39</v>
      </c>
      <c r="C230" t="s">
        <v>40</v>
      </c>
    </row>
    <row r="231" spans="1:3" x14ac:dyDescent="0.3">
      <c r="A231">
        <v>3</v>
      </c>
      <c r="B231" t="s">
        <v>107</v>
      </c>
      <c r="C231" t="s">
        <v>50</v>
      </c>
    </row>
    <row r="232" spans="1:3" x14ac:dyDescent="0.3">
      <c r="A232">
        <v>3</v>
      </c>
      <c r="B232" t="s">
        <v>89</v>
      </c>
      <c r="C232" t="s">
        <v>4</v>
      </c>
    </row>
    <row r="233" spans="1:3" x14ac:dyDescent="0.3">
      <c r="A233">
        <v>3</v>
      </c>
      <c r="C233" t="s">
        <v>56</v>
      </c>
    </row>
    <row r="234" spans="1:3" x14ac:dyDescent="0.3">
      <c r="A234">
        <v>3</v>
      </c>
      <c r="B234" t="s">
        <v>33</v>
      </c>
      <c r="C234" t="s">
        <v>34</v>
      </c>
    </row>
    <row r="235" spans="1:3" x14ac:dyDescent="0.3">
      <c r="A235">
        <v>3</v>
      </c>
      <c r="B235" t="s">
        <v>108</v>
      </c>
      <c r="C235" t="s">
        <v>75</v>
      </c>
    </row>
    <row r="236" spans="1:3" x14ac:dyDescent="0.3">
      <c r="A236">
        <v>3</v>
      </c>
      <c r="B236" t="s">
        <v>98</v>
      </c>
      <c r="C236" t="s">
        <v>42</v>
      </c>
    </row>
    <row r="237" spans="1:3" x14ac:dyDescent="0.3">
      <c r="A237">
        <v>3</v>
      </c>
      <c r="B237" t="s">
        <v>27</v>
      </c>
      <c r="C237" t="s">
        <v>28</v>
      </c>
    </row>
    <row r="238" spans="1:3" x14ac:dyDescent="0.3">
      <c r="A238">
        <v>3</v>
      </c>
      <c r="B238" t="s">
        <v>19</v>
      </c>
      <c r="C238" t="s">
        <v>20</v>
      </c>
    </row>
    <row r="239" spans="1:3" x14ac:dyDescent="0.3">
      <c r="A239">
        <v>3</v>
      </c>
      <c r="B239" t="s">
        <v>21</v>
      </c>
      <c r="C239" t="s">
        <v>22</v>
      </c>
    </row>
    <row r="240" spans="1:3" x14ac:dyDescent="0.3">
      <c r="A240">
        <v>3</v>
      </c>
      <c r="B240" t="s">
        <v>53</v>
      </c>
      <c r="C240" t="s">
        <v>54</v>
      </c>
    </row>
    <row r="241" spans="1:3" x14ac:dyDescent="0.3">
      <c r="A241">
        <v>3</v>
      </c>
      <c r="B241" t="s">
        <v>151</v>
      </c>
      <c r="C241" t="s">
        <v>168</v>
      </c>
    </row>
    <row r="242" spans="1:3" x14ac:dyDescent="0.3">
      <c r="A242">
        <v>3</v>
      </c>
      <c r="B242" t="s">
        <v>66</v>
      </c>
      <c r="C242" t="s">
        <v>67</v>
      </c>
    </row>
    <row r="243" spans="1:3" x14ac:dyDescent="0.3">
      <c r="A243">
        <v>3</v>
      </c>
      <c r="B243" t="s">
        <v>80</v>
      </c>
      <c r="C243" t="s">
        <v>81</v>
      </c>
    </row>
    <row r="244" spans="1:3" x14ac:dyDescent="0.3">
      <c r="A244">
        <v>3</v>
      </c>
      <c r="B244" t="s">
        <v>9</v>
      </c>
      <c r="C244" t="s">
        <v>10</v>
      </c>
    </row>
    <row r="245" spans="1:3" x14ac:dyDescent="0.3">
      <c r="A245">
        <v>3</v>
      </c>
      <c r="B245" t="s">
        <v>62</v>
      </c>
      <c r="C245" t="s">
        <v>63</v>
      </c>
    </row>
    <row r="246" spans="1:3" x14ac:dyDescent="0.3">
      <c r="A246">
        <v>3</v>
      </c>
      <c r="B246" t="s">
        <v>51</v>
      </c>
      <c r="C246" t="s">
        <v>52</v>
      </c>
    </row>
    <row r="247" spans="1:3" x14ac:dyDescent="0.3">
      <c r="A247">
        <v>3</v>
      </c>
      <c r="B247" t="s">
        <v>90</v>
      </c>
      <c r="C247" t="s">
        <v>16</v>
      </c>
    </row>
    <row r="248" spans="1:3" x14ac:dyDescent="0.3">
      <c r="A248">
        <v>3</v>
      </c>
      <c r="B248" t="s">
        <v>105</v>
      </c>
      <c r="C248" t="s">
        <v>106</v>
      </c>
    </row>
    <row r="249" spans="1:3" x14ac:dyDescent="0.3">
      <c r="A249">
        <v>3</v>
      </c>
      <c r="B249" t="s">
        <v>72</v>
      </c>
      <c r="C249" t="s">
        <v>73</v>
      </c>
    </row>
    <row r="250" spans="1:3" x14ac:dyDescent="0.3">
      <c r="A250">
        <v>3</v>
      </c>
      <c r="B250" t="s">
        <v>43</v>
      </c>
      <c r="C250" t="s">
        <v>44</v>
      </c>
    </row>
    <row r="251" spans="1:3" x14ac:dyDescent="0.3">
      <c r="A251">
        <v>3</v>
      </c>
      <c r="B251" t="s">
        <v>78</v>
      </c>
      <c r="C251" t="s">
        <v>79</v>
      </c>
    </row>
    <row r="252" spans="1:3" x14ac:dyDescent="0.3">
      <c r="A252">
        <v>3</v>
      </c>
      <c r="B252" t="s">
        <v>92</v>
      </c>
      <c r="C252" t="s">
        <v>30</v>
      </c>
    </row>
    <row r="253" spans="1:3" x14ac:dyDescent="0.3">
      <c r="A253">
        <v>3</v>
      </c>
      <c r="B253" t="s">
        <v>76</v>
      </c>
      <c r="C253" t="s">
        <v>77</v>
      </c>
    </row>
    <row r="254" spans="1:3" x14ac:dyDescent="0.3">
      <c r="A254">
        <v>3</v>
      </c>
      <c r="B254" t="s">
        <v>85</v>
      </c>
      <c r="C254" t="s">
        <v>86</v>
      </c>
    </row>
    <row r="255" spans="1:3" x14ac:dyDescent="0.3">
      <c r="A255">
        <v>3</v>
      </c>
      <c r="B255" t="s">
        <v>84</v>
      </c>
      <c r="C255" t="s">
        <v>59</v>
      </c>
    </row>
    <row r="256" spans="1:3" x14ac:dyDescent="0.3">
      <c r="A256">
        <v>3</v>
      </c>
      <c r="B256" t="s">
        <v>35</v>
      </c>
      <c r="C256" t="s">
        <v>36</v>
      </c>
    </row>
    <row r="257" spans="1:3" x14ac:dyDescent="0.3">
      <c r="A257">
        <v>3</v>
      </c>
      <c r="B257" t="s">
        <v>13</v>
      </c>
      <c r="C257" t="s">
        <v>14</v>
      </c>
    </row>
    <row r="258" spans="1:3" x14ac:dyDescent="0.3">
      <c r="A258">
        <v>3</v>
      </c>
      <c r="B258" t="s">
        <v>11</v>
      </c>
      <c r="C258" t="s">
        <v>12</v>
      </c>
    </row>
    <row r="259" spans="1:3" x14ac:dyDescent="0.3">
      <c r="A259">
        <v>3</v>
      </c>
      <c r="B259" t="s">
        <v>23</v>
      </c>
      <c r="C259" t="s">
        <v>24</v>
      </c>
    </row>
    <row r="260" spans="1:3" x14ac:dyDescent="0.3">
      <c r="A260">
        <v>3</v>
      </c>
      <c r="B260" t="s">
        <v>17</v>
      </c>
      <c r="C260" t="s">
        <v>18</v>
      </c>
    </row>
    <row r="261" spans="1:3" x14ac:dyDescent="0.3">
      <c r="A261">
        <v>3</v>
      </c>
      <c r="B261" t="s">
        <v>87</v>
      </c>
      <c r="C261" t="s">
        <v>83</v>
      </c>
    </row>
    <row r="262" spans="1:3" x14ac:dyDescent="0.3">
      <c r="A262">
        <v>3</v>
      </c>
      <c r="B262" t="s">
        <v>25</v>
      </c>
      <c r="C262" t="s">
        <v>26</v>
      </c>
    </row>
    <row r="263" spans="1:3" x14ac:dyDescent="0.3">
      <c r="A263">
        <v>3</v>
      </c>
      <c r="B263" t="s">
        <v>37</v>
      </c>
      <c r="C263" t="s">
        <v>38</v>
      </c>
    </row>
    <row r="264" spans="1:3" x14ac:dyDescent="0.3">
      <c r="A264">
        <v>3</v>
      </c>
      <c r="B264" t="s">
        <v>5</v>
      </c>
      <c r="C264" t="s">
        <v>6</v>
      </c>
    </row>
    <row r="265" spans="1:3" x14ac:dyDescent="0.3">
      <c r="A265">
        <v>3</v>
      </c>
      <c r="B265" t="s">
        <v>151</v>
      </c>
      <c r="C265" t="s">
        <v>122</v>
      </c>
    </row>
    <row r="266" spans="1:3" x14ac:dyDescent="0.3">
      <c r="A266">
        <v>3</v>
      </c>
      <c r="B266" t="s">
        <v>151</v>
      </c>
      <c r="C266" t="s">
        <v>116</v>
      </c>
    </row>
    <row r="267" spans="1:3" x14ac:dyDescent="0.3">
      <c r="A267">
        <v>3</v>
      </c>
      <c r="B267" t="s">
        <v>151</v>
      </c>
      <c r="C267" t="s">
        <v>118</v>
      </c>
    </row>
    <row r="268" spans="1:3" x14ac:dyDescent="0.3">
      <c r="A268">
        <v>3</v>
      </c>
      <c r="B268" t="s">
        <v>49</v>
      </c>
      <c r="C268" t="s">
        <v>96</v>
      </c>
    </row>
    <row r="269" spans="1:3" x14ac:dyDescent="0.3">
      <c r="A269">
        <v>3</v>
      </c>
      <c r="B269" t="s">
        <v>31</v>
      </c>
      <c r="C269" t="s">
        <v>32</v>
      </c>
    </row>
    <row r="270" spans="1:3" x14ac:dyDescent="0.3">
      <c r="A270">
        <v>3</v>
      </c>
      <c r="B270" t="s">
        <v>64</v>
      </c>
      <c r="C270" t="s">
        <v>65</v>
      </c>
    </row>
    <row r="271" spans="1:3" x14ac:dyDescent="0.3">
      <c r="A271">
        <v>3</v>
      </c>
      <c r="B271" t="s">
        <v>47</v>
      </c>
      <c r="C271" t="s">
        <v>48</v>
      </c>
    </row>
    <row r="272" spans="1:3" x14ac:dyDescent="0.3">
      <c r="A272">
        <v>3</v>
      </c>
      <c r="B272" t="s">
        <v>70</v>
      </c>
      <c r="C272" t="s">
        <v>71</v>
      </c>
    </row>
    <row r="273" spans="1:3" x14ac:dyDescent="0.3">
      <c r="A273">
        <v>3</v>
      </c>
      <c r="B273" t="s">
        <v>109</v>
      </c>
      <c r="C273" t="s">
        <v>93</v>
      </c>
    </row>
    <row r="274" spans="1:3" x14ac:dyDescent="0.3">
      <c r="A274">
        <v>3</v>
      </c>
      <c r="B274" t="s">
        <v>29</v>
      </c>
      <c r="C274" t="s">
        <v>95</v>
      </c>
    </row>
    <row r="275" spans="1:3" x14ac:dyDescent="0.3">
      <c r="A275">
        <v>3</v>
      </c>
      <c r="C275" t="s">
        <v>169</v>
      </c>
    </row>
    <row r="276" spans="1:3" x14ac:dyDescent="0.3">
      <c r="A276">
        <v>3</v>
      </c>
      <c r="C276" t="s">
        <v>169</v>
      </c>
    </row>
    <row r="277" spans="1:3" x14ac:dyDescent="0.3">
      <c r="A277">
        <v>3</v>
      </c>
      <c r="C277" t="s">
        <v>169</v>
      </c>
    </row>
    <row r="278" spans="1:3" x14ac:dyDescent="0.3">
      <c r="A278">
        <v>3</v>
      </c>
      <c r="C278" t="s">
        <v>169</v>
      </c>
    </row>
    <row r="279" spans="1:3" x14ac:dyDescent="0.3">
      <c r="A279">
        <v>3</v>
      </c>
      <c r="C279" t="s">
        <v>169</v>
      </c>
    </row>
    <row r="280" spans="1:3" x14ac:dyDescent="0.3">
      <c r="A280">
        <v>3</v>
      </c>
      <c r="C280" t="s">
        <v>169</v>
      </c>
    </row>
    <row r="281" spans="1:3" x14ac:dyDescent="0.3">
      <c r="A281">
        <v>2</v>
      </c>
      <c r="B281" t="s">
        <v>88</v>
      </c>
      <c r="C281" t="s">
        <v>46</v>
      </c>
    </row>
    <row r="282" spans="1:3" x14ac:dyDescent="0.3">
      <c r="A282">
        <v>2</v>
      </c>
      <c r="B282" t="s">
        <v>87</v>
      </c>
      <c r="C282" t="s">
        <v>97</v>
      </c>
    </row>
    <row r="283" spans="1:3" x14ac:dyDescent="0.3">
      <c r="A283">
        <v>2</v>
      </c>
      <c r="B283" t="s">
        <v>68</v>
      </c>
      <c r="C283" t="s">
        <v>69</v>
      </c>
    </row>
    <row r="284" spans="1:3" x14ac:dyDescent="0.3">
      <c r="A284">
        <v>2</v>
      </c>
      <c r="B284" t="s">
        <v>39</v>
      </c>
      <c r="C284" t="s">
        <v>40</v>
      </c>
    </row>
    <row r="285" spans="1:3" x14ac:dyDescent="0.3">
      <c r="A285">
        <v>2</v>
      </c>
      <c r="B285" t="s">
        <v>91</v>
      </c>
      <c r="C285" t="s">
        <v>50</v>
      </c>
    </row>
    <row r="286" spans="1:3" x14ac:dyDescent="0.3">
      <c r="A286">
        <v>2</v>
      </c>
      <c r="B286" t="s">
        <v>89</v>
      </c>
      <c r="C286" t="s">
        <v>4</v>
      </c>
    </row>
    <row r="287" spans="1:3" x14ac:dyDescent="0.3">
      <c r="A287">
        <v>2</v>
      </c>
      <c r="B287" t="s">
        <v>98</v>
      </c>
      <c r="C287" t="s">
        <v>56</v>
      </c>
    </row>
    <row r="288" spans="1:3" x14ac:dyDescent="0.3">
      <c r="A288">
        <v>2</v>
      </c>
      <c r="B288" t="s">
        <v>33</v>
      </c>
      <c r="C288" t="s">
        <v>34</v>
      </c>
    </row>
    <row r="289" spans="1:3" x14ac:dyDescent="0.3">
      <c r="A289">
        <v>2</v>
      </c>
      <c r="B289" t="s">
        <v>74</v>
      </c>
      <c r="C289" t="s">
        <v>75</v>
      </c>
    </row>
    <row r="290" spans="1:3" x14ac:dyDescent="0.3">
      <c r="A290">
        <v>2</v>
      </c>
      <c r="B290" t="s">
        <v>99</v>
      </c>
      <c r="C290" t="s">
        <v>42</v>
      </c>
    </row>
    <row r="291" spans="1:3" x14ac:dyDescent="0.3">
      <c r="A291">
        <v>2</v>
      </c>
      <c r="B291" t="s">
        <v>27</v>
      </c>
      <c r="C291" t="s">
        <v>28</v>
      </c>
    </row>
    <row r="292" spans="1:3" x14ac:dyDescent="0.3">
      <c r="A292">
        <v>2</v>
      </c>
      <c r="B292" t="s">
        <v>19</v>
      </c>
      <c r="C292" t="s">
        <v>20</v>
      </c>
    </row>
    <row r="293" spans="1:3" x14ac:dyDescent="0.3">
      <c r="A293">
        <v>2</v>
      </c>
      <c r="B293" t="s">
        <v>21</v>
      </c>
      <c r="C293" t="s">
        <v>22</v>
      </c>
    </row>
    <row r="294" spans="1:3" x14ac:dyDescent="0.3">
      <c r="A294">
        <v>2</v>
      </c>
      <c r="B294" t="s">
        <v>53</v>
      </c>
      <c r="C294" t="s">
        <v>54</v>
      </c>
    </row>
    <row r="295" spans="1:3" x14ac:dyDescent="0.3">
      <c r="A295">
        <v>2</v>
      </c>
      <c r="B295" t="s">
        <v>170</v>
      </c>
      <c r="C295" t="s">
        <v>168</v>
      </c>
    </row>
    <row r="296" spans="1:3" x14ac:dyDescent="0.3">
      <c r="A296">
        <v>2</v>
      </c>
      <c r="B296" t="s">
        <v>66</v>
      </c>
      <c r="C296" t="s">
        <v>67</v>
      </c>
    </row>
    <row r="297" spans="1:3" x14ac:dyDescent="0.3">
      <c r="A297">
        <v>2</v>
      </c>
      <c r="B297" t="s">
        <v>80</v>
      </c>
      <c r="C297" t="s">
        <v>81</v>
      </c>
    </row>
    <row r="298" spans="1:3" x14ac:dyDescent="0.3">
      <c r="A298">
        <v>2</v>
      </c>
      <c r="B298" t="s">
        <v>9</v>
      </c>
      <c r="C298" t="s">
        <v>10</v>
      </c>
    </row>
    <row r="299" spans="1:3" x14ac:dyDescent="0.3">
      <c r="A299">
        <v>2</v>
      </c>
      <c r="B299" t="s">
        <v>62</v>
      </c>
      <c r="C299" t="s">
        <v>63</v>
      </c>
    </row>
    <row r="300" spans="1:3" x14ac:dyDescent="0.3">
      <c r="A300">
        <v>2</v>
      </c>
      <c r="B300" t="s">
        <v>51</v>
      </c>
      <c r="C300" t="s">
        <v>52</v>
      </c>
    </row>
    <row r="301" spans="1:3" x14ac:dyDescent="0.3">
      <c r="A301">
        <v>2</v>
      </c>
      <c r="B301" t="s">
        <v>90</v>
      </c>
      <c r="C301" t="s">
        <v>16</v>
      </c>
    </row>
    <row r="302" spans="1:3" x14ac:dyDescent="0.3">
      <c r="A302">
        <v>2</v>
      </c>
      <c r="B302" t="s">
        <v>105</v>
      </c>
      <c r="C302" t="s">
        <v>106</v>
      </c>
    </row>
    <row r="303" spans="1:3" x14ac:dyDescent="0.3">
      <c r="A303">
        <v>2</v>
      </c>
      <c r="B303" t="s">
        <v>72</v>
      </c>
      <c r="C303" t="s">
        <v>73</v>
      </c>
    </row>
    <row r="304" spans="1:3" x14ac:dyDescent="0.3">
      <c r="A304">
        <v>2</v>
      </c>
      <c r="B304" t="s">
        <v>43</v>
      </c>
      <c r="C304" t="s">
        <v>44</v>
      </c>
    </row>
    <row r="305" spans="1:3" x14ac:dyDescent="0.3">
      <c r="A305">
        <v>2</v>
      </c>
      <c r="B305" t="s">
        <v>78</v>
      </c>
      <c r="C305" t="s">
        <v>79</v>
      </c>
    </row>
    <row r="306" spans="1:3" x14ac:dyDescent="0.3">
      <c r="A306">
        <v>2</v>
      </c>
      <c r="B306" t="s">
        <v>92</v>
      </c>
      <c r="C306" t="s">
        <v>30</v>
      </c>
    </row>
    <row r="307" spans="1:3" x14ac:dyDescent="0.3">
      <c r="A307">
        <v>2</v>
      </c>
      <c r="B307" t="s">
        <v>171</v>
      </c>
      <c r="C307" t="s">
        <v>77</v>
      </c>
    </row>
    <row r="308" spans="1:3" x14ac:dyDescent="0.3">
      <c r="A308">
        <v>2</v>
      </c>
      <c r="B308" t="s">
        <v>85</v>
      </c>
      <c r="C308" t="s">
        <v>86</v>
      </c>
    </row>
    <row r="309" spans="1:3" x14ac:dyDescent="0.3">
      <c r="A309">
        <v>2</v>
      </c>
      <c r="B309" t="s">
        <v>84</v>
      </c>
      <c r="C309" t="s">
        <v>59</v>
      </c>
    </row>
    <row r="310" spans="1:3" x14ac:dyDescent="0.3">
      <c r="A310">
        <v>2</v>
      </c>
      <c r="B310" t="s">
        <v>35</v>
      </c>
      <c r="C310" t="s">
        <v>36</v>
      </c>
    </row>
    <row r="311" spans="1:3" x14ac:dyDescent="0.3">
      <c r="A311">
        <v>2</v>
      </c>
      <c r="B311" t="s">
        <v>13</v>
      </c>
      <c r="C311" t="s">
        <v>14</v>
      </c>
    </row>
    <row r="312" spans="1:3" x14ac:dyDescent="0.3">
      <c r="A312">
        <v>2</v>
      </c>
      <c r="B312" t="s">
        <v>11</v>
      </c>
      <c r="C312" t="s">
        <v>12</v>
      </c>
    </row>
    <row r="313" spans="1:3" x14ac:dyDescent="0.3">
      <c r="A313">
        <v>2</v>
      </c>
      <c r="B313" t="s">
        <v>23</v>
      </c>
      <c r="C313" t="s">
        <v>24</v>
      </c>
    </row>
    <row r="314" spans="1:3" x14ac:dyDescent="0.3">
      <c r="A314">
        <v>2</v>
      </c>
      <c r="B314" t="s">
        <v>17</v>
      </c>
      <c r="C314" t="s">
        <v>18</v>
      </c>
    </row>
    <row r="315" spans="1:3" x14ac:dyDescent="0.3">
      <c r="A315">
        <v>2</v>
      </c>
      <c r="B315" t="s">
        <v>82</v>
      </c>
      <c r="C315" t="s">
        <v>83</v>
      </c>
    </row>
    <row r="316" spans="1:3" x14ac:dyDescent="0.3">
      <c r="A316">
        <v>2</v>
      </c>
      <c r="B316" t="s">
        <v>25</v>
      </c>
      <c r="C316" t="s">
        <v>26</v>
      </c>
    </row>
    <row r="317" spans="1:3" x14ac:dyDescent="0.3">
      <c r="A317">
        <v>2</v>
      </c>
      <c r="B317" t="s">
        <v>37</v>
      </c>
      <c r="C317" t="s">
        <v>38</v>
      </c>
    </row>
    <row r="318" spans="1:3" x14ac:dyDescent="0.3">
      <c r="A318">
        <v>2</v>
      </c>
      <c r="B318" t="s">
        <v>5</v>
      </c>
      <c r="C318" t="s">
        <v>6</v>
      </c>
    </row>
    <row r="319" spans="1:3" x14ac:dyDescent="0.3">
      <c r="A319">
        <v>2</v>
      </c>
      <c r="B319" t="s">
        <v>151</v>
      </c>
      <c r="C319" t="s">
        <v>122</v>
      </c>
    </row>
    <row r="320" spans="1:3" x14ac:dyDescent="0.3">
      <c r="A320">
        <v>2</v>
      </c>
      <c r="B320" t="s">
        <v>151</v>
      </c>
      <c r="C320" t="s">
        <v>116</v>
      </c>
    </row>
    <row r="321" spans="1:3" x14ac:dyDescent="0.3">
      <c r="A321">
        <v>2</v>
      </c>
      <c r="B321" t="s">
        <v>151</v>
      </c>
      <c r="C321" t="s">
        <v>118</v>
      </c>
    </row>
    <row r="322" spans="1:3" x14ac:dyDescent="0.3">
      <c r="A322">
        <v>2</v>
      </c>
      <c r="B322" t="s">
        <v>49</v>
      </c>
      <c r="C322" t="s">
        <v>96</v>
      </c>
    </row>
    <row r="323" spans="1:3" x14ac:dyDescent="0.3">
      <c r="A323">
        <v>2</v>
      </c>
      <c r="B323" t="s">
        <v>31</v>
      </c>
      <c r="C323" t="s">
        <v>32</v>
      </c>
    </row>
    <row r="324" spans="1:3" x14ac:dyDescent="0.3">
      <c r="A324">
        <v>2</v>
      </c>
      <c r="B324" t="s">
        <v>64</v>
      </c>
      <c r="C324" t="s">
        <v>65</v>
      </c>
    </row>
    <row r="325" spans="1:3" x14ac:dyDescent="0.3">
      <c r="A325">
        <v>2</v>
      </c>
      <c r="B325" t="s">
        <v>47</v>
      </c>
      <c r="C325" t="s">
        <v>48</v>
      </c>
    </row>
    <row r="326" spans="1:3" x14ac:dyDescent="0.3">
      <c r="A326">
        <v>2</v>
      </c>
      <c r="B326" t="s">
        <v>70</v>
      </c>
      <c r="C326" t="s">
        <v>71</v>
      </c>
    </row>
    <row r="327" spans="1:3" x14ac:dyDescent="0.3">
      <c r="A327">
        <v>2</v>
      </c>
      <c r="B327" t="s">
        <v>15</v>
      </c>
      <c r="C327" t="s">
        <v>93</v>
      </c>
    </row>
    <row r="328" spans="1:3" x14ac:dyDescent="0.3">
      <c r="A328">
        <v>2</v>
      </c>
      <c r="B328" t="s">
        <v>29</v>
      </c>
      <c r="C328" t="s">
        <v>95</v>
      </c>
    </row>
    <row r="329" spans="1:3" x14ac:dyDescent="0.3">
      <c r="A329">
        <v>1</v>
      </c>
      <c r="B329" t="s">
        <v>151</v>
      </c>
      <c r="C329" t="s">
        <v>46</v>
      </c>
    </row>
    <row r="330" spans="1:3" x14ac:dyDescent="0.3">
      <c r="A330">
        <v>1</v>
      </c>
      <c r="B330" t="s">
        <v>87</v>
      </c>
      <c r="C330" t="s">
        <v>97</v>
      </c>
    </row>
    <row r="331" spans="1:3" x14ac:dyDescent="0.3">
      <c r="A331">
        <v>1</v>
      </c>
      <c r="B331" t="s">
        <v>68</v>
      </c>
      <c r="C331" t="s">
        <v>69</v>
      </c>
    </row>
    <row r="332" spans="1:3" x14ac:dyDescent="0.3">
      <c r="A332">
        <v>1</v>
      </c>
      <c r="B332" t="s">
        <v>39</v>
      </c>
      <c r="C332" t="s">
        <v>40</v>
      </c>
    </row>
    <row r="333" spans="1:3" x14ac:dyDescent="0.3">
      <c r="A333">
        <v>1</v>
      </c>
      <c r="B333" t="s">
        <v>49</v>
      </c>
      <c r="C333" t="s">
        <v>50</v>
      </c>
    </row>
    <row r="334" spans="1:3" x14ac:dyDescent="0.3">
      <c r="A334">
        <v>1</v>
      </c>
      <c r="B334" t="s">
        <v>3</v>
      </c>
      <c r="C334" t="s">
        <v>4</v>
      </c>
    </row>
    <row r="335" spans="1:3" x14ac:dyDescent="0.3">
      <c r="A335">
        <v>1</v>
      </c>
      <c r="B335" t="s">
        <v>41</v>
      </c>
      <c r="C335" t="s">
        <v>42</v>
      </c>
    </row>
    <row r="336" spans="1:3" x14ac:dyDescent="0.3">
      <c r="A336">
        <v>1</v>
      </c>
      <c r="B336" t="s">
        <v>33</v>
      </c>
      <c r="C336" t="s">
        <v>34</v>
      </c>
    </row>
    <row r="337" spans="1:3" x14ac:dyDescent="0.3">
      <c r="A337">
        <v>1</v>
      </c>
      <c r="B337" t="s">
        <v>74</v>
      </c>
      <c r="C337" t="s">
        <v>75</v>
      </c>
    </row>
    <row r="338" spans="1:3" x14ac:dyDescent="0.3">
      <c r="A338">
        <v>1</v>
      </c>
      <c r="B338" t="s">
        <v>98</v>
      </c>
      <c r="C338" t="s">
        <v>56</v>
      </c>
    </row>
    <row r="339" spans="1:3" x14ac:dyDescent="0.3">
      <c r="A339">
        <v>1</v>
      </c>
      <c r="B339" t="s">
        <v>27</v>
      </c>
      <c r="C339" t="s">
        <v>28</v>
      </c>
    </row>
    <row r="340" spans="1:3" x14ac:dyDescent="0.3">
      <c r="A340">
        <v>1</v>
      </c>
      <c r="B340" t="s">
        <v>19</v>
      </c>
      <c r="C340" t="s">
        <v>20</v>
      </c>
    </row>
    <row r="341" spans="1:3" x14ac:dyDescent="0.3">
      <c r="A341">
        <v>1</v>
      </c>
      <c r="B341" t="s">
        <v>21</v>
      </c>
      <c r="C341" t="s">
        <v>22</v>
      </c>
    </row>
    <row r="342" spans="1:3" x14ac:dyDescent="0.3">
      <c r="A342">
        <v>1</v>
      </c>
      <c r="B342" t="s">
        <v>53</v>
      </c>
      <c r="C342" t="s">
        <v>54</v>
      </c>
    </row>
    <row r="343" spans="1:3" x14ac:dyDescent="0.3">
      <c r="A343">
        <v>1</v>
      </c>
      <c r="B343" t="s">
        <v>170</v>
      </c>
      <c r="C343" t="s">
        <v>168</v>
      </c>
    </row>
    <row r="344" spans="1:3" x14ac:dyDescent="0.3">
      <c r="A344">
        <v>1</v>
      </c>
      <c r="B344" t="s">
        <v>66</v>
      </c>
      <c r="C344" t="s">
        <v>67</v>
      </c>
    </row>
    <row r="345" spans="1:3" x14ac:dyDescent="0.3">
      <c r="A345">
        <v>1</v>
      </c>
      <c r="B345" t="s">
        <v>80</v>
      </c>
      <c r="C345" t="s">
        <v>81</v>
      </c>
    </row>
    <row r="346" spans="1:3" x14ac:dyDescent="0.3">
      <c r="A346">
        <v>1</v>
      </c>
      <c r="B346" t="s">
        <v>9</v>
      </c>
      <c r="C346" t="s">
        <v>10</v>
      </c>
    </row>
    <row r="347" spans="1:3" x14ac:dyDescent="0.3">
      <c r="A347">
        <v>1</v>
      </c>
      <c r="B347" t="s">
        <v>62</v>
      </c>
      <c r="C347" t="s">
        <v>63</v>
      </c>
    </row>
    <row r="348" spans="1:3" x14ac:dyDescent="0.3">
      <c r="A348">
        <v>1</v>
      </c>
      <c r="B348" t="s">
        <v>51</v>
      </c>
      <c r="C348" t="s">
        <v>52</v>
      </c>
    </row>
    <row r="349" spans="1:3" x14ac:dyDescent="0.3">
      <c r="A349">
        <v>1</v>
      </c>
      <c r="B349" t="s">
        <v>90</v>
      </c>
      <c r="C349" t="s">
        <v>16</v>
      </c>
    </row>
    <row r="350" spans="1:3" x14ac:dyDescent="0.3">
      <c r="A350">
        <v>1</v>
      </c>
      <c r="B350" t="s">
        <v>47</v>
      </c>
      <c r="C350" t="s">
        <v>106</v>
      </c>
    </row>
    <row r="351" spans="1:3" x14ac:dyDescent="0.3">
      <c r="A351">
        <v>1</v>
      </c>
      <c r="B351" t="s">
        <v>72</v>
      </c>
      <c r="C351" t="s">
        <v>73</v>
      </c>
    </row>
    <row r="352" spans="1:3" x14ac:dyDescent="0.3">
      <c r="A352">
        <v>1</v>
      </c>
      <c r="B352" t="s">
        <v>43</v>
      </c>
      <c r="C352" t="s">
        <v>44</v>
      </c>
    </row>
    <row r="353" spans="1:3" x14ac:dyDescent="0.3">
      <c r="A353">
        <v>1</v>
      </c>
      <c r="B353" t="s">
        <v>78</v>
      </c>
      <c r="C353" t="s">
        <v>79</v>
      </c>
    </row>
    <row r="354" spans="1:3" x14ac:dyDescent="0.3">
      <c r="A354">
        <v>1</v>
      </c>
      <c r="B354" t="s">
        <v>92</v>
      </c>
      <c r="C354" t="s">
        <v>30</v>
      </c>
    </row>
    <row r="355" spans="1:3" x14ac:dyDescent="0.3">
      <c r="A355">
        <v>1</v>
      </c>
      <c r="B355" t="s">
        <v>76</v>
      </c>
      <c r="C355" t="s">
        <v>77</v>
      </c>
    </row>
    <row r="356" spans="1:3" x14ac:dyDescent="0.3">
      <c r="A356">
        <v>1</v>
      </c>
      <c r="B356" t="s">
        <v>85</v>
      </c>
      <c r="C356" t="s">
        <v>86</v>
      </c>
    </row>
    <row r="357" spans="1:3" x14ac:dyDescent="0.3">
      <c r="A357">
        <v>1</v>
      </c>
      <c r="B357" t="s">
        <v>64</v>
      </c>
      <c r="C357" t="s">
        <v>59</v>
      </c>
    </row>
    <row r="358" spans="1:3" x14ac:dyDescent="0.3">
      <c r="A358">
        <v>1</v>
      </c>
      <c r="B358" t="s">
        <v>35</v>
      </c>
      <c r="C358" t="s">
        <v>36</v>
      </c>
    </row>
    <row r="359" spans="1:3" x14ac:dyDescent="0.3">
      <c r="A359">
        <v>1</v>
      </c>
      <c r="B359" t="s">
        <v>13</v>
      </c>
      <c r="C359" t="s">
        <v>14</v>
      </c>
    </row>
    <row r="360" spans="1:3" x14ac:dyDescent="0.3">
      <c r="A360">
        <v>1</v>
      </c>
      <c r="B360" t="s">
        <v>11</v>
      </c>
      <c r="C360" t="s">
        <v>12</v>
      </c>
    </row>
    <row r="361" spans="1:3" x14ac:dyDescent="0.3">
      <c r="A361">
        <v>1</v>
      </c>
      <c r="B361" t="s">
        <v>23</v>
      </c>
      <c r="C361" t="s">
        <v>24</v>
      </c>
    </row>
    <row r="362" spans="1:3" x14ac:dyDescent="0.3">
      <c r="A362">
        <v>1</v>
      </c>
      <c r="B362" t="s">
        <v>17</v>
      </c>
      <c r="C362" t="s">
        <v>18</v>
      </c>
    </row>
    <row r="363" spans="1:3" x14ac:dyDescent="0.3">
      <c r="A363">
        <v>1</v>
      </c>
      <c r="B363" t="s">
        <v>82</v>
      </c>
      <c r="C363" t="s">
        <v>83</v>
      </c>
    </row>
    <row r="364" spans="1:3" x14ac:dyDescent="0.3">
      <c r="A364">
        <v>1</v>
      </c>
      <c r="B364" t="s">
        <v>25</v>
      </c>
      <c r="C364" t="s">
        <v>26</v>
      </c>
    </row>
    <row r="365" spans="1:3" x14ac:dyDescent="0.3">
      <c r="A365">
        <v>1</v>
      </c>
      <c r="B365" t="s">
        <v>37</v>
      </c>
      <c r="C365" t="s">
        <v>38</v>
      </c>
    </row>
    <row r="366" spans="1:3" x14ac:dyDescent="0.3">
      <c r="A366">
        <v>1</v>
      </c>
      <c r="B366" t="s">
        <v>5</v>
      </c>
      <c r="C366" t="s">
        <v>6</v>
      </c>
    </row>
    <row r="367" spans="1:3" x14ac:dyDescent="0.3">
      <c r="A367">
        <v>1</v>
      </c>
      <c r="B367" t="s">
        <v>151</v>
      </c>
      <c r="C367" t="s">
        <v>122</v>
      </c>
    </row>
    <row r="368" spans="1:3" x14ac:dyDescent="0.3">
      <c r="A368">
        <v>1</v>
      </c>
      <c r="B368" t="s">
        <v>151</v>
      </c>
      <c r="C368" t="s">
        <v>116</v>
      </c>
    </row>
    <row r="369" spans="1:3" x14ac:dyDescent="0.3">
      <c r="A369">
        <v>1</v>
      </c>
      <c r="B369" t="s">
        <v>151</v>
      </c>
      <c r="C369" t="s">
        <v>118</v>
      </c>
    </row>
    <row r="370" spans="1:3" x14ac:dyDescent="0.3">
      <c r="A370">
        <v>1</v>
      </c>
      <c r="B370" t="s">
        <v>49</v>
      </c>
      <c r="C370" t="s">
        <v>96</v>
      </c>
    </row>
    <row r="371" spans="1:3" x14ac:dyDescent="0.3">
      <c r="A371">
        <v>1</v>
      </c>
      <c r="B371" t="s">
        <v>31</v>
      </c>
      <c r="C371" t="s">
        <v>32</v>
      </c>
    </row>
    <row r="372" spans="1:3" x14ac:dyDescent="0.3">
      <c r="A372">
        <v>1</v>
      </c>
      <c r="B372" t="s">
        <v>64</v>
      </c>
      <c r="C372" t="s">
        <v>65</v>
      </c>
    </row>
    <row r="373" spans="1:3" x14ac:dyDescent="0.3">
      <c r="A373">
        <v>1</v>
      </c>
      <c r="B373" t="s">
        <v>47</v>
      </c>
      <c r="C373" t="s">
        <v>48</v>
      </c>
    </row>
    <row r="374" spans="1:3" x14ac:dyDescent="0.3">
      <c r="A374">
        <v>1</v>
      </c>
      <c r="B374" t="s">
        <v>70</v>
      </c>
      <c r="C374" t="s">
        <v>71</v>
      </c>
    </row>
    <row r="375" spans="1:3" x14ac:dyDescent="0.3">
      <c r="A375">
        <v>1</v>
      </c>
      <c r="B375" t="s">
        <v>15</v>
      </c>
      <c r="C375" t="s">
        <v>93</v>
      </c>
    </row>
    <row r="376" spans="1:3" x14ac:dyDescent="0.3">
      <c r="A376">
        <v>1</v>
      </c>
      <c r="B376" t="s">
        <v>29</v>
      </c>
      <c r="C376" t="s">
        <v>95</v>
      </c>
    </row>
    <row r="377" spans="1:3" x14ac:dyDescent="0.3">
      <c r="A377">
        <v>8</v>
      </c>
      <c r="B377" t="s">
        <v>114</v>
      </c>
      <c r="C377" t="s">
        <v>46</v>
      </c>
    </row>
    <row r="378" spans="1:3" x14ac:dyDescent="0.3">
      <c r="A378">
        <v>8</v>
      </c>
      <c r="B378" t="s">
        <v>179</v>
      </c>
      <c r="C378" t="s">
        <v>97</v>
      </c>
    </row>
    <row r="379" spans="1:3" x14ac:dyDescent="0.3">
      <c r="A379">
        <v>8</v>
      </c>
      <c r="B379" t="s">
        <v>175</v>
      </c>
      <c r="C379" t="s">
        <v>69</v>
      </c>
    </row>
    <row r="380" spans="1:3" x14ac:dyDescent="0.3">
      <c r="A380">
        <v>8</v>
      </c>
      <c r="B380" t="s">
        <v>180</v>
      </c>
      <c r="C380" t="s">
        <v>40</v>
      </c>
    </row>
    <row r="381" spans="1:3" x14ac:dyDescent="0.3">
      <c r="A381">
        <v>8</v>
      </c>
      <c r="B381" t="s">
        <v>138</v>
      </c>
      <c r="C381" t="s">
        <v>50</v>
      </c>
    </row>
    <row r="382" spans="1:3" x14ac:dyDescent="0.3">
      <c r="A382">
        <v>8</v>
      </c>
      <c r="B382" t="s">
        <v>89</v>
      </c>
      <c r="C382" t="s">
        <v>4</v>
      </c>
    </row>
    <row r="383" spans="1:3" x14ac:dyDescent="0.3">
      <c r="A383">
        <v>8</v>
      </c>
      <c r="B383" t="s">
        <v>136</v>
      </c>
      <c r="C383" t="s">
        <v>56</v>
      </c>
    </row>
    <row r="384" spans="1:3" x14ac:dyDescent="0.3">
      <c r="A384">
        <v>8</v>
      </c>
      <c r="B384" t="s">
        <v>170</v>
      </c>
      <c r="C384" t="s">
        <v>34</v>
      </c>
    </row>
    <row r="385" spans="1:3" x14ac:dyDescent="0.3">
      <c r="A385">
        <v>8</v>
      </c>
      <c r="B385" t="s">
        <v>108</v>
      </c>
      <c r="C385" t="s">
        <v>75</v>
      </c>
    </row>
    <row r="386" spans="1:3" x14ac:dyDescent="0.3">
      <c r="A386">
        <v>8</v>
      </c>
      <c r="B386" t="s">
        <v>115</v>
      </c>
      <c r="C386" t="s">
        <v>42</v>
      </c>
    </row>
    <row r="387" spans="1:3" x14ac:dyDescent="0.3">
      <c r="A387">
        <v>8</v>
      </c>
      <c r="B387" t="s">
        <v>51</v>
      </c>
      <c r="C387" t="s">
        <v>28</v>
      </c>
    </row>
    <row r="388" spans="1:3" x14ac:dyDescent="0.3">
      <c r="A388">
        <v>8</v>
      </c>
      <c r="B388" t="s">
        <v>19</v>
      </c>
      <c r="C388" t="s">
        <v>20</v>
      </c>
    </row>
    <row r="389" spans="1:3" x14ac:dyDescent="0.3">
      <c r="A389">
        <v>8</v>
      </c>
      <c r="B389" t="s">
        <v>21</v>
      </c>
      <c r="C389" t="s">
        <v>22</v>
      </c>
    </row>
    <row r="390" spans="1:3" x14ac:dyDescent="0.3">
      <c r="A390">
        <v>8</v>
      </c>
      <c r="B390" t="s">
        <v>132</v>
      </c>
      <c r="C390" t="s">
        <v>54</v>
      </c>
    </row>
    <row r="391" spans="1:3" x14ac:dyDescent="0.3">
      <c r="A391">
        <v>8</v>
      </c>
      <c r="B391" t="s">
        <v>98</v>
      </c>
      <c r="C391" t="s">
        <v>112</v>
      </c>
    </row>
    <row r="392" spans="1:3" x14ac:dyDescent="0.3">
      <c r="A392">
        <v>8</v>
      </c>
      <c r="B392" t="s">
        <v>33</v>
      </c>
      <c r="C392" t="s">
        <v>67</v>
      </c>
    </row>
    <row r="393" spans="1:3" x14ac:dyDescent="0.3">
      <c r="A393">
        <v>8</v>
      </c>
      <c r="B393" t="s">
        <v>80</v>
      </c>
      <c r="C393" t="s">
        <v>81</v>
      </c>
    </row>
    <row r="394" spans="1:3" x14ac:dyDescent="0.3">
      <c r="A394">
        <v>8</v>
      </c>
      <c r="B394" t="s">
        <v>139</v>
      </c>
      <c r="C394" t="s">
        <v>10</v>
      </c>
    </row>
    <row r="395" spans="1:3" x14ac:dyDescent="0.3">
      <c r="A395">
        <v>8</v>
      </c>
      <c r="B395" t="s">
        <v>111</v>
      </c>
      <c r="C395" t="s">
        <v>63</v>
      </c>
    </row>
    <row r="396" spans="1:3" x14ac:dyDescent="0.3">
      <c r="A396">
        <v>8</v>
      </c>
      <c r="B396" t="s">
        <v>173</v>
      </c>
      <c r="C396" t="s">
        <v>52</v>
      </c>
    </row>
    <row r="397" spans="1:3" x14ac:dyDescent="0.3">
      <c r="A397">
        <v>8</v>
      </c>
      <c r="B397" t="s">
        <v>90</v>
      </c>
      <c r="C397" t="s">
        <v>16</v>
      </c>
    </row>
    <row r="398" spans="1:3" x14ac:dyDescent="0.3">
      <c r="A398">
        <v>8</v>
      </c>
      <c r="B398" t="s">
        <v>105</v>
      </c>
      <c r="C398" t="s">
        <v>106</v>
      </c>
    </row>
    <row r="399" spans="1:3" x14ac:dyDescent="0.3">
      <c r="A399">
        <v>8</v>
      </c>
      <c r="B399" t="s">
        <v>72</v>
      </c>
      <c r="C399" t="s">
        <v>73</v>
      </c>
    </row>
    <row r="400" spans="1:3" x14ac:dyDescent="0.3">
      <c r="A400">
        <v>8</v>
      </c>
      <c r="B400" t="s">
        <v>151</v>
      </c>
      <c r="C400" t="s">
        <v>44</v>
      </c>
    </row>
    <row r="401" spans="1:3" x14ac:dyDescent="0.3">
      <c r="A401">
        <v>8</v>
      </c>
      <c r="B401" t="s">
        <v>78</v>
      </c>
      <c r="C401" t="s">
        <v>79</v>
      </c>
    </row>
    <row r="402" spans="1:3" x14ac:dyDescent="0.3">
      <c r="A402">
        <v>8</v>
      </c>
      <c r="B402" t="s">
        <v>92</v>
      </c>
      <c r="C402" t="s">
        <v>30</v>
      </c>
    </row>
    <row r="403" spans="1:3" x14ac:dyDescent="0.3">
      <c r="A403">
        <v>8</v>
      </c>
      <c r="B403" t="s">
        <v>174</v>
      </c>
      <c r="C403" t="s">
        <v>77</v>
      </c>
    </row>
    <row r="404" spans="1:3" x14ac:dyDescent="0.3">
      <c r="A404">
        <v>8</v>
      </c>
      <c r="B404" t="s">
        <v>85</v>
      </c>
      <c r="C404" t="s">
        <v>86</v>
      </c>
    </row>
    <row r="405" spans="1:3" x14ac:dyDescent="0.3">
      <c r="A405">
        <v>8</v>
      </c>
      <c r="B405" t="s">
        <v>123</v>
      </c>
      <c r="C405" t="s">
        <v>59</v>
      </c>
    </row>
    <row r="406" spans="1:3" x14ac:dyDescent="0.3">
      <c r="A406">
        <v>8</v>
      </c>
      <c r="B406" t="s">
        <v>35</v>
      </c>
      <c r="C406" t="s">
        <v>36</v>
      </c>
    </row>
    <row r="407" spans="1:3" x14ac:dyDescent="0.3">
      <c r="A407">
        <v>8</v>
      </c>
      <c r="B407" t="s">
        <v>13</v>
      </c>
      <c r="C407" t="s">
        <v>14</v>
      </c>
    </row>
    <row r="408" spans="1:3" x14ac:dyDescent="0.3">
      <c r="A408">
        <v>8</v>
      </c>
      <c r="B408" t="s">
        <v>11</v>
      </c>
      <c r="C408" t="s">
        <v>12</v>
      </c>
    </row>
    <row r="409" spans="1:3" x14ac:dyDescent="0.3">
      <c r="A409">
        <v>8</v>
      </c>
      <c r="B409" t="s">
        <v>37</v>
      </c>
      <c r="C409" t="s">
        <v>24</v>
      </c>
    </row>
    <row r="410" spans="1:3" x14ac:dyDescent="0.3">
      <c r="A410">
        <v>8</v>
      </c>
      <c r="B410" t="s">
        <v>17</v>
      </c>
      <c r="C410" t="s">
        <v>18</v>
      </c>
    </row>
    <row r="411" spans="1:3" x14ac:dyDescent="0.3">
      <c r="A411">
        <v>8</v>
      </c>
      <c r="B411" t="s">
        <v>87</v>
      </c>
      <c r="C411" t="s">
        <v>83</v>
      </c>
    </row>
    <row r="412" spans="1:3" x14ac:dyDescent="0.3">
      <c r="A412">
        <v>8</v>
      </c>
      <c r="B412" t="s">
        <v>25</v>
      </c>
      <c r="C412" t="s">
        <v>26</v>
      </c>
    </row>
    <row r="413" spans="1:3" x14ac:dyDescent="0.3">
      <c r="A413">
        <v>8</v>
      </c>
      <c r="B413" t="s">
        <v>120</v>
      </c>
      <c r="C413" t="s">
        <v>38</v>
      </c>
    </row>
    <row r="414" spans="1:3" x14ac:dyDescent="0.3">
      <c r="A414">
        <v>8</v>
      </c>
      <c r="B414" t="s">
        <v>5</v>
      </c>
      <c r="C414" t="s">
        <v>6</v>
      </c>
    </row>
    <row r="415" spans="1:3" x14ac:dyDescent="0.3">
      <c r="A415">
        <v>8</v>
      </c>
      <c r="B415" t="s">
        <v>76</v>
      </c>
      <c r="C415" t="s">
        <v>122</v>
      </c>
    </row>
    <row r="416" spans="1:3" x14ac:dyDescent="0.3">
      <c r="A416">
        <v>8</v>
      </c>
      <c r="B416" t="s">
        <v>131</v>
      </c>
      <c r="C416" t="s">
        <v>116</v>
      </c>
    </row>
    <row r="417" spans="1:3" x14ac:dyDescent="0.3">
      <c r="A417">
        <v>8</v>
      </c>
      <c r="B417" t="s">
        <v>117</v>
      </c>
      <c r="C417" t="s">
        <v>118</v>
      </c>
    </row>
    <row r="418" spans="1:3" x14ac:dyDescent="0.3">
      <c r="A418">
        <v>8</v>
      </c>
      <c r="B418" t="s">
        <v>49</v>
      </c>
      <c r="C418" t="s">
        <v>96</v>
      </c>
    </row>
    <row r="419" spans="1:3" x14ac:dyDescent="0.3">
      <c r="A419">
        <v>8</v>
      </c>
      <c r="B419" t="s">
        <v>31</v>
      </c>
      <c r="C419" t="s">
        <v>143</v>
      </c>
    </row>
    <row r="420" spans="1:3" x14ac:dyDescent="0.3">
      <c r="A420">
        <v>8</v>
      </c>
      <c r="B420" t="s">
        <v>64</v>
      </c>
      <c r="C420" t="s">
        <v>140</v>
      </c>
    </row>
    <row r="421" spans="1:3" x14ac:dyDescent="0.3">
      <c r="A421">
        <v>8</v>
      </c>
      <c r="B421" t="s">
        <v>47</v>
      </c>
      <c r="C421" t="s">
        <v>147</v>
      </c>
    </row>
    <row r="422" spans="1:3" x14ac:dyDescent="0.3">
      <c r="A422">
        <v>8</v>
      </c>
      <c r="B422" t="s">
        <v>70</v>
      </c>
      <c r="C422" t="s">
        <v>71</v>
      </c>
    </row>
    <row r="423" spans="1:3" x14ac:dyDescent="0.3">
      <c r="A423">
        <v>8</v>
      </c>
      <c r="B423" t="s">
        <v>109</v>
      </c>
      <c r="C423" t="s">
        <v>142</v>
      </c>
    </row>
    <row r="424" spans="1:3" x14ac:dyDescent="0.3">
      <c r="A424">
        <v>8</v>
      </c>
      <c r="B424" t="s">
        <v>29</v>
      </c>
      <c r="C424" t="s">
        <v>141</v>
      </c>
    </row>
    <row r="425" spans="1:3" x14ac:dyDescent="0.3">
      <c r="A425">
        <v>8</v>
      </c>
      <c r="B425" t="s">
        <v>107</v>
      </c>
      <c r="C425" t="s">
        <v>148</v>
      </c>
    </row>
    <row r="426" spans="1:3" x14ac:dyDescent="0.3">
      <c r="A426">
        <v>8</v>
      </c>
      <c r="B426" t="s">
        <v>43</v>
      </c>
      <c r="C426" t="s">
        <v>145</v>
      </c>
    </row>
    <row r="427" spans="1:3" x14ac:dyDescent="0.3">
      <c r="A427">
        <v>8</v>
      </c>
      <c r="B427" t="s">
        <v>15</v>
      </c>
      <c r="C427" t="s">
        <v>137</v>
      </c>
    </row>
    <row r="428" spans="1:3" x14ac:dyDescent="0.3">
      <c r="A428">
        <v>8</v>
      </c>
      <c r="B428" t="s">
        <v>84</v>
      </c>
      <c r="C428" t="s">
        <v>146</v>
      </c>
    </row>
    <row r="429" spans="1:3" x14ac:dyDescent="0.3">
      <c r="A429">
        <v>8</v>
      </c>
      <c r="B429" t="s">
        <v>23</v>
      </c>
      <c r="C429" t="s">
        <v>154</v>
      </c>
    </row>
    <row r="430" spans="1:3" x14ac:dyDescent="0.3">
      <c r="A430">
        <v>8</v>
      </c>
      <c r="B430" t="s">
        <v>91</v>
      </c>
      <c r="C430" t="s">
        <v>144</v>
      </c>
    </row>
    <row r="431" spans="1:3" x14ac:dyDescent="0.3">
      <c r="A431">
        <v>8</v>
      </c>
      <c r="B431" t="s">
        <v>128</v>
      </c>
      <c r="C431" t="s">
        <v>155</v>
      </c>
    </row>
    <row r="432" spans="1:3" x14ac:dyDescent="0.3">
      <c r="A432">
        <v>8</v>
      </c>
      <c r="B432" t="s">
        <v>121</v>
      </c>
      <c r="C432" t="s">
        <v>156</v>
      </c>
    </row>
    <row r="433" spans="1:3" x14ac:dyDescent="0.3">
      <c r="A433">
        <v>8</v>
      </c>
      <c r="B433" t="s">
        <v>151</v>
      </c>
      <c r="C433" t="s">
        <v>157</v>
      </c>
    </row>
    <row r="434" spans="1:3" x14ac:dyDescent="0.3">
      <c r="A434">
        <v>8</v>
      </c>
      <c r="B434" t="s">
        <v>151</v>
      </c>
      <c r="C434" t="s">
        <v>158</v>
      </c>
    </row>
    <row r="435" spans="1:3" x14ac:dyDescent="0.3">
      <c r="A435">
        <v>8</v>
      </c>
      <c r="B435" t="s">
        <v>151</v>
      </c>
      <c r="C435" t="s">
        <v>181</v>
      </c>
    </row>
    <row r="436" spans="1:3" x14ac:dyDescent="0.3">
      <c r="A436">
        <v>9</v>
      </c>
      <c r="B436" t="s">
        <v>114</v>
      </c>
      <c r="C436" t="s">
        <v>46</v>
      </c>
    </row>
    <row r="437" spans="1:3" x14ac:dyDescent="0.3">
      <c r="A437">
        <v>9</v>
      </c>
      <c r="B437" t="s">
        <v>182</v>
      </c>
      <c r="C437" t="s">
        <v>97</v>
      </c>
    </row>
    <row r="438" spans="1:3" x14ac:dyDescent="0.3">
      <c r="A438">
        <v>9</v>
      </c>
      <c r="B438" t="s">
        <v>175</v>
      </c>
      <c r="C438" t="s">
        <v>69</v>
      </c>
    </row>
    <row r="439" spans="1:3" x14ac:dyDescent="0.3">
      <c r="A439">
        <v>9</v>
      </c>
      <c r="B439" t="s">
        <v>183</v>
      </c>
      <c r="C439" t="s">
        <v>40</v>
      </c>
    </row>
    <row r="440" spans="1:3" x14ac:dyDescent="0.3">
      <c r="A440">
        <v>9</v>
      </c>
      <c r="B440" t="s">
        <v>184</v>
      </c>
      <c r="C440" t="s">
        <v>50</v>
      </c>
    </row>
    <row r="441" spans="1:3" x14ac:dyDescent="0.3">
      <c r="A441">
        <v>9</v>
      </c>
      <c r="B441" t="s">
        <v>89</v>
      </c>
      <c r="C441" t="s">
        <v>4</v>
      </c>
    </row>
    <row r="442" spans="1:3" x14ac:dyDescent="0.3">
      <c r="A442">
        <v>9</v>
      </c>
      <c r="B442" t="s">
        <v>136</v>
      </c>
      <c r="C442" t="s">
        <v>56</v>
      </c>
    </row>
    <row r="443" spans="1:3" x14ac:dyDescent="0.3">
      <c r="A443">
        <v>9</v>
      </c>
      <c r="B443" t="s">
        <v>185</v>
      </c>
      <c r="C443" t="s">
        <v>34</v>
      </c>
    </row>
    <row r="444" spans="1:3" x14ac:dyDescent="0.3">
      <c r="A444">
        <v>9</v>
      </c>
      <c r="B444" t="s">
        <v>108</v>
      </c>
      <c r="C444" t="s">
        <v>75</v>
      </c>
    </row>
    <row r="445" spans="1:3" x14ac:dyDescent="0.3">
      <c r="A445">
        <v>9</v>
      </c>
      <c r="B445" t="s">
        <v>152</v>
      </c>
      <c r="C445" t="s">
        <v>42</v>
      </c>
    </row>
    <row r="446" spans="1:3" x14ac:dyDescent="0.3">
      <c r="A446">
        <v>9</v>
      </c>
      <c r="B446" t="s">
        <v>51</v>
      </c>
      <c r="C446" t="s">
        <v>28</v>
      </c>
    </row>
    <row r="447" spans="1:3" x14ac:dyDescent="0.3">
      <c r="A447">
        <v>9</v>
      </c>
      <c r="B447" t="s">
        <v>19</v>
      </c>
      <c r="C447" t="s">
        <v>20</v>
      </c>
    </row>
    <row r="448" spans="1:3" x14ac:dyDescent="0.3">
      <c r="A448">
        <v>9</v>
      </c>
      <c r="B448" t="s">
        <v>21</v>
      </c>
      <c r="C448" t="s">
        <v>22</v>
      </c>
    </row>
    <row r="449" spans="1:3" x14ac:dyDescent="0.3">
      <c r="A449">
        <v>9</v>
      </c>
      <c r="B449" t="s">
        <v>186</v>
      </c>
      <c r="C449" t="s">
        <v>54</v>
      </c>
    </row>
    <row r="450" spans="1:3" x14ac:dyDescent="0.3">
      <c r="A450">
        <v>9</v>
      </c>
      <c r="B450" t="s">
        <v>98</v>
      </c>
      <c r="C450" t="s">
        <v>112</v>
      </c>
    </row>
    <row r="451" spans="1:3" x14ac:dyDescent="0.3">
      <c r="A451">
        <v>9</v>
      </c>
      <c r="B451" t="s">
        <v>33</v>
      </c>
      <c r="C451" t="s">
        <v>67</v>
      </c>
    </row>
    <row r="452" spans="1:3" x14ac:dyDescent="0.3">
      <c r="A452">
        <v>9</v>
      </c>
      <c r="B452" t="s">
        <v>80</v>
      </c>
      <c r="C452" t="s">
        <v>81</v>
      </c>
    </row>
    <row r="453" spans="1:3" x14ac:dyDescent="0.3">
      <c r="A453">
        <v>9</v>
      </c>
      <c r="B453" t="s">
        <v>139</v>
      </c>
      <c r="C453" t="s">
        <v>10</v>
      </c>
    </row>
    <row r="454" spans="1:3" x14ac:dyDescent="0.3">
      <c r="A454">
        <v>9</v>
      </c>
      <c r="B454" t="s">
        <v>111</v>
      </c>
      <c r="C454" t="s">
        <v>63</v>
      </c>
    </row>
    <row r="455" spans="1:3" x14ac:dyDescent="0.3">
      <c r="A455">
        <v>9</v>
      </c>
      <c r="B455" t="s">
        <v>173</v>
      </c>
      <c r="C455" t="s">
        <v>52</v>
      </c>
    </row>
    <row r="456" spans="1:3" x14ac:dyDescent="0.3">
      <c r="A456">
        <v>9</v>
      </c>
      <c r="B456" t="s">
        <v>90</v>
      </c>
      <c r="C456" t="s">
        <v>16</v>
      </c>
    </row>
    <row r="457" spans="1:3" x14ac:dyDescent="0.3">
      <c r="A457">
        <v>9</v>
      </c>
      <c r="B457" t="s">
        <v>105</v>
      </c>
      <c r="C457" t="s">
        <v>106</v>
      </c>
    </row>
    <row r="458" spans="1:3" x14ac:dyDescent="0.3">
      <c r="A458">
        <v>9</v>
      </c>
      <c r="B458" t="s">
        <v>72</v>
      </c>
      <c r="C458" t="s">
        <v>73</v>
      </c>
    </row>
    <row r="459" spans="1:3" x14ac:dyDescent="0.3">
      <c r="A459">
        <v>9</v>
      </c>
      <c r="B459" t="s">
        <v>187</v>
      </c>
      <c r="C459" t="s">
        <v>44</v>
      </c>
    </row>
    <row r="460" spans="1:3" x14ac:dyDescent="0.3">
      <c r="A460">
        <v>9</v>
      </c>
      <c r="B460" t="s">
        <v>188</v>
      </c>
      <c r="C460" t="s">
        <v>79</v>
      </c>
    </row>
    <row r="461" spans="1:3" x14ac:dyDescent="0.3">
      <c r="A461">
        <v>9</v>
      </c>
      <c r="B461" t="s">
        <v>92</v>
      </c>
      <c r="C461" t="s">
        <v>30</v>
      </c>
    </row>
    <row r="462" spans="1:3" x14ac:dyDescent="0.3">
      <c r="A462">
        <v>9</v>
      </c>
      <c r="B462" t="s">
        <v>174</v>
      </c>
      <c r="C462" t="s">
        <v>77</v>
      </c>
    </row>
    <row r="463" spans="1:3" x14ac:dyDescent="0.3">
      <c r="A463">
        <v>9</v>
      </c>
      <c r="B463" t="s">
        <v>85</v>
      </c>
      <c r="C463" t="s">
        <v>86</v>
      </c>
    </row>
    <row r="464" spans="1:3" x14ac:dyDescent="0.3">
      <c r="A464">
        <v>9</v>
      </c>
      <c r="B464" t="s">
        <v>123</v>
      </c>
      <c r="C464" t="s">
        <v>59</v>
      </c>
    </row>
    <row r="465" spans="1:3" x14ac:dyDescent="0.3">
      <c r="A465">
        <v>9</v>
      </c>
      <c r="B465" t="s">
        <v>35</v>
      </c>
      <c r="C465" t="s">
        <v>36</v>
      </c>
    </row>
    <row r="466" spans="1:3" x14ac:dyDescent="0.3">
      <c r="A466">
        <v>9</v>
      </c>
      <c r="B466" t="s">
        <v>13</v>
      </c>
      <c r="C466" t="s">
        <v>14</v>
      </c>
    </row>
    <row r="467" spans="1:3" x14ac:dyDescent="0.3">
      <c r="A467">
        <v>9</v>
      </c>
      <c r="B467" t="s">
        <v>49</v>
      </c>
      <c r="C467" t="s">
        <v>12</v>
      </c>
    </row>
    <row r="468" spans="1:3" x14ac:dyDescent="0.3">
      <c r="A468">
        <v>9</v>
      </c>
      <c r="B468" t="s">
        <v>189</v>
      </c>
      <c r="C468" t="s">
        <v>24</v>
      </c>
    </row>
    <row r="469" spans="1:3" x14ac:dyDescent="0.3">
      <c r="A469">
        <v>9</v>
      </c>
      <c r="B469" t="s">
        <v>17</v>
      </c>
      <c r="C469" t="s">
        <v>18</v>
      </c>
    </row>
    <row r="470" spans="1:3" x14ac:dyDescent="0.3">
      <c r="A470">
        <v>9</v>
      </c>
      <c r="B470" t="s">
        <v>87</v>
      </c>
      <c r="C470" t="s">
        <v>83</v>
      </c>
    </row>
    <row r="471" spans="1:3" x14ac:dyDescent="0.3">
      <c r="A471">
        <v>9</v>
      </c>
      <c r="B471" t="s">
        <v>25</v>
      </c>
      <c r="C471" t="s">
        <v>26</v>
      </c>
    </row>
    <row r="472" spans="1:3" x14ac:dyDescent="0.3">
      <c r="A472">
        <v>9</v>
      </c>
      <c r="B472" t="s">
        <v>120</v>
      </c>
      <c r="C472" t="s">
        <v>38</v>
      </c>
    </row>
    <row r="473" spans="1:3" x14ac:dyDescent="0.3">
      <c r="A473">
        <v>9</v>
      </c>
      <c r="B473" t="s">
        <v>5</v>
      </c>
      <c r="C473" t="s">
        <v>6</v>
      </c>
    </row>
    <row r="474" spans="1:3" x14ac:dyDescent="0.3">
      <c r="A474">
        <v>9</v>
      </c>
      <c r="B474" t="s">
        <v>76</v>
      </c>
      <c r="C474" t="s">
        <v>122</v>
      </c>
    </row>
    <row r="475" spans="1:3" x14ac:dyDescent="0.3">
      <c r="A475">
        <v>9</v>
      </c>
      <c r="B475" t="s">
        <v>131</v>
      </c>
      <c r="C475" t="s">
        <v>116</v>
      </c>
    </row>
    <row r="476" spans="1:3" x14ac:dyDescent="0.3">
      <c r="A476">
        <v>9</v>
      </c>
      <c r="B476" t="s">
        <v>117</v>
      </c>
      <c r="C476" t="s">
        <v>118</v>
      </c>
    </row>
    <row r="477" spans="1:3" x14ac:dyDescent="0.3">
      <c r="A477">
        <v>9</v>
      </c>
      <c r="B477" t="s">
        <v>151</v>
      </c>
      <c r="C477" t="s">
        <v>96</v>
      </c>
    </row>
    <row r="478" spans="1:3" x14ac:dyDescent="0.3">
      <c r="A478">
        <v>9</v>
      </c>
      <c r="B478" t="s">
        <v>31</v>
      </c>
      <c r="C478" t="s">
        <v>143</v>
      </c>
    </row>
    <row r="479" spans="1:3" x14ac:dyDescent="0.3">
      <c r="A479">
        <v>9</v>
      </c>
      <c r="B479" t="s">
        <v>64</v>
      </c>
      <c r="C479" t="s">
        <v>140</v>
      </c>
    </row>
    <row r="480" spans="1:3" x14ac:dyDescent="0.3">
      <c r="A480">
        <v>9</v>
      </c>
      <c r="B480" t="s">
        <v>47</v>
      </c>
      <c r="C480" t="s">
        <v>147</v>
      </c>
    </row>
    <row r="481" spans="1:3" x14ac:dyDescent="0.3">
      <c r="A481">
        <v>9</v>
      </c>
      <c r="B481" t="s">
        <v>70</v>
      </c>
      <c r="C481" t="s">
        <v>71</v>
      </c>
    </row>
    <row r="482" spans="1:3" x14ac:dyDescent="0.3">
      <c r="A482">
        <v>9</v>
      </c>
      <c r="B482" t="s">
        <v>190</v>
      </c>
      <c r="C482" t="s">
        <v>142</v>
      </c>
    </row>
    <row r="483" spans="1:3" x14ac:dyDescent="0.3">
      <c r="A483">
        <v>9</v>
      </c>
      <c r="B483" t="s">
        <v>29</v>
      </c>
      <c r="C483" t="s">
        <v>141</v>
      </c>
    </row>
    <row r="484" spans="1:3" x14ac:dyDescent="0.3">
      <c r="A484">
        <v>9</v>
      </c>
      <c r="B484" t="s">
        <v>107</v>
      </c>
      <c r="C484" t="s">
        <v>148</v>
      </c>
    </row>
    <row r="485" spans="1:3" x14ac:dyDescent="0.3">
      <c r="A485">
        <v>9</v>
      </c>
      <c r="B485" t="s">
        <v>43</v>
      </c>
      <c r="C485" t="s">
        <v>145</v>
      </c>
    </row>
    <row r="486" spans="1:3" x14ac:dyDescent="0.3">
      <c r="A486">
        <v>9</v>
      </c>
      <c r="B486" t="s">
        <v>15</v>
      </c>
      <c r="C486" t="s">
        <v>137</v>
      </c>
    </row>
    <row r="487" spans="1:3" x14ac:dyDescent="0.3">
      <c r="A487">
        <v>9</v>
      </c>
      <c r="B487" t="s">
        <v>84</v>
      </c>
      <c r="C487" t="s">
        <v>146</v>
      </c>
    </row>
    <row r="488" spans="1:3" x14ac:dyDescent="0.3">
      <c r="A488">
        <v>9</v>
      </c>
      <c r="B488" t="s">
        <v>23</v>
      </c>
      <c r="C488" t="s">
        <v>154</v>
      </c>
    </row>
    <row r="489" spans="1:3" x14ac:dyDescent="0.3">
      <c r="A489">
        <v>9</v>
      </c>
      <c r="B489" t="s">
        <v>91</v>
      </c>
      <c r="C489" t="s">
        <v>144</v>
      </c>
    </row>
    <row r="490" spans="1:3" x14ac:dyDescent="0.3">
      <c r="A490">
        <v>9</v>
      </c>
      <c r="B490" t="s">
        <v>128</v>
      </c>
      <c r="C490" t="s">
        <v>155</v>
      </c>
    </row>
    <row r="491" spans="1:3" x14ac:dyDescent="0.3">
      <c r="A491">
        <v>9</v>
      </c>
      <c r="B491" t="s">
        <v>121</v>
      </c>
      <c r="C491" t="s">
        <v>156</v>
      </c>
    </row>
    <row r="492" spans="1:3" x14ac:dyDescent="0.3">
      <c r="A492">
        <v>9</v>
      </c>
      <c r="B492" t="s">
        <v>151</v>
      </c>
      <c r="C492" t="s">
        <v>157</v>
      </c>
    </row>
    <row r="493" spans="1:3" x14ac:dyDescent="0.3">
      <c r="A493">
        <v>9</v>
      </c>
      <c r="B493" t="s">
        <v>151</v>
      </c>
      <c r="C493" t="s">
        <v>158</v>
      </c>
    </row>
    <row r="494" spans="1:3" x14ac:dyDescent="0.3">
      <c r="A494">
        <v>9</v>
      </c>
      <c r="B494" t="s">
        <v>151</v>
      </c>
      <c r="C494" t="s">
        <v>181</v>
      </c>
    </row>
    <row r="495" spans="1:3" x14ac:dyDescent="0.3">
      <c r="A495">
        <v>10</v>
      </c>
      <c r="B495" t="s">
        <v>114</v>
      </c>
      <c r="C495" t="s">
        <v>46</v>
      </c>
    </row>
    <row r="496" spans="1:3" x14ac:dyDescent="0.3">
      <c r="A496">
        <v>10</v>
      </c>
      <c r="B496" t="s">
        <v>182</v>
      </c>
      <c r="C496" t="s">
        <v>97</v>
      </c>
    </row>
    <row r="497" spans="1:3" x14ac:dyDescent="0.3">
      <c r="A497">
        <v>10</v>
      </c>
      <c r="B497" t="s">
        <v>175</v>
      </c>
      <c r="C497" t="s">
        <v>69</v>
      </c>
    </row>
    <row r="498" spans="1:3" x14ac:dyDescent="0.3">
      <c r="A498">
        <v>10</v>
      </c>
      <c r="B498" t="s">
        <v>183</v>
      </c>
      <c r="C498" t="s">
        <v>40</v>
      </c>
    </row>
    <row r="499" spans="1:3" x14ac:dyDescent="0.3">
      <c r="A499">
        <v>10</v>
      </c>
      <c r="B499" t="s">
        <v>184</v>
      </c>
      <c r="C499" t="s">
        <v>50</v>
      </c>
    </row>
    <row r="500" spans="1:3" x14ac:dyDescent="0.3">
      <c r="A500">
        <v>10</v>
      </c>
      <c r="B500" t="s">
        <v>89</v>
      </c>
      <c r="C500" t="s">
        <v>4</v>
      </c>
    </row>
    <row r="501" spans="1:3" x14ac:dyDescent="0.3">
      <c r="A501">
        <v>10</v>
      </c>
      <c r="B501" t="s">
        <v>136</v>
      </c>
      <c r="C501" t="s">
        <v>56</v>
      </c>
    </row>
    <row r="502" spans="1:3" x14ac:dyDescent="0.3">
      <c r="A502">
        <v>10</v>
      </c>
      <c r="B502" t="s">
        <v>185</v>
      </c>
      <c r="C502" t="s">
        <v>34</v>
      </c>
    </row>
    <row r="503" spans="1:3" x14ac:dyDescent="0.3">
      <c r="A503">
        <v>10</v>
      </c>
      <c r="B503" t="s">
        <v>108</v>
      </c>
      <c r="C503" t="s">
        <v>75</v>
      </c>
    </row>
    <row r="504" spans="1:3" x14ac:dyDescent="0.3">
      <c r="A504">
        <v>10</v>
      </c>
      <c r="B504" t="s">
        <v>152</v>
      </c>
      <c r="C504" t="s">
        <v>42</v>
      </c>
    </row>
    <row r="505" spans="1:3" x14ac:dyDescent="0.3">
      <c r="A505">
        <v>10</v>
      </c>
      <c r="B505" t="s">
        <v>51</v>
      </c>
      <c r="C505" t="s">
        <v>28</v>
      </c>
    </row>
    <row r="506" spans="1:3" x14ac:dyDescent="0.3">
      <c r="A506">
        <v>10</v>
      </c>
      <c r="B506" t="s">
        <v>19</v>
      </c>
      <c r="C506" t="s">
        <v>20</v>
      </c>
    </row>
    <row r="507" spans="1:3" x14ac:dyDescent="0.3">
      <c r="A507">
        <v>10</v>
      </c>
      <c r="B507" t="s">
        <v>21</v>
      </c>
      <c r="C507" t="s">
        <v>22</v>
      </c>
    </row>
    <row r="508" spans="1:3" x14ac:dyDescent="0.3">
      <c r="A508">
        <v>10</v>
      </c>
      <c r="B508" t="s">
        <v>186</v>
      </c>
      <c r="C508" t="s">
        <v>54</v>
      </c>
    </row>
    <row r="509" spans="1:3" x14ac:dyDescent="0.3">
      <c r="A509">
        <v>10</v>
      </c>
      <c r="B509" t="s">
        <v>98</v>
      </c>
      <c r="C509" t="s">
        <v>112</v>
      </c>
    </row>
    <row r="510" spans="1:3" x14ac:dyDescent="0.3">
      <c r="A510">
        <v>10</v>
      </c>
      <c r="B510" t="s">
        <v>33</v>
      </c>
      <c r="C510" t="s">
        <v>67</v>
      </c>
    </row>
    <row r="511" spans="1:3" x14ac:dyDescent="0.3">
      <c r="A511">
        <v>10</v>
      </c>
      <c r="B511" t="s">
        <v>80</v>
      </c>
      <c r="C511" t="s">
        <v>81</v>
      </c>
    </row>
    <row r="512" spans="1:3" x14ac:dyDescent="0.3">
      <c r="A512">
        <v>10</v>
      </c>
      <c r="B512" t="s">
        <v>139</v>
      </c>
      <c r="C512" t="s">
        <v>10</v>
      </c>
    </row>
    <row r="513" spans="1:3" x14ac:dyDescent="0.3">
      <c r="A513">
        <v>10</v>
      </c>
      <c r="B513" t="s">
        <v>111</v>
      </c>
      <c r="C513" t="s">
        <v>63</v>
      </c>
    </row>
    <row r="514" spans="1:3" x14ac:dyDescent="0.3">
      <c r="A514">
        <v>10</v>
      </c>
      <c r="B514" t="s">
        <v>173</v>
      </c>
      <c r="C514" t="s">
        <v>52</v>
      </c>
    </row>
    <row r="515" spans="1:3" x14ac:dyDescent="0.3">
      <c r="A515">
        <v>10</v>
      </c>
      <c r="B515" t="s">
        <v>90</v>
      </c>
      <c r="C515" t="s">
        <v>16</v>
      </c>
    </row>
    <row r="516" spans="1:3" x14ac:dyDescent="0.3">
      <c r="A516">
        <v>10</v>
      </c>
      <c r="B516" t="s">
        <v>105</v>
      </c>
      <c r="C516" t="s">
        <v>106</v>
      </c>
    </row>
    <row r="517" spans="1:3" x14ac:dyDescent="0.3">
      <c r="A517">
        <v>10</v>
      </c>
      <c r="B517" t="s">
        <v>72</v>
      </c>
      <c r="C517" t="s">
        <v>73</v>
      </c>
    </row>
    <row r="518" spans="1:3" x14ac:dyDescent="0.3">
      <c r="A518">
        <v>10</v>
      </c>
      <c r="B518" t="s">
        <v>187</v>
      </c>
      <c r="C518" t="s">
        <v>44</v>
      </c>
    </row>
    <row r="519" spans="1:3" x14ac:dyDescent="0.3">
      <c r="A519">
        <v>10</v>
      </c>
      <c r="B519" t="s">
        <v>192</v>
      </c>
      <c r="C519" t="s">
        <v>79</v>
      </c>
    </row>
    <row r="520" spans="1:3" x14ac:dyDescent="0.3">
      <c r="A520">
        <v>10</v>
      </c>
      <c r="B520" t="s">
        <v>92</v>
      </c>
      <c r="C520" t="s">
        <v>30</v>
      </c>
    </row>
    <row r="521" spans="1:3" x14ac:dyDescent="0.3">
      <c r="A521">
        <v>10</v>
      </c>
      <c r="B521" t="s">
        <v>174</v>
      </c>
      <c r="C521" t="s">
        <v>77</v>
      </c>
    </row>
    <row r="522" spans="1:3" x14ac:dyDescent="0.3">
      <c r="A522">
        <v>10</v>
      </c>
      <c r="B522" t="s">
        <v>85</v>
      </c>
      <c r="C522" t="s">
        <v>86</v>
      </c>
    </row>
    <row r="523" spans="1:3" x14ac:dyDescent="0.3">
      <c r="A523">
        <v>10</v>
      </c>
      <c r="B523" t="s">
        <v>170</v>
      </c>
      <c r="C523" t="s">
        <v>59</v>
      </c>
    </row>
    <row r="524" spans="1:3" x14ac:dyDescent="0.3">
      <c r="A524">
        <v>10</v>
      </c>
      <c r="B524" t="s">
        <v>35</v>
      </c>
      <c r="C524" t="s">
        <v>36</v>
      </c>
    </row>
    <row r="525" spans="1:3" x14ac:dyDescent="0.3">
      <c r="A525">
        <v>10</v>
      </c>
      <c r="B525" t="s">
        <v>13</v>
      </c>
      <c r="C525" t="s">
        <v>14</v>
      </c>
    </row>
    <row r="526" spans="1:3" x14ac:dyDescent="0.3">
      <c r="A526">
        <v>10</v>
      </c>
      <c r="B526" t="s">
        <v>49</v>
      </c>
      <c r="C526" t="s">
        <v>12</v>
      </c>
    </row>
    <row r="527" spans="1:3" x14ac:dyDescent="0.3">
      <c r="A527">
        <v>10</v>
      </c>
      <c r="B527" t="s">
        <v>189</v>
      </c>
      <c r="C527" t="s">
        <v>24</v>
      </c>
    </row>
    <row r="528" spans="1:3" x14ac:dyDescent="0.3">
      <c r="A528">
        <v>10</v>
      </c>
      <c r="B528" t="s">
        <v>17</v>
      </c>
      <c r="C528" t="s">
        <v>18</v>
      </c>
    </row>
    <row r="529" spans="1:3" x14ac:dyDescent="0.3">
      <c r="A529">
        <v>10</v>
      </c>
      <c r="B529" t="s">
        <v>87</v>
      </c>
      <c r="C529" t="s">
        <v>83</v>
      </c>
    </row>
    <row r="530" spans="1:3" x14ac:dyDescent="0.3">
      <c r="A530">
        <v>10</v>
      </c>
      <c r="B530" t="s">
        <v>25</v>
      </c>
      <c r="C530" t="s">
        <v>26</v>
      </c>
    </row>
    <row r="531" spans="1:3" x14ac:dyDescent="0.3">
      <c r="A531">
        <v>10</v>
      </c>
      <c r="B531" t="s">
        <v>120</v>
      </c>
      <c r="C531" t="s">
        <v>38</v>
      </c>
    </row>
    <row r="532" spans="1:3" x14ac:dyDescent="0.3">
      <c r="A532">
        <v>10</v>
      </c>
      <c r="B532" t="s">
        <v>5</v>
      </c>
      <c r="C532" t="s">
        <v>6</v>
      </c>
    </row>
    <row r="533" spans="1:3" x14ac:dyDescent="0.3">
      <c r="A533">
        <v>10</v>
      </c>
      <c r="B533" t="s">
        <v>76</v>
      </c>
      <c r="C533" t="s">
        <v>122</v>
      </c>
    </row>
    <row r="534" spans="1:3" x14ac:dyDescent="0.3">
      <c r="A534">
        <v>10</v>
      </c>
      <c r="B534" t="s">
        <v>131</v>
      </c>
      <c r="C534" t="s">
        <v>116</v>
      </c>
    </row>
    <row r="535" spans="1:3" x14ac:dyDescent="0.3">
      <c r="A535">
        <v>10</v>
      </c>
      <c r="B535" t="s">
        <v>117</v>
      </c>
      <c r="C535" t="s">
        <v>118</v>
      </c>
    </row>
    <row r="536" spans="1:3" x14ac:dyDescent="0.3">
      <c r="A536">
        <v>10</v>
      </c>
      <c r="B536" t="s">
        <v>150</v>
      </c>
      <c r="C536" t="s">
        <v>96</v>
      </c>
    </row>
    <row r="537" spans="1:3" x14ac:dyDescent="0.3">
      <c r="A537">
        <v>10</v>
      </c>
      <c r="B537" t="s">
        <v>31</v>
      </c>
      <c r="C537" t="s">
        <v>143</v>
      </c>
    </row>
    <row r="538" spans="1:3" x14ac:dyDescent="0.3">
      <c r="A538">
        <v>10</v>
      </c>
      <c r="B538" t="s">
        <v>64</v>
      </c>
      <c r="C538" t="s">
        <v>140</v>
      </c>
    </row>
    <row r="539" spans="1:3" x14ac:dyDescent="0.3">
      <c r="A539">
        <v>10</v>
      </c>
      <c r="B539" t="s">
        <v>47</v>
      </c>
      <c r="C539" t="s">
        <v>147</v>
      </c>
    </row>
    <row r="540" spans="1:3" x14ac:dyDescent="0.3">
      <c r="A540">
        <v>10</v>
      </c>
      <c r="B540" t="s">
        <v>123</v>
      </c>
      <c r="C540" t="s">
        <v>71</v>
      </c>
    </row>
    <row r="541" spans="1:3" x14ac:dyDescent="0.3">
      <c r="A541">
        <v>10</v>
      </c>
      <c r="B541" t="s">
        <v>190</v>
      </c>
      <c r="C541" t="s">
        <v>142</v>
      </c>
    </row>
    <row r="542" spans="1:3" x14ac:dyDescent="0.3">
      <c r="A542">
        <v>10</v>
      </c>
      <c r="B542" t="s">
        <v>29</v>
      </c>
      <c r="C542" t="s">
        <v>141</v>
      </c>
    </row>
    <row r="543" spans="1:3" x14ac:dyDescent="0.3">
      <c r="A543">
        <v>10</v>
      </c>
      <c r="B543" t="s">
        <v>107</v>
      </c>
      <c r="C543" t="s">
        <v>148</v>
      </c>
    </row>
    <row r="544" spans="1:3" x14ac:dyDescent="0.3">
      <c r="A544">
        <v>10</v>
      </c>
      <c r="B544" t="s">
        <v>43</v>
      </c>
      <c r="C544" t="s">
        <v>145</v>
      </c>
    </row>
    <row r="545" spans="1:3" x14ac:dyDescent="0.3">
      <c r="A545">
        <v>10</v>
      </c>
      <c r="B545" t="s">
        <v>15</v>
      </c>
      <c r="C545" t="s">
        <v>137</v>
      </c>
    </row>
    <row r="546" spans="1:3" x14ac:dyDescent="0.3">
      <c r="A546">
        <v>10</v>
      </c>
      <c r="B546" t="s">
        <v>84</v>
      </c>
      <c r="C546" t="s">
        <v>146</v>
      </c>
    </row>
    <row r="547" spans="1:3" x14ac:dyDescent="0.3">
      <c r="A547">
        <v>10</v>
      </c>
      <c r="B547" t="s">
        <v>23</v>
      </c>
      <c r="C547" t="s">
        <v>154</v>
      </c>
    </row>
    <row r="548" spans="1:3" x14ac:dyDescent="0.3">
      <c r="A548">
        <v>10</v>
      </c>
      <c r="B548" t="s">
        <v>91</v>
      </c>
      <c r="C548" t="s">
        <v>144</v>
      </c>
    </row>
    <row r="549" spans="1:3" x14ac:dyDescent="0.3">
      <c r="A549">
        <v>10</v>
      </c>
      <c r="B549" t="s">
        <v>128</v>
      </c>
      <c r="C549" t="s">
        <v>155</v>
      </c>
    </row>
    <row r="550" spans="1:3" x14ac:dyDescent="0.3">
      <c r="A550">
        <v>10</v>
      </c>
      <c r="B550" t="s">
        <v>121</v>
      </c>
      <c r="C550" t="s">
        <v>156</v>
      </c>
    </row>
    <row r="551" spans="1:3" x14ac:dyDescent="0.3">
      <c r="A551">
        <v>10</v>
      </c>
      <c r="B551" t="s">
        <v>151</v>
      </c>
      <c r="C551" t="s">
        <v>157</v>
      </c>
    </row>
    <row r="552" spans="1:3" x14ac:dyDescent="0.3">
      <c r="A552">
        <v>10</v>
      </c>
      <c r="B552" t="s">
        <v>151</v>
      </c>
      <c r="C552" t="s">
        <v>158</v>
      </c>
    </row>
    <row r="553" spans="1:3" x14ac:dyDescent="0.3">
      <c r="A553">
        <v>10</v>
      </c>
      <c r="B553" t="s">
        <v>151</v>
      </c>
      <c r="C553" t="s">
        <v>193</v>
      </c>
    </row>
    <row r="554" spans="1:3" x14ac:dyDescent="0.3">
      <c r="A554">
        <v>10</v>
      </c>
      <c r="B554" t="s">
        <v>151</v>
      </c>
      <c r="C554" t="s">
        <v>194</v>
      </c>
    </row>
    <row r="555" spans="1:3" x14ac:dyDescent="0.3">
      <c r="A555">
        <v>10</v>
      </c>
      <c r="B555" t="s">
        <v>151</v>
      </c>
      <c r="C555" t="s">
        <v>195</v>
      </c>
    </row>
    <row r="556" spans="1:3" x14ac:dyDescent="0.3">
      <c r="A556">
        <v>10</v>
      </c>
      <c r="B556" t="s">
        <v>151</v>
      </c>
      <c r="C556" t="s">
        <v>196</v>
      </c>
    </row>
    <row r="557" spans="1:3" x14ac:dyDescent="0.3">
      <c r="A557">
        <v>11</v>
      </c>
      <c r="B557" t="s">
        <v>114</v>
      </c>
      <c r="C557" t="s">
        <v>46</v>
      </c>
    </row>
    <row r="558" spans="1:3" x14ac:dyDescent="0.3">
      <c r="A558">
        <v>11</v>
      </c>
      <c r="B558" t="s">
        <v>182</v>
      </c>
      <c r="C558" t="s">
        <v>97</v>
      </c>
    </row>
    <row r="559" spans="1:3" x14ac:dyDescent="0.3">
      <c r="A559">
        <v>11</v>
      </c>
      <c r="B559" t="s">
        <v>175</v>
      </c>
      <c r="C559" t="s">
        <v>69</v>
      </c>
    </row>
    <row r="560" spans="1:3" x14ac:dyDescent="0.3">
      <c r="A560">
        <v>11</v>
      </c>
      <c r="B560" t="s">
        <v>183</v>
      </c>
      <c r="C560" t="s">
        <v>40</v>
      </c>
    </row>
    <row r="561" spans="1:3" x14ac:dyDescent="0.3">
      <c r="A561">
        <v>11</v>
      </c>
      <c r="B561" t="s">
        <v>184</v>
      </c>
      <c r="C561" t="s">
        <v>50</v>
      </c>
    </row>
    <row r="562" spans="1:3" x14ac:dyDescent="0.3">
      <c r="A562">
        <v>11</v>
      </c>
      <c r="B562" t="s">
        <v>89</v>
      </c>
      <c r="C562" t="s">
        <v>4</v>
      </c>
    </row>
    <row r="563" spans="1:3" x14ac:dyDescent="0.3">
      <c r="A563">
        <v>11</v>
      </c>
      <c r="B563" t="s">
        <v>136</v>
      </c>
      <c r="C563" t="s">
        <v>56</v>
      </c>
    </row>
    <row r="564" spans="1:3" x14ac:dyDescent="0.3">
      <c r="A564">
        <v>11</v>
      </c>
      <c r="B564" t="s">
        <v>185</v>
      </c>
      <c r="C564" t="s">
        <v>34</v>
      </c>
    </row>
    <row r="565" spans="1:3" x14ac:dyDescent="0.3">
      <c r="A565">
        <v>11</v>
      </c>
      <c r="B565" t="s">
        <v>108</v>
      </c>
      <c r="C565" t="s">
        <v>75</v>
      </c>
    </row>
    <row r="566" spans="1:3" x14ac:dyDescent="0.3">
      <c r="A566">
        <v>11</v>
      </c>
      <c r="B566" t="s">
        <v>152</v>
      </c>
      <c r="C566" t="s">
        <v>42</v>
      </c>
    </row>
    <row r="567" spans="1:3" x14ac:dyDescent="0.3">
      <c r="A567">
        <v>11</v>
      </c>
      <c r="B567" t="s">
        <v>198</v>
      </c>
      <c r="C567" t="s">
        <v>28</v>
      </c>
    </row>
    <row r="568" spans="1:3" x14ac:dyDescent="0.3">
      <c r="A568">
        <v>11</v>
      </c>
      <c r="B568" t="s">
        <v>19</v>
      </c>
      <c r="C568" t="s">
        <v>20</v>
      </c>
    </row>
    <row r="569" spans="1:3" x14ac:dyDescent="0.3">
      <c r="A569">
        <v>11</v>
      </c>
      <c r="B569" t="s">
        <v>178</v>
      </c>
      <c r="C569" t="s">
        <v>22</v>
      </c>
    </row>
    <row r="570" spans="1:3" x14ac:dyDescent="0.3">
      <c r="A570">
        <v>11</v>
      </c>
      <c r="B570" t="s">
        <v>186</v>
      </c>
      <c r="C570" t="s">
        <v>54</v>
      </c>
    </row>
    <row r="571" spans="1:3" x14ac:dyDescent="0.3">
      <c r="A571">
        <v>11</v>
      </c>
      <c r="B571" t="s">
        <v>98</v>
      </c>
      <c r="C571" t="s">
        <v>112</v>
      </c>
    </row>
    <row r="572" spans="1:3" x14ac:dyDescent="0.3">
      <c r="A572">
        <v>11</v>
      </c>
      <c r="B572" t="s">
        <v>33</v>
      </c>
      <c r="C572" t="s">
        <v>67</v>
      </c>
    </row>
    <row r="573" spans="1:3" x14ac:dyDescent="0.3">
      <c r="A573">
        <v>11</v>
      </c>
      <c r="B573" t="s">
        <v>80</v>
      </c>
      <c r="C573" t="s">
        <v>81</v>
      </c>
    </row>
    <row r="574" spans="1:3" x14ac:dyDescent="0.3">
      <c r="A574">
        <v>11</v>
      </c>
      <c r="B574" t="s">
        <v>139</v>
      </c>
      <c r="C574" t="s">
        <v>10</v>
      </c>
    </row>
    <row r="575" spans="1:3" x14ac:dyDescent="0.3">
      <c r="A575">
        <v>11</v>
      </c>
      <c r="B575" t="s">
        <v>111</v>
      </c>
      <c r="C575" t="s">
        <v>63</v>
      </c>
    </row>
    <row r="576" spans="1:3" x14ac:dyDescent="0.3">
      <c r="A576">
        <v>11</v>
      </c>
      <c r="B576" t="s">
        <v>173</v>
      </c>
      <c r="C576" t="s">
        <v>52</v>
      </c>
    </row>
    <row r="577" spans="1:3" x14ac:dyDescent="0.3">
      <c r="A577">
        <v>11</v>
      </c>
      <c r="B577" t="s">
        <v>90</v>
      </c>
      <c r="C577" t="s">
        <v>16</v>
      </c>
    </row>
    <row r="578" spans="1:3" x14ac:dyDescent="0.3">
      <c r="A578">
        <v>11</v>
      </c>
      <c r="B578" t="s">
        <v>105</v>
      </c>
      <c r="C578" t="s">
        <v>106</v>
      </c>
    </row>
    <row r="579" spans="1:3" x14ac:dyDescent="0.3">
      <c r="A579">
        <v>11</v>
      </c>
      <c r="B579" t="s">
        <v>72</v>
      </c>
      <c r="C579" t="s">
        <v>73</v>
      </c>
    </row>
    <row r="580" spans="1:3" x14ac:dyDescent="0.3">
      <c r="A580">
        <v>11</v>
      </c>
      <c r="B580" t="s">
        <v>199</v>
      </c>
      <c r="C580" t="s">
        <v>44</v>
      </c>
    </row>
    <row r="581" spans="1:3" x14ac:dyDescent="0.3">
      <c r="A581">
        <v>11</v>
      </c>
      <c r="B581" t="s">
        <v>192</v>
      </c>
      <c r="C581" t="s">
        <v>79</v>
      </c>
    </row>
    <row r="582" spans="1:3" x14ac:dyDescent="0.3">
      <c r="A582">
        <v>11</v>
      </c>
      <c r="B582" t="s">
        <v>92</v>
      </c>
      <c r="C582" t="s">
        <v>30</v>
      </c>
    </row>
    <row r="583" spans="1:3" x14ac:dyDescent="0.3">
      <c r="A583">
        <v>11</v>
      </c>
      <c r="B583" t="s">
        <v>174</v>
      </c>
      <c r="C583" t="s">
        <v>77</v>
      </c>
    </row>
    <row r="584" spans="1:3" x14ac:dyDescent="0.3">
      <c r="A584">
        <v>11</v>
      </c>
      <c r="B584" t="s">
        <v>199</v>
      </c>
      <c r="C584" t="s">
        <v>86</v>
      </c>
    </row>
    <row r="585" spans="1:3" x14ac:dyDescent="0.3">
      <c r="A585">
        <v>11</v>
      </c>
      <c r="B585" t="s">
        <v>123</v>
      </c>
      <c r="C585" t="s">
        <v>59</v>
      </c>
    </row>
    <row r="586" spans="1:3" x14ac:dyDescent="0.3">
      <c r="A586">
        <v>11</v>
      </c>
      <c r="B586" t="s">
        <v>35</v>
      </c>
      <c r="C586" t="s">
        <v>36</v>
      </c>
    </row>
    <row r="587" spans="1:3" x14ac:dyDescent="0.3">
      <c r="A587">
        <v>11</v>
      </c>
      <c r="B587" t="s">
        <v>13</v>
      </c>
      <c r="C587" t="s">
        <v>14</v>
      </c>
    </row>
    <row r="588" spans="1:3" x14ac:dyDescent="0.3">
      <c r="A588">
        <v>11</v>
      </c>
      <c r="B588" t="s">
        <v>49</v>
      </c>
      <c r="C588" t="s">
        <v>12</v>
      </c>
    </row>
    <row r="589" spans="1:3" x14ac:dyDescent="0.3">
      <c r="A589">
        <v>11</v>
      </c>
      <c r="B589" t="s">
        <v>189</v>
      </c>
      <c r="C589" t="s">
        <v>24</v>
      </c>
    </row>
    <row r="590" spans="1:3" x14ac:dyDescent="0.3">
      <c r="A590">
        <v>11</v>
      </c>
      <c r="B590" t="s">
        <v>17</v>
      </c>
      <c r="C590" t="s">
        <v>18</v>
      </c>
    </row>
    <row r="591" spans="1:3" x14ac:dyDescent="0.3">
      <c r="A591">
        <v>11</v>
      </c>
      <c r="B591" t="s">
        <v>87</v>
      </c>
      <c r="C591" t="s">
        <v>83</v>
      </c>
    </row>
    <row r="592" spans="1:3" x14ac:dyDescent="0.3">
      <c r="A592">
        <v>11</v>
      </c>
      <c r="B592" t="s">
        <v>70</v>
      </c>
      <c r="C592" t="s">
        <v>26</v>
      </c>
    </row>
    <row r="593" spans="1:3" x14ac:dyDescent="0.3">
      <c r="A593">
        <v>11</v>
      </c>
      <c r="B593" t="s">
        <v>120</v>
      </c>
      <c r="C593" t="s">
        <v>38</v>
      </c>
    </row>
    <row r="594" spans="1:3" x14ac:dyDescent="0.3">
      <c r="A594">
        <v>11</v>
      </c>
      <c r="B594" t="s">
        <v>5</v>
      </c>
      <c r="C594" t="s">
        <v>6</v>
      </c>
    </row>
    <row r="595" spans="1:3" x14ac:dyDescent="0.3">
      <c r="A595">
        <v>11</v>
      </c>
      <c r="B595" t="s">
        <v>76</v>
      </c>
      <c r="C595" t="s">
        <v>122</v>
      </c>
    </row>
    <row r="596" spans="1:3" x14ac:dyDescent="0.3">
      <c r="A596">
        <v>11</v>
      </c>
      <c r="B596" t="s">
        <v>131</v>
      </c>
      <c r="C596" t="s">
        <v>116</v>
      </c>
    </row>
    <row r="597" spans="1:3" x14ac:dyDescent="0.3">
      <c r="A597">
        <v>11</v>
      </c>
      <c r="B597" t="s">
        <v>117</v>
      </c>
      <c r="C597" t="s">
        <v>118</v>
      </c>
    </row>
    <row r="598" spans="1:3" x14ac:dyDescent="0.3">
      <c r="A598">
        <v>11</v>
      </c>
      <c r="B598" t="s">
        <v>150</v>
      </c>
      <c r="C598" t="s">
        <v>96</v>
      </c>
    </row>
    <row r="599" spans="1:3" x14ac:dyDescent="0.3">
      <c r="A599">
        <v>11</v>
      </c>
      <c r="B599" t="s">
        <v>31</v>
      </c>
      <c r="C599" t="s">
        <v>143</v>
      </c>
    </row>
    <row r="600" spans="1:3" x14ac:dyDescent="0.3">
      <c r="A600">
        <v>11</v>
      </c>
      <c r="B600" t="s">
        <v>64</v>
      </c>
      <c r="C600" t="s">
        <v>140</v>
      </c>
    </row>
    <row r="601" spans="1:3" x14ac:dyDescent="0.3">
      <c r="A601">
        <v>11</v>
      </c>
      <c r="B601" t="s">
        <v>47</v>
      </c>
      <c r="C601" t="s">
        <v>147</v>
      </c>
    </row>
    <row r="602" spans="1:3" x14ac:dyDescent="0.3">
      <c r="A602">
        <v>11</v>
      </c>
      <c r="B602" t="s">
        <v>151</v>
      </c>
      <c r="C602" t="s">
        <v>71</v>
      </c>
    </row>
    <row r="603" spans="1:3" x14ac:dyDescent="0.3">
      <c r="A603">
        <v>11</v>
      </c>
      <c r="B603" t="s">
        <v>190</v>
      </c>
      <c r="C603" t="s">
        <v>142</v>
      </c>
    </row>
    <row r="604" spans="1:3" x14ac:dyDescent="0.3">
      <c r="A604">
        <v>11</v>
      </c>
      <c r="B604" t="s">
        <v>29</v>
      </c>
      <c r="C604" t="s">
        <v>141</v>
      </c>
    </row>
    <row r="605" spans="1:3" x14ac:dyDescent="0.3">
      <c r="A605">
        <v>11</v>
      </c>
      <c r="B605" t="s">
        <v>107</v>
      </c>
      <c r="C605" t="s">
        <v>148</v>
      </c>
    </row>
    <row r="606" spans="1:3" x14ac:dyDescent="0.3">
      <c r="A606">
        <v>11</v>
      </c>
      <c r="B606" t="s">
        <v>43</v>
      </c>
      <c r="C606" t="s">
        <v>145</v>
      </c>
    </row>
    <row r="607" spans="1:3" x14ac:dyDescent="0.3">
      <c r="A607">
        <v>11</v>
      </c>
      <c r="B607" t="s">
        <v>15</v>
      </c>
      <c r="C607" t="s">
        <v>137</v>
      </c>
    </row>
    <row r="608" spans="1:3" x14ac:dyDescent="0.3">
      <c r="A608">
        <v>11</v>
      </c>
      <c r="B608" t="s">
        <v>84</v>
      </c>
      <c r="C608" t="s">
        <v>146</v>
      </c>
    </row>
    <row r="609" spans="1:3" x14ac:dyDescent="0.3">
      <c r="A609">
        <v>11</v>
      </c>
      <c r="B609" t="s">
        <v>23</v>
      </c>
      <c r="C609" t="s">
        <v>154</v>
      </c>
    </row>
    <row r="610" spans="1:3" x14ac:dyDescent="0.3">
      <c r="A610">
        <v>11</v>
      </c>
      <c r="B610" t="s">
        <v>151</v>
      </c>
      <c r="C610" t="s">
        <v>144</v>
      </c>
    </row>
    <row r="611" spans="1:3" x14ac:dyDescent="0.3">
      <c r="A611">
        <v>11</v>
      </c>
      <c r="B611" t="s">
        <v>128</v>
      </c>
      <c r="C611" t="s">
        <v>155</v>
      </c>
    </row>
    <row r="612" spans="1:3" x14ac:dyDescent="0.3">
      <c r="A612">
        <v>11</v>
      </c>
      <c r="B612" t="s">
        <v>121</v>
      </c>
      <c r="C612" t="s">
        <v>156</v>
      </c>
    </row>
    <row r="613" spans="1:3" x14ac:dyDescent="0.3">
      <c r="A613">
        <v>11</v>
      </c>
      <c r="B613" t="s">
        <v>51</v>
      </c>
      <c r="C613" t="s">
        <v>157</v>
      </c>
    </row>
    <row r="614" spans="1:3" x14ac:dyDescent="0.3">
      <c r="A614">
        <v>11</v>
      </c>
      <c r="B614" t="s">
        <v>199</v>
      </c>
      <c r="C614" t="s">
        <v>193</v>
      </c>
    </row>
    <row r="615" spans="1:3" x14ac:dyDescent="0.3">
      <c r="A615">
        <v>11</v>
      </c>
      <c r="B615" t="s">
        <v>199</v>
      </c>
      <c r="C615" t="s">
        <v>194</v>
      </c>
    </row>
    <row r="616" spans="1:3" x14ac:dyDescent="0.3">
      <c r="A616">
        <v>11</v>
      </c>
      <c r="B616" t="s">
        <v>151</v>
      </c>
      <c r="C616" t="s">
        <v>195</v>
      </c>
    </row>
    <row r="617" spans="1:3" x14ac:dyDescent="0.3">
      <c r="A617">
        <v>11</v>
      </c>
      <c r="B617" t="s">
        <v>200</v>
      </c>
      <c r="C617" t="s">
        <v>196</v>
      </c>
    </row>
    <row r="618" spans="1:3" x14ac:dyDescent="0.3">
      <c r="A618">
        <v>11</v>
      </c>
      <c r="B618" t="s">
        <v>200</v>
      </c>
      <c r="C618" t="s">
        <v>201</v>
      </c>
    </row>
    <row r="619" spans="1:3" x14ac:dyDescent="0.3">
      <c r="A619">
        <v>11</v>
      </c>
      <c r="B619" t="s">
        <v>200</v>
      </c>
      <c r="C619" t="s">
        <v>202</v>
      </c>
    </row>
    <row r="620" spans="1:3" x14ac:dyDescent="0.3">
      <c r="A620">
        <v>11</v>
      </c>
      <c r="B620" t="s">
        <v>200</v>
      </c>
      <c r="C620" t="s">
        <v>203</v>
      </c>
    </row>
    <row r="621" spans="1:3" x14ac:dyDescent="0.3">
      <c r="A621">
        <v>11</v>
      </c>
      <c r="B621" t="s">
        <v>151</v>
      </c>
      <c r="C621" t="s">
        <v>158</v>
      </c>
    </row>
  </sheetData>
  <autoFilter ref="A1:C621" xr:uid="{B3E33081-39D9-4F1B-986D-88380FA3C9E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81A8-FF05-4EC5-ADC8-74598196B061}">
  <dimension ref="A1"/>
  <sheetViews>
    <sheetView workbookViewId="0"/>
  </sheetViews>
  <sheetFormatPr baseColWidth="10" defaultRowHeight="13.8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UBER 2025</vt:lpstr>
      <vt:lpstr>UBER 2026</vt:lpstr>
      <vt:lpstr>CONDUCTORES</vt:lpstr>
      <vt:lpstr>BASE DATOS</vt:lpstr>
      <vt:lpstr>TABLAS BARRAS </vt:lpstr>
      <vt:lpstr>CTRL AUTOS</vt:lpstr>
      <vt:lpstr>Hoja1</vt:lpstr>
      <vt:lpstr>'UBER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Yuliana Emos</dc:creator>
  <cp:lastModifiedBy>Emmanuel Lara Hernández</cp:lastModifiedBy>
  <dcterms:created xsi:type="dcterms:W3CDTF">2026-03-18T01:20:03Z</dcterms:created>
  <dcterms:modified xsi:type="dcterms:W3CDTF">2026-03-30T22:15:21Z</dcterms:modified>
</cp:coreProperties>
</file>